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men y Estadísticas" sheetId="1" state="visible" r:id="rId3"/>
    <sheet name="Bibliografía Combinada" sheetId="2" state="visible" r:id="rId4"/>
    <sheet name="Bibliografía Única"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<sst xmlns="http://schemas.openxmlformats.org/spreadsheetml/2006/main" count="57269" uniqueCount="15882">
  <si>
    <t xml:space="preserve">RESUMEN EJECUTIVO: CLASIFICACIÓN BIBLIOGRÁFICA (COMBINADO)</t>
  </si>
  <si>
    <t xml:space="preserve">Fuentes combinadas: 45 archivos Excel</t>
  </si>
  <si>
    <t xml:space="preserve">Fuentes Analizadas</t>
  </si>
  <si>
    <t xml:space="preserve">Archivo</t>
  </si>
  <si>
    <t xml:space="preserve">Bibliografía</t>
  </si>
  <si>
    <t xml:space="preserve">Nº de Documentos</t>
  </si>
  <si>
    <t xml:space="preserve">1-s2_0-S2666791624000356-main.xlsx</t>
  </si>
  <si>
    <t xml:space="preserve">Garvey et al. 2025</t>
  </si>
  <si>
    <t xml:space="preserve">19b859ce-en.xlsx</t>
  </si>
  <si>
    <t xml:space="preserve">OECD 2025</t>
  </si>
  <si>
    <t xml:space="preserve">20250707-Roadmap_towards_Nature_Credits-UE.xlsx</t>
  </si>
  <si>
    <t xml:space="preserve">EU Roadmap 2025</t>
  </si>
  <si>
    <t xml:space="preserve">24-creditos-de-biodiversidad-una-oportunidad-para-generar-.xlsx</t>
  </si>
  <si>
    <t xml:space="preserve">Terrasos 2023</t>
  </si>
  <si>
    <t xml:space="preserve">257653-policy_insight_145_designing_and_scaling_up_nature_.xlsx</t>
  </si>
  <si>
    <t xml:space="preserve">Policy Insight 145</t>
  </si>
  <si>
    <t xml:space="preserve">9cfe-1212.xlsx</t>
  </si>
  <si>
    <t xml:space="preserve">9cfe-1212</t>
  </si>
  <si>
    <t xml:space="preserve">Aquatic_Conservation_-_2017_-_Thiele_-_Innovative_financin.xlsx</t>
  </si>
  <si>
    <t xml:space="preserve">Thiele &amp; Gerber</t>
  </si>
  <si>
    <t xml:space="preserve">BBA_SPM_ES__IPBES_.xlsx</t>
  </si>
  <si>
    <t xml:space="preserve">IPBES BBA 2026</t>
  </si>
  <si>
    <t xml:space="preserve">BiodiversityCreditMarkets.xlsx</t>
  </si>
  <si>
    <t xml:space="preserve">Taskforce 2023</t>
  </si>
  <si>
    <t xml:space="preserve">Biodiversity_credits__Concepts__principles__transactions_a.xlsx</t>
  </si>
  <si>
    <t xml:space="preserve">Peng et al. 2024</t>
  </si>
  <si>
    <t xml:space="preserve">Bus_Strat_Env_-_2025_-_Wunder_-_Biodiversity_Credits__An_O.xlsx</t>
  </si>
  <si>
    <t xml:space="preserve">Wunder et al. 2025</t>
  </si>
  <si>
    <t xml:space="preserve">Bus_Strat_Env_-_2026_-_Yakar___Pritchard_-_Elaborating_the.xlsx</t>
  </si>
  <si>
    <t xml:space="preserve">Yakar-Pritchard 2026</t>
  </si>
  <si>
    <t xml:space="preserve">Carbon_Finance_for_Climate_Justice_Pathways_to_Inclusive_S.xlsx</t>
  </si>
  <si>
    <t xml:space="preserve">Munonye 2025</t>
  </si>
  <si>
    <t xml:space="preserve">Chapman_2019_Environ__Res__Lett__14_124084.xlsx</t>
  </si>
  <si>
    <t xml:space="preserve">Chapman 2019</t>
  </si>
  <si>
    <t xml:space="preserve">Conservation_Biology_-_2015_-_Batáry_-_The_role_of_agri_en.xlsx</t>
  </si>
  <si>
    <t xml:space="preserve">Batáry 2015</t>
  </si>
  <si>
    <t xml:space="preserve">Conservation_Biology_-_2019_-_Chiavacci_-_Trends_in_biodiv.xlsx</t>
  </si>
  <si>
    <t xml:space="preserve">Chiavacci 2019</t>
  </si>
  <si>
    <t xml:space="preserve">a_behavioural_perspective_on_nature_credit_markets-KJ01261.xlsx</t>
  </si>
  <si>
    <t xml:space="preserve">JRC 2026</t>
  </si>
  <si>
    <t xml:space="preserve">bibliografia_cosma_2023.xlsx</t>
  </si>
  <si>
    <t xml:space="preserve">Cosma et al. 2023</t>
  </si>
  <si>
    <t xml:space="preserve">climate-biodiversity_nexus-KH0125114ENN.xlsx</t>
  </si>
  <si>
    <t xml:space="preserve">Nexus 2025</t>
  </si>
  <si>
    <t xml:space="preserve">curran_et_al-_2014.xlsx</t>
  </si>
  <si>
    <t xml:space="preserve">Curran et al. 2014</t>
  </si>
  <si>
    <t xml:space="preserve">Designing_a_biodiversity_credit_accounting_framework_for_e.xlsx</t>
  </si>
  <si>
    <t xml:space="preserve">Ningyu Yan 2024</t>
  </si>
  <si>
    <t xml:space="preserve">ES-2022-13795.xlsx</t>
  </si>
  <si>
    <t xml:space="preserve">Corson 2023</t>
  </si>
  <si>
    <t xml:space="preserve">Earth_s_Future_-_2024_-_Yan_-_Biodiversity_Conservation_St.xlsx</t>
  </si>
  <si>
    <t xml:space="preserve">Yan 2024</t>
  </si>
  <si>
    <t xml:space="preserve">Ecological_Monographs_-_2018_-_Prober_-_Shifting_the_conse.xlsx</t>
  </si>
  <si>
    <t xml:space="preserve">Prober 2019</t>
  </si>
  <si>
    <t xml:space="preserve">Frontiers_in_Ecol___Environ_-_2023_-_Plantinga_-_How_to_pa.xlsx</t>
  </si>
  <si>
    <t xml:space="preserve">Plantinga 2024</t>
  </si>
  <si>
    <t xml:space="preserve">Global_Challenges_-_2023_-_Trouwloon_-_Understanding_the_U.xlsx</t>
  </si>
  <si>
    <t xml:space="preserve">Trouwloon 2023</t>
  </si>
  <si>
    <t xml:space="preserve">JA_2004_ADDI.xlsx</t>
  </si>
  <si>
    <t xml:space="preserve">Hua et al. 2022</t>
  </si>
  <si>
    <t xml:space="preserve">Journal_of_Applied_Ecology_-_2019_-_Needham_-_Designing_ma.xlsx</t>
  </si>
  <si>
    <t xml:space="preserve">Needham 2019</t>
  </si>
  <si>
    <t xml:space="preserve">Nature_credits_explained_ELO.xlsx</t>
  </si>
  <si>
    <t xml:space="preserve">ELO 2023</t>
  </si>
  <si>
    <t xml:space="preserve">P391.xlsx</t>
  </si>
  <si>
    <t xml:space="preserve">P391</t>
  </si>
  <si>
    <t xml:space="preserve">PAG-013.xlsx</t>
  </si>
  <si>
    <t xml:space="preserve">Emerton 2006</t>
  </si>
  <si>
    <t xml:space="preserve">PB_20_2025.xlsx</t>
  </si>
  <si>
    <t xml:space="preserve">Bruegel 2025</t>
  </si>
  <si>
    <t xml:space="preserve">Sustainable_Development_-_2023_-_Thompson_-_Paying_for_nat.xlsx</t>
  </si>
  <si>
    <t xml:space="preserve">Thompson 2023</t>
  </si>
  <si>
    <t xml:space="preserve">TNCView_BiodiversityCredits_EXTERNAL.xlsx</t>
  </si>
  <si>
    <t xml:space="preserve">TNC 2024</t>
  </si>
  <si>
    <t xml:space="preserve">The_Little_Book_of_Nature_Business.xlsx</t>
  </si>
  <si>
    <t xml:space="preserve">Global Canopy 2026</t>
  </si>
  <si>
    <t xml:space="preserve">forests-14-00136-v2.xlsx</t>
  </si>
  <si>
    <t xml:space="preserve">Shen et al. 2023</t>
  </si>
  <si>
    <t xml:space="preserve">ijsser_08__144.xlsx</t>
  </si>
  <si>
    <t xml:space="preserve">Ratra 2023</t>
  </si>
  <si>
    <t xml:space="preserve">rspb_2024_2353.xlsx</t>
  </si>
  <si>
    <t xml:space="preserve">Wauchope 2024</t>
  </si>
  <si>
    <t xml:space="preserve">scaling_biodiversity_markets-QH0126018ENN.xlsx</t>
  </si>
  <si>
    <t xml:space="preserve">EIB 2026</t>
  </si>
  <si>
    <t xml:space="preserve">Unlocking-Private-Finance-for-Nature-as-Infrastructure11_1.xlsx</t>
  </si>
  <si>
    <t xml:space="preserve">AIIB-EBRD 2025</t>
  </si>
  <si>
    <t xml:space="preserve">WEF_2023_Biodiversity_Credits_Demand_Analysis_and_Market_O.xlsx</t>
  </si>
  <si>
    <t xml:space="preserve">WEF 2023</t>
  </si>
  <si>
    <t xml:space="preserve">towards_the_quantification_of_ecological_boundaries-KJ0126.xlsx</t>
  </si>
  <si>
    <t xml:space="preserve">Paracchini 2026</t>
  </si>
  <si>
    <t xml:space="preserve">towards_the_second_eu_ecosystem_assessment-KJ0126132ENN.xlsx</t>
  </si>
  <si>
    <t xml:space="preserve">v3_cmw_2023_annual_report.xlsx</t>
  </si>
  <si>
    <t xml:space="preserve">CMW 2023</t>
  </si>
  <si>
    <t xml:space="preserve">wcms_853332.xlsx</t>
  </si>
  <si>
    <t xml:space="preserve">OIT 2022</t>
  </si>
  <si>
    <t xml:space="preserve">Nota: incorpora la fusión anterior (39_Primeros_Documentos_Combinados.xlsx (2913 docs.)); sus fuentes originales ya están desglosadas arriba.</t>
  </si>
  <si>
    <t xml:space="preserve">Resumen de Métricas de la Base de Datos Combinada</t>
  </si>
  <si>
    <t xml:space="preserve">Dimensión de Análisis</t>
  </si>
  <si>
    <t xml:space="preserve">Métrica / Categoría</t>
  </si>
  <si>
    <t xml:space="preserve">Valor Calculado</t>
  </si>
  <si>
    <t xml:space="preserve">Fórmula de Excel</t>
  </si>
  <si>
    <t xml:space="preserve">Muestra Total</t>
  </si>
  <si>
    <t xml:space="preserve">Total de Documentos en la Bibliografía Combinada</t>
  </si>
  <si>
    <t xml:space="preserve">COUNTA('Bibliografía Combinada'!A2:A3244)</t>
  </si>
  <si>
    <t xml:space="preserve">Enfoque Metodológico</t>
  </si>
  <si>
    <t xml:space="preserve">Estudios con Enfoque Cualitativo</t>
  </si>
  <si>
    <t xml:space="preserve">COUNTIF('Bibliografía Combinada'!F2:F3244,"*Cualitativo*")</t>
  </si>
  <si>
    <t xml:space="preserve">Estudios con Enfoque Cuantitativo</t>
  </si>
  <si>
    <t xml:space="preserve">COUNTIF('Bibliografía Combinada'!F2:F3244,"*Cuantitativo*")</t>
  </si>
  <si>
    <t xml:space="preserve">Instrumentos de Política</t>
  </si>
  <si>
    <t xml:space="preserve">Créditos de Naturaleza</t>
  </si>
  <si>
    <t xml:space="preserve">COUNTIF('Bibliografía Combinada'!K2:K3244,"*Créditos de Naturaleza*")</t>
  </si>
  <si>
    <t xml:space="preserve">Compensaciones</t>
  </si>
  <si>
    <t xml:space="preserve">COUNTIF('Bibliografía Combinada'!K2:K3244,"*Compensaciones*")</t>
  </si>
  <si>
    <t xml:space="preserve">Clasificación de Actores</t>
  </si>
  <si>
    <t xml:space="preserve">COUNTIF('Bibliografía Combinada'!K2:K3244,"*Clasificación de Actores*")</t>
  </si>
  <si>
    <t xml:space="preserve">Pagos por Servicios Ecosistémicos (PES)</t>
  </si>
  <si>
    <t xml:space="preserve">COUNTIF('Bibliografía Combinada'!K2:K3244,"*Pagos por Servicios Ecosistémicos (PES)*")</t>
  </si>
  <si>
    <t xml:space="preserve">Sin Instrumento de Política Directo (En Blanco)</t>
  </si>
  <si>
    <t xml:space="preserve">COUNTBLANK('Bibliografía Combinada'!K2:K3244)</t>
  </si>
  <si>
    <t xml:space="preserve">Duplicados entre Excels</t>
  </si>
  <si>
    <t xml:space="preserve">Documentos (filas) Repetidos entre Todos los Excels</t>
  </si>
  <si>
    <t xml:space="preserve">SUMPRODUCT(--(COUNTIF('Bibliografía Combinada'!A2:A3244,'Bibliografía Combinada'!A2:A3244)&gt;1))</t>
  </si>
  <si>
    <t xml:space="preserve">Grupos de Documentos Duplicados (ID distintos repetidos)</t>
  </si>
  <si>
    <t xml:space="preserve">SUMPRODUCT((COUNTIF('Bibliografía Combinada'!A2:A3244,'Bibliografía Combinada'!A2:A3244)&gt;1)/COUNTIF('Bibliografía Combinada'!A2:A3244,'Bibliografía Combinada'!A2:A3244))</t>
  </si>
  <si>
    <t xml:space="preserve">Leyenda de colores (hoja 'Bibliografía Combinada')</t>
  </si>
  <si>
    <t xml:space="preserve">Relleno amarillo / azul (alternado)</t>
  </si>
  <si>
    <t xml:space="preserve">Documento repetido (mismo ID) en varios excels; el color alterna entre un grupo de ID repetido y el siguiente para distinguirlos.</t>
  </si>
  <si>
    <t xml:space="preserve">Sin relleno</t>
  </si>
  <si>
    <t xml:space="preserve">Documento con ID único, no repetido en ningún otro excel.</t>
  </si>
  <si>
    <t xml:space="preserve">ID</t>
  </si>
  <si>
    <t xml:space="preserve">Documento de Origen</t>
  </si>
  <si>
    <t xml:space="preserve">Autor(es)</t>
  </si>
  <si>
    <t xml:space="preserve">Año</t>
  </si>
  <si>
    <t xml:space="preserve">Título del Documento / Referencia</t>
  </si>
  <si>
    <t xml:space="preserve">Partes Interesadas (Stakeholders)</t>
  </si>
  <si>
    <t xml:space="preserve">Geografía</t>
  </si>
  <si>
    <t xml:space="preserve">Grupo de Ecosistema</t>
  </si>
  <si>
    <t xml:space="preserve">Detalle de Ecosistema</t>
  </si>
  <si>
    <t xml:space="preserve">Instrumento de Política</t>
  </si>
  <si>
    <t xml:space="preserve">Aporte Principal / Contexto del Estudio</t>
  </si>
  <si>
    <t xml:space="preserve">Anes &amp; Mohan</t>
  </si>
  <si>
    <t xml:space="preserve">Emerging threats on environmental sustainability. Soil Pollution Management for Sustainable Crop Production Systems</t>
  </si>
  <si>
    <t xml:space="preserve">Cualitativo</t>
  </si>
  <si>
    <t xml:space="preserve">Oferta (agricultores), Comunidad científica</t>
  </si>
  <si>
    <t xml:space="preserve">Global</t>
  </si>
  <si>
    <t xml:space="preserve">Terrestre</t>
  </si>
  <si>
    <t xml:space="preserve">Suelos agrícolas y zonas de cultivo</t>
  </si>
  <si>
    <t xml:space="preserve">Revisa las amenazas emergentes sobre la sostenibilidad ambiental y la gestión de la contaminación de suelos agrícolas.</t>
  </si>
  <si>
    <t xml:space="preserve">Aven</t>
  </si>
  <si>
    <t xml:space="preserve">Improving risk characterisations in practical situations by highlighting knowledge aspects, with applications to risk matrices</t>
  </si>
  <si>
    <t xml:space="preserve">Cuantitativo</t>
  </si>
  <si>
    <t xml:space="preserve">Comunidad científica, Reguladores/legisladores</t>
  </si>
  <si>
    <t xml:space="preserve">Mixto</t>
  </si>
  <si>
    <t xml:space="preserve">Evaluación general de riesgos ecológicos e industriales</t>
  </si>
  <si>
    <t xml:space="preserve">Propone un marco teórico para caracterizar el riesgo y la incertidumbre en matrices de evaluación aplicables a proyectos de restauración.</t>
  </si>
  <si>
    <t xml:space="preserve">Baines</t>
  </si>
  <si>
    <t xml:space="preserve">Accumulating through food crisis? Farmers, commodity traders and the distributional politics of financialization</t>
  </si>
  <si>
    <t xml:space="preserve">Oferta (agricultores), Demanda (comerciantes e inversores)</t>
  </si>
  <si>
    <t xml:space="preserve">Tierras agrícolas y producción de alimentos</t>
  </si>
  <si>
    <t xml:space="preserve">Analiza la financiarización del sector agrícola y el impacto distributivo del capital especulativo en los productores primarios.</t>
  </si>
  <si>
    <t xml:space="preserve">Bellanger et al.</t>
  </si>
  <si>
    <t xml:space="preserve">Cross-sectoral externalities related to natural resources and ecosystem services</t>
  </si>
  <si>
    <t xml:space="preserve">Demanda (sectores económicos), Reguladores/legisladores, Comunidad científica</t>
  </si>
  <si>
    <t xml:space="preserve">Recursos naturales transversales y servicios ecosistémicos</t>
  </si>
  <si>
    <t xml:space="preserve">Revisa las externalidades cruzadas entre sectores económicos y la falta de internalización del valor de los servicios ecosistémicos.</t>
  </si>
  <si>
    <t xml:space="preserve">Bernknopf &amp; Broadbent</t>
  </si>
  <si>
    <t xml:space="preserve">Estimating forest sustainability bond prices for natural resource and ecosystem services markets</t>
  </si>
  <si>
    <t xml:space="preserve">Demanda (inversores institucionales, sector financiero), Oferta (gestores forestales)</t>
  </si>
  <si>
    <t xml:space="preserve">EE. UU. (Lower Mississippi Valley)</t>
  </si>
  <si>
    <t xml:space="preserve">Bosques y hábitats de fauna silvestre</t>
  </si>
  <si>
    <t xml:space="preserve">Modela la valoración y fijación de precios de bonos sostenibles forestales integrando la teoría de portafolio y servicios ecosistémicos.</t>
  </si>
  <si>
    <t xml:space="preserve">Bhutta et al.</t>
  </si>
  <si>
    <t xml:space="preserve">Green bonds for sustainable development: review of literature on development and impact of green bonds</t>
  </si>
  <si>
    <t xml:space="preserve">Demanda (emisores e inversores de bonos verdes), Reguladores/legisladores</t>
  </si>
  <si>
    <t xml:space="preserve">Infraestructura verde, energía y uso de la tierra</t>
  </si>
  <si>
    <t xml:space="preserve">Revisión de la literatura sobre la emisión, impacto y efectividad de los bonos verdes para financiar proyectos sostenibles.</t>
  </si>
  <si>
    <t xml:space="preserve">Boyd &amp; Banzhaf</t>
  </si>
  <si>
    <t xml:space="preserve">What are ecosystem services? The need for standardized environmental accounting units</t>
  </si>
  <si>
    <t xml:space="preserve">Contabilidad ambiental estandarizada</t>
  </si>
  <si>
    <t xml:space="preserve">Fundamenta la necesidad de definir unidades contables estandarizadas de servicios ecosistémicos finales para transacciones de mercado.</t>
  </si>
  <si>
    <t xml:space="preserve">Estados Unidos / Global</t>
  </si>
  <si>
    <t xml:space="preserve">Unidades de contabilidad ambiental estandarizadas</t>
  </si>
  <si>
    <t xml:space="preserve">Define los servicios ecosistémicos finales para evitar la doble contabilización en marcos contables y de mercado.</t>
  </si>
  <si>
    <t xml:space="preserve">Brand et al.</t>
  </si>
  <si>
    <t xml:space="preserve">Environmental Impact Bonds: a common framework and looking ahead</t>
  </si>
  <si>
    <t xml:space="preserve">Demanda (inversores de impacto, sector financiero), Reguladores/legisladores, Oferta (comunidades)</t>
  </si>
  <si>
    <t xml:space="preserve">EE. UU.</t>
  </si>
  <si>
    <t xml:space="preserve">Cuencas de agua dulce, bosques y zonas urbanas</t>
  </si>
  <si>
    <t xml:space="preserve">Desarrolla un marco conceptual común para los Bonos de Impacto Ambiental (EIB) evaluando el pago por resultados de conservación.</t>
  </si>
  <si>
    <t xml:space="preserve">Bruel et al.</t>
  </si>
  <si>
    <t xml:space="preserve">Considering ecosystem services in life cycle assessment to evaluate environmental externalities</t>
  </si>
  <si>
    <t xml:space="preserve">Demanda (empresas industriales), Comunidad científica</t>
  </si>
  <si>
    <t xml:space="preserve">Evaluación del ciclo de vida de procesos industriales y ecosistemas</t>
  </si>
  <si>
    <t xml:space="preserve">Integra la cuantificación de servicios ecosistémicos dentro del Análisis del Ciclo de Vida (LCA) para valorar externalidades.</t>
  </si>
  <si>
    <t xml:space="preserve">Cardinale et al.</t>
  </si>
  <si>
    <t xml:space="preserve">Biodiversity loss and its impact on humanity</t>
  </si>
  <si>
    <t xml:space="preserve">Comunidad científica, Reguladores/legisladores, Público general</t>
  </si>
  <si>
    <t xml:space="preserve">Ecosistemas terrestres, acuáticos y marinos globales</t>
  </si>
  <si>
    <t xml:space="preserve">Síntesis científica sobre las consecuencias irreversibles de la pérdida de biodiversidad en los servicios ecosistémicos esenciales.</t>
  </si>
  <si>
    <t xml:space="preserve">Cardinale, B.J., Duffy, J.E., Gonzalez, A., et al.</t>
  </si>
  <si>
    <t xml:space="preserve">Cualitativo / Cuantitativo</t>
  </si>
  <si>
    <t xml:space="preserve">Relación biodiversidad-funcionamiento ecosistémico</t>
  </si>
  <si>
    <t xml:space="preserve">Síntesis hito en Nature que demuestra cómo la pérdida de biodiversidad reduce la eficiencia y estabilidad de los ecosistemas.</t>
  </si>
  <si>
    <t xml:space="preserve">Cesoniene et al.</t>
  </si>
  <si>
    <t xml:space="preserve">The impact of livestock farming activity on the quality of surface water</t>
  </si>
  <si>
    <t xml:space="preserve">Oferta (agricultores y ganaderos), Reguladores/legisladores</t>
  </si>
  <si>
    <t xml:space="preserve">Lituania</t>
  </si>
  <si>
    <t xml:space="preserve">Acuático</t>
  </si>
  <si>
    <t xml:space="preserve">Aguas superficiales y cuencas agrícolas</t>
  </si>
  <si>
    <t xml:space="preserve">Mide estadísticamente la contaminación de cuerpos de agua por actividades ganaderas y la necesidad de restauración de cuencas.</t>
  </si>
  <si>
    <t xml:space="preserve">Cheng et al.</t>
  </si>
  <si>
    <t xml:space="preserve">Evaluation of cultural ecosystem services: a review of methods</t>
  </si>
  <si>
    <t xml:space="preserve">Comunidad científica, Público general</t>
  </si>
  <si>
    <t xml:space="preserve">Paisajes culturales y recreativos</t>
  </si>
  <si>
    <t xml:space="preserve">Revisa y clasifica las metodologías para valorar cualitativa y cuantitativamente los servicios ecosistémicos culturales.</t>
  </si>
  <si>
    <t xml:space="preserve">Chordia et al.</t>
  </si>
  <si>
    <t xml:space="preserve">Recent trends in trading activity and market quality</t>
  </si>
  <si>
    <t xml:space="preserve">Demanda (operadores de mercado, inversores del sector financiero)</t>
  </si>
  <si>
    <t xml:space="preserve">Microestructura de mercados financieros</t>
  </si>
  <si>
    <t xml:space="preserve">Estudio econométrico sobre volumen de negociación, liquidez y costes de transacción aplicable a la eficiencia de mercados ambientales.</t>
  </si>
  <si>
    <t xml:space="preserve">Clewell et al.</t>
  </si>
  <si>
    <t xml:space="preserve">The SER International Primer on Ecological Restoration</t>
  </si>
  <si>
    <t xml:space="preserve">Comunidad científica, Oferta (restauradores y gestores), Reguladores</t>
  </si>
  <si>
    <t xml:space="preserve">Ecosistemas degradados en proceso de recuperación</t>
  </si>
  <si>
    <t xml:space="preserve">Define los conceptos fundamentales, estándares e integridad ecológica para guiar proyectos de restauración ambiental.</t>
  </si>
  <si>
    <t xml:space="preserve">SER</t>
  </si>
  <si>
    <t xml:space="preserve">The SER international primer on ecological restoration</t>
  </si>
  <si>
    <t xml:space="preserve">Comunidad científica, Reguladores/legisladores, Oferta (Practicantes)</t>
  </si>
  <si>
    <t xml:space="preserve">Ecosistemas degradados y referencia ecológica</t>
  </si>
  <si>
    <t xml:space="preserve">Principios fundamentales y criterios de éxito de la Sociedad para la Restauración Ecológica Internacional.</t>
  </si>
  <si>
    <t xml:space="preserve">Craig et al.</t>
  </si>
  <si>
    <t xml:space="preserve">Pre-trade information in the municipal bond market</t>
  </si>
  <si>
    <t xml:space="preserve">Demanda (inversores de mercado municipal), Reguladores/legisladores (SEC)</t>
  </si>
  <si>
    <t xml:space="preserve">Mercados secundarios de bonos municipales</t>
  </si>
  <si>
    <t xml:space="preserve">Examina la transparencia de información previa a la negociación en mercados de bonos municipales (referencia para bonos verdes).</t>
  </si>
  <si>
    <t xml:space="preserve">Crane</t>
  </si>
  <si>
    <t xml:space="preserve">The Global Financial System: A Functional Perspective</t>
  </si>
  <si>
    <t xml:space="preserve">Demanda (instituciones financieras, bancos), Reguladores/legisladores</t>
  </si>
  <si>
    <t xml:space="preserve">Sistema financiero global y asignación de capital</t>
  </si>
  <si>
    <t xml:space="preserve">Desarrolla la perspectiva funcional del sistema financiero (6 funciones clave) para evaluar la intermediación de recursos.</t>
  </si>
  <si>
    <t xml:space="preserve">Environment Act</t>
  </si>
  <si>
    <t xml:space="preserve">United Kingdom public general acts. 2021 c. 30: schedule 14</t>
  </si>
  <si>
    <t xml:space="preserve">Reguladores/legisladores, Demanda (desarrolladores urbanos), Oferta (propietarios de tierras)</t>
  </si>
  <si>
    <t xml:space="preserve">Reino Unido</t>
  </si>
  <si>
    <t xml:space="preserve">Ecosistemas terrestres y hábitats naturales británicos</t>
  </si>
  <si>
    <t xml:space="preserve">Marco legal del Reino Unido que establece el mandamiento obligatorio de Ganancia Neta de Biodiversidad (Biodiversity Net Gain - BNG).</t>
  </si>
  <si>
    <t xml:space="preserve">Feldhütter et al.</t>
  </si>
  <si>
    <t xml:space="preserve">Pricing of sustainability-linked bonds</t>
  </si>
  <si>
    <t xml:space="preserve">Demanda (emisores e inversores corporativos), Sector financiero</t>
  </si>
  <si>
    <t xml:space="preserve">Instrumentos financieros de sostenibilidad corporativa</t>
  </si>
  <si>
    <t xml:space="preserve">Modela la estructura de prima y penalización de intereses en bonos vinculados a métricas de sostenibilidad (SLBs).</t>
  </si>
  <si>
    <t xml:space="preserve">Ferguson et al.</t>
  </si>
  <si>
    <t xml:space="preserve">Financial mechanisms to improve the supply of ecosystem services from privately-owned Australian native forests</t>
  </si>
  <si>
    <t xml:space="preserve">Oferta (propietarios de bosques privados), Demanda (inversores minoristas), Reguladores</t>
  </si>
  <si>
    <t xml:space="preserve">Australia</t>
  </si>
  <si>
    <t xml:space="preserve">Bosques nativos australianos</t>
  </si>
  <si>
    <t xml:space="preserve">Evalúa esquemas de bonos e incentivos financieros para fomentar la restauración de bosques privados autóctonos.</t>
  </si>
  <si>
    <t xml:space="preserve">Gabor &amp; Braun</t>
  </si>
  <si>
    <t xml:space="preserve">Green Macrofinancial Regimes</t>
  </si>
  <si>
    <t xml:space="preserve">Reguladores/legisladores (bancos centrales), Demanda (sector financiero)</t>
  </si>
  <si>
    <t xml:space="preserve">Políticas macrofinancieras verdes</t>
  </si>
  <si>
    <t xml:space="preserve">Define los regímenes macrofinancieros verdes y critica el estado de 'desrisquización débil' centrado en subsidios privados.</t>
  </si>
  <si>
    <t xml:space="preserve">Garel et al.</t>
  </si>
  <si>
    <t xml:space="preserve">Do investors care about biodiversity?</t>
  </si>
  <si>
    <t xml:space="preserve">Demanda (gestores de activos, inversores institucionales)</t>
  </si>
  <si>
    <t xml:space="preserve">Empresas cotizadas con huella de biodiversidad</t>
  </si>
  <si>
    <t xml:space="preserve">Análisis empírico sobre cómo los mercados accionarios y los inversores responden a los riesgos de pérdida de biodiversidad.</t>
  </si>
  <si>
    <t xml:space="preserve">Do Investors Care About Biodiversity?</t>
  </si>
  <si>
    <t xml:space="preserve">Demanda (Inversores bursátiles, Sector financiero)</t>
  </si>
  <si>
    <t xml:space="preserve">Mercados de renta variable global</t>
  </si>
  <si>
    <t xml:space="preserve">Examina econométricamente si los inversores reaccionan ante noticias de biodiversidad e imponen primas de riesgo.</t>
  </si>
  <si>
    <t xml:space="preserve">Gonzalez</t>
  </si>
  <si>
    <t xml:space="preserve">Where are the Consumers? 'Real households' and the financialization of consumption</t>
  </si>
  <si>
    <t xml:space="preserve">Público general (hogares consumidores), Sector financiero</t>
  </si>
  <si>
    <t xml:space="preserve">Patrones de consumo y crédito de hogares</t>
  </si>
  <si>
    <t xml:space="preserve">Analiza la financiarización del consumo de los hogares y su relación con el uso intensivo de recursos naturales.</t>
  </si>
  <si>
    <t xml:space="preserve">Grigoriadis et al.</t>
  </si>
  <si>
    <t xml:space="preserve">How financial mechanisms can incentivize provision of ecosystem services from land restoration: a systematic review protocol</t>
  </si>
  <si>
    <t xml:space="preserve">Comunidad científica, Reguladores/legisladores, Oferta (gestores de tierras)</t>
  </si>
  <si>
    <t xml:space="preserve">Tierras degradadas en procesos de restauración</t>
  </si>
  <si>
    <t xml:space="preserve">Establece el protocolo riguroso de revisión sistemática PRISMA para evaluar mecanismos de financiación de la restauración.</t>
  </si>
  <si>
    <t xml:space="preserve">Hall et al.</t>
  </si>
  <si>
    <t xml:space="preserve">Permanent Forest Bonds: a Pioneering Environmental Impact Bond for Aotearoa New Zealand</t>
  </si>
  <si>
    <t xml:space="preserve">Oferta (comunidades locales), Reguladores (Gobierno de Nueva Zelanda), Demanda (inversores)</t>
  </si>
  <si>
    <t xml:space="preserve">Nueva Zelanda</t>
  </si>
  <si>
    <t xml:space="preserve">Bosques permanentes para control de erosión</t>
  </si>
  <si>
    <t xml:space="preserve">Propone el diseño del Bono de Bosque Permanente (EIB) para financiar la reforestación masiva y prevenir desastres por erosión.</t>
  </si>
  <si>
    <t xml:space="preserve">Harris</t>
  </si>
  <si>
    <t xml:space="preserve">History of the Chicago Mercantile Exchange. Futures Trading In Livestock–Origins and Concepts</t>
  </si>
  <si>
    <t xml:space="preserve">Demanda (comerciantes e inversores), Oferta (ganaderos), Reguladores</t>
  </si>
  <si>
    <t xml:space="preserve">Mercados de futuros de ganado vivo</t>
  </si>
  <si>
    <t xml:space="preserve">Documenta la evolución del mercado de futuros de ganado vivo en el CME como lección histórica de estandarización de commodities.</t>
  </si>
  <si>
    <t xml:space="preserve">Herrera et al.</t>
  </si>
  <si>
    <t xml:space="preserve">Designing an environmental impact bond for wetland restoration in Louisiana</t>
  </si>
  <si>
    <t xml:space="preserve">Demanda (empresas de gas y petróleo), Reguladores (CPRA), Oferta (comunidades costeras)</t>
  </si>
  <si>
    <t xml:space="preserve">EE. UU. (Luisiana)</t>
  </si>
  <si>
    <t xml:space="preserve">Manglares y humedales costeros</t>
  </si>
  <si>
    <t xml:space="preserve">Estructura un Bono de Impacto Ambiental de $30M para la restauración de manglares que reducen el riesgo de inundación costera.</t>
  </si>
  <si>
    <t xml:space="preserve">Hsu et al.</t>
  </si>
  <si>
    <t xml:space="preserve">The pollution premium</t>
  </si>
  <si>
    <t xml:space="preserve">Demanda (inversores en mercados de renta variable), Reguladores, Empresas contaminantes</t>
  </si>
  <si>
    <t xml:space="preserve">Emisiones tóxicas industriales y calidad de aire/agua</t>
  </si>
  <si>
    <t xml:space="preserve">Demuestra empíricamente la existencia de una 'prima de contaminación' solicitada por inversores a empresas con altas emisiones tóxicas.</t>
  </si>
  <si>
    <t xml:space="preserve">Huang et al.</t>
  </si>
  <si>
    <t xml:space="preserve">Food waste management: a review of retailers' business practices and their implications for sustainable value</t>
  </si>
  <si>
    <t xml:space="preserve">Demanda (minoristas de alimentos), Oferta, Público general</t>
  </si>
  <si>
    <t xml:space="preserve">Cadenas de suministro agrícola y gestión de residuos</t>
  </si>
  <si>
    <t xml:space="preserve">Revisa las prácticas de gestión de desperdicio de alimentos y su impacto en la reducción de presión sobre el uso de la tierra.</t>
  </si>
  <si>
    <t xml:space="preserve">IFRS Foundation</t>
  </si>
  <si>
    <t xml:space="preserve">IFRS 9 financial instruments</t>
  </si>
  <si>
    <t xml:space="preserve">Reguladores/legisladores, Demanda (contables, auditores, sector financiero)</t>
  </si>
  <si>
    <t xml:space="preserve">Marco contable de instrumentos financieros</t>
  </si>
  <si>
    <t xml:space="preserve">Norma internacional de contabilidad que define técnicamente activos y pasivos financieros aplicables a bonos ambientales.</t>
  </si>
  <si>
    <t xml:space="preserve">Kinzig et al.</t>
  </si>
  <si>
    <t xml:space="preserve">Paying for ecosystem services—promise and peril</t>
  </si>
  <si>
    <t xml:space="preserve">Reguladores/legisladores, Comunidad científica, Oferta (propietarios rurales)</t>
  </si>
  <si>
    <t xml:space="preserve">Ecosistemas agrícolas y forestales</t>
  </si>
  <si>
    <t xml:space="preserve">Analiza los desafíos conceptuales y riesgos de eficacia en el diseño de programas de Pago por Servicios Ecosistémicos.</t>
  </si>
  <si>
    <t xml:space="preserve">Laborde et al.</t>
  </si>
  <si>
    <t xml:space="preserve">Agricultural subsidies and global greenhouse gas emissions</t>
  </si>
  <si>
    <t xml:space="preserve">Reguladores/legisladores, Oferta (agricultores), Demanda</t>
  </si>
  <si>
    <t xml:space="preserve">Tierras agrícolas y emisiones de GEI</t>
  </si>
  <si>
    <t xml:space="preserve">Evalúa numéricamente cómo los subsidios agrícolas públicos distorsionantes incrementan las emisiones globales de carbono.</t>
  </si>
  <si>
    <t xml:space="preserve">Lewandowski &amp; Smoleńska</t>
  </si>
  <si>
    <t xml:space="preserve">Member states sovereign green bond issuance and the development of local green bond markets in the EU</t>
  </si>
  <si>
    <t xml:space="preserve">Reguladores/legisladores (Estados miembros UE), Demanda (mercados financieros)</t>
  </si>
  <si>
    <t xml:space="preserve">Unión Europea</t>
  </si>
  <si>
    <t xml:space="preserve">Mercado de bonos verdes soberanos</t>
  </si>
  <si>
    <t xml:space="preserve">Estudia la emisión de bonos verdes soberanos en la UE y la alineación con la Taxonomía europea de actividades sostenibles.</t>
  </si>
  <si>
    <t xml:space="preserve">Loftus et al.</t>
  </si>
  <si>
    <t xml:space="preserve">The political economy of water infrastructure: an introduction to financialization</t>
  </si>
  <si>
    <t xml:space="preserve">Reguladores/legisladores, Demanda (inversores privados), Público general</t>
  </si>
  <si>
    <t xml:space="preserve">Infraestructura hídrica y cuencas urbanas</t>
  </si>
  <si>
    <t xml:space="preserve">Examina la economía política de la financiarización de servicios e infraestructuras de agua dulce.</t>
  </si>
  <si>
    <t xml:space="preserve">Madeira &amp; Gartner</t>
  </si>
  <si>
    <t xml:space="preserve">Forest resilience bond sparks innovative collaborations between water utilities and wide-ranging stakeholders</t>
  </si>
  <si>
    <t xml:space="preserve">Demanda (empresas de servicios públicos de agua), Oferta (USFS, gestores forestales), Inversores</t>
  </si>
  <si>
    <t xml:space="preserve">EE. UU. (California)</t>
  </si>
  <si>
    <t xml:space="preserve">Bosques de alta montaña y cuencas hidrográficas</t>
  </si>
  <si>
    <t xml:space="preserve">Describe el Bono de Resiliencia Forestal (FRB) para financiar el aclarado ecológico de bosques y mitigar incendios fatales.</t>
  </si>
  <si>
    <t xml:space="preserve">Mazzucato</t>
  </si>
  <si>
    <t xml:space="preserve">Capitalism after the pandemic</t>
  </si>
  <si>
    <t xml:space="preserve">Reguladores/legisladores, Demanda (sector corporativo y financiero)</t>
  </si>
  <si>
    <t xml:space="preserve">Economía política e inversiones públicas en clima/naturaleza</t>
  </si>
  <si>
    <t xml:space="preserve">Reclama reorientar el capitalismo hacia misiones de interés público y condicionalidad ecológica en rescates financieros.</t>
  </si>
  <si>
    <t xml:space="preserve">McHugh</t>
  </si>
  <si>
    <t xml:space="preserve">Interrater reliability: the kappa statistic</t>
  </si>
  <si>
    <t xml:space="preserve">Comunidad científica</t>
  </si>
  <si>
    <t xml:space="preserve">Análisis estadístico metodológico</t>
  </si>
  <si>
    <t xml:space="preserve">Guía metodológica para el cálculo del estadístico Kappa de Cohen para evaluar la fiabilidad de evaluadores en revisiones.</t>
  </si>
  <si>
    <t xml:space="preserve">Merton &amp; Bodie</t>
  </si>
  <si>
    <t xml:space="preserve">A conceptual framework for analyzing the financial system</t>
  </si>
  <si>
    <t xml:space="preserve">Demanda (bancos, intermediarios financieros), Reguladores</t>
  </si>
  <si>
    <t xml:space="preserve">Arquitectura de servicios financieros</t>
  </si>
  <si>
    <t xml:space="preserve">Establece la base teórica de la perspectiva funcional del sistema financiero, priorizando las funciones sobre las instituciones.</t>
  </si>
  <si>
    <t xml:space="preserve">Michelin</t>
  </si>
  <si>
    <t xml:space="preserve">Responsible management of the natural rubber supply chain</t>
  </si>
  <si>
    <t xml:space="preserve">Demanda (Michelin Corp.), Oferta (agricultores de caucho, comunidades de Sumatra)</t>
  </si>
  <si>
    <t xml:space="preserve">Indonesia (Sumatra)</t>
  </si>
  <si>
    <t xml:space="preserve">Plantaciones de caucho sostenible y reserva forestal</t>
  </si>
  <si>
    <t xml:space="preserve">Informe sobre el proyecto TLFF de $95M para combinar cultivo de caucho sostenible con la conservación de 88.000 ha.</t>
  </si>
  <si>
    <t xml:space="preserve">Millennium Ecosystem Assessment (MEA)</t>
  </si>
  <si>
    <t xml:space="preserve">Ecosystems and Human Well-Being: Our Human Planet-Summary for Decision-Makers</t>
  </si>
  <si>
    <t xml:space="preserve">Reguladores/legisladores, Comunidad científica, Público general</t>
  </si>
  <si>
    <t xml:space="preserve">Evaluación global de ecosistemas de la Tierra</t>
  </si>
  <si>
    <t xml:space="preserve">Evaluación hito de la ONU que categorizó los servicios ecosistémicos (aprovisionamiento, regulación, culturales, soporte).</t>
  </si>
  <si>
    <t xml:space="preserve">Moher et al.</t>
  </si>
  <si>
    <t xml:space="preserve">Preferred reporting items for systematic review and meta-analysis protocols (PRISMA-P) 2015 statement</t>
  </si>
  <si>
    <t xml:space="preserve">Metodología de investigación systematic</t>
  </si>
  <si>
    <t xml:space="preserve">Establece las directrices internacionales PRISMA-P para el diseño transparente de protocolos de revisión sistemática.</t>
  </si>
  <si>
    <t xml:space="preserve">Moxey et al.</t>
  </si>
  <si>
    <t xml:space="preserve">Barriers and opportunities facing the UK Peatland Code: a case-study of blended green finance</t>
  </si>
  <si>
    <t xml:space="preserve">Oferta (propietarios de turberas), Demanda (compradores corporativos), Reguladores</t>
  </si>
  <si>
    <t xml:space="preserve">Turberas degradadas</t>
  </si>
  <si>
    <t xml:space="preserve">Analiza el Código de Turberas del Reino Unido como caso de estudio de financiación verde mixta y barreras de adopción.</t>
  </si>
  <si>
    <t xml:space="preserve">Barriers and Opportunities Facing the UK Peatland Code: A Case-Study of Blended Green Finance</t>
  </si>
  <si>
    <t xml:space="preserve">Oferta (Propietarios de turberas), Demanda, Reguladores</t>
  </si>
  <si>
    <t xml:space="preserve">Turberas y carbono verde</t>
  </si>
  <si>
    <t xml:space="preserve">Estudio de caso del Código de Turberas del Reino Unido como modelo de financiación verde mixta y sus barreras de adopción.</t>
  </si>
  <si>
    <t xml:space="preserve">Barriers and opportunities facing the UK Peatland Code: A case-study of blended green finance</t>
  </si>
  <si>
    <t xml:space="preserve">Oferta (Propietarios), Demanda (Inversores), Reguladores</t>
  </si>
  <si>
    <t xml:space="preserve">Reino Unido (Escocia)</t>
  </si>
  <si>
    <t xml:space="preserve">Turberas (Peatlands)</t>
  </si>
  <si>
    <t xml:space="preserve">Muestra el funcionamiento práctico del Peatland Code británico combinando fondos públicos y privados.</t>
  </si>
  <si>
    <t xml:space="preserve">Moxey, A. et al.</t>
  </si>
  <si>
    <t xml:space="preserve">Reguladores/legisladores, Demanda (Inversores verdes), Oferta</t>
  </si>
  <si>
    <t xml:space="preserve">Terrestre / Acuático</t>
  </si>
  <si>
    <t xml:space="preserve">Turberas degradadas e hidrología</t>
  </si>
  <si>
    <t xml:space="preserve">Estudio de caso sobre el Peatland Code del Reino Unido como estándar de certificación voluntario respaldado por financiamiento verde.</t>
  </si>
  <si>
    <t xml:space="preserve">Naeem et al.</t>
  </si>
  <si>
    <t xml:space="preserve">Get the science right when paying for nature's services</t>
  </si>
  <si>
    <t xml:space="preserve">Comunidad científica, Reguladores/legisladores, Oferta (comunidades)</t>
  </si>
  <si>
    <t xml:space="preserve">Global (Costa Rica, EE. UU., Camboya)</t>
  </si>
  <si>
    <t xml:space="preserve">Bosques, cuencas hídricas y biodiversidad comunitaria</t>
  </si>
  <si>
    <t xml:space="preserve">Exige rigor científico en la medición y verificación de servicios ecosistémicos en esquemas de pago por conservación.</t>
  </si>
  <si>
    <t xml:space="preserve">Comunidad científica, Reguladores, Oferta</t>
  </si>
  <si>
    <t xml:space="preserve">Ecosistemas diversos</t>
  </si>
  <si>
    <t xml:space="preserve">Llamado a fundamentar rigurosamente en principios ecológicos los esquemas de pago por servicios ecosistémicos.</t>
  </si>
  <si>
    <t xml:space="preserve">Newbold et al.</t>
  </si>
  <si>
    <t xml:space="preserve">Global effects of land use on local terrestrial biodiversity</t>
  </si>
  <si>
    <t xml:space="preserve">Ensamblajes de biodiversidad terrestre local</t>
  </si>
  <si>
    <t xml:space="preserve">Modelización cuantitativa global que muestra una reducción drástica del 13.6% en la abundancia de especies locales por uso del suelo.</t>
  </si>
  <si>
    <t xml:space="preserve">Page et al.</t>
  </si>
  <si>
    <t xml:space="preserve">The PRISMA 2020 statement: an updated guideline for reporting systematic reviews</t>
  </si>
  <si>
    <t xml:space="preserve">Estándares metodológicos de revisiones</t>
  </si>
  <si>
    <t xml:space="preserve">Actualización de la declaración PRISMA 2020 para la transparencia en el reporte de revisiones sistemáticas.</t>
  </si>
  <si>
    <t xml:space="preserve">Page, M.J. et al.</t>
  </si>
  <si>
    <t xml:space="preserve">The PRISMA 2020 Statement: An Updated Guideline for Reporting Systematic Reviews</t>
  </si>
  <si>
    <t xml:space="preserve">Guía metodológica</t>
  </si>
  <si>
    <t xml:space="preserve">Actualización de las directrices PRISMA 2020 para revisiones sistemáticas.</t>
  </si>
  <si>
    <t xml:space="preserve">Paulson</t>
  </si>
  <si>
    <t xml:space="preserve">Paper Steaks: Live Cattle Futures Markets and the Financial Revolution of 1964</t>
  </si>
  <si>
    <t xml:space="preserve">Demanda (operadores financieros), Oferta (productores de ganado)</t>
  </si>
  <si>
    <t xml:space="preserve">Tierras de pastoreo y ganado en pie</t>
  </si>
  <si>
    <t xml:space="preserve">Analiza la abstracción física y financiarización del ganado vacuno como antecedente de la commoditización de la naturaleza.</t>
  </si>
  <si>
    <t xml:space="preserve">Powers &amp; Jetz</t>
  </si>
  <si>
    <t xml:space="preserve">Global habitat loss and extinction risk of terrestrial vertebrates under future land-use-change scenarios</t>
  </si>
  <si>
    <t xml:space="preserve">Hábitats de vertebrados terrestres</t>
  </si>
  <si>
    <t xml:space="preserve">Proyecciones espaciales cuantitativas del riesgo de extinción de especies ante futuros escenarios de cambio de uso del suelo.</t>
  </si>
  <si>
    <t xml:space="preserve">Röper</t>
  </si>
  <si>
    <t xml:space="preserve">Capitalists against financialization: the battle over German pension funds</t>
  </si>
  <si>
    <t xml:space="preserve">Demanda (fondos de pensiones, sector financiero), Reguladores</t>
  </si>
  <si>
    <t xml:space="preserve">Alemania</t>
  </si>
  <si>
    <t xml:space="preserve">Estructura de capital de fondos de pensiones</t>
  </si>
  <si>
    <t xml:space="preserve">Estudia las tensiones políticas entre la financiarización de fondos de pensión y las inversiones productivas a largo plazo.</t>
  </si>
  <si>
    <t xml:space="preserve">Roth</t>
  </si>
  <si>
    <t xml:space="preserve">Marketplaces, markets, and market design</t>
  </si>
  <si>
    <t xml:space="preserve">Comunidad científica, Reguladores/legisladores, Demanda y Oferta</t>
  </si>
  <si>
    <t xml:space="preserve">Diseño de mercados y plataformas de emparejamiento</t>
  </si>
  <si>
    <t xml:space="preserve">Teoría del diseño de mercados de emparejamiento (matching markets) limpia de fricciones y aplicable a la conservación.</t>
  </si>
  <si>
    <t xml:space="preserve">Sachs et al.</t>
  </si>
  <si>
    <t xml:space="preserve">Finance for Zero: Redefining Financial-Sector Action to Achieve Global Climate Goals</t>
  </si>
  <si>
    <t xml:space="preserve">Demanda (sector financiero), Reguladores/legisladores, Empresas</t>
  </si>
  <si>
    <t xml:space="preserve">Reorientación de flujos de capital público y privado</t>
  </si>
  <si>
    <t xml:space="preserve">Reclama redefinir la responsabilidad fiduciaria del sector financiero para canalizar $600B/año hacia metas climáticas y de naturaleza.</t>
  </si>
  <si>
    <t xml:space="preserve">Savini &amp; Aalbers</t>
  </si>
  <si>
    <t xml:space="preserve">The De-contextualization of Land Use Planning through Financialisation: Urban Redevelopment in Milan</t>
  </si>
  <si>
    <t xml:space="preserve">Reguladores/legisladores, Demanda (desarrolladores inmobiliarios), Público general</t>
  </si>
  <si>
    <t xml:space="preserve">Italia (Milán)</t>
  </si>
  <si>
    <t xml:space="preserve">Suelos urbanos y periurbanos en redesarrollo</t>
  </si>
  <si>
    <t xml:space="preserve">Analiza la descontextualización de la planificación del suelo urbano causada por la financiarización del redesarrollo inmobiliario.</t>
  </si>
  <si>
    <t xml:space="preserve">Seddon</t>
  </si>
  <si>
    <t xml:space="preserve">Merchants against the bankers: the financialization of a commodity market</t>
  </si>
  <si>
    <t xml:space="preserve">Demanda (mercados financieros, bancos), Oferta (comerciantes)</t>
  </si>
  <si>
    <t xml:space="preserve">Mercados de materias primas</t>
  </si>
  <si>
    <t xml:space="preserve">Examina cómo la intermediación financiera transforma la dinámica de los mercados de materias primas físicas.</t>
  </si>
  <si>
    <t xml:space="preserve">Springer</t>
  </si>
  <si>
    <t xml:space="preserve">Point of No Returns - biodiversity: an assessment of asset managers' approaches to biodiversity</t>
  </si>
  <si>
    <t xml:space="preserve">Demanda (gestores de activos, sector financiero), Reguladores</t>
  </si>
  <si>
    <t xml:space="preserve">Carteras de inversión con huella en biodiversidad</t>
  </si>
  <si>
    <t xml:space="preserve">Evaluación diagnóstica sobre la falta de integración del riesgo de biodiversidad en los grandes gestores de activos globales.</t>
  </si>
  <si>
    <t xml:space="preserve">Stake</t>
  </si>
  <si>
    <t xml:space="preserve">Case Study Research</t>
  </si>
  <si>
    <t xml:space="preserve">Metodología cualitativa de investigación</t>
  </si>
  <si>
    <t xml:space="preserve">Texto clásico que define la metodología de estudios de caso intrínsecos, instrumentales y colectivos.</t>
  </si>
  <si>
    <t xml:space="preserve">Thompson</t>
  </si>
  <si>
    <t xml:space="preserve">Impact investing in biodiversity conservation with bonds: an analysis of financial and environmental risk</t>
  </si>
  <si>
    <t xml:space="preserve">Demanda (inversores de impacto), Oferta (comunidades locales, gestores), Reguladores</t>
  </si>
  <si>
    <t xml:space="preserve">EE. UU., Indonesia, Sudáfrica, Kenia</t>
  </si>
  <si>
    <t xml:space="preserve">Bosques tropicales, sabanas y hábitats de megafauna</t>
  </si>
  <si>
    <t xml:space="preserve">Revisa 5 bonos verdes/impacto (ej. Rhino Bond, IFC Bond) evaluando sus perfiles de riesgo financiero y ambiental.</t>
  </si>
  <si>
    <t xml:space="preserve">Impact Investing in Biodiversity Conservation With Bonds: An Analysis of Financial and Environmental Risk</t>
  </si>
  <si>
    <t xml:space="preserve">Demanda (Inversores de impacto, Sector financiero), Reguladores</t>
  </si>
  <si>
    <t xml:space="preserve">Global (Sudáfrica, Seychelles, etc.)</t>
  </si>
  <si>
    <t xml:space="preserve">Bonos de impacto ambiental y de biodiversidad</t>
  </si>
  <si>
    <t xml:space="preserve">Analiza perfiles de riesgo financiero y ambiental en 5 bonos de conservación (Rhino Bond, IFC Bond, Seychelles Blue Bond).</t>
  </si>
  <si>
    <t xml:space="preserve">United Nations (UNCCD)</t>
  </si>
  <si>
    <t xml:space="preserve">Convention to combat desertification (UNCCD)</t>
  </si>
  <si>
    <t xml:space="preserve">Reguladores/legisladores, Oferta (comunidades locales), Comunidad científica</t>
  </si>
  <si>
    <t xml:space="preserve">Tierras áridas, semiáridas y secas subhúmedas</t>
  </si>
  <si>
    <t xml:space="preserve">Definición oficial de la Convención de la ONU para la Restauración del Suelo y la lucha contra la desertificación.</t>
  </si>
  <si>
    <t xml:space="preserve">Visconti et al.</t>
  </si>
  <si>
    <t xml:space="preserve">Projecting global biodiversity indicators under future development scenarios</t>
  </si>
  <si>
    <t xml:space="preserve">Abundancia de especies y riesgo de extinción global</t>
  </si>
  <si>
    <t xml:space="preserve">Modela indicadores cuantitativos de biodiversidad proyectando caídas de entre 18% y 35% en la abundancia de especies.</t>
  </si>
  <si>
    <t xml:space="preserve">Walks</t>
  </si>
  <si>
    <t xml:space="preserve">Mapping the urban debtscape: the geography of household debt in Canadian cities</t>
  </si>
  <si>
    <t xml:space="preserve">Público general (hogares), Sector financiero, Reguladores</t>
  </si>
  <si>
    <t xml:space="preserve">Canadá</t>
  </si>
  <si>
    <t xml:space="preserve">Entornos urbanos y geografía del endeudamiento</t>
  </si>
  <si>
    <t xml:space="preserve">Mapea la geografía del endeudamiento de los hogares urbanos y su vulnerabilidad económico-espacial.</t>
  </si>
  <si>
    <t xml:space="preserve">Zingales</t>
  </si>
  <si>
    <t xml:space="preserve">In search of new foundations</t>
  </si>
  <si>
    <t xml:space="preserve">Comunidad científica, Demanda (sector financiero), Reguladores</t>
  </si>
  <si>
    <t xml:space="preserve">Teoría corporativa e investigación en finanzas</t>
  </si>
  <si>
    <t xml:space="preserve">Llama a buscar nuevos fundamentos teóricos en finanzas que eviten el comportamiento extractivo (rent-seeking) de la industria.</t>
  </si>
  <si>
    <t xml:space="preserve">Alix-Garcia et al.</t>
  </si>
  <si>
    <t xml:space="preserve">Only One Tree from Each Seed? Environmental Effectiveness and Poverty Alleviation in Mexico's PES Program</t>
  </si>
  <si>
    <t xml:space="preserve">Oferta (Agricultores, Comunidades locales), Reguladores</t>
  </si>
  <si>
    <t xml:space="preserve">México</t>
  </si>
  <si>
    <t xml:space="preserve">Bosques tropicales y templados</t>
  </si>
  <si>
    <t xml:space="preserve">Evaluación econométrica del impacto de PES en la deforestación y pobreza en México.</t>
  </si>
  <si>
    <t xml:space="preserve">Alliance Environnement</t>
  </si>
  <si>
    <t xml:space="preserve">Evaluation of the impact of the CAP on habitats, landscapes, biodiversity</t>
  </si>
  <si>
    <t xml:space="preserve">Oferta (Agricultores), Reguladores</t>
  </si>
  <si>
    <t xml:space="preserve">Suelos agrícolas y paisajes rurales</t>
  </si>
  <si>
    <t xml:space="preserve">Evaluación de las medidas agroambientales de la Política Agrícola Común.</t>
  </si>
  <si>
    <t xml:space="preserve">Arriagada et al.</t>
  </si>
  <si>
    <t xml:space="preserve">Do Payments for Environmental Services Affect Forest Cover? A Farm-Level Evaluation from Costa Rica</t>
  </si>
  <si>
    <t xml:space="preserve">Oferta (Propietarios de tierras), Reguladores</t>
  </si>
  <si>
    <t xml:space="preserve">Costa Rica</t>
  </si>
  <si>
    <t xml:space="preserve">Bosques secundarios y primarios</t>
  </si>
  <si>
    <t xml:space="preserve">Evaluación cuasi-experimental del impacto de los pagos PES en la cobertura forestal a nivel de finca.</t>
  </si>
  <si>
    <t xml:space="preserve">Balmford et al.</t>
  </si>
  <si>
    <t xml:space="preserve">Time to fix the biodiversity leak</t>
  </si>
  <si>
    <t xml:space="preserve">Reguladores, Demanda (Cadenas de suministro), Público general</t>
  </si>
  <si>
    <t xml:space="preserve">Ecosistemas globales</t>
  </si>
  <si>
    <t xml:space="preserve">Examina los riesgos de fuga transfronteriza y desplazamiento del daño ambiental.</t>
  </si>
  <si>
    <t xml:space="preserve">Batáry et al.</t>
  </si>
  <si>
    <t xml:space="preserve">The role of agri-environment schemes in conservation and environmental management</t>
  </si>
  <si>
    <t xml:space="preserve">Oferta (Agricultores), Comunidad científica, Reguladores</t>
  </si>
  <si>
    <t xml:space="preserve">Europa / Global</t>
  </si>
  <si>
    <t xml:space="preserve">Agroecosistemas</t>
  </si>
  <si>
    <t xml:space="preserve">Revisión sobre la efectividad de los esquemas agroambientales en la conservación de la biodiversidad.</t>
  </si>
  <si>
    <t xml:space="preserve">Oferta (Agricultores), Reguladores/legisladores, Comunidad científica</t>
  </si>
  <si>
    <t xml:space="preserve">Agrícola (Tierras de cultivo y pastizales)</t>
  </si>
  <si>
    <t xml:space="preserve">Evalúa la efectividad de los esquemas agroambientales (AES) en Europa para la conservación de la biodiversidad y gestión ambiental.</t>
  </si>
  <si>
    <t xml:space="preserve">Cardenas Monar</t>
  </si>
  <si>
    <t xml:space="preserve">Maximising benefits of carbon pricing through carbon revenue use</t>
  </si>
  <si>
    <t xml:space="preserve">Reguladores, Demanda (Empresas), Sector financiero</t>
  </si>
  <si>
    <t xml:space="preserve">Global (27 jurisdicciones)</t>
  </si>
  <si>
    <t xml:space="preserve">Terrestre / Mixto</t>
  </si>
  <si>
    <t xml:space="preserve">Diversos ecosistemas</t>
  </si>
  <si>
    <t xml:space="preserve">Analiza la asignación de ingresos del precio del carbono hacia fondos de biodiversidad y PES.</t>
  </si>
  <si>
    <t xml:space="preserve">Coderoni &amp; Esposti</t>
  </si>
  <si>
    <t xml:space="preserve">CAP payments and agricultural GHG emissions in Italy. A farm-level assessment</t>
  </si>
  <si>
    <t xml:space="preserve">Italia</t>
  </si>
  <si>
    <t xml:space="preserve">Tierras agrícolas</t>
  </si>
  <si>
    <t xml:space="preserve">Evaluación econométrica de pagos de la PAC sobre emisiones de GEI y desempeño ambiental.</t>
  </si>
  <si>
    <t xml:space="preserve">Dasgupta</t>
  </si>
  <si>
    <t xml:space="preserve">The Economics of Biodiversity: The Dasgupta Review</t>
  </si>
  <si>
    <t xml:space="preserve">Reguladores, Sector financiero, Comunidad científica, Público general</t>
  </si>
  <si>
    <t xml:space="preserve">Terrestre / Acuático / Mixto</t>
  </si>
  <si>
    <t xml:space="preserve">Revisión hito sobre el valor económico de la naturaleza y el riesgo macrofinanciero de la pérdida de biodiversidad.</t>
  </si>
  <si>
    <t xml:space="preserve">Reguladores/legisladores, Sector financiero, Comunidad científica, Público general</t>
  </si>
  <si>
    <t xml:space="preserve">Biosfera y biodiversidad global</t>
  </si>
  <si>
    <t xml:space="preserve">Revisión económica fundamental que demuestra la dependencia del PIB global respecto a la biodiversidad como activo finito.</t>
  </si>
  <si>
    <t xml:space="preserve">Reguladores/legisladores, Sector financiero, Comunidad científica</t>
  </si>
  <si>
    <t xml:space="preserve">Biosfera y economía global</t>
  </si>
  <si>
    <t xml:space="preserve">Revisión económica hito que establece la dependencia del PIB global respecto al capital natural finito.</t>
  </si>
  <si>
    <t xml:space="preserve">Dasgupta, P. (HM Treasury)</t>
  </si>
  <si>
    <t xml:space="preserve">Cualitativo / Teórico-Económico</t>
  </si>
  <si>
    <t xml:space="preserve">Reguladores/legisladores, Comunidad científica, Sector financiero, Público general</t>
  </si>
  <si>
    <t xml:space="preserve">Biosfera y capital natural planetario</t>
  </si>
  <si>
    <t xml:space="preserve">Revisión hito que establece que la economía humana está inmersa en la naturaleza y que la biodiversidad es un activo clave.</t>
  </si>
  <si>
    <t xml:space="preserve">Deutz et al.</t>
  </si>
  <si>
    <t xml:space="preserve">Financing Nature: Closing the Global Biodiversity Financing Gap</t>
  </si>
  <si>
    <t xml:space="preserve">Demanda (Sector financiero), Reguladores, Clasificación de Actores</t>
  </si>
  <si>
    <t xml:space="preserve">Cuantifica la brecha de financiamiento de la biodiversidad y evalúa mecanismos de capital.</t>
  </si>
  <si>
    <t xml:space="preserve">Paulson Institute, TNC &amp; Cornell</t>
  </si>
  <si>
    <t xml:space="preserve">Demanda (Sector financiero, Inversores), Reguladores/legisladores, Comunidad científica</t>
  </si>
  <si>
    <t xml:space="preserve">Ecosistemas terrestres y marinos globales</t>
  </si>
  <si>
    <t xml:space="preserve">Cuantifica la brecha global de financiación de la biodiversidad en $598B-$824B anuales y propone 9 mecanismos de reforma.</t>
  </si>
  <si>
    <t xml:space="preserve">Deutz et al. (Paulson Institute / TNC / Cornell)</t>
  </si>
  <si>
    <t xml:space="preserve">Demanda (Sector financiero, Empresas), Reguladores/legisladores, Comunidad científica</t>
  </si>
  <si>
    <t xml:space="preserve">Estudio cuantitativo de referencia que calcula la brecha de financiamiento de biodiversidad en $711.000M/año a 2030.</t>
  </si>
  <si>
    <t xml:space="preserve">Reguladores/legisladores, Demanda (Sector financiero), Científicos</t>
  </si>
  <si>
    <t xml:space="preserve">Biosfera y capital natural global</t>
  </si>
  <si>
    <t xml:space="preserve">Estudio de referencia que calcula la brecha de financiamiento de la biodiversidad en \$700B-\$900B anuales.</t>
  </si>
  <si>
    <t xml:space="preserve">Demanda (Sector financiero), Reguladores, Científicos</t>
  </si>
  <si>
    <t xml:space="preserve">Brecha global de financiamiento de naturaleza</t>
  </si>
  <si>
    <t xml:space="preserve">Estudio de referencia que cuantifica la brecha de financiamiento de la biodiversidad en $711B-$845B anuales.</t>
  </si>
  <si>
    <t xml:space="preserve">Paulson Institute</t>
  </si>
  <si>
    <t xml:space="preserve">Demanda (sector financiero/empresas), Reguladores/legisladores, Clasificación de Actores</t>
  </si>
  <si>
    <t xml:space="preserve">Todos los ecosistemas terrestres y marinos</t>
  </si>
  <si>
    <t xml:space="preserve">Estima la brecha financiera global de biodiversidad ($598B-$824B/año) y propone 9 mecanismos de reforma de subsidios e inversión.</t>
  </si>
  <si>
    <t xml:space="preserve">Deutz et al. / Paulson Institute</t>
  </si>
  <si>
    <t xml:space="preserve">Financing Nature: Closing the global biodiversity financing gap</t>
  </si>
  <si>
    <t xml:space="preserve">Mecanismos de financiamiento de biodiversidad globales</t>
  </si>
  <si>
    <t xml:space="preserve">Calcula la brecha global de financiamiento de la biodiversidad en $598B-$824B anuales y propone 9 mecanismos de reforma.</t>
  </si>
  <si>
    <t xml:space="preserve">Paulson Institute, TNC &amp; Cornell University</t>
  </si>
  <si>
    <t xml:space="preserve">Demanda (Sector financiero, Inversores), Reguladores</t>
  </si>
  <si>
    <t xml:space="preserve">Estudio de referencia que cuantifica la brecha global de financiación de la biodiversidad en $700.000M-$900.000M anuales.</t>
  </si>
  <si>
    <t xml:space="preserve">Demanda (Sector financiero, Inversores), Reguladores, Científicos</t>
  </si>
  <si>
    <t xml:space="preserve">Capital natural planetario</t>
  </si>
  <si>
    <t xml:space="preserve">Informe hito que calcula la brecha de financiación de la biodiversidad en $598B-$824B/año y propone 9 mecanismos de reforma.</t>
  </si>
  <si>
    <t xml:space="preserve">Deutz et al. (Paulson Institute)</t>
  </si>
  <si>
    <t xml:space="preserve">Financing nature: closing the global biodiversity financing gap</t>
  </si>
  <si>
    <t xml:space="preserve">Cuantitativo / Cualitativo</t>
  </si>
  <si>
    <t xml:space="preserve">Estudio hito que calcula la brecha global de financiación de biodiversidad en $700B-$900B/año y propone 9 mecanismos de reforma.</t>
  </si>
  <si>
    <t xml:space="preserve">Deutz, A., Heal, G. M., Niu, R., Swanson, E., Townshend, T., Zhu, L., et al. (Paulson Institute / TNC / Cornell)</t>
  </si>
  <si>
    <t xml:space="preserve">Financing nature: Closing the global biodiversity financing gap</t>
  </si>
  <si>
    <t xml:space="preserve">Demanda (Sector financiero, Inversores privados), Reguladores/legisladores, Comunidad científica, Oferta</t>
  </si>
  <si>
    <t xml:space="preserve">Capital natural global y biosfera planetaria</t>
  </si>
  <si>
    <t xml:space="preserve">Estudio de referencia internacional que calcula la brecha global de financiación de la biodiversidad en $722.000M - $967.000M anuales y propone mecanismos financieros para cerrar la brecha.</t>
  </si>
  <si>
    <t xml:space="preserve">Deutz, A. et al. (Paulson Institute, TNC, Cornell)</t>
  </si>
  <si>
    <t xml:space="preserve">Cuantitativo / Econométrico</t>
  </si>
  <si>
    <t xml:space="preserve">Reguladores/legisladores, Demanda (Sector financiero), Comunidad científica</t>
  </si>
  <si>
    <t xml:space="preserve">Capital natural planetario y biodiversidad global</t>
  </si>
  <si>
    <t xml:space="preserve">Estudio insignia que calculó la brecha global de financiamiento de biodiversidad en $598B-$824B anuales.</t>
  </si>
  <si>
    <t xml:space="preserve">IPBES</t>
  </si>
  <si>
    <t xml:space="preserve">Global Assessment Report on Biodiversity and Ecosystem Services</t>
  </si>
  <si>
    <t xml:space="preserve">Reguladores, Comunidad científica, Público general</t>
  </si>
  <si>
    <t xml:space="preserve">Todos los biomas globales</t>
  </si>
  <si>
    <t xml:space="preserve">Evaluación científica global sobre el estado de la biodiversidad y los servicios ecosistémicos.</t>
  </si>
  <si>
    <t xml:space="preserve">Biosfera global, bosques, humedales, océanos y sistemas agrícolas</t>
  </si>
  <si>
    <t xml:space="preserve">Evaluación científica cumbre que alertó sobre 1 millón de especies en riesgo de extinción y la degradación del 75% del medio terrestre.</t>
  </si>
  <si>
    <t xml:space="preserve">IPBES (2019)</t>
  </si>
  <si>
    <t xml:space="preserve">Global assessment report on biodiversity and ecosystem services</t>
  </si>
  <si>
    <t xml:space="preserve">Reguladores/legisladores (140+ países), Científicos, Público</t>
  </si>
  <si>
    <t xml:space="preserve">Ecosistemas planetarios (1 millón de especies amenazadas)</t>
  </si>
  <si>
    <t xml:space="preserve">Informe de evaluación global de IPBES que categorizó los 5 impulsadores directos de pérdida de biodiversidad.</t>
  </si>
  <si>
    <t xml:space="preserve">Kujala et al.</t>
  </si>
  <si>
    <t xml:space="preserve">Credible biodiversity offsetting needs public national registers to confirm no net loss</t>
  </si>
  <si>
    <t xml:space="preserve">Reguladores, Demanda (Desarrolladores), Comunidad científica</t>
  </si>
  <si>
    <t xml:space="preserve">Global (9 registros nacionales)</t>
  </si>
  <si>
    <t xml:space="preserve">Hábitats protegidos</t>
  </si>
  <si>
    <t xml:space="preserve">Analiza la transparencia y vacíos de datos en los registros públicos de compensación de biodiversidad.</t>
  </si>
  <si>
    <t xml:space="preserve">Kujala, H. et al.</t>
  </si>
  <si>
    <t xml:space="preserve">Reguladores/legisladores, Demanda (Desarrolladores), Comunidad científica</t>
  </si>
  <si>
    <t xml:space="preserve">Global / Finlandia / Australia</t>
  </si>
  <si>
    <t xml:space="preserve">Bosques y hábitats bajo esquemas de compensación</t>
  </si>
  <si>
    <t xml:space="preserve">Demuestra en One Earth que las compensaciones exigen registros nacionales públicos transparentes para verificar 'No Net Loss'.</t>
  </si>
  <si>
    <t xml:space="preserve">Lankoski</t>
  </si>
  <si>
    <t xml:space="preserve">Alternative Payment Approaches for Biodiversity Conservation in Agriculture</t>
  </si>
  <si>
    <t xml:space="preserve">Países OECD</t>
  </si>
  <si>
    <t xml:space="preserve">Suelos agrícolas</t>
  </si>
  <si>
    <t xml:space="preserve">Evalúa modelos alternativos de pago (orientados a acciones vs. resultados) en conservación agrícola.</t>
  </si>
  <si>
    <t xml:space="preserve">Marshall et al.</t>
  </si>
  <si>
    <t xml:space="preserve">A global analysis reveals a collective gap in the transparency of offset policies and how biodiversity is measured</t>
  </si>
  <si>
    <t xml:space="preserve">Reguladores, Comunidad científica, Demanda</t>
  </si>
  <si>
    <t xml:space="preserve">Global (108 países)</t>
  </si>
  <si>
    <t xml:space="preserve">Hábitats diversos</t>
  </si>
  <si>
    <t xml:space="preserve">Análisis global sobre vacíos de transparencia y métricas en políticas de compensación de biodiversidad.</t>
  </si>
  <si>
    <t xml:space="preserve">Marshall, E., Southwell, D., Wintle, B.A., et al.</t>
  </si>
  <si>
    <t xml:space="preserve">Comunidad científica, Reguladores/legisladores, Demanda</t>
  </si>
  <si>
    <t xml:space="preserve">108 políticas de compensación revisadas</t>
  </si>
  <si>
    <t xml:space="preserve">Análisis global que revela graves brechas de transparencia en la medición de la biodiversidad en las políticas de compensación.</t>
  </si>
  <si>
    <t xml:space="preserve">Nielsen et al.</t>
  </si>
  <si>
    <t xml:space="preserve">Ex-post evaluation of the Danish pesticide tax: A novel and effective tax design</t>
  </si>
  <si>
    <t xml:space="preserve">Oferta (Agricultores), Reguladores, Público general</t>
  </si>
  <si>
    <t xml:space="preserve">Dinamarca</t>
  </si>
  <si>
    <t xml:space="preserve">Suelos agrícolas y cuencas</t>
  </si>
  <si>
    <t xml:space="preserve">Evaluación ex-post de la efectividad del impuesto dinámico a plaguicidas basado en carga ambiental.</t>
  </si>
  <si>
    <t xml:space="preserve">OECD</t>
  </si>
  <si>
    <t xml:space="preserve">Biodiversity, natural capital and the economy: A policy guide for finance, economic and environment ministers</t>
  </si>
  <si>
    <t xml:space="preserve">Reguladores (Ministerios de Finanzas), Sector financiero</t>
  </si>
  <si>
    <t xml:space="preserve">Global / Países OECD</t>
  </si>
  <si>
    <t xml:space="preserve">Guía marco para integrar el capital natural y la biodiversidad en políticas fiscales y financieras.</t>
  </si>
  <si>
    <t xml:space="preserve">Tracking Economic Instruments and Finance for Biodiversity 2024</t>
  </si>
  <si>
    <t xml:space="preserve">Reguladores, Sector financiero</t>
  </si>
  <si>
    <t xml:space="preserve">Global (145 países)</t>
  </si>
  <si>
    <t xml:space="preserve">Base de datos PINE sobre instrumentos económicos, impuestos, tasas y subsidios de biodiversidad.</t>
  </si>
  <si>
    <t xml:space="preserve">Scaling Up Biodiversity-Positive Incentives: Delivering on Target 18 of the GBF</t>
  </si>
  <si>
    <t xml:space="preserve">Reguladores, Demanda, Oferta, Sector financiero</t>
  </si>
  <si>
    <t xml:space="preserve">Todos los ecosistemas</t>
  </si>
  <si>
    <t xml:space="preserve">Informe marco sobre incentivos positivos, subsidios, tasas, permisos negociables, compensaciones y biocréditos.</t>
  </si>
  <si>
    <t xml:space="preserve">Asbjornsen et al.</t>
  </si>
  <si>
    <t xml:space="preserve">Multi-Targeted payments for the balanced management of hydrological and other forest ecosystem services</t>
  </si>
  <si>
    <t xml:space="preserve">Oferta (Gestores forestales), Demanda (Agencias de agua)</t>
  </si>
  <si>
    <t xml:space="preserve">Bosques y cuencas hídricas</t>
  </si>
  <si>
    <t xml:space="preserve">Análisis sobre la integración de múltiples objetivos ecológicos en esquemas de pago forestales.</t>
  </si>
  <si>
    <t xml:space="preserve">Bauchet et al.</t>
  </si>
  <si>
    <t xml:space="preserve">The practice of Payments for Ecosystem Services (PES) in the Tropical Andes</t>
  </si>
  <si>
    <t xml:space="preserve">Oferta (Comunidades andinas), Reguladores, Administradores</t>
  </si>
  <si>
    <t xml:space="preserve">Andes Tropicales (Bolivia, Colombia, Ecuador, Perú)</t>
  </si>
  <si>
    <t xml:space="preserve">Bosques montanos y páramos</t>
  </si>
  <si>
    <t xml:space="preserve">Estudio empírico de la práctica administrativa y barreras de los PES en los Andes.</t>
  </si>
  <si>
    <t xml:space="preserve">Bösch et al.</t>
  </si>
  <si>
    <t xml:space="preserve">Why do payments for watershed services emerge? A cross-country analysis of adoption contexts</t>
  </si>
  <si>
    <t xml:space="preserve">Demanda (Empresas de agua, Hidroeléctricas), Oferta (Propietarios)</t>
  </si>
  <si>
    <t xml:space="preserve">Cuencas hidrográficas</t>
  </si>
  <si>
    <t xml:space="preserve">Análisis econométrico de los factores contextuales que determinan la emergencia de PES hídricos.</t>
  </si>
  <si>
    <t xml:space="preserve">Bottazzi et al.</t>
  </si>
  <si>
    <t xml:space="preserve">Payment for Environmental 'Self-Service': Exploring the Links Between Farmers' Motivation and Additionality</t>
  </si>
  <si>
    <t xml:space="preserve">Bolivia (Andes)</t>
  </si>
  <si>
    <t xml:space="preserve">Bosques y zonas agrícolas</t>
  </si>
  <si>
    <t xml:space="preserve">Evalúa la aditividad y motivación intrínseca en contratos de exclusión de ganado y conservación.</t>
  </si>
  <si>
    <t xml:space="preserve">Bremer et al.</t>
  </si>
  <si>
    <t xml:space="preserve">What factors influence participation in payment for ecosystem services programs? Evaluation of SocioPáramo</t>
  </si>
  <si>
    <t xml:space="preserve">Oferta (Comunidades locales, Propietarios), Reguladores</t>
  </si>
  <si>
    <t xml:space="preserve">Ecuador</t>
  </si>
  <si>
    <t xml:space="preserve">Páramos y vegetación de altitud</t>
  </si>
  <si>
    <t xml:space="preserve">Analiza los factores determinantes de la participación comunitaria en el programa SocioPáramo.</t>
  </si>
  <si>
    <t xml:space="preserve">Canessa et al.</t>
  </si>
  <si>
    <t xml:space="preserve">Incentives, Rewards or Both in Payments for Ecosystem Services: Farmers' Preferences</t>
  </si>
  <si>
    <t xml:space="preserve">Oferta (Agricultores), Comunidad científica</t>
  </si>
  <si>
    <t xml:space="preserve">Europa</t>
  </si>
  <si>
    <t xml:space="preserve">Pastizales y áreas agrícolas</t>
  </si>
  <si>
    <t xml:space="preserve">Experimento de elección discreta sobre preferencias de agricultores entre pagos por prácticas vs. resultados.</t>
  </si>
  <si>
    <t xml:space="preserve">Chen et al.</t>
  </si>
  <si>
    <t xml:space="preserve">Linking social norms to efficient conservation investment in payments for ecosystem services</t>
  </si>
  <si>
    <t xml:space="preserve">Oferta (Comunidades locales), Reguladores</t>
  </si>
  <si>
    <t xml:space="preserve">China</t>
  </si>
  <si>
    <t xml:space="preserve">Bosques y zonas de ladera</t>
  </si>
  <si>
    <t xml:space="preserve">Modela el efecto de las normas sociales y la influencia entre vecinos en la adopción del Grain-to-Green.</t>
  </si>
  <si>
    <t xml:space="preserve">Cisneros et al.</t>
  </si>
  <si>
    <t xml:space="preserve">Impacts of conservation incentives in protected areas: The case of Bolsa Floresta, Brazil</t>
  </si>
  <si>
    <t xml:space="preserve">Oferta (Comunidades indígenas y ribereñas), Reguladores</t>
  </si>
  <si>
    <t xml:space="preserve">Brasil (Amazonas)</t>
  </si>
  <si>
    <t xml:space="preserve">Selva tropical amazónica</t>
  </si>
  <si>
    <t xml:space="preserve">Evaluación de impacto del programa Bolsa Floresta sobre la deforestación y conservación comunitaria.</t>
  </si>
  <si>
    <t xml:space="preserve">Clements et al.</t>
  </si>
  <si>
    <t xml:space="preserve">An evaluation of the effectiveness of a direct payment for biodiversity conservation: Bird Nest Protection</t>
  </si>
  <si>
    <t xml:space="preserve">Oferta (Comunidades locales, Cazadores), Reguladores</t>
  </si>
  <si>
    <t xml:space="preserve">Camboya</t>
  </si>
  <si>
    <t xml:space="preserve">Llanuras del norte / Bosques secos</t>
  </si>
  <si>
    <t xml:space="preserve">Evaluación de pagos directos a comuneros por la protección exitosa de nidos de aves amenazadas.</t>
  </si>
  <si>
    <t xml:space="preserve">Eichhorn et al.</t>
  </si>
  <si>
    <t xml:space="preserve">Understanding farmers' intention to perform result-based agri-environmental schemes</t>
  </si>
  <si>
    <t xml:space="preserve">Suelos agrícolas y pastizales</t>
  </si>
  <si>
    <t xml:space="preserve">Encuesta sobre determinantes del comportamiento y percepción del riesgo en pagos basados en resultados.</t>
  </si>
  <si>
    <t xml:space="preserve">Engel</t>
  </si>
  <si>
    <t xml:space="preserve">The Devil in the Detail: A Practical Guide on Designing Payments for Environmental Services</t>
  </si>
  <si>
    <t xml:space="preserve">Reguladores, Comunidad científica, Oferta</t>
  </si>
  <si>
    <t xml:space="preserve">Guía conceptual de diseño institucional para optimizar la aditividad y costo-efectividad en PES.</t>
  </si>
  <si>
    <t xml:space="preserve">Grillos</t>
  </si>
  <si>
    <t xml:space="preserve">Economic vs non-material incentives for participation in an in-kind payments for ecosystem services program</t>
  </si>
  <si>
    <t xml:space="preserve">Oferta (Agricultores, Comunidades locales)</t>
  </si>
  <si>
    <t xml:space="preserve">Bolivia</t>
  </si>
  <si>
    <t xml:space="preserve">Analiza el impacto de incentivos económicos en especie frente a normas comunitarias de reciprocidad.</t>
  </si>
  <si>
    <t xml:space="preserve">Hagemann et al.</t>
  </si>
  <si>
    <t xml:space="preserve">Improving result-based schemes for nature conservation in agricultural landscapes</t>
  </si>
  <si>
    <t xml:space="preserve">Oferta (Agricultores), Reguladores, Asesores técnicos</t>
  </si>
  <si>
    <t xml:space="preserve">Europa (Casos seleccionados)</t>
  </si>
  <si>
    <t xml:space="preserve">Paisajes agrícolas</t>
  </si>
  <si>
    <t xml:space="preserve">Identifica buenas prácticas para escalar esquemas basados en resultados e indicadores biológicos.</t>
  </si>
  <si>
    <t xml:space="preserve">Hanley et al.</t>
  </si>
  <si>
    <t xml:space="preserve">How should we incentivize private landowners to 'produce' more biodiversity?</t>
  </si>
  <si>
    <t xml:space="preserve">Oferta (Propietarios privados), Reguladores</t>
  </si>
  <si>
    <t xml:space="preserve">Reino Unido / Global</t>
  </si>
  <si>
    <t xml:space="preserve">Hábitats privados</t>
  </si>
  <si>
    <t xml:space="preserve">Análisis económico sobre subastas inversas, contratos condicionales y diseño de incentivos de biodiversidad.</t>
  </si>
  <si>
    <t xml:space="preserve">Honey-Rosés et al.</t>
  </si>
  <si>
    <t xml:space="preserve">A Spatially Explicit Estimate of Avoided Forest Loss</t>
  </si>
  <si>
    <t xml:space="preserve">Oferta (Ejidatarios, Propietarios), Reguladores</t>
  </si>
  <si>
    <t xml:space="preserve">Bosques de reserva de la mariposa monarca</t>
  </si>
  <si>
    <t xml:space="preserve">Evaluación espacialmente explícita de la pérdida forestal evitada atribuible a pagos PES.</t>
  </si>
  <si>
    <t xml:space="preserve">Izquierdo-Tort et al.</t>
  </si>
  <si>
    <t xml:space="preserve">Redesigning payments for ecosystem services to increase cost-effectiveness</t>
  </si>
  <si>
    <t xml:space="preserve">Oferta (Propietarios rurales), Reguladores</t>
  </si>
  <si>
    <t xml:space="preserve">Bosques comunitarios</t>
  </si>
  <si>
    <t xml:space="preserve">Ensayo controlado aleatorizado que demuestra que la inscripción de propiedades completas cuadruplica el impacto.</t>
  </si>
  <si>
    <t xml:space="preserve">Jack &amp; Jayachandran</t>
  </si>
  <si>
    <t xml:space="preserve">Self-selection into payments for ecosystem services programs</t>
  </si>
  <si>
    <t xml:space="preserve">Oferta (Propietarios), Comunidad científica</t>
  </si>
  <si>
    <t xml:space="preserve">Uganda / Global</t>
  </si>
  <si>
    <t xml:space="preserve">Bosques privados</t>
  </si>
  <si>
    <t xml:space="preserve">Discuten el riesgo de autoselección adversa donde se paga a actores por acciones preexistentes.</t>
  </si>
  <si>
    <t xml:space="preserve">Klimek et al.</t>
  </si>
  <si>
    <t xml:space="preserve">Rewarding farmers for delivering vascular plant diversity in managed grasslands</t>
  </si>
  <si>
    <t xml:space="preserve">Pastizales gestionados</t>
  </si>
  <si>
    <t xml:space="preserve">Caso práctico transdisciplinario sobre pagos basados en la diversidad de plantas vasculares como indicador.</t>
  </si>
  <si>
    <t xml:space="preserve">Kuhfuss et al.</t>
  </si>
  <si>
    <t xml:space="preserve">Obstacles to local payments for ecosystem services schemes for water management at catchment scale</t>
  </si>
  <si>
    <t xml:space="preserve">Oferta (Agricultores), Demanda (Agencias hídricas)</t>
  </si>
  <si>
    <t xml:space="preserve">Escocia (Reino Unido)</t>
  </si>
  <si>
    <t xml:space="preserve">Acuático / Terrestre</t>
  </si>
  <si>
    <t xml:space="preserve">Cuenca hidrográfica</t>
  </si>
  <si>
    <t xml:space="preserve">Analiza los obstáculos institucionales y socioeconómicos para implementar PES locales de agua.</t>
  </si>
  <si>
    <t xml:space="preserve">Le Velly et al.</t>
  </si>
  <si>
    <t xml:space="preserve">PES Impact and Leakages over Several Cohorts: The Case of the PSA-H in Yucatan</t>
  </si>
  <si>
    <t xml:space="preserve">Oferta (Propietarios ejidales), Reguladores</t>
  </si>
  <si>
    <t xml:space="preserve">México (Yucatán)</t>
  </si>
  <si>
    <t xml:space="preserve">Selva baja y caducifolia</t>
  </si>
  <si>
    <t xml:space="preserve">Evaluación econométrica multicohorte sobre impacto y fugas de deforestación en programas hídricos.</t>
  </si>
  <si>
    <t xml:space="preserve">Leimona et al.</t>
  </si>
  <si>
    <t xml:space="preserve">Fairly efficient, efficiently fair: Lessons from designing and testing PES in Asia</t>
  </si>
  <si>
    <t xml:space="preserve">Oferta (Comunidades rurales), Reguladores</t>
  </si>
  <si>
    <t xml:space="preserve">Asia-Pacífico (Indonesia, Filipinas, Vietnam)</t>
  </si>
  <si>
    <t xml:space="preserve">Cuencas y bosques montanos</t>
  </si>
  <si>
    <t xml:space="preserve">Sintetiza lecciones sobre equidad y eficiencia en la implementación práctica de PES en Asia.</t>
  </si>
  <si>
    <t xml:space="preserve">Massfeller et al.</t>
  </si>
  <si>
    <t xml:space="preserve">Farmers' acceptance of results-based agri-environmental schemes: A German perspective</t>
  </si>
  <si>
    <t xml:space="preserve">Oferta (Agricultores)</t>
  </si>
  <si>
    <t xml:space="preserve">Encuesta a agricultores alemanes sobre barreras burocráticas y aceptación de esquemas basados en resultados.</t>
  </si>
  <si>
    <t xml:space="preserve">Niskanen et al.</t>
  </si>
  <si>
    <t xml:space="preserve">Farmers' heterogeneous preferences towards results-based environmental policies</t>
  </si>
  <si>
    <t xml:space="preserve">Finlandia, Países Bajos, Suecia</t>
  </si>
  <si>
    <t xml:space="preserve">Experimento de elección sobre la heterogeneidad de preferencias de agricultores nórdicos respecto al riesgo.</t>
  </si>
  <si>
    <t xml:space="preserve">Nuñez Godoy &amp; Pienaar</t>
  </si>
  <si>
    <t xml:space="preserve">Motivations for, and barriers to, landowner participation in Argentina's PES program</t>
  </si>
  <si>
    <t xml:space="preserve">Argentina (Chaco)</t>
  </si>
  <si>
    <t xml:space="preserve">Bosque Gran Chaco</t>
  </si>
  <si>
    <t xml:space="preserve">Estudio de factores motivacionales y barreras legales de tenencia de tierra en el programa Ley de Bosques.</t>
  </si>
  <si>
    <t xml:space="preserve">Pagiola et al.</t>
  </si>
  <si>
    <t xml:space="preserve">Can Payments for Environmental Services Help Reduce Poverty? Evidence from Latin America</t>
  </si>
  <si>
    <t xml:space="preserve">Oferta (Comunidades vulnerables), Reguladores</t>
  </si>
  <si>
    <t xml:space="preserve">América Latina</t>
  </si>
  <si>
    <t xml:space="preserve">Bosques y áreas rurales</t>
  </si>
  <si>
    <t xml:space="preserve">Analiza las sinergias y compensaciones entre objetivos ambientales y alivio de la pobreza en PES.</t>
  </si>
  <si>
    <t xml:space="preserve">Porras &amp; Chacón-Cascante</t>
  </si>
  <si>
    <t xml:space="preserve">Costa Rica's Payments for Ecosystem Services Programme</t>
  </si>
  <si>
    <t xml:space="preserve">Oferta (Propietarios, Comunidades indígenas), Reguladores, Demanda</t>
  </si>
  <si>
    <t xml:space="preserve">Bosques y cuencas</t>
  </si>
  <si>
    <t xml:space="preserve">Documento de síntesis sobre 20 años de lecciones operativas, financiamiento fiscal e impacto del PPSA.</t>
  </si>
  <si>
    <t xml:space="preserve">Ramirez-Reyes et al.</t>
  </si>
  <si>
    <t xml:space="preserve">Payments for ecosystem services in Mexico reduce forest fragmentation</t>
  </si>
  <si>
    <t xml:space="preserve">Bosques y selvas</t>
  </si>
  <si>
    <t xml:space="preserve">Evaluación paisajística mediante sensores remotos sobre la reducción de fragmentación forestal por PES.</t>
  </si>
  <si>
    <t xml:space="preserve">Richards &amp; Thompson</t>
  </si>
  <si>
    <t xml:space="preserve">Urban ecosystems: A new frontier for payments for ecosystem services</t>
  </si>
  <si>
    <t xml:space="preserve">Demanda (Ciudades, Empresas), Oferta (Gestores urbanos)</t>
  </si>
  <si>
    <t xml:space="preserve">Infraestructura verde urbana</t>
  </si>
  <si>
    <t xml:space="preserve">Explora la adaptación de marcos PES para financiar infraestructura verde y mitigación térmica urbana.</t>
  </si>
  <si>
    <t xml:space="preserve">Saint-Cyr et al.</t>
  </si>
  <si>
    <t xml:space="preserve">Drivers of PES effectiveness: Some evidence from a quantitative meta-analysis</t>
  </si>
  <si>
    <t xml:space="preserve">Comunidad científica, Reguladores</t>
  </si>
  <si>
    <t xml:space="preserve">Metaanálisis cuantitativo sobre determinantes clave de la efectividad ambiental de los programas PES.</t>
  </si>
  <si>
    <t xml:space="preserve">Shortle et al.</t>
  </si>
  <si>
    <t xml:space="preserve">Reforming Agricultural Nonpoint Pollution Policy in an Increasingly Budget-Constrained Environment</t>
  </si>
  <si>
    <t xml:space="preserve">Reguladores, Oferta (Agricultores)</t>
  </si>
  <si>
    <t xml:space="preserve">Cuencas agrícolas</t>
  </si>
  <si>
    <t xml:space="preserve">Discute reformas de políticas de contaminación difusa agrícola usando instrumentos de incentivo condicionados.</t>
  </si>
  <si>
    <t xml:space="preserve">Sorice &amp; Donlan</t>
  </si>
  <si>
    <t xml:space="preserve">A human-centered framework for innovation in conservation incentive programs</t>
  </si>
  <si>
    <t xml:space="preserve">Oferta (Propietarios privados), Comunidad científica</t>
  </si>
  <si>
    <t xml:space="preserve">Propiedades privadas</t>
  </si>
  <si>
    <t xml:space="preserve">Propone un marco centrado en valores humanos para diseñar programas de incentivos con alta adopción.</t>
  </si>
  <si>
    <t xml:space="preserve">Šumrada et al.</t>
  </si>
  <si>
    <t xml:space="preserve">Farmers' preferences for result-based schemes for grassland conservation in Slovenia</t>
  </si>
  <si>
    <t xml:space="preserve">Eslovenia</t>
  </si>
  <si>
    <t xml:space="preserve">Pastizales de alta diversidad</t>
  </si>
  <si>
    <t xml:space="preserve">Experimento de elección sobre la disposición de agricultores eslovenos a aceptar esquemas por resultados.</t>
  </si>
  <si>
    <t xml:space="preserve">Thiermann et al.</t>
  </si>
  <si>
    <t xml:space="preserve">Making bird numbers count: Would Dutch farmers accept a result-based meadow bird conservation scheme?</t>
  </si>
  <si>
    <t xml:space="preserve">Países Bajos</t>
  </si>
  <si>
    <t xml:space="preserve">Prados y pastizales húmedos</t>
  </si>
  <si>
    <t xml:space="preserve">Analiza la aceptación de agricultores holandeses a monitorear aves de prado mediante drones para pagos.</t>
  </si>
  <si>
    <t xml:space="preserve">Corporate Payments for Ecosystem Services in Theory and Practice</t>
  </si>
  <si>
    <t xml:space="preserve">Demanda (Empresas corporativas), Oferta (Propietarios)</t>
  </si>
  <si>
    <t xml:space="preserve">Cuencas y áreas forestales</t>
  </si>
  <si>
    <t xml:space="preserve">Analiza las motivaciones corporativas, insetting y barreras en esquemas PES financiados por empresas.</t>
  </si>
  <si>
    <t xml:space="preserve">Wuepper &amp; Huber</t>
  </si>
  <si>
    <t xml:space="preserve">Comparing effectiveness and ROI of action- and results-based agri-environmental payments</t>
  </si>
  <si>
    <t xml:space="preserve">Suiza</t>
  </si>
  <si>
    <t xml:space="preserve">Comparación econométrica del retorno de inversión (ROI) entre pagos por acción vs. por resultados en Suiza.</t>
  </si>
  <si>
    <t xml:space="preserve">Wunder et al.</t>
  </si>
  <si>
    <t xml:space="preserve">Payments for Environmental Services: Past Performance and Pending Potentials</t>
  </si>
  <si>
    <t xml:space="preserve">Comunidad científica, Reguladores, Oferta, Demanda</t>
  </si>
  <si>
    <t xml:space="preserve">Revisión sistemática de desempeño de 20 años de PES y condiciones para la emergencia de mercados.</t>
  </si>
  <si>
    <t xml:space="preserve">Reguladores/legisladores, Comunidad científica, Oferta</t>
  </si>
  <si>
    <t xml:space="preserve">Evaluación de desempeño de esquemas PES</t>
  </si>
  <si>
    <t xml:space="preserve">Evaluación sintética del desempeño histórico de los PES a escala global y sus desafíos pendientes.</t>
  </si>
  <si>
    <t xml:space="preserve">Wünscher et al.</t>
  </si>
  <si>
    <t xml:space="preserve">Spatial targeting of payments for environmental services: A tool for boosting conservation benefits</t>
  </si>
  <si>
    <t xml:space="preserve">Reguladores, Oferta (Propietarios)</t>
  </si>
  <si>
    <t xml:space="preserve">Demuestra que la focalización espacial basada en beneficios y amenazas aumenta la eficiencia de los PES.</t>
  </si>
  <si>
    <t xml:space="preserve">Yost et al.</t>
  </si>
  <si>
    <t xml:space="preserve">Mechanisms behind concurrent payments for ecosystem services in a Chinese nature reserve</t>
  </si>
  <si>
    <t xml:space="preserve">Reservas naturales</t>
  </si>
  <si>
    <t xml:space="preserve">Evalúa la concurrencia de múltiples esquemas PES y su impacto socioeconómico en reservas chinas.</t>
  </si>
  <si>
    <t xml:space="preserve">Zaga-Mendez et al.</t>
  </si>
  <si>
    <t xml:space="preserve">Mixing Public and Private Agri-Environment Schemes: Effects on Farmers Participation in Quebec</t>
  </si>
  <si>
    <t xml:space="preserve">Oferta (Agricultores), Demanda (Privados)</t>
  </si>
  <si>
    <t xml:space="preserve">Canadá (Quebec)</t>
  </si>
  <si>
    <t xml:space="preserve">Analiza las barreras administrativas de combinar esquemas agroambientales públicos y privados.</t>
  </si>
  <si>
    <t xml:space="preserve">Abate &amp; Elofsson</t>
  </si>
  <si>
    <t xml:space="preserve">Environmental taxation of plastic bags and substitutes: Balancing marine pollution and climate change</t>
  </si>
  <si>
    <t xml:space="preserve">Público general, Reguladores, Demanda</t>
  </si>
  <si>
    <t xml:space="preserve">Ecosistemas marinos y urbanos</t>
  </si>
  <si>
    <t xml:space="preserve">Modela el equilibrio entre impuestos a bolsas plásticas y sustitutos de papel para evitar impactos climáticos.</t>
  </si>
  <si>
    <t xml:space="preserve">Adetola</t>
  </si>
  <si>
    <t xml:space="preserve">Biodiversity Conservation and Tourism Sustainability in Africa</t>
  </si>
  <si>
    <t xml:space="preserve">Public general (Turistas), Reguladores, Oferta (Comunidades)</t>
  </si>
  <si>
    <t xml:space="preserve">África</t>
  </si>
  <si>
    <t xml:space="preserve">Áreas Protegidas y parques</t>
  </si>
  <si>
    <t xml:space="preserve">Analiza el uso de tarifas de acceso a Parques Nacionales para financiar la conservación en África.</t>
  </si>
  <si>
    <t xml:space="preserve">Battaglini &amp; Coate</t>
  </si>
  <si>
    <t xml:space="preserve">A Dynamic Theory of Public Spending, Taxation, and Debt</t>
  </si>
  <si>
    <t xml:space="preserve">Reguladores, Público general</t>
  </si>
  <si>
    <t xml:space="preserve">Ecosistemas generales</t>
  </si>
  <si>
    <t xml:space="preserve">Teoría macroeconómica dinámica sobre el uso de impuestos ambientales para corregir externalidades.</t>
  </si>
  <si>
    <t xml:space="preserve">Berbel et al.</t>
  </si>
  <si>
    <t xml:space="preserve">Analysis of irrigation water tariffs and taxes in Europe</t>
  </si>
  <si>
    <t xml:space="preserve">Oferta (Agricultores regantes), Reguladores</t>
  </si>
  <si>
    <t xml:space="preserve">Cuencas e irrigación agrícola</t>
  </si>
  <si>
    <t xml:space="preserve">Revisa las tarifas de agua de riego y su capacidad limitada para reflejar costos ambientales completos.</t>
  </si>
  <si>
    <t xml:space="preserve">Bjørnåvold et al.</t>
  </si>
  <si>
    <t xml:space="preserve">Why does France not meet its pesticide reduction targets? Farmers' socio-economic trade-offs</t>
  </si>
  <si>
    <t xml:space="preserve">Francia</t>
  </si>
  <si>
    <t xml:space="preserve">Campos de cultivo</t>
  </si>
  <si>
    <t xml:space="preserve">Examina los límites de la tasa sobre plaguicidas en Francia debido a costos de oportunidad de los agricultores.</t>
  </si>
  <si>
    <t xml:space="preserve">Böcker &amp; Finger</t>
  </si>
  <si>
    <t xml:space="preserve">European Pesticide Tax Schemes in Comparison: An Analysis of Experiences and Developments</t>
  </si>
  <si>
    <t xml:space="preserve">Reguladores, Oferta (Agricultores), Demanda (Agroquímicas)</t>
  </si>
  <si>
    <t xml:space="preserve">Europa (Dinamarca, Suecia, Noruega, Francia)</t>
  </si>
  <si>
    <t xml:space="preserve">Zonas agrícolas</t>
  </si>
  <si>
    <t xml:space="preserve">Estudio comparativo de los sistemas de impuestos a plaguicidas diferenciados por toxicidad.</t>
  </si>
  <si>
    <t xml:space="preserve">Booth et al.</t>
  </si>
  <si>
    <t xml:space="preserve">Bycatch levies could reconcile trade-offs between blue growth and biodiversity conservation</t>
  </si>
  <si>
    <t xml:space="preserve">Oferta (Flota pesquera), Reguladores</t>
  </si>
  <si>
    <t xml:space="preserve">Namibia</t>
  </si>
  <si>
    <t xml:space="preserve">Ecosistemas marinos offshore</t>
  </si>
  <si>
    <t xml:space="preserve">Analiza el uso de cánones por captura incidental (*bycatch levies*) para desincentivar la pesca no objetivo.</t>
  </si>
  <si>
    <t xml:space="preserve">Casey &amp; Schuhmann</t>
  </si>
  <si>
    <t xml:space="preserve">PACT or no PACT are tourists willing to contribute to Protected Areas Conservation Trust in Belize?</t>
  </si>
  <si>
    <t xml:space="preserve">Público general (Turistas), Reguladores</t>
  </si>
  <si>
    <t xml:space="preserve">Belice</t>
  </si>
  <si>
    <t xml:space="preserve">Arrecifes y áreas protegidas</t>
  </si>
  <si>
    <t xml:space="preserve">Evalúa la disposición a pagar (WTP) de turistas internacionales por la tasa de salida para conservación.</t>
  </si>
  <si>
    <t xml:space="preserve">Convery et al.</t>
  </si>
  <si>
    <t xml:space="preserve">The most popular tax in Europe? Lessons from the Irish plastic bags levy</t>
  </si>
  <si>
    <t xml:space="preserve">Público general (Consumidores), Reguladores, Demanda</t>
  </si>
  <si>
    <t xml:space="preserve">Irlanda</t>
  </si>
  <si>
    <t xml:space="preserve">Ecosistemas urbanos y costeros</t>
  </si>
  <si>
    <t xml:space="preserve">Analiza el éxito del impuesto a bolsas plásticas en Irlanda y la aceptación social por afectación de fondos.</t>
  </si>
  <si>
    <t xml:space="preserve">Cubbage et al.</t>
  </si>
  <si>
    <t xml:space="preserve">Policy instruments to enhance multi-functional forest management</t>
  </si>
  <si>
    <t xml:space="preserve">Oferta (Silvicultores), Reguladores</t>
  </si>
  <si>
    <t xml:space="preserve">Global / EE. UU.</t>
  </si>
  <si>
    <t xml:space="preserve">Bosques gestionados</t>
  </si>
  <si>
    <t xml:space="preserve">Discute impuestos forestales, exenciones de impuestos prediales y subsidios para la gestión multifuncional.</t>
  </si>
  <si>
    <t xml:space="preserve">Dan Nielsen et al.</t>
  </si>
  <si>
    <t xml:space="preserve">Need a bag? A review of public policies on plastic carrier bags</t>
  </si>
  <si>
    <t xml:space="preserve">Reguladores, Público general, Demanda</t>
  </si>
  <si>
    <t xml:space="preserve">Ecosistemas marinos y terrestres</t>
  </si>
  <si>
    <t xml:space="preserve">Revisión global de impuestos, tasas y prohibiciones aplicadas a bolsas de plástico.</t>
  </si>
  <si>
    <t xml:space="preserve">Finger et al.</t>
  </si>
  <si>
    <t xml:space="preserve">Revisiting Pesticide Taxation Schemes</t>
  </si>
  <si>
    <t xml:space="preserve">Propone principios de diseño para impuestos a plaguicidas vinculados directamente al riesgo ecotoxicológico.</t>
  </si>
  <si>
    <t xml:space="preserve">Firmansyah et al.</t>
  </si>
  <si>
    <t xml:space="preserve">Ecosystem services and environmental benefit values in Komodo National Park</t>
  </si>
  <si>
    <t xml:space="preserve">Indonesia</t>
  </si>
  <si>
    <t xml:space="preserve">Parque Nacional Komodo</t>
  </si>
  <si>
    <t xml:space="preserve">Cuantifica los servicios ecosistémicos y la sostenibilidad de las tarifas de entrada en parques insulares.</t>
  </si>
  <si>
    <t xml:space="preserve">Gális</t>
  </si>
  <si>
    <t xml:space="preserve">National parks for the 21st Century: The economic potential of national parks</t>
  </si>
  <si>
    <t xml:space="preserve">Reguladores, Público general, Oferta (Municipios)</t>
  </si>
  <si>
    <t xml:space="preserve">Eslovaquia</t>
  </si>
  <si>
    <t xml:space="preserve">Parques Nacionales montañosos</t>
  </si>
  <si>
    <t xml:space="preserve">Modela el potencial económico de introducir tarifas de acceso en parques nacionales bajo autofinanciamiento.</t>
  </si>
  <si>
    <t xml:space="preserve">Gawel et al.</t>
  </si>
  <si>
    <t xml:space="preserve">Study on Pesticide Taxes</t>
  </si>
  <si>
    <t xml:space="preserve">Reguladores, Comunidad científica</t>
  </si>
  <si>
    <t xml:space="preserve">Alemania / UE</t>
  </si>
  <si>
    <t xml:space="preserve">Estudio de factibilidad jurídica y económica sobre la introducción de un impuesto a plaguicidas en Alemania.</t>
  </si>
  <si>
    <t xml:space="preserve">Homonoff et al.</t>
  </si>
  <si>
    <t xml:space="preserve">Skipping the Bag: Assessing the Impact of Chicago's Tax on Disposable Bags</t>
  </si>
  <si>
    <t xml:space="preserve">Público general (Consumidores), Demanda (Retail)</t>
  </si>
  <si>
    <t xml:space="preserve">EE. UU. (Chicago)</t>
  </si>
  <si>
    <t xml:space="preserve">Zona urbana</t>
  </si>
  <si>
    <t xml:space="preserve">Evaluación del impacto conductual de una tasa de 7 centavos a bolsas descartables en Chicago.</t>
  </si>
  <si>
    <t xml:space="preserve">Iho</t>
  </si>
  <si>
    <t xml:space="preserve">Spatially Optimal Steady-State Phosphorus Policies in Crop Production</t>
  </si>
  <si>
    <t xml:space="preserve">Finlandia</t>
  </si>
  <si>
    <t xml:space="preserve">Demuestra que gravar el contenido de fósforo en el suelo es más eficiente que gravar fertilizantes aplicados.</t>
  </si>
  <si>
    <t xml:space="preserve">Kumar et al.</t>
  </si>
  <si>
    <t xml:space="preserve">Impact of pesticides application on aquatic ecosystem and biodiversity</t>
  </si>
  <si>
    <t xml:space="preserve">Ríos y humedales</t>
  </si>
  <si>
    <t xml:space="preserve">Revisión sobre la contaminación hídrica por plaguicidas y la necesidad de internalizar costos ambientales.</t>
  </si>
  <si>
    <t xml:space="preserve">Martinho et al.</t>
  </si>
  <si>
    <t xml:space="preserve">The Portuguese plastic carrier bag tax: The effects on consumers' behavior</t>
  </si>
  <si>
    <t xml:space="preserve">Público general (Consumidores), Demanda</t>
  </si>
  <si>
    <t xml:space="preserve">Portugal</t>
  </si>
  <si>
    <t xml:space="preserve">Ecosistemas urbanos y marinos</t>
  </si>
  <si>
    <t xml:space="preserve">Mide la caída del 74% en el consumo de bolsas plásticas tras la introducción de la tasa en Portugal.</t>
  </si>
  <si>
    <t xml:space="preserve">Möller-Gulland et al.</t>
  </si>
  <si>
    <t xml:space="preserve">Water Abstraction Charges and Compensation Payments in Baden-Württemberg</t>
  </si>
  <si>
    <t xml:space="preserve">Demanda (Empresas, Servicios hídricos), Reguladores</t>
  </si>
  <si>
    <t xml:space="preserve">Alemania (Baden-Württemberg)</t>
  </si>
  <si>
    <t xml:space="preserve">Acuíferos y ríos</t>
  </si>
  <si>
    <t xml:space="preserve">Analiza el impuesto a la extracción de agua que logró reducir un 34% las extracciones de acuíferos.</t>
  </si>
  <si>
    <t xml:space="preserve">Mottershead et al.</t>
  </si>
  <si>
    <t xml:space="preserve">Green taxation and other economic instruments. Internalizing environmental costs</t>
  </si>
  <si>
    <t xml:space="preserve">Reguladores, Demanda, Oferta</t>
  </si>
  <si>
    <t xml:space="preserve">Estudio de la Comisión Europea sobre impuestos verdes a la tala de madera, agua y contaminación.</t>
  </si>
  <si>
    <t xml:space="preserve">Muawanah et al.</t>
  </si>
  <si>
    <t xml:space="preserve">Review of national laws and regulation in Indonesia in relation to EAFM</t>
  </si>
  <si>
    <t xml:space="preserve">Reguladores, Oferta (Pesca industrial y artesanal)</t>
  </si>
  <si>
    <t xml:space="preserve">Zonas de gestión pesquera (FMAs)</t>
  </si>
  <si>
    <t xml:space="preserve">Revisa los impuestos pesqueros de producción y negocio para controlar el esfuerzo pesquero en Indonesia.</t>
  </si>
  <si>
    <t xml:space="preserve">Sosa Sanchez</t>
  </si>
  <si>
    <t xml:space="preserve">Mexico's experience with biodiversity-related taxes and fees</t>
  </si>
  <si>
    <t xml:space="preserve">Reguladores, Oferta, Demanda, Público general</t>
  </si>
  <si>
    <t xml:space="preserve">Áreas Protegidas y cuencas</t>
  </si>
  <si>
    <t xml:space="preserve">Presenta las reformas fiscales mexicanas en derechos de agua, plaguicidas y tarifas de Áreas Protegidas.</t>
  </si>
  <si>
    <t xml:space="preserve">Sud</t>
  </si>
  <si>
    <t xml:space="preserve">Managing the biodiversity impacts of fertiliser and pesticide use</t>
  </si>
  <si>
    <t xml:space="preserve">Suelos y cuerpos de agua</t>
  </si>
  <si>
    <t xml:space="preserve">Revisión OECD sobre tendencias de uso de agroquímicos e impuestos aplicados en países miembros.</t>
  </si>
  <si>
    <t xml:space="preserve">Van Zyl et al.</t>
  </si>
  <si>
    <t xml:space="preserve">Botswana Protected Areas Review of Entrance and Other Fees</t>
  </si>
  <si>
    <t xml:space="preserve">Reguladores, Público general (Turistas)</t>
  </si>
  <si>
    <t xml:space="preserve">Botsuana</t>
  </si>
  <si>
    <t xml:space="preserve">Parques Nacionales (Chobe, Okavango)</t>
  </si>
  <si>
    <t xml:space="preserve">Evaluación que fundamentó la actualización de tarifas de parque congeladas por 20 años en Botsuana.</t>
  </si>
  <si>
    <t xml:space="preserve">Watkins</t>
  </si>
  <si>
    <t xml:space="preserve">Towards greater plastics circularity: Addressing social and environmental spillovers</t>
  </si>
  <si>
    <t xml:space="preserve">Reguladores, Demanda, Público general</t>
  </si>
  <si>
    <t xml:space="preserve">Ecosistemas marinos</t>
  </si>
  <si>
    <t xml:space="preserve">Analiza instrumentos fiscales para promover la economía circular del plástico y reducir la basura marina.</t>
  </si>
  <si>
    <t xml:space="preserve">Zhang et al.</t>
  </si>
  <si>
    <t xml:space="preserve">Can raising environmental tax reduce industrial water pollution? Evidence from China</t>
  </si>
  <si>
    <t xml:space="preserve">Demanda (Industria), Reguladores</t>
  </si>
  <si>
    <t xml:space="preserve">Ríos industriales</t>
  </si>
  <si>
    <t xml:space="preserve">Estudio econométrico a nivel de firma sobre la Ley del Impuesto de Protección Ambiental en China.</t>
  </si>
  <si>
    <t xml:space="preserve">Arnason</t>
  </si>
  <si>
    <t xml:space="preserve">A review of international experiences with ITQs</t>
  </si>
  <si>
    <t xml:space="preserve">Reguladores, Oferta (Sector pesquero)</t>
  </si>
  <si>
    <t xml:space="preserve">Islandia, Nueva Zelanda, EE. UU.</t>
  </si>
  <si>
    <t xml:space="preserve">Pesquerías marínas</t>
  </si>
  <si>
    <t xml:space="preserve">Revisión histórica comparativa de la evolución de las Cuotas Individuales Transferibles (ITQs).</t>
  </si>
  <si>
    <t xml:space="preserve">BenDor et al.</t>
  </si>
  <si>
    <t xml:space="preserve">Assessing the size and growth of the US wetland and stream compensatory mitigation industry</t>
  </si>
  <si>
    <t xml:space="preserve">Demanda (Desarrolladores), Oferta (Bancos de mitigación), Reguladores</t>
  </si>
  <si>
    <t xml:space="preserve">Humedales y ríos</t>
  </si>
  <si>
    <t xml:space="preserve">Cuantifica el valor del mercado de bancos de mitigación de humedales en EE. UU. (USD 3.5B+ anuales).</t>
  </si>
  <si>
    <t xml:space="preserve">Brears</t>
  </si>
  <si>
    <t xml:space="preserve">Tradable Permits Financing Water Security and Green Growth</t>
  </si>
  <si>
    <t xml:space="preserve">Reguladores, Demanda, Oferta (Agricultores, Municipios)</t>
  </si>
  <si>
    <t xml:space="preserve">Global (EE. UU., Australia, Sudáfrica)</t>
  </si>
  <si>
    <t xml:space="preserve">Cuencas y acuíferos</t>
  </si>
  <si>
    <t xml:space="preserve">Libro marco sobre mercados de permisos comerciables de cantidad y calidad de agua.</t>
  </si>
  <si>
    <t xml:space="preserve">Costello et al.</t>
  </si>
  <si>
    <t xml:space="preserve">Can catch shares prevent fisheries collapse?</t>
  </si>
  <si>
    <t xml:space="preserve">Oferta (Pesquerías globales), Reguladores</t>
  </si>
  <si>
    <t xml:space="preserve">Global (11.000+ pesquerías)</t>
  </si>
  <si>
    <t xml:space="preserve">Océanos globales</t>
  </si>
  <si>
    <t xml:space="preserve">Demuestra empíricamente que las cuotas pesqueras (catch shares/ITQs) reducen a la mitad la tasa de colapso.</t>
  </si>
  <si>
    <t xml:space="preserve">Duhon et al.</t>
  </si>
  <si>
    <t xml:space="preserve">Nitrogen Trading in Lake Taupo: An Analysis and Evaluation of an Innovative Policy</t>
  </si>
  <si>
    <t xml:space="preserve">Oferta (Agricultores/Ganaderos), Reguladores</t>
  </si>
  <si>
    <t xml:space="preserve">Nueva Zelanda (Lago Taupo)</t>
  </si>
  <si>
    <t xml:space="preserve">Lago Taupo y cuenca agrícola</t>
  </si>
  <si>
    <t xml:space="preserve">Analiza el programa de derechos de descarga de nitrógeno para proteger la calidad del agua del lago Taupo.</t>
  </si>
  <si>
    <t xml:space="preserve">Frickmann Young &amp; Castro Scarpeline</t>
  </si>
  <si>
    <t xml:space="preserve">Financing mechanisms to bridge the resource gap to conserve biodiversity in Brazil</t>
  </si>
  <si>
    <t xml:space="preserve">Oferta (Propietarios rurales), Reguladores, Demanda</t>
  </si>
  <si>
    <t xml:space="preserve">Brasil</t>
  </si>
  <si>
    <t xml:space="preserve">Amazonia, Cerrado, Mata Atlántica</t>
  </si>
  <si>
    <t xml:space="preserve">Analiza las Cuotas de Reserva Ambiental (CRA) del Código Forestal brasileño como mercado de derechos de desarrollo.</t>
  </si>
  <si>
    <t xml:space="preserve">Grover et al.</t>
  </si>
  <si>
    <t xml:space="preserve">Transfer of Development Rights: Technical Note</t>
  </si>
  <si>
    <t xml:space="preserve">Reguladores, Demanda (Desarrolladores urbanos), Oferta (Propietarios)</t>
  </si>
  <si>
    <t xml:space="preserve">Global (EE. UU., Brasil)</t>
  </si>
  <si>
    <t xml:space="preserve">Zonas periurbanas y reservas naturales</t>
  </si>
  <si>
    <t xml:space="preserve">Nota técnica del Banco Mundial sobre el diseño institucional de Derechos de Desarrollo Transferibles (TDR).</t>
  </si>
  <si>
    <t xml:space="preserve">Gunnlaugsson &amp; Valtysson</t>
  </si>
  <si>
    <t xml:space="preserve">Sustainability and wealth creation, but no consensus: Recent decades in Iceland's ITQ-managed fisheries</t>
  </si>
  <si>
    <t xml:space="preserve">Oferta (Flota pesquera), Reguladores, Público general</t>
  </si>
  <si>
    <t xml:space="preserve">Islandia</t>
  </si>
  <si>
    <t xml:space="preserve">Pesquerías atlánticas</t>
  </si>
  <si>
    <t xml:space="preserve">Analiza la sostenibilidad biológica y la controversia social sobre la concentración de cuotas pesqueras.</t>
  </si>
  <si>
    <t xml:space="preserve">Halley</t>
  </si>
  <si>
    <t xml:space="preserve">Learnings from Implementation of Tradeable Rights (NZ's Quota Management System)</t>
  </si>
  <si>
    <t xml:space="preserve">Zona Económica Exclusiva</t>
  </si>
  <si>
    <t xml:space="preserve">Presenta lecciones de monitoreo electrónico y cámaras a bordo en el sistema QMS neozelandés.</t>
  </si>
  <si>
    <t xml:space="preserve">Hanstén et al.</t>
  </si>
  <si>
    <t xml:space="preserve">A realist evaluation of the individual transferable quota system used in Finnish herring fisheries</t>
  </si>
  <si>
    <t xml:space="preserve">Oferta (Pesca comercial de arenque), Reguladores</t>
  </si>
  <si>
    <t xml:space="preserve">Finlandia (Mar Báltico)</t>
  </si>
  <si>
    <t xml:space="preserve">Pesquerías del Báltico</t>
  </si>
  <si>
    <t xml:space="preserve">Evaluación cualitativa sobre la introducción de ITQs para eliminar la 'carrera por pescar' en Finlandia.</t>
  </si>
  <si>
    <t xml:space="preserve">Harman et al.</t>
  </si>
  <si>
    <t xml:space="preserve">Tradeable development rights to protect peri-urban areas: lessons from US and Australia</t>
  </si>
  <si>
    <t xml:space="preserve">Reguladores, Oferta, Demanda</t>
  </si>
  <si>
    <t xml:space="preserve">EE. UU., Australia</t>
  </si>
  <si>
    <t xml:space="preserve">Áreas periurbanas y agrícolas</t>
  </si>
  <si>
    <t xml:space="preserve">Compara la efectividad de esquemas TDR en la protección de paisajes agrícolas contra la expansión urbana.</t>
  </si>
  <si>
    <t xml:space="preserve">Hersoug</t>
  </si>
  <si>
    <t xml:space="preserve">'After all these years' - New Zealand's quota management system at the crossroads</t>
  </si>
  <si>
    <t xml:space="preserve">Oferta (Industria pesquera), Reguladores, Pueblos Indígenas (Maorí)</t>
  </si>
  <si>
    <t xml:space="preserve">Pesquerías marinas</t>
  </si>
  <si>
    <t xml:space="preserve">Examina los logros económicos y los desafíos de equidad e integración indígena en el QMS.</t>
  </si>
  <si>
    <t xml:space="preserve">Hoefnagel &amp; de Vos</t>
  </si>
  <si>
    <t xml:space="preserve">Social and economic consequences of 40 years of Dutch quota management</t>
  </si>
  <si>
    <t xml:space="preserve">Oferta (Cofradías de pescadores), Reguladores</t>
  </si>
  <si>
    <t xml:space="preserve">Mar del Norte</t>
  </si>
  <si>
    <t xml:space="preserve">Analiza 40 años de gestión compartida de cuotas de peces planos a través de organizaciones de productores.</t>
  </si>
  <si>
    <t xml:space="preserve">Hoshino et al.</t>
  </si>
  <si>
    <t xml:space="preserve">Individual transferable quotas in achieving multiple objectives of fisheries management</t>
  </si>
  <si>
    <t xml:space="preserve">Global (22 países)</t>
  </si>
  <si>
    <t xml:space="preserve">Pesquerías globales</t>
  </si>
  <si>
    <t xml:space="preserve">Metaanálisis sobre el impacto de las ITQs en la recuperación de biomasa y rentabilidad económica.</t>
  </si>
  <si>
    <t xml:space="preserve">Jardine &amp; Sanchirico</t>
  </si>
  <si>
    <t xml:space="preserve">Catch share programs in developing countries: A survey of the literature</t>
  </si>
  <si>
    <t xml:space="preserve">Oferta (Pesca artesanal e industrial), Reguladores</t>
  </si>
  <si>
    <t xml:space="preserve">Países en desarrollo (Argentina, Namibia, Marruecos)</t>
  </si>
  <si>
    <t xml:space="preserve">Pesquerías de exportación</t>
  </si>
  <si>
    <t xml:space="preserve">Revisión sistemática de la aplicación de permisos negociables de pesca en economías emergentes.</t>
  </si>
  <si>
    <t xml:space="preserve">Kroetz et al.</t>
  </si>
  <si>
    <t xml:space="preserve">Evaluation of the Chilean Jack Mackerel ITQ System</t>
  </si>
  <si>
    <t xml:space="preserve">Oferta (Flota industrial chilena), Reguladores</t>
  </si>
  <si>
    <t xml:space="preserve">Chile</t>
  </si>
  <si>
    <t xml:space="preserve">Pesquería del Jurel</t>
  </si>
  <si>
    <t xml:space="preserve">Evaluación econométrica del sistema de cuotas individuales para la pesquería del jurel en Chile.</t>
  </si>
  <si>
    <t xml:space="preserve">Liu &amp; Brouwer</t>
  </si>
  <si>
    <t xml:space="preserve">What is the future of water quality trading?</t>
  </si>
  <si>
    <t xml:space="preserve">Comunidad científica, Reguladores, Demanda</t>
  </si>
  <si>
    <t xml:space="preserve">Global (EE. UU., Australia, Canadá)</t>
  </si>
  <si>
    <t xml:space="preserve">Revisión sobre el estado actual, barreras de liquidez y futuro de los mercados de comercio de calidad de agua.</t>
  </si>
  <si>
    <t xml:space="preserve">Merayo et al.</t>
  </si>
  <si>
    <t xml:space="preserve">Are individual transferable quotas an adequate solution to overfishing and overcapacity?</t>
  </si>
  <si>
    <t xml:space="preserve">Oferta (Flota dinamarquesa), Reguladores</t>
  </si>
  <si>
    <t xml:space="preserve">Mar del Norte y Báltico</t>
  </si>
  <si>
    <t xml:space="preserve">Evaluación empírica de cómo las ITQs redujeron el exceso de capacidad de la flota pesquera danesa.</t>
  </si>
  <si>
    <t xml:space="preserve">Pirard</t>
  </si>
  <si>
    <t xml:space="preserve">Market-based instruments for biodiversity and ecosystem services: A lexicon</t>
  </si>
  <si>
    <t xml:space="preserve">Clarificación terminológica sobre instrumentos de mercado, permisos negociables, PES y compensaciones.</t>
  </si>
  <si>
    <t xml:space="preserve">Pirard, R.</t>
  </si>
  <si>
    <t xml:space="preserve">Market-Based Instruments for Biodiversity and Ecosystem Services: A Lexicon</t>
  </si>
  <si>
    <t xml:space="preserve">Establece una terminología y léxico claro para definir los instrumentos de mercado en biodiversidad.</t>
  </si>
  <si>
    <t xml:space="preserve">Shahab &amp; Allam</t>
  </si>
  <si>
    <t xml:space="preserve">Reducing transaction costs of tradable permit schemes using Blockchain smart contracts</t>
  </si>
  <si>
    <t xml:space="preserve">Mercados de permisos</t>
  </si>
  <si>
    <t xml:space="preserve">Propone el uso de contratos inteligentes en blockchain para reducir costos de transacción en mercados de agua.</t>
  </si>
  <si>
    <t xml:space="preserve">Spicer et al.</t>
  </si>
  <si>
    <t xml:space="preserve">Agricultural land use management responses to a cap and trade regime for water quality in Lake Taupo</t>
  </si>
  <si>
    <t xml:space="preserve">Cuenca del Lago Taupo</t>
  </si>
  <si>
    <t xml:space="preserve">Estudio sobre la reconversión de tierras agrícolas a silvicultura impulsada por el mercado de nitrógeno.</t>
  </si>
  <si>
    <t xml:space="preserve">Sumaila</t>
  </si>
  <si>
    <t xml:space="preserve">How to Make Individual Transferable Quotas Work Economically, Socially, and Environmentally</t>
  </si>
  <si>
    <t xml:space="preserve">Principios de diseño para evitar la especulación y garantizar la equidad social en sistemas de cuotas pesqueras.</t>
  </si>
  <si>
    <t xml:space="preserve">Tietenberg</t>
  </si>
  <si>
    <t xml:space="preserve">Tradable Permits in Principle and Practice</t>
  </si>
  <si>
    <t xml:space="preserve">Texto fundacional de economía ambiental sobre la teoría y práctica de los sistemas cap-and-trade.</t>
  </si>
  <si>
    <t xml:space="preserve">Wheeler et al.</t>
  </si>
  <si>
    <t xml:space="preserve">Developing a water market readiness assessment framework</t>
  </si>
  <si>
    <t xml:space="preserve">Reguladores, Demanda (Irrigadores), Oferta</t>
  </si>
  <si>
    <t xml:space="preserve">Australia (Murray-Darling)</t>
  </si>
  <si>
    <t xml:space="preserve">Cuenca Murray-Darling</t>
  </si>
  <si>
    <t xml:space="preserve">Marco de preparación institucional para establecer mercados eficientes de agua en cuencas con escasez.</t>
  </si>
  <si>
    <t xml:space="preserve">Yim &amp; Posniak</t>
  </si>
  <si>
    <t xml:space="preserve">Hunter River Salinity Trading Scheme in New South Wales, Australia</t>
  </si>
  <si>
    <t xml:space="preserve">Demanda (Mineras, Electrónicas), Reguladores, Oferta</t>
  </si>
  <si>
    <t xml:space="preserve">Australia (NSW)</t>
  </si>
  <si>
    <t xml:space="preserve">Río Hunter</t>
  </si>
  <si>
    <t xml:space="preserve">Presenta el esquema de comercio de salinidad mediante licencias condicionales al caudal del río.</t>
  </si>
  <si>
    <t xml:space="preserve">Young</t>
  </si>
  <si>
    <t xml:space="preserve">Catch Shares in Action: Argentine Individual Transferable Quota Program</t>
  </si>
  <si>
    <t xml:space="preserve">Oferta (Flota pesquera argentina), Reguladores</t>
  </si>
  <si>
    <t xml:space="preserve">Argentina</t>
  </si>
  <si>
    <t xml:space="preserve">Mar Argentino</t>
  </si>
  <si>
    <t xml:space="preserve">Estudio de caso sobre la implementación del régimen de cuotas ITQ para la merluza y merluza negra.</t>
  </si>
  <si>
    <t xml:space="preserve">BBOP</t>
  </si>
  <si>
    <t xml:space="preserve">Standard on Biodiversity Offsets</t>
  </si>
  <si>
    <t xml:space="preserve">Reguladores, Demanda (Empresas), Oferta, Comunidad científica</t>
  </si>
  <si>
    <t xml:space="preserve">Todos los hábitats</t>
  </si>
  <si>
    <t xml:space="preserve">Estándar internacional del Business and Biodiversity Offsets Programme sobre No Net Loss y jerarquía de mitigación.</t>
  </si>
  <si>
    <t xml:space="preserve">Bennett &amp; Gallant</t>
  </si>
  <si>
    <t xml:space="preserve">State of Biodiversity Mitigation 2017: Markets and Compensation for Global Infrastructure</t>
  </si>
  <si>
    <t xml:space="preserve">Demanda (Empresas de infraestructura), Oferta (Bancos de mitigación), Reguladores</t>
  </si>
  <si>
    <t xml:space="preserve">Mapea los mercados de mitigación de biodiversidad a nivel mundial e inversiones en infraestructura.</t>
  </si>
  <si>
    <t xml:space="preserve">Bennun</t>
  </si>
  <si>
    <t xml:space="preserve">Collaborative approaches to minimising and offsetting impacts to vultures, Kipeto Wind Farm</t>
  </si>
  <si>
    <t xml:space="preserve">Demanda (Eólica Kipeto), Oferta (Comunidades locales), ONGs</t>
  </si>
  <si>
    <t xml:space="preserve">Kenia</t>
  </si>
  <si>
    <t xml:space="preserve">Sabanas y zonas de vuelo de aves</t>
  </si>
  <si>
    <t xml:space="preserve">Estudio de caso de compensación paisajística basada en la comunidad para mitigar la envenenación de buitres.</t>
  </si>
  <si>
    <t xml:space="preserve">Bezombes et al.</t>
  </si>
  <si>
    <t xml:space="preserve">Do biodiversity offsets achieve No Net Loss? An evaluation of offsets in a French department</t>
  </si>
  <si>
    <t xml:space="preserve">Francia (Isère)</t>
  </si>
  <si>
    <t xml:space="preserve">Hábitats locales</t>
  </si>
  <si>
    <t xml:space="preserve">Evaluación empírica que revela que la mayoría de compensaciones en Francia no alcanzaron la equivalencia ecológica.</t>
  </si>
  <si>
    <t xml:space="preserve">Bigard et al.</t>
  </si>
  <si>
    <t xml:space="preserve">Strategic landscape-scale planning to improve mitigation hierarchy implementation</t>
  </si>
  <si>
    <t xml:space="preserve">Reguladores, Demanda, Comunidad científica</t>
  </si>
  <si>
    <t xml:space="preserve">Ecosistemas mediterráneos</t>
  </si>
  <si>
    <t xml:space="preserve">Demuestra cómo la planificación espacial a escala de paisaje fortalece la etapa de evitación previa.</t>
  </si>
  <si>
    <t xml:space="preserve">Bull &amp; Strange</t>
  </si>
  <si>
    <t xml:space="preserve">The global extent of biodiversity offset implementation under no net loss policies</t>
  </si>
  <si>
    <t xml:space="preserve">Global (13.000 proyectos)</t>
  </si>
  <si>
    <t xml:space="preserve">Ecosistemas globales (150.000 km2)</t>
  </si>
  <si>
    <t xml:space="preserve">Cuantifica la extensión geográfica global de las compensaciones de biodiversidad (área equivalente a Bangladesh).</t>
  </si>
  <si>
    <t xml:space="preserve">The Global Extent of Biodiversity Offset Implementation Under No Net Loss Policies</t>
  </si>
  <si>
    <t xml:space="preserve">153,000 km2 sujetos a esquemas de compensación</t>
  </si>
  <si>
    <t xml:space="preserve">Mapea la extensión territorial global cubierta por proyectos de compensación ecológica regulados e independientes.</t>
  </si>
  <si>
    <t xml:space="preserve">Global (100+ países)</t>
  </si>
  <si>
    <t xml:space="preserve">Ecosistemas regulados por No Net Loss</t>
  </si>
  <si>
    <t xml:space="preserve">Mapea cuantitativamente la extensión mundial de las políticas de compensación de biodiversidad obligatorias.</t>
  </si>
  <si>
    <t xml:space="preserve">Cuantitativo / Global</t>
  </si>
  <si>
    <t xml:space="preserve">Reguladores/legisladores, Demanda (Empresas), Comunidad científica</t>
  </si>
  <si>
    <t xml:space="preserve">Implementación mundial de políticas No Net Loss</t>
  </si>
  <si>
    <t xml:space="preserve">Evalúa por primera vez la extensión espacial y regulatoria global de las políticas de compensación.</t>
  </si>
  <si>
    <t xml:space="preserve">Bull et al.</t>
  </si>
  <si>
    <t xml:space="preserve">Ensuring No Net Loss for people as well as biodiversity: good practice principles</t>
  </si>
  <si>
    <t xml:space="preserve">Oferta (Comunidades locales), Demanda, Reguladores</t>
  </si>
  <si>
    <t xml:space="preserve">Comunidades rurales</t>
  </si>
  <si>
    <t xml:space="preserve">Principios para garantizar que las compensaciones no perjudiquen el bienestar de las poblaciones locales (*No Worse Off*).</t>
  </si>
  <si>
    <t xml:space="preserve">Carreras Gamarra &amp; Toombs</t>
  </si>
  <si>
    <t xml:space="preserve">Thirty years of species conservation banking in the U.S.: Comparing policy to practice</t>
  </si>
  <si>
    <t xml:space="preserve">Reguladores, Oferta (Bancos de conservación), Demanda</t>
  </si>
  <si>
    <t xml:space="preserve">Hábitats de especies amenazadas</t>
  </si>
  <si>
    <t xml:space="preserve">Evaluación crítica de 30 años de banca de conservación de especies en EE. UU. e incoherencias de monitoreo.</t>
  </si>
  <si>
    <t xml:space="preserve">Thirty Years of Species Conservation Banking in the U.S.: Comparing Policy to Practice</t>
  </si>
  <si>
    <t xml:space="preserve">Reguladores/legisladores, Oferta (Bancos de conservación), Demanda</t>
  </si>
  <si>
    <t xml:space="preserve">Evalúa cuantitativamente 30 años de experiencia de la banca de especies en EE. UU., comparando teoría normativa con resultados reales.</t>
  </si>
  <si>
    <t xml:space="preserve">Gamarra &amp; Toombs</t>
  </si>
  <si>
    <t xml:space="preserve">Thirty years of species conservation banking in the U.S.: comparing policy to practice</t>
  </si>
  <si>
    <t xml:space="preserve">Reguladores/legisladores, Oferta (Banqueros), Demanda, Comunidad científica</t>
  </si>
  <si>
    <t xml:space="preserve">Evolución histórica de bancos de especies bajo la ley ESA (1986-2016)</t>
  </si>
  <si>
    <t xml:space="preserve">Evaluación empírica de 30 años de banca de conservación en EE. UU. comparando la política teórica con la práctica del mercado.</t>
  </si>
  <si>
    <t xml:space="preserve">Clare et al.</t>
  </si>
  <si>
    <t xml:space="preserve">Where is the avoidance in the implementation of wetland law and policy?</t>
  </si>
  <si>
    <t xml:space="preserve">Canadá (Alberta)</t>
  </si>
  <si>
    <t xml:space="preserve">Humedales</t>
  </si>
  <si>
    <t xml:space="preserve">Critica cómo las compensaciones a menudo reemplazan indebidamente la fase obligatoria de evitación de impactos.</t>
  </si>
  <si>
    <t xml:space="preserve">Reguladores/legisladores, Demanda (Desarrolladores)</t>
  </si>
  <si>
    <t xml:space="preserve">Inobservancia del paso de evitación en leyes de protección de humedales</t>
  </si>
  <si>
    <t xml:space="preserve">Demuestra la omisión sistemática de la etapa de evitación en la aplicación de leyes de humedales en Alberta.</t>
  </si>
  <si>
    <t xml:space="preserve">Damiens et al.</t>
  </si>
  <si>
    <t xml:space="preserve">Governing for 'no net loss' of biodiversity over the long term: challenges and pathways</t>
  </si>
  <si>
    <t xml:space="preserve">Examina los desafíos jurídicos y de financiamiento para asegurar la permanencia de las compensaciones.</t>
  </si>
  <si>
    <t xml:space="preserve">Devenish et al.</t>
  </si>
  <si>
    <t xml:space="preserve">On track to achieve no net loss of forest at Madagascar's biggest mine</t>
  </si>
  <si>
    <t xml:space="preserve">Demanda (Minería Ambatovy), Oferta (Comunidades locales), ONGs</t>
  </si>
  <si>
    <t xml:space="preserve">Madagascar</t>
  </si>
  <si>
    <t xml:space="preserve">Bosques húmedos tropicales</t>
  </si>
  <si>
    <t xml:space="preserve">Evaluación rigurosa que demuestra el logro de No Net Loss en la mina de níquel Ambatovy mediante bosques evitados.</t>
  </si>
  <si>
    <t xml:space="preserve">On Track to Achieve No Net Loss of Forest at Madagascar's Biggest Mine</t>
  </si>
  <si>
    <t xml:space="preserve">Demanda (Minería Ambatovy), Oferta (Comunidades locales), Reguladores, ONGs</t>
  </si>
  <si>
    <t xml:space="preserve">Bosques húmedos tropicales madagascarenses</t>
  </si>
  <si>
    <t xml:space="preserve">Estudio empírico riguroso que evalúa el cumplimiento del objetivo NNL de bosque en la gran mina de níquel Ambatovy.</t>
  </si>
  <si>
    <t xml:space="preserve">Demanda (Minería Ambatovy), Reguladores, Oferta (Comunidades)</t>
  </si>
  <si>
    <t xml:space="preserve">Demuestra cuantitativamente el logro de No Net Loss de bosque en un proyecto minero a gran escala mediante rigurosa conservación.</t>
  </si>
  <si>
    <t xml:space="preserve">Duffus et al.</t>
  </si>
  <si>
    <t xml:space="preserve">Leveraging Biodiversity Net Gain to address invertebrate declines in England</t>
  </si>
  <si>
    <t xml:space="preserve">Inglaterra</t>
  </si>
  <si>
    <t xml:space="preserve">Hábitats de invertebrados</t>
  </si>
  <si>
    <t xml:space="preserve">Analiza los vacíos en la métrica BNG para capturar la diversidad e importancia de los invertebrados.</t>
  </si>
  <si>
    <t xml:space="preserve">Leveraging Biodiversity Net Gain to Address Invertebrate Declines in England</t>
  </si>
  <si>
    <t xml:space="preserve">Reino Unido (Inglaterra)</t>
  </si>
  <si>
    <t xml:space="preserve">Hábitats de invertebrados y BNG</t>
  </si>
  <si>
    <t xml:space="preserve">Critica las limitaciones de la métrica BNG de Inglaterra para capturar el declive de invertebrados y propone mejoras.</t>
  </si>
  <si>
    <t xml:space="preserve">Gelot &amp; Bigard</t>
  </si>
  <si>
    <t xml:space="preserve">Challenges to developing mitigation hierarchy policy: findings from database analysis in France</t>
  </si>
  <si>
    <t xml:space="preserve">Análisis de la base de datos nacional francesa mostrando fallas sistemáticas en la aplicación de la evitación.</t>
  </si>
  <si>
    <t xml:space="preserve">Gibbons et al.</t>
  </si>
  <si>
    <t xml:space="preserve">Outcomes from 10 years of biodiversity offsetting</t>
  </si>
  <si>
    <t xml:space="preserve">Vegetación nativa</t>
  </si>
  <si>
    <t xml:space="preserve">Muestra que el 87% de la tala de vegetación en NSW ocurrió bajo exenciones sin requerir compensación.</t>
  </si>
  <si>
    <t xml:space="preserve">Githiru et al.</t>
  </si>
  <si>
    <t xml:space="preserve">Should biodiversity offsets help finance underfunded Protected Areas?</t>
  </si>
  <si>
    <t xml:space="preserve">Reguladores, Demanda (Sectores extractivos), Oferta (Gestores de AP)</t>
  </si>
  <si>
    <t xml:space="preserve">Kenia / Global</t>
  </si>
  <si>
    <t xml:space="preserve">Áreas Protegidas</t>
  </si>
  <si>
    <t xml:space="preserve">Debate sobre los riesgos de transferencia de costos (*cost shifting*) al usar compensaciones para financiar Áreas Protegidas.</t>
  </si>
  <si>
    <t xml:space="preserve">Should biodiversity offsets help finance underfunded protected areas?</t>
  </si>
  <si>
    <t xml:space="preserve">Reguladores/legisladores, Demanda (Industria), Oferta (Gestores de áreas protegidas)</t>
  </si>
  <si>
    <t xml:space="preserve">Áreas Protegidas subfinanciadas y hábitats amenazados</t>
  </si>
  <si>
    <t xml:space="preserve">Discute la controversia de canalizar fondos de compensaciones de biodiversidad corporativas para financiar Áreas Protegidas públicas.</t>
  </si>
  <si>
    <t xml:space="preserve">Reguladores/legisladores, Demanda (industria extractiva), Oferta (administradores de AP)</t>
  </si>
  <si>
    <t xml:space="preserve">Global / Kenia</t>
  </si>
  <si>
    <t xml:space="preserve">Áreas Protegidas y bosques tropicales</t>
  </si>
  <si>
    <t xml:space="preserve">Discute los riesgos de justificar impactos ambientales destructivos mediante pagos a Áreas Protegidas.</t>
  </si>
  <si>
    <t xml:space="preserve">Jacob et al.</t>
  </si>
  <si>
    <t xml:space="preserve">Marine biodiversity offsets: Pragmatic approaches toward better conservation outcomes</t>
  </si>
  <si>
    <t xml:space="preserve">Demanda (Puertos, Eólica marina), Reguladores, Científicos</t>
  </si>
  <si>
    <t xml:space="preserve">Ecosistemas marinos y costeros</t>
  </si>
  <si>
    <t xml:space="preserve">Análisis sobre la adaptación de marcos de compensación al medio marino (arrecifes, dunas, aves marinas).</t>
  </si>
  <si>
    <t xml:space="preserve">Jones &amp; Bull</t>
  </si>
  <si>
    <t xml:space="preserve">Major dams and the challenge of achieving 'No Net Loss' of biodiversity in the tropics</t>
  </si>
  <si>
    <t xml:space="preserve">Demanda (Hidroeléctricas), Reguladores, Oferta</t>
  </si>
  <si>
    <t xml:space="preserve">Trópicos</t>
  </si>
  <si>
    <t xml:space="preserve">Ríos tropicales y bosques de ribera</t>
  </si>
  <si>
    <t xml:space="preserve">Analiza los límites insuperables para compensar impactos de grandes represas en ríos tropicales.</t>
  </si>
  <si>
    <t xml:space="preserve">Josefsson et al.</t>
  </si>
  <si>
    <t xml:space="preserve">Compensating for lost nature values through biodiversity offsetting - Where is the evidence?</t>
  </si>
  <si>
    <t xml:space="preserve">Revisión sistemática que evidencia la escasez de pruebas empíricas de éxito ecológico en compensaciones.</t>
  </si>
  <si>
    <t xml:space="preserve">Kennedy et al.</t>
  </si>
  <si>
    <t xml:space="preserve">Bigger is better: Improved nature conservation and economic returns from landscape-level mitigation</t>
  </si>
  <si>
    <t xml:space="preserve">Demanda (Energía, Minería), Reguladores, Oferta</t>
  </si>
  <si>
    <t xml:space="preserve">Matorral y pastizales</t>
  </si>
  <si>
    <t xml:space="preserve">Modela las ventajas ecológicas y económicas de agregar compensaciones a escala de paisaje frente a sitios aislados.</t>
  </si>
  <si>
    <t xml:space="preserve">Mancini et al.</t>
  </si>
  <si>
    <t xml:space="preserve">Biodiversity offsets perform poorly for both people and nature, but better approaches are available</t>
  </si>
  <si>
    <t xml:space="preserve">Comunidad científica, Oferta, Demanda, Reguladores</t>
  </si>
  <si>
    <t xml:space="preserve">Comunidades rurales y hábitats</t>
  </si>
  <si>
    <t xml:space="preserve">Critica el desempeño de las compensaciones y propone vincular los incentivos a metas jurisdiccionales.</t>
  </si>
  <si>
    <t xml:space="preserve">Maron et al.</t>
  </si>
  <si>
    <t xml:space="preserve">The many meanings of no net loss in environmental policy</t>
  </si>
  <si>
    <t xml:space="preserve">Desglosa los diferentes significados de No Net Loss (relativo vs. absoluto, estático vs. dinámico).</t>
  </si>
  <si>
    <t xml:space="preserve">Reguladores/legisladores, Comunidad científica, Demanda</t>
  </si>
  <si>
    <t xml:space="preserve">Ecosistemas sujetos a offsets</t>
  </si>
  <si>
    <t xml:space="preserve">Clarifica las diversas interpretaciones conceptuales y contables del objetivo 'No Net Loss' en políticas públicas.</t>
  </si>
  <si>
    <t xml:space="preserve">Biodiversity offsets, their effectiveness and role in a nature positive future</t>
  </si>
  <si>
    <t xml:space="preserve">Revisión actualizada sobre el papel de las compensaciones en el marco de 'Nature Positive' y aditividad.</t>
  </si>
  <si>
    <t xml:space="preserve">England's statutory biodiversity metric enhances plant, but not bird nor butterfly, biodiversity</t>
  </si>
  <si>
    <t xml:space="preserve">Hábitats británicos</t>
  </si>
  <si>
    <t xml:space="preserve">Demuestra empíricamente que la métrica BNG favorece plantas pero no garantiza ganancias en aves ni mariposas.</t>
  </si>
  <si>
    <t xml:space="preserve">Maseyk et al.</t>
  </si>
  <si>
    <t xml:space="preserve">Improving averted loss estimates for better biodiversity outcomes from offset exchanges</t>
  </si>
  <si>
    <t xml:space="preserve">Nueva Zelanda / Global</t>
  </si>
  <si>
    <t xml:space="preserve">Bosques nativos</t>
  </si>
  <si>
    <t xml:space="preserve">Propone métodos para evitar la sobreestimación de ganancias en compensaciones de pérdida evitada.</t>
  </si>
  <si>
    <t xml:space="preserve">Improving Averted Loss Estimates for Better Biodiversity Outcomes From Offset Exchanges</t>
  </si>
  <si>
    <t xml:space="preserve">Reguladores/legisladores, Demanda, Comunidad científica</t>
  </si>
  <si>
    <t xml:space="preserve">Hábitats amenazados</t>
  </si>
  <si>
    <t xml:space="preserve">Propone métodos para evitar la inflación desmedida en estimaciones de 'pérdida evitada' en intercambios de compensación.</t>
  </si>
  <si>
    <t xml:space="preserve">McKenney &amp; Kiesecker</t>
  </si>
  <si>
    <t xml:space="preserve">Policy Development for Biodiversity Offsets: A Review of Offset Frameworks</t>
  </si>
  <si>
    <t xml:space="preserve">Análisis comparativo de marcos de políticas de compensación en EE. UU., Australia, Brasil y Canadá.</t>
  </si>
  <si>
    <t xml:space="preserve">Moilanen et al.</t>
  </si>
  <si>
    <t xml:space="preserve">How Much Compensation is Enough? Incorporating Uncertainty and Time Discounting in Offset Ratios</t>
  </si>
  <si>
    <t xml:space="preserve">Hábitats generales</t>
  </si>
  <si>
    <t xml:space="preserve">Desarrolla el marco matemático para calcular multiplicadores de compensación considerando incertidumbre y desfase temporal.</t>
  </si>
  <si>
    <t xml:space="preserve">Narain et al.</t>
  </si>
  <si>
    <t xml:space="preserve">Global assessment of the biodiversity safeguards of development banks that finance infrastructure</t>
  </si>
  <si>
    <t xml:space="preserve">Demanda (Bancos de desarrollo), Reguladores</t>
  </si>
  <si>
    <t xml:space="preserve">Global (155 bancos)</t>
  </si>
  <si>
    <t xml:space="preserve">Infraestructura global</t>
  </si>
  <si>
    <t xml:space="preserve">Evaluación que revela que solo el 42% de los bancos de desarrollo con &gt;$500M aplican salvaguardas de biodiversidad.</t>
  </si>
  <si>
    <t xml:space="preserve">Pascoe et al.</t>
  </si>
  <si>
    <t xml:space="preserve">Offset payments can reduce environmental impacts of urban development</t>
  </si>
  <si>
    <t xml:space="preserve">Demanda (Desarrolladores urbanos), Reguladores</t>
  </si>
  <si>
    <t xml:space="preserve">Zonas urbanas</t>
  </si>
  <si>
    <t xml:space="preserve">Demuestra que encarecer los costos de compensación incentiva a los desarrolladores a evitar impactos iniciales.</t>
  </si>
  <si>
    <t xml:space="preserve">Phalan et al.</t>
  </si>
  <si>
    <t xml:space="preserve">Avoiding impacts on biodiversity through strengthening the first stage of the mitigation hierarchy</t>
  </si>
  <si>
    <t xml:space="preserve">Áreas de alta biodiversidad</t>
  </si>
  <si>
    <t xml:space="preserve">Resalta la urgencia de legislar e imponer la evitación estricta como primer paso de la jerarquía de mitigación.</t>
  </si>
  <si>
    <t xml:space="preserve">Rampling et al.</t>
  </si>
  <si>
    <t xml:space="preserve">Achieving biodiversity net gain by addressing governance gaps underpinning ecological compensation</t>
  </si>
  <si>
    <t xml:space="preserve">Identifica vacíos de gobernanza y riesgos de incumplimiento en el 27% de las unidades BNG creadas in-site.</t>
  </si>
  <si>
    <t xml:space="preserve">Rossberg et al.</t>
  </si>
  <si>
    <t xml:space="preserve">A metric for tradable biodiversity credits quantifying impacts on global extinction risk</t>
  </si>
  <si>
    <t xml:space="preserve">Comunidad científica, Demanda (Empresas de cadena de valor)</t>
  </si>
  <si>
    <t xml:space="preserve">Desarrolla una métrica basada en el riesgo de extinción global para evaluar créditos de biodiversidad en cadenas de valor.</t>
  </si>
  <si>
    <t xml:space="preserve">A Metric for Tradable Biodiversity Credits Quantifying Impacts on Global Extinction Risk</t>
  </si>
  <si>
    <t xml:space="preserve">Comunidad científica, Certificadores, Demanda</t>
  </si>
  <si>
    <t xml:space="preserve">Métricas de riesgo de extinción de especies</t>
  </si>
  <si>
    <t xml:space="preserve">Desarrolla una métrica cuantitativa para créditos de biodiversidad basada en el impacto en el riesgo global de extinción.</t>
  </si>
  <si>
    <t xml:space="preserve">Simmonds et al.</t>
  </si>
  <si>
    <t xml:space="preserve">Moving from biodiversity offsets to a target-based approach for ecological compensation</t>
  </si>
  <si>
    <t xml:space="preserve">Propone sustituir las compensaciones basadas en escenarios contrafácticos por compensaciones basadas en metas jurisdiccionales.</t>
  </si>
  <si>
    <t xml:space="preserve">Simpson et al.</t>
  </si>
  <si>
    <t xml:space="preserve">Understanding the Performance of Biodiversity Offset Markets: Evidence from an Integrated Model</t>
  </si>
  <si>
    <t xml:space="preserve">EE. UU. / Global</t>
  </si>
  <si>
    <t xml:space="preserve">Bancos de mitigación</t>
  </si>
  <si>
    <t xml:space="preserve">Modela el desempeño ecológico-económico de los mercados de compensación bajo reglas de flexibilidad espacial.</t>
  </si>
  <si>
    <t xml:space="preserve">Tarabon et al.</t>
  </si>
  <si>
    <t xml:space="preserve">Pooling biodiversity offsets to improve habitat connectivity and species conservation</t>
  </si>
  <si>
    <t xml:space="preserve">Redes ecológicas</t>
  </si>
  <si>
    <t xml:space="preserve">Demuestra que agrupar compensaciones a escala de paisaje incrementa un 103% la conectividad ecológica.</t>
  </si>
  <si>
    <t xml:space="preserve">Ten Kate et al.</t>
  </si>
  <si>
    <t xml:space="preserve">Biodiversity Offsets: Views, experiences and the business case</t>
  </si>
  <si>
    <t xml:space="preserve">Demanda (Empresas), Reguladores, ONGs</t>
  </si>
  <si>
    <t xml:space="preserve">Sectores extractivos</t>
  </si>
  <si>
    <t xml:space="preserve">Estudio pionero de la UICN sobre el caso de negocio y motivaciones corporativas para adoptar compensaciones.</t>
  </si>
  <si>
    <t xml:space="preserve">zu Ermgassen et al.</t>
  </si>
  <si>
    <t xml:space="preserve">The ecological outcomes of biodiversity offsets under 'no net loss' policies: A global review</t>
  </si>
  <si>
    <t xml:space="preserve">Global (24 proyectos en profundidad)</t>
  </si>
  <si>
    <t xml:space="preserve">Revisión global que muestra que solo el 38% de los proyectos analizados lograron No Net Loss en todas sus variables.</t>
  </si>
  <si>
    <t xml:space="preserve">The Ecological Outcomes of Biodiversity Offsets Under 'No Net Loss' Policies: A Global Review</t>
  </si>
  <si>
    <t xml:space="preserve">Estudios de caso de compensación ecológica</t>
  </si>
  <si>
    <t xml:space="preserve">Revisión global que demuestra que la mayoría de los esquemas de compensación no logran demostrar resultados ecológicos de NNL.</t>
  </si>
  <si>
    <t xml:space="preserve">The ecological outcomes of biodiversity offsets under 'no net loss' policies: a global review</t>
  </si>
  <si>
    <t xml:space="preserve">Cuantitativo / Revisión global</t>
  </si>
  <si>
    <t xml:space="preserve">Resultados ecológicos empíricos de políticas No Net Loss</t>
  </si>
  <si>
    <t xml:space="preserve">Revisión sistemática global que revela que la mayoría de offsets no logran el objetivo de No Net Loss.</t>
  </si>
  <si>
    <t xml:space="preserve">zu Ermgassen et al., 2022</t>
  </si>
  <si>
    <t xml:space="preserve">Are corporate biodiversity commitments consistent with delivering 'nature-positive' outcomes?</t>
  </si>
  <si>
    <t xml:space="preserve">Demanda (Grandes empresas), Comunidad científica</t>
  </si>
  <si>
    <t xml:space="preserve">Global (167 empresas)</t>
  </si>
  <si>
    <t xml:space="preserve">Operaciones corporativas globales</t>
  </si>
  <si>
    <t xml:space="preserve">Evaluación de compromisos corporativos de biodiversidad mostrando falta de consistencia con 'Nature Positive'.</t>
  </si>
  <si>
    <t xml:space="preserve">Are Corporate Biodiversity Commitments Consistent With Delivering 'Nature-Positive' Outcomes?</t>
  </si>
  <si>
    <t xml:space="preserve">Demanda (Empresas corporativas de Fortune 500), Científicos</t>
  </si>
  <si>
    <t xml:space="preserve">Compromisos corporativos de biodiversidad</t>
  </si>
  <si>
    <t xml:space="preserve">Revisa los compromisos de biodiversidad de las mayores empresas del mundo y revela imprecisiones y falta de métricas claras.</t>
  </si>
  <si>
    <t xml:space="preserve">zu Ermgassen et al., 2023</t>
  </si>
  <si>
    <t xml:space="preserve">Evaluating the impact of biodiversity offsetting on native vegetation</t>
  </si>
  <si>
    <t xml:space="preserve">Australia (Victoria)</t>
  </si>
  <si>
    <t xml:space="preserve">Evaluación empírica mostrando que el 47% de las compensaciones en Victoria no ofrecieron aditividad real.</t>
  </si>
  <si>
    <t xml:space="preserve">Evaluating the Impact of Biodiversity Offsetting on Native Vegetation</t>
  </si>
  <si>
    <t xml:space="preserve">Vegetación nativa bajo políticas de offset</t>
  </si>
  <si>
    <t xml:space="preserve">Evaluación de impacto cuantitativa que muestra que los offsets de biodiversidad no lograron evitar pérdidas netas de vegetación.</t>
  </si>
  <si>
    <t xml:space="preserve">Comunidad científica, Reguladores/legisladores, Demanda (Desarrolladores)</t>
  </si>
  <si>
    <t xml:space="preserve">Australia (Victoria) / Global</t>
  </si>
  <si>
    <t xml:space="preserve">Vegetación nativa y bancos de biodiversidad</t>
  </si>
  <si>
    <t xml:space="preserve">Evaluación empírica que demuestra fallas sistemáticas de aditividad y ganancias netas irreales en la compensación de vegetación nativa.</t>
  </si>
  <si>
    <t xml:space="preserve">Zu Ermgassen et al.</t>
  </si>
  <si>
    <t xml:space="preserve">Impacto empírico de la compensación de biodiversidad en vegetación nativa</t>
  </si>
  <si>
    <t xml:space="preserve">Evaluación econométrica que demuestra la falta de aditividad en esquemas de compensación en Australia.</t>
  </si>
  <si>
    <t xml:space="preserve">Blanchard et al.</t>
  </si>
  <si>
    <t xml:space="preserve">Funding forests' climate potential without carbon offsets</t>
  </si>
  <si>
    <t xml:space="preserve">Demanda (Inversores, Empresas), Reguladores</t>
  </si>
  <si>
    <t xml:space="preserve">Aboga por reemplazar el modelo de compensación de carbono por un modelo de 'contribución' a los bosques.</t>
  </si>
  <si>
    <t xml:space="preserve">Ducros &amp; Steele</t>
  </si>
  <si>
    <t xml:space="preserve">Biocredits to Finance Nature and People</t>
  </si>
  <si>
    <t xml:space="preserve">Oferta (Comunidades locales, IPLC), Demanda, Reguladores</t>
  </si>
  <si>
    <t xml:space="preserve">Global / Países en desarrollo</t>
  </si>
  <si>
    <t xml:space="preserve">Ecosistemas comunitarios</t>
  </si>
  <si>
    <t xml:space="preserve">Fundamenta los biocréditos orientados a la equidad social y financiamiento directo a custodios de la naturaleza.</t>
  </si>
  <si>
    <t xml:space="preserve">Oferta (Comunidades locales, IPLC, Agricultores), Demanda, Reguladores</t>
  </si>
  <si>
    <t xml:space="preserve">Bosques comunitarios y agroecosistemas</t>
  </si>
  <si>
    <t xml:space="preserve">Fundamenta el concepto de 'biocréditos' pro-pobre no orientados a la compensación para financiar directamente a custodios locales.</t>
  </si>
  <si>
    <t xml:space="preserve">ECCC</t>
  </si>
  <si>
    <t xml:space="preserve">Evaluation of the Conservation Exchange Pilot</t>
  </si>
  <si>
    <t xml:space="preserve">Reguladores, Demanda (Empresas privadas), Oferta (ONGs)</t>
  </si>
  <si>
    <t xml:space="preserve">Hábitats de valor nacional</t>
  </si>
  <si>
    <t xml:space="preserve">Evaluación del piloto Conservation Exchange de Canadá para emitir certificados respaldados por el gobierno.</t>
  </si>
  <si>
    <t xml:space="preserve">GEF &amp; IIED</t>
  </si>
  <si>
    <t xml:space="preserve">Innovative Finance for Nature and People: Opportunities and challenges with nature certificates</t>
  </si>
  <si>
    <t xml:space="preserve">Demanda (Inversores de impacto), Oferta, Reguladores</t>
  </si>
  <si>
    <t xml:space="preserve">Diferencia los 'certificados de naturaleza' de los 'offsets', destacando que no requieren equivalencia estricta.</t>
  </si>
  <si>
    <t xml:space="preserve">IAPB</t>
  </si>
  <si>
    <t xml:space="preserve">Framework for High Integrity Biodiversity Credit Markets</t>
  </si>
  <si>
    <t xml:space="preserve">Reguladores, Demanda, Oferta (IPLC), Comunidad científica</t>
  </si>
  <si>
    <t xml:space="preserve">Marco del Panel Internacional Asesor sobre Créditos de Biodiversidad con principios de alta integridad.</t>
  </si>
  <si>
    <t xml:space="preserve">IAPB (International Advisory Panel on Biodiversity Credits)</t>
  </si>
  <si>
    <t xml:space="preserve">Reguladores/legisladores, Demanda, Oferta (IPLC), Comunidad científica</t>
  </si>
  <si>
    <t xml:space="preserve">Marco global de alta integridad para la estructuración de créditos de biodiversidad</t>
  </si>
  <si>
    <t xml:space="preserve">Panel asesor internacional copresidido por Francia y Reino Unido para guiar los mercados de créditos de naturaleza.</t>
  </si>
  <si>
    <t xml:space="preserve">Framework for high integrity biodiversity credit markets</t>
  </si>
  <si>
    <t xml:space="preserve">Reguladores/legisladores, Demanda (Sector financiero, Empresas), Oferta (Comunidades locales, IPLC)</t>
  </si>
  <si>
    <t xml:space="preserve">Marco global de alta integridad para créditos de biodiversidad que enfatiza la jerarquía de mitigación y derechos de comunidades.</t>
  </si>
  <si>
    <t xml:space="preserve">International Advisory Panel on Biodiversity Credits (IAPB)</t>
  </si>
  <si>
    <t xml:space="preserve">Reguladores, Demanda, Oferta (IPLC), Científicos</t>
  </si>
  <si>
    <t xml:space="preserve">Mercados de biocréditos de alta integridad</t>
  </si>
  <si>
    <t xml:space="preserve">Marco global de alta integridad para la emisión, demanda y gobernanza transparente de créditos de biodiversidad.</t>
  </si>
  <si>
    <t xml:space="preserve">Reguladores/legisladores, Demanda, Oferta (IPLC), Científicos</t>
  </si>
  <si>
    <t xml:space="preserve">Mercados voluntarios e independientes de créditos de biodiversidad</t>
  </si>
  <si>
    <t xml:space="preserve">Marco de alta integridad del Panel Internacional Asesor que establece principios de gobernanza, equidad para IPLC y no compensación.</t>
  </si>
  <si>
    <t xml:space="preserve">IAPB (International Advisory Panel)</t>
  </si>
  <si>
    <t xml:space="preserve">Reguladores/legisladores, Demanda, Oferta (IPLC, Comunidades), Científicos</t>
  </si>
  <si>
    <t xml:space="preserve">Mercados globales de créditos de biodiversidad</t>
  </si>
  <si>
    <t xml:space="preserve">Marco de alta integridad que rechaza las compensaciones internacionales y exige la co-propiedad y beneficio equitativo para comunidades locales e IPLC.</t>
  </si>
  <si>
    <t xml:space="preserve">Cualitativo / Marco de Principios</t>
  </si>
  <si>
    <t xml:space="preserve">Reguladores/legisladores, Demanda (Empresas, Inversores), Oferta (Pueblos Indígenas, Comunidades Locales - IPLC), Científicos</t>
  </si>
  <si>
    <t xml:space="preserve">Ecosistemas globales gestionados por comunidades e IPLC</t>
  </si>
  <si>
    <t xml:space="preserve">Establece los principios de gobernanza, equidad social y rigor científico para mercados de créditos de biodiversidad de alta integridad, rechazando el offsetting no transparente.</t>
  </si>
  <si>
    <t xml:space="preserve">NatureFinance</t>
  </si>
  <si>
    <t xml:space="preserve">Biodiversity Credit Markets: The role of law, regulation and policy</t>
  </si>
  <si>
    <t xml:space="preserve">Reguladores, Sector financiero, Demanda</t>
  </si>
  <si>
    <t xml:space="preserve">Analiza el papel de la ley y la regulación pública para dar credibilidad a los mercados de biocréditos.</t>
  </si>
  <si>
    <t xml:space="preserve">Pollination &amp; Taskforce on Nature Markets</t>
  </si>
  <si>
    <t xml:space="preserve">Biodiversity Credit Markets: The Role of Law, Regulation and Policy</t>
  </si>
  <si>
    <t xml:space="preserve">Reguladores/legisladores, Demanda, Oferta (IPLC, Propietarios), Científicos</t>
  </si>
  <si>
    <t xml:space="preserve">Ecosistemas terrestres y marinos</t>
  </si>
  <si>
    <t xml:space="preserve">Analiza el papel del marco legal y de políticas públicas para estructurar unidades de biocréditos sin confundirlos con compensaciones.</t>
  </si>
  <si>
    <t xml:space="preserve">NatureFinance &amp; Pollination</t>
  </si>
  <si>
    <t xml:space="preserve">Reguladores/legisladores, Demanda, Oferta</t>
  </si>
  <si>
    <t xml:space="preserve">Marcos legales y regulatorios de biocréditos</t>
  </si>
  <si>
    <t xml:space="preserve">Analiza el papel fundamental del derecho, regulación y políticas públicas para la estructuración legal de biocréditos.</t>
  </si>
  <si>
    <t xml:space="preserve">Biodiversity credit markets: The role of law, regulation and policy</t>
  </si>
  <si>
    <t xml:space="preserve">Reguladores/legisladores, Demanda, Oferta (IPLC), Juristas</t>
  </si>
  <si>
    <t xml:space="preserve">Marcos legales, derechos de propiedad y tenencia de la tierra</t>
  </si>
  <si>
    <t xml:space="preserve">Analiza los aspectos jurídicos, derechos de tenencia y opciones de regulación pública para estructurar mercados de biocréditos de alta integridad.</t>
  </si>
  <si>
    <t xml:space="preserve">Pollination and Taskforce on Nature Markets</t>
  </si>
  <si>
    <t xml:space="preserve">Reguladores/legisladores, Demanda (Sector financiero), Oferta, Comunidad científica</t>
  </si>
  <si>
    <t xml:space="preserve">Ecosistemas bajo marcos regulatorios y legales</t>
  </si>
  <si>
    <t xml:space="preserve">Estudio de referencia sobre el marco legal, de gobernanza e integridad necesario para los mercados de biocréditos.</t>
  </si>
  <si>
    <t xml:space="preserve">Pollination</t>
  </si>
  <si>
    <t xml:space="preserve">State of Voluntary Biodiversity Credit Markets</t>
  </si>
  <si>
    <t xml:space="preserve">Demanda (Empresas), Oferta, Administradores de estándares</t>
  </si>
  <si>
    <t xml:space="preserve">Revisión global de 8 esquemas de biocréditos voluntarios y heterogeneidad de sus métricas.</t>
  </si>
  <si>
    <t xml:space="preserve">Pollination Group</t>
  </si>
  <si>
    <t xml:space="preserve">State of voluntary biodiversity credit markets</t>
  </si>
  <si>
    <t xml:space="preserve">Demanda (Inversores, Empresas), Oferta (Desarrolladores), Reguladores</t>
  </si>
  <si>
    <t xml:space="preserve">Análisis del estado de desarrollo de los mercados voluntarios de créditos de biodiversidad</t>
  </si>
  <si>
    <t xml:space="preserve">Informe global sobre la arquitectura, impulsores de demanda e integridad en los mercados de créditos de naturaleza.</t>
  </si>
  <si>
    <t xml:space="preserve">State of Voluntary Biodiversity Credit Markets: Current supply and demand dynamics</t>
  </si>
  <si>
    <t xml:space="preserve">Demanda (Inversores, Empresas), Oferta (Desarrolladores)</t>
  </si>
  <si>
    <t xml:space="preserve">Análisis cuantitativo de la oferta y demanda del mercado de biocréditos ($325k-$1.8M transaccionados).</t>
  </si>
  <si>
    <t xml:space="preserve">Salès et al.</t>
  </si>
  <si>
    <t xml:space="preserve">The place of spatialized ecological information in defining biodiversity offsets policies</t>
  </si>
  <si>
    <t xml:space="preserve">Reguladores, Demanda, Oferta (Bancos de hábitat)</t>
  </si>
  <si>
    <t xml:space="preserve">Colombia, Francia</t>
  </si>
  <si>
    <t xml:space="preserve">Bosques de niebla y hábitats</t>
  </si>
  <si>
    <t xml:space="preserve">Créditos de Naturaleza / Compensaciones</t>
  </si>
  <si>
    <t xml:space="preserve">Compara los bancos de hábitat en Colombia (Terrasos/Tebu) y su transición hacia créditos voluntarios.</t>
  </si>
  <si>
    <t xml:space="preserve">Wauchope et al.</t>
  </si>
  <si>
    <t xml:space="preserve">What is a unit of nature? Measurement challenges in the emerging biodiversity credit market</t>
  </si>
  <si>
    <t xml:space="preserve">Discute las dificultades científicas de definir la 'unidad de naturaleza' y estimar contrafácticos dinámicos.</t>
  </si>
  <si>
    <t xml:space="preserve">What Is a Unit of Nature? Measurement Challenges in the Emerging Biodiversity Credit Market</t>
  </si>
  <si>
    <t xml:space="preserve">Comunidad científica, Reguladores/legisladores, Certificadores</t>
  </si>
  <si>
    <t xml:space="preserve">Unidades contables de biocréditos</t>
  </si>
  <si>
    <t xml:space="preserve">Analiza los desafíos científicos de definir 'una unidad de naturaleza' en los mercados de créditos de biodiversidad.</t>
  </si>
  <si>
    <t xml:space="preserve">Comunidad científica, Reguladores/legisladores, Demanda, Oferta</t>
  </si>
  <si>
    <t xml:space="preserve">Métricas e indicadores de biodiversidad</t>
  </si>
  <si>
    <t xml:space="preserve">Examina los desafíos metodológicos de definir una 'unidad de naturaleza', alertando sobre el riesgo de 'comercializar ruido' por errores de medición.</t>
  </si>
  <si>
    <t xml:space="preserve">WEF</t>
  </si>
  <si>
    <t xml:space="preserve">Biodiversity Credits: Unlocking Financial Markets for Nature-Positive Outcomes</t>
  </si>
  <si>
    <t xml:space="preserve">Demanda (Sector financiero, Empresas), Reguladores, Oferta</t>
  </si>
  <si>
    <t xml:space="preserve">Documento de lanzamiento de la iniciativa de biocréditos del Foro Económico Mundial.</t>
  </si>
  <si>
    <t xml:space="preserve">Demanda (Empresas, Sector financiero), Reguladores/legisladores, Oferta (Comunidades locales)</t>
  </si>
  <si>
    <t xml:space="preserve">Múltiples ecosistemas prioritarios de biodiversidad</t>
  </si>
  <si>
    <t xml:space="preserve">Briefing paper fundacional que conceptualiza los créditos de biodiversidad diferenciándolos de la compensación directa (offsets).</t>
  </si>
  <si>
    <t xml:space="preserve">WEF (World Economic Forum)</t>
  </si>
  <si>
    <t xml:space="preserve">Biodiversity Credits: Unlocking Financial Markets for Nature-positive Outcomes</t>
  </si>
  <si>
    <t xml:space="preserve">Demanda (Empresas corporativas, Sector financiero), Reguladores, Oferta</t>
  </si>
  <si>
    <t xml:space="preserve">Hábitats naturales y especies amenazadas</t>
  </si>
  <si>
    <t xml:space="preserve">Documento marco del Foro Económico Mundial que define el mercado voluntario de créditos de biodiversidad para canalizar financiamiento corporativo.</t>
  </si>
  <si>
    <t xml:space="preserve">World Economic Forum (WEF)</t>
  </si>
  <si>
    <t xml:space="preserve">Demanda (Sector financiero, Empresas), Reguladores</t>
  </si>
  <si>
    <t xml:space="preserve">Mercados de créditos de biodiversidad</t>
  </si>
  <si>
    <t xml:space="preserve">Presenta los créditos de biodiversidad como vehículo financiero para canalizar inversión privada hacia la conservación.</t>
  </si>
  <si>
    <t xml:space="preserve">Demanda (Empresas, Sector financiero), Reguladores/legisladores, Oferta</t>
  </si>
  <si>
    <t xml:space="preserve">Mercados financieros y créditos de biodiversidad</t>
  </si>
  <si>
    <t xml:space="preserve">Define el concepto y los principios iniciales para estructurar créditos de biodiversidad que desbloqueen capital privado hacia resultados positivos.</t>
  </si>
  <si>
    <t xml:space="preserve">Demanda (Sector financiero, Empresas corporativas), Reguladores/legisladores</t>
  </si>
  <si>
    <t xml:space="preserve">Ecosistemas e infraestructura financiera verde</t>
  </si>
  <si>
    <t xml:space="preserve">Iniciativa del WEF para desbloquear mercados de capitales privados mediante créditos de biodiversidad.</t>
  </si>
  <si>
    <t xml:space="preserve">World Economic Forum</t>
  </si>
  <si>
    <t xml:space="preserve">Demanda, Oferta, Reguladores/legisladores, Sector financiero</t>
  </si>
  <si>
    <t xml:space="preserve">Mercados financieros y soluciones basadas en la naturaleza</t>
  </si>
  <si>
    <t xml:space="preserve">Documento de visión inicial del WEF que exploró el potencial de los biocréditos para movilizar capital privado.</t>
  </si>
  <si>
    <t xml:space="preserve">Biodiversity Credits: A guide to support early use with high integrity</t>
  </si>
  <si>
    <t xml:space="preserve">Demanda (Empresas), Reguladores, Oferta</t>
  </si>
  <si>
    <t xml:space="preserve">Guía del WEF con principios de integridad para compradores tempranos corporativos de biocréditos.</t>
  </si>
  <si>
    <t xml:space="preserve">Biodiversity Credits: A Guide to Support Early Use with High Integrity</t>
  </si>
  <si>
    <t xml:space="preserve">Cualitativo / Guía</t>
  </si>
  <si>
    <t xml:space="preserve">Demanda (Empresas, Inversores), Oferta, Reguladores</t>
  </si>
  <si>
    <t xml:space="preserve">Ecosistemas vulnerables y conservación</t>
  </si>
  <si>
    <t xml:space="preserve">Guía práctica del WEF para promover el uso temprano de créditos de biodiversidad garantizando alta integridad.</t>
  </si>
  <si>
    <t xml:space="preserve">Nature Finance and Biodiversity Credits: A Private Sector RoadMap</t>
  </si>
  <si>
    <t xml:space="preserve">Demanda (Empresas, Sector financiero), Reguladores</t>
  </si>
  <si>
    <t xml:space="preserve">Hoja de ruta para el sector privado para canalizar inversión mediante créditos de biodiversidad de alta integridad.</t>
  </si>
  <si>
    <t xml:space="preserve">Wetterberg et al.</t>
  </si>
  <si>
    <t xml:space="preserve">The interplay between voluntary and compliance carbon markets: Implications for environmental integrity</t>
  </si>
  <si>
    <t xml:space="preserve">Mercados de carbono</t>
  </si>
  <si>
    <t xml:space="preserve">Analiza la interacción entre mercados voluntarios y de cumplimiento y lecciones sobre integridad contable.</t>
  </si>
  <si>
    <t xml:space="preserve">Wetterberg, Ellis &amp; Schneider / OECD</t>
  </si>
  <si>
    <t xml:space="preserve">Reguladores/legisladores, Demanda (Empresas), Certificadores</t>
  </si>
  <si>
    <t xml:space="preserve">Mercados voluntarios vs. sistemas regulados (ETS / Art. 6)</t>
  </si>
  <si>
    <t xml:space="preserve">Analiza la interacción entre mercados voluntarios y regulados bajo el Artículo 6 del Acuerdo de París para preservar la aditividad.</t>
  </si>
  <si>
    <t xml:space="preserve">Exploring governments efforts to share carbon credit markets</t>
  </si>
  <si>
    <t xml:space="preserve">Examina el papel de las regulaciones públicas (ej. Directivas UE de Green Claims) para evitar el greenwashing.</t>
  </si>
  <si>
    <t xml:space="preserve">White et al.</t>
  </si>
  <si>
    <t xml:space="preserve">Principles for using evidence to improve biodiversity impact mitigation by business</t>
  </si>
  <si>
    <t xml:space="preserve">Demanda (Empresas corporativas), Comunidad científica</t>
  </si>
  <si>
    <t xml:space="preserve">Operaciones comerciales</t>
  </si>
  <si>
    <t xml:space="preserve">Principios para fundamentar en evidencia científica la mitigación de impactos corporativos en biodiversidad.</t>
  </si>
  <si>
    <t xml:space="preserve">Principles for Using Evidence to Improve Biodiversity Impact Mitigation by Business</t>
  </si>
  <si>
    <t xml:space="preserve">Demanda (Empresas), Comunidad científica</t>
  </si>
  <si>
    <t xml:space="preserve">Mitigación basada en evidencia</t>
  </si>
  <si>
    <t xml:space="preserve">Establece principios clave para que las empresas utilicen evidencia científica en sus estrategias de mitigación de impacto.</t>
  </si>
  <si>
    <t xml:space="preserve">Biodiversity credits: learning lessons from other approaches to incentivize conservation</t>
  </si>
  <si>
    <t xml:space="preserve">Global (34 iniciativas)</t>
  </si>
  <si>
    <t xml:space="preserve">Análisis empírico de 34 proyectos piloto de biocréditos en el mundo y lecciones aprendidas del VCM.</t>
  </si>
  <si>
    <t xml:space="preserve">Comunidad científica, Reguladores/legisladores, Oferta, Demanda</t>
  </si>
  <si>
    <t xml:space="preserve">Lecciones aprendidas de PES, REDD+ y compensaciones</t>
  </si>
  <si>
    <t xml:space="preserve">Análisis comparativo de 34 iniciativas de biocréditos y extracción de lecciones de los fracasos y éxitos del VCM y PES.</t>
  </si>
  <si>
    <t xml:space="preserve">Lecciones comparadas de PES, offsets y certificación</t>
  </si>
  <si>
    <t xml:space="preserve">Analiza de forma comparada las lecciones de otros mecanismos de conservación para evitar trampas en el diseño de créditos de biodiversidad.</t>
  </si>
  <si>
    <t xml:space="preserve">Lecciones aprendidas de PES, REDD+ y compensaciones para biocréditos</t>
  </si>
  <si>
    <t xml:space="preserve">Sintetiza lecciones de 30 años de PES y compensaciones para evitar repetir errores en biocréditos.</t>
  </si>
  <si>
    <t xml:space="preserve">Cooley &amp; Olander</t>
  </si>
  <si>
    <t xml:space="preserve">Stacking Ecosystem Services Payments: Risks and Solutions</t>
  </si>
  <si>
    <t xml:space="preserve">Reguladores, Comunidad científica, Oferta, Demanda</t>
  </si>
  <si>
    <t xml:space="preserve">Pagos por Servicios Ecosistémicos (PES) / Compensaciones</t>
  </si>
  <si>
    <t xml:space="preserve">Examina los riesgos de aditividad y doble contabilización al apilar (*stacking*) créditos de agua, carbono y biodiversidad.</t>
  </si>
  <si>
    <t xml:space="preserve">Reguladores/legisladores, Demanda, Oferta (Propietarios)</t>
  </si>
  <si>
    <t xml:space="preserve">Servicios ecosistémicos múltiples</t>
  </si>
  <si>
    <t xml:space="preserve">Analiza los riesgos de doble contabilidad y pérdida de aditividad al apilar (stacking) pagos por múltiples servicios ecosistémicos.</t>
  </si>
  <si>
    <t xml:space="preserve">Curtis et al.</t>
  </si>
  <si>
    <t xml:space="preserve">Stacking and Bundling: Background Paper</t>
  </si>
  <si>
    <t xml:space="preserve">Paisajes rurales</t>
  </si>
  <si>
    <t xml:space="preserve">Análisis sobre la combinación de pagos públicos y privados en mercados de recuperación de la naturaleza.</t>
  </si>
  <si>
    <t xml:space="preserve">Donatti et al.</t>
  </si>
  <si>
    <t xml:space="preserve">Ensuring that nature-based solutions for climate mitigation address multiple global challenges</t>
  </si>
  <si>
    <t xml:space="preserve">Propone salvaguardas para garantizar que las Soluciones Basadas en la Naturaleza no sacrifiquen la biodiversidad.</t>
  </si>
  <si>
    <t xml:space="preserve">Griscom et al.</t>
  </si>
  <si>
    <t xml:space="preserve">Natural climate solutions</t>
  </si>
  <si>
    <t xml:space="preserve">Bosques, humedales, pastizales, agricultura</t>
  </si>
  <si>
    <t xml:space="preserve">Cuantifica el potencial global de mitigación de 23 Soluciones Clima-Naturaleza (23.8 Gt CO2e/año).</t>
  </si>
  <si>
    <t xml:space="preserve">Bosques, humedales y tierras agrícolas</t>
  </si>
  <si>
    <t xml:space="preserve">Demuestra que las soluciones basadas en la naturaleza pueden aportar el 37% de la mitigación de emisiones rentable hacia 2030.</t>
  </si>
  <si>
    <t xml:space="preserve">Reguladores/legisladores, Demanda (Mercados de carbono), Comunidad científica</t>
  </si>
  <si>
    <t xml:space="preserve">Bosques, humedales, pastizales y agricultura</t>
  </si>
  <si>
    <t xml:space="preserve">Cuantifica la capacidad de las soluciones basadas en la naturaleza para aportar 37% de la mitigación climática a 2030.</t>
  </si>
  <si>
    <t xml:space="preserve">Lankoski et al.</t>
  </si>
  <si>
    <t xml:space="preserve">Environmental Co-benefits and Stacking in Environmental Markets</t>
  </si>
  <si>
    <t xml:space="preserve">EE. UU. (Corn Belt) / OECD</t>
  </si>
  <si>
    <t xml:space="preserve">Modela el impacto de apilar créditos de calidad de agua y carbono en la adopción de prácticas sostenibles.</t>
  </si>
  <si>
    <t xml:space="preserve">Lewis et al.</t>
  </si>
  <si>
    <t xml:space="preserve">Restoring natural forests is the best way to remove atmospheric carbon</t>
  </si>
  <si>
    <t xml:space="preserve">Bosques naturales vs. monocultivos</t>
  </si>
  <si>
    <t xml:space="preserve">Demuestra que restaurar bosques naturales captura 40 veces más carbono que las plantaciones en monocultivo.</t>
  </si>
  <si>
    <t xml:space="preserve">Reimagining financing for the SDGs: From filling gaps to shaping finance</t>
  </si>
  <si>
    <t xml:space="preserve">Reguladores, Sector financiero, Bancos de desarrollo</t>
  </si>
  <si>
    <t xml:space="preserve">Sistemas económicos</t>
  </si>
  <si>
    <t xml:space="preserve">Propone reorientar las finanzas públicas para dirigir la inversión privada hacia misiones de sostenibilidad.</t>
  </si>
  <si>
    <t xml:space="preserve">Nalle et al.</t>
  </si>
  <si>
    <t xml:space="preserve">Modeling joint production of wildlife and timber</t>
  </si>
  <si>
    <t xml:space="preserve">Oferta (Silvicultores), Comunidad científica</t>
  </si>
  <si>
    <t xml:space="preserve">EE. UU. (Pacífico Noroeste)</t>
  </si>
  <si>
    <t xml:space="preserve">Bosques madereros</t>
  </si>
  <si>
    <t xml:space="preserve">Modela las curvas de producción conjunta entre hábitat de fauna silvestre y extracción maderera.</t>
  </si>
  <si>
    <t xml:space="preserve">Oliver et al.</t>
  </si>
  <si>
    <t xml:space="preserve">Declining resilience of ecosystem functions under biodiversity loss</t>
  </si>
  <si>
    <t xml:space="preserve">Demuestra que la diversidad de especies es fundamental para la resiliencia de las funciones ecosistémicas.</t>
  </si>
  <si>
    <t xml:space="preserve">Poulton</t>
  </si>
  <si>
    <t xml:space="preserve">Stacking of Multiple Environmental Credits: An Alberta Discussion Paper</t>
  </si>
  <si>
    <t xml:space="preserve">Humedales y praderas</t>
  </si>
  <si>
    <t xml:space="preserve">Analiza las reglas del esquema Willamette de apilamiento sin desempaquetado (*stacking without unbundling*).</t>
  </si>
  <si>
    <t xml:space="preserve">Robertson et al.</t>
  </si>
  <si>
    <t xml:space="preserve">Stacking ecosystem services</t>
  </si>
  <si>
    <t xml:space="preserve">Análisis ecológico y jurídico sobre la divisibilidad de las funciones ecosistémicas para la venta de créditos.</t>
  </si>
  <si>
    <t xml:space="preserve">Stacking Ecosystem Services</t>
  </si>
  <si>
    <t xml:space="preserve">Humedales, bosques y servicios ambientales</t>
  </si>
  <si>
    <t xml:space="preserve">Examina las dificultades regulatorias y de aditividad asociadas al apilamiento de pagos por servicios ecosistémicos.</t>
  </si>
  <si>
    <t xml:space="preserve">Seddon et al.</t>
  </si>
  <si>
    <t xml:space="preserve">Understanding the value and limits of nature-based solutions to climate change</t>
  </si>
  <si>
    <t xml:space="preserve">Advierte sobre los límites de las NbS y la necesidad de priorizar la descarbonización profunda de la economía.</t>
  </si>
  <si>
    <t xml:space="preserve">Cualitativo / Revisión</t>
  </si>
  <si>
    <t xml:space="preserve">Bosques, humedales, manglares e infraestructura verde</t>
  </si>
  <si>
    <t xml:space="preserve">Publicación hito en *Philosophical Transactions B* sobre los límites, salvaguardas e integridad de las NbS.</t>
  </si>
  <si>
    <t xml:space="preserve">Smith et al.</t>
  </si>
  <si>
    <t xml:space="preserve">Impacts on terrestrial biodiversity of moving from a 2°C to a 1.5°C target</t>
  </si>
  <si>
    <t xml:space="preserve">Biomas terrestres globales</t>
  </si>
  <si>
    <t xml:space="preserve">Modela la reducción dramática de riesgos para la biodiversidad al limitar el calentamiento global a 1.5°C.</t>
  </si>
  <si>
    <t xml:space="preserve">von Hase &amp; Cassin</t>
  </si>
  <si>
    <t xml:space="preserve">Theory and Practice of Stacking and Bundling Ecosystem Goods and Services</t>
  </si>
  <si>
    <t xml:space="preserve">Comunidad científica, Reguladores, Demanda, Oferta</t>
  </si>
  <si>
    <t xml:space="preserve">Documento de recursos del BBOP sobre la teoría, riesgos contables y práctica de empaquetar y apilar servicios.</t>
  </si>
  <si>
    <t xml:space="preserve">zu Ermgassen et al., 2025</t>
  </si>
  <si>
    <t xml:space="preserve">The current state, opportunities and challenges for upscaling private investment in biodiversity in Europe</t>
  </si>
  <si>
    <t xml:space="preserve">Reguladores, Demanda (Inversores privados), Oferta</t>
  </si>
  <si>
    <t xml:space="preserve">Ecosistemas europeos</t>
  </si>
  <si>
    <t xml:space="preserve">Analiza el estado actual, fallas de mercado y oportunidades para escalar la inversión privada en biodiversidad en la UE.</t>
  </si>
  <si>
    <t xml:space="preserve">The Current State, Opportunities and Challenges for Upscaling Private Investment in Biodiversity in Europe</t>
  </si>
  <si>
    <t xml:space="preserve">Demanda (Inversores privados), Reguladores, Científicos</t>
  </si>
  <si>
    <t xml:space="preserve">Inversión privada en biodiversidad en la UE</t>
  </si>
  <si>
    <t xml:space="preserve">Analiza el estado, oportunidades y barreras para escalar la inversión privada en biodiversidad en la UE.</t>
  </si>
  <si>
    <t xml:space="preserve">Demanda (Inversores de capital, sector financiero), Reguladores</t>
  </si>
  <si>
    <t xml:space="preserve">Diversos</t>
  </si>
  <si>
    <t xml:space="preserve">Aborda los desafíos para el escalamiento de la inversión privada en conservación de la biodiversidad en Europa.</t>
  </si>
  <si>
    <t xml:space="preserve">ECB (European Central Bank)</t>
  </si>
  <si>
    <t xml:space="preserve">Speech: 'Nature's bell tolls for thee, economy!'</t>
  </si>
  <si>
    <t xml:space="preserve">Demanda (Sector financiero, Bancos centrales), Reguladores/legisladores</t>
  </si>
  <si>
    <t xml:space="preserve">Unión Europea / Zona Euro</t>
  </si>
  <si>
    <t xml:space="preserve">Ecosistemas terrestres y marinos que sustentan la estabilidad económica</t>
  </si>
  <si>
    <t xml:space="preserve">Discurso de la Junta Ejecutiva del BCE resaltando la urgencia de evaluar los riesgos financieros de la pérdida de biodiversidad.</t>
  </si>
  <si>
    <t xml:space="preserve">CBD (Convention on Biological Diversity)</t>
  </si>
  <si>
    <t xml:space="preserve">Article 2, Convention on Biological Diversity &amp; IPBES Conceptual Framework</t>
  </si>
  <si>
    <t xml:space="preserve">Reguladores/legisladores, Comunidad científica</t>
  </si>
  <si>
    <t xml:space="preserve">Diversidad genética, de especies y de ecosistemas terrestres y acuáticos</t>
  </si>
  <si>
    <t xml:space="preserve">Establece la definición legal fundacional de biodiversidad e interacciones del marco conceptual de la naturaleza.</t>
  </si>
  <si>
    <t xml:space="preserve">European Commission</t>
  </si>
  <si>
    <t xml:space="preserve">A Vision for Agriculture and Food - Shaping together an attractive farming sector (COM/2025/75 final)</t>
  </si>
  <si>
    <t xml:space="preserve">Oferta (Agricultores, Ganaderos), Reguladores/legisladores, Demanda</t>
  </si>
  <si>
    <t xml:space="preserve">Suelos agrícolas, tierras de cultivo y cadenas agroalimentarias</t>
  </si>
  <si>
    <t xml:space="preserve">Propone recompensar a los agricultores a través del mercado por sus aportes a la custodia de la naturaleza.</t>
  </si>
  <si>
    <t xml:space="preserve">European Water Resilience strategy (COM(2025) 280 final)</t>
  </si>
  <si>
    <t xml:space="preserve">Reguladores/legisladores, Oferta (Gestores de cuencas), Demanda</t>
  </si>
  <si>
    <t xml:space="preserve">Cuencas de agua dulce, acuíferos y ecosistemas de humedales</t>
  </si>
  <si>
    <t xml:space="preserve">Estrategia comunitaria para promover soluciones basadas en la naturaleza e instrumentos financieros en recursos hídricos.</t>
  </si>
  <si>
    <t xml:space="preserve">The European Ocean Pact (COM(2025) 281 final)</t>
  </si>
  <si>
    <t xml:space="preserve">Reguladores/legisladores, Oferta (Pescadores, Acuicultura), Demanda</t>
  </si>
  <si>
    <t xml:space="preserve">Océanos, mares, zonas costeras y biodiversidad marina</t>
  </si>
  <si>
    <t xml:space="preserve">Pacto para impulsar la economía azul sostenible y canalizar inversión hacia la restauración de ecosistemas marinos.</t>
  </si>
  <si>
    <t xml:space="preserve">Nature Risk Rising: Why the Crisis Engulfing Nature Matters for Business and the Economy</t>
  </si>
  <si>
    <t xml:space="preserve">Demanda (Empresas, Sector financiero), Reguladores/legisladores</t>
  </si>
  <si>
    <t xml:space="preserve">Servicios ecosistémicos globales que generan más de la mitad del PIB mundial</t>
  </si>
  <si>
    <t xml:space="preserve">Estudio emblemático que demuestra que $44 billones del PIB mundial dependen moderada o altamente de la naturaleza.</t>
  </si>
  <si>
    <t xml:space="preserve">Dependencia económica global de la naturaleza</t>
  </si>
  <si>
    <t xml:space="preserve">Demuestra que $44 billones del PIB mundial (más del 50%) dependen moderada o altamente de la naturaleza.</t>
  </si>
  <si>
    <t xml:space="preserve">PIB global y servicios ecosistémicos de aprovisionamiento/regulación</t>
  </si>
  <si>
    <t xml:space="preserve">Demuestra empíricamente que $44 billones del PIB mundial (más del 50%) dependen moderada o altamente de la naturaleza.</t>
  </si>
  <si>
    <t xml:space="preserve">Dependencia del PIB mundial de la naturaleza ($44 billones)</t>
  </si>
  <si>
    <t xml:space="preserve">Demuestra que $44 billones del PIB mundial (más del 50%) dependen moderada o altamente de los servicios de la naturaleza.</t>
  </si>
  <si>
    <t xml:space="preserve">Cuantitativo / Económico</t>
  </si>
  <si>
    <t xml:space="preserve">Capital natural y servicios ecosistémicos globales</t>
  </si>
  <si>
    <t xml:space="preserve">Cálculo hito que demostró que el 55% del PIB mundial ($44 billones) depende altamente o moderadamente de la naturaleza.</t>
  </si>
  <si>
    <t xml:space="preserve">Joint Research Centre (JRC)</t>
  </si>
  <si>
    <t xml:space="preserve">The EU economy's dependency on nature (JRC 140003)</t>
  </si>
  <si>
    <t xml:space="preserve">Demanda (Empresas de la UE, Sector financiero), Reguladores/legisladores</t>
  </si>
  <si>
    <t xml:space="preserve">Ecosistemas terrestres y marinos que sostienen dos tercios del valor añadido de la UE</t>
  </si>
  <si>
    <t xml:space="preserve">Evidencia que el 72% de las empresas de la eurozona dependen críticamente de al menos un servicio ecosistémico.</t>
  </si>
  <si>
    <t xml:space="preserve">Ceglar, A. et al. (ECB)</t>
  </si>
  <si>
    <t xml:space="preserve">Economic and financial impacts of nature degradation and biodiversity loss (ECB Bulletin)</t>
  </si>
  <si>
    <t xml:space="preserve">Demanda (Bancos, Sector financiero), Reguladores/legisladores</t>
  </si>
  <si>
    <t xml:space="preserve">Zona Euro / Unión Europea</t>
  </si>
  <si>
    <t xml:space="preserve">Degradación del suelo, disminución de polinizadores y servicios hídricos</t>
  </si>
  <si>
    <t xml:space="preserve">Analiza los riesgos de crédito e impago bancario derivados del colapso de servicios ecosistémicos en cadenas de suministro.</t>
  </si>
  <si>
    <t xml:space="preserve">Eurostat et al. (INCA Project)</t>
  </si>
  <si>
    <t xml:space="preserve">Accounting for ecosystems and their services in the European Union (INCA Phase II Report)</t>
  </si>
  <si>
    <t xml:space="preserve">10 servicios ecosistémicos clave (bosques, polinización, purificación de agua, recreación)</t>
  </si>
  <si>
    <t xml:space="preserve">Estima que 10 servicios ecosistémicos clave generan €234.000 millones anuales en beneficios en la UE.</t>
  </si>
  <si>
    <t xml:space="preserve">La Notte, A. et al. (JRC)</t>
  </si>
  <si>
    <t xml:space="preserve">Linking accounts for ecosystem services and benefits to the economy through bridging (LISBETH II)</t>
  </si>
  <si>
    <t xml:space="preserve">Demanda (Sector financiero, Inversores), Reguladores/legisladores</t>
  </si>
  <si>
    <t xml:space="preserve">Sistema de contabilidad de ecosistemas integrado con la contabilidad nacional de la UE</t>
  </si>
  <si>
    <t xml:space="preserve">Desarrolla métricas ambientales consistentes para respaldar las evaluaciones de riesgo del sector financiero.</t>
  </si>
  <si>
    <t xml:space="preserve">Biodiversity mainstreaming in the EU budget 2021-2027</t>
  </si>
  <si>
    <t xml:space="preserve">Reguladores/legisladores, Oferta (Agricultores, Gestores de tierra)</t>
  </si>
  <si>
    <t xml:space="preserve">Fondos de la PAC (€64B), Cohesión (€16B) y Horizon Europe (€7B)</t>
  </si>
  <si>
    <t xml:space="preserve">Documenta el compromiso de destinar el 10% del presupuesto de la UE a biodiversidad en 2026-2027.</t>
  </si>
  <si>
    <t xml:space="preserve">CBD</t>
  </si>
  <si>
    <t xml:space="preserve">Kunming-Montreal Global Biodiversity Framework (GBF) (Decision CBD/COP/DEC/15/4)</t>
  </si>
  <si>
    <t xml:space="preserve">Reguladores/legisladores, Demanda, Oferta (IPLC, Agricultores), Científicos</t>
  </si>
  <si>
    <t xml:space="preserve">Metas globales de biodiversidad (30x30, Target 18 de subsidios, Target 19 de finanzas)</t>
  </si>
  <si>
    <t xml:space="preserve">Acuerdo internacional hito que exige movilizar al menos $200.000M/año para biodiversidad e innovaciones financieras.</t>
  </si>
  <si>
    <t xml:space="preserve">Environmental Implementation Review 2025</t>
  </si>
  <si>
    <t xml:space="preserve">Reguladores/legisladores, Público general</t>
  </si>
  <si>
    <t xml:space="preserve">Inversión ambiental necesaria en los 27 Estados Miembros de la UE</t>
  </si>
  <si>
    <t xml:space="preserve">Estima que las necesidades anuales de inversión en biodiversidad y naturaleza en la UE alcanzan los €65.000M.</t>
  </si>
  <si>
    <t xml:space="preserve">European Commission DG Competition</t>
  </si>
  <si>
    <t xml:space="preserve">State aid Legislation in Environmental Protection</t>
  </si>
  <si>
    <t xml:space="preserve">Reguladores/legisladores, Oferta, Demanda</t>
  </si>
  <si>
    <t xml:space="preserve">Regímenes de ayudas estatales de protección del medio ambiente y clima</t>
  </si>
  <si>
    <t xml:space="preserve">Marco legal que rige la compatibilidad de subsidios públicos e incentivos estatales con el mercado interior de la UE.</t>
  </si>
  <si>
    <t xml:space="preserve">Lammerant, J. &amp; Verhelst, J. (EU B@B)</t>
  </si>
  <si>
    <t xml:space="preserve">Nature positive in a business context: current working definition</t>
  </si>
  <si>
    <t xml:space="preserve">Demanda (Empresas, Corporaciones), Comunidad científica</t>
  </si>
  <si>
    <t xml:space="preserve">Unión Europea / Global</t>
  </si>
  <si>
    <t xml:space="preserve">Cadenas de valor corporativas e impacto positivo neto en biodiversidad</t>
  </si>
  <si>
    <t xml:space="preserve">Proporciona una definición operativa de 'Nature Positive' para la integración en estrategias corporativas de la UE.</t>
  </si>
  <si>
    <t xml:space="preserve">Nature Positive Initiative</t>
  </si>
  <si>
    <t xml:space="preserve">What is Nature Positive?</t>
  </si>
  <si>
    <t xml:space="preserve">Demanda (Empresas), Reguladores/legisladores, ONGs</t>
  </si>
  <si>
    <t xml:space="preserve">Métricas globales para detener y revertir la pérdida de naturaleza a 2030</t>
  </si>
  <si>
    <t xml:space="preserve">Iniciativa global que establece la meta de detener la pérdida de naturaleza a 2020 y lograr su recuperación a 2030.</t>
  </si>
  <si>
    <t xml:space="preserve">Turo, K.J. et al.</t>
  </si>
  <si>
    <t xml:space="preserve">Insufficient pollinator visitation often limits yield in crop systems worldwide (Nature Ecol Evol)</t>
  </si>
  <si>
    <t xml:space="preserve">Sistemas de cultivo agrícola dependientes de polinizadores silvestres</t>
  </si>
  <si>
    <t xml:space="preserve">Estudio empírico global que demuestra que el declive de polinizadores limita directamente el rendimiento agrícola.</t>
  </si>
  <si>
    <t xml:space="preserve">Marsden, L. et al. (UCL)</t>
  </si>
  <si>
    <t xml:space="preserve">Ecosystem tipping points: Understanding risks to the economy and financial system</t>
  </si>
  <si>
    <t xml:space="preserve">Demanda (Sector financiero, Bancos), Reguladores/legisladores</t>
  </si>
  <si>
    <t xml:space="preserve">Puntos de inflexión ecológicos y colapso de servicios ecosistémicos</t>
  </si>
  <si>
    <t xml:space="preserve">Modela los riesgos macroeconómicos derivados de alcanzar puntos de inflexión en ecosistemas clave.</t>
  </si>
  <si>
    <t xml:space="preserve">Manshanden, M. et al.</t>
  </si>
  <si>
    <t xml:space="preserve">Regenerative agriculture in Europe: An overview paper (Wageningen Research)</t>
  </si>
  <si>
    <t xml:space="preserve">Oferta (Agricultores), Demanda (Agroalimentarias), Comunidad científica</t>
  </si>
  <si>
    <t xml:space="preserve">Suelos agrícolas, tierras de cultivo y biodiversidad de suelos</t>
  </si>
  <si>
    <t xml:space="preserve">Mapea la transición hacia la agricultura regenerativa en Europa y sus modelos de financiación.</t>
  </si>
  <si>
    <t xml:space="preserve">Borgman, E. et al.</t>
  </si>
  <si>
    <t xml:space="preserve">Biodiversity and financing: Review of tools in the Nordic countries</t>
  </si>
  <si>
    <t xml:space="preserve">Demanda (Inversores, Bancos), Oferta (Silvicultores, Agricultores), Reguladores</t>
  </si>
  <si>
    <t xml:space="preserve">Países Nórdicos (Dinamarca, Finlandia, Noruega, Suecia)</t>
  </si>
  <si>
    <t xml:space="preserve">Bosques boreales, zonas costeras y áreas agrícolas</t>
  </si>
  <si>
    <t xml:space="preserve">Revisa los instrumentos de financiación de biodiversidad e incentivos de mercado en los países nórdicos.</t>
  </si>
  <si>
    <t xml:space="preserve">Global Seaweed Coalition &amp; EIB</t>
  </si>
  <si>
    <t xml:space="preserve">Financing opportunities for EIB in support of sustainable seaweed and bivalve sectors</t>
  </si>
  <si>
    <t xml:space="preserve">Demanda (EIB, Inversores), Oferta (Productores de algas y bivalvos)</t>
  </si>
  <si>
    <t xml:space="preserve">Ecosistemas marinos costeros y acuicultura regenerativa</t>
  </si>
  <si>
    <t xml:space="preserve">Evalúa modelos de financiación mixta (*blended finance*) para la restauración marina mediante algas y moluscos.</t>
  </si>
  <si>
    <t xml:space="preserve">Financing the Nature-Positive Transition: Understanding the Role of Banks, Investors and Insurers</t>
  </si>
  <si>
    <t xml:space="preserve">Demanda (Bancos, Inversores, Aseguradoras), Reguladores/legisladores</t>
  </si>
  <si>
    <t xml:space="preserve">Inversión privada y gestión de riesgos en la transición hacia la naturaleza</t>
  </si>
  <si>
    <t xml:space="preserve">Breviario para CEOs sobre cómo las instituciones financieras están integrando criterios de biodiversidad en primas y préstamos.</t>
  </si>
  <si>
    <t xml:space="preserve">NGFS (Network for Greening Financial System)</t>
  </si>
  <si>
    <t xml:space="preserve">Nature-related Financial Risks: a Conceptual Framework to guide Action by Central Banks</t>
  </si>
  <si>
    <t xml:space="preserve">Demanda (Bancos centrales, Supervisores financieros), Reguladores</t>
  </si>
  <si>
    <t xml:space="preserve">Riesgos financieros físicos y de transición ligados a la degradación ambiental</t>
  </si>
  <si>
    <t xml:space="preserve">Marco conceptual hito del NGFS para orientar la supervisión bancaria frente a riesgos de biodiversidad.</t>
  </si>
  <si>
    <t xml:space="preserve">EIB, Hudson, G., Hart, S. &amp; Verbeek, A.</t>
  </si>
  <si>
    <t xml:space="preserve">Investing in nature-based solutions – State-of-play and way forward in Europe</t>
  </si>
  <si>
    <t xml:space="preserve">Demanda (Inversores públicos y privados), Oferta, Reguladores</t>
  </si>
  <si>
    <t xml:space="preserve">Soluciones basadas en la naturaleza para mitigación de inundaciones y restauración</t>
  </si>
  <si>
    <t xml:space="preserve">Analiza el estado del arte de las finanzas públicas y privadas en NBS e insumos de seguros verdes.</t>
  </si>
  <si>
    <t xml:space="preserve">Davos Manifesto 2020: The Universal Purpose of a Company in the Fourth Industrial Revolution</t>
  </si>
  <si>
    <t xml:space="preserve">Demanda (Empresas, Ejecutivos), Público general</t>
  </si>
  <si>
    <t xml:space="preserve">Modelo de gobernanza corporativa orientado a todos los grupos de interés (*stakeholders*)</t>
  </si>
  <si>
    <t xml:space="preserve">Manifiesto que redefine el propósito corporativo incorporando el valor ambiental para la sociedad y accionistas.</t>
  </si>
  <si>
    <t xml:space="preserve">European Union</t>
  </si>
  <si>
    <t xml:space="preserve">Corporate Sustainability Reporting Directive (CSRD) (Directive (EU) 2022/2464)</t>
  </si>
  <si>
    <t xml:space="preserve">Demanda (Empresas obligadas, Sector financiero), Reguladores</t>
  </si>
  <si>
    <t xml:space="preserve">Divulgación corporativa de sostenibilidad e impactos en la biodiversidad</t>
  </si>
  <si>
    <t xml:space="preserve">Directiva europea que exige a grandes empresas publicar informes sobre sus impactos y dependencias en naturaleza.</t>
  </si>
  <si>
    <t xml:space="preserve">EU</t>
  </si>
  <si>
    <t xml:space="preserve">Reguladores/legisladores, Demanda (Empresas obligadas, Inversores)</t>
  </si>
  <si>
    <t xml:space="preserve">Cadenas de valor corporativas</t>
  </si>
  <si>
    <t xml:space="preserve">Directiva de la UE que exige la divulgación obligatoria de impactos y dependencias sobre la biodiversidad en grandes empresas.</t>
  </si>
  <si>
    <t xml:space="preserve">Sustainable Finance Disclosure Regulation (SFDR) (Regulation (EU) 2019/2088)</t>
  </si>
  <si>
    <t xml:space="preserve">Demanda (Gestores de fondos, Sector financiero), Reguladores</t>
  </si>
  <si>
    <t xml:space="preserve">Transparencia de sostenibilidad en mercados y productos financieros</t>
  </si>
  <si>
    <t xml:space="preserve">Reglamento que exige a los participantes en mercados financieros divulgar cómo integran los riesgos de sostenibilidad.</t>
  </si>
  <si>
    <t xml:space="preserve">EU Taxonomy Regulation (Regulation (EU) 2020/852)</t>
  </si>
  <si>
    <t xml:space="preserve">Demanda (Inversores, Empresas), Reguladores/legisladores</t>
  </si>
  <si>
    <t xml:space="preserve">Clasificación de actividades económicas ambientalmente sostenibles</t>
  </si>
  <si>
    <t xml:space="preserve">Establece el marco de taxonomía de la UE para facilitar inversiones sostenibles en protección y restauración de biodiversidad.</t>
  </si>
  <si>
    <t xml:space="preserve">NetworkNature</t>
  </si>
  <si>
    <t xml:space="preserve">Task Force on Finance and Business Models for NbS in a Nature-Positive Economy</t>
  </si>
  <si>
    <t xml:space="preserve">Demanda (Inversores privados), Oferta (Promotores NbS), Reguladores</t>
  </si>
  <si>
    <t xml:space="preserve">Modelos de negocio e instrumentos financieros para soluciones basadas en la naturaleza</t>
  </si>
  <si>
    <t xml:space="preserve">Plataforma europea de trabajo sobre innovación financiera para escalar soluciones basadas en la naturaleza.</t>
  </si>
  <si>
    <t xml:space="preserve">EU Birds and Habitats Directives &amp; Guidance on Mitigation Hierarchy</t>
  </si>
  <si>
    <t xml:space="preserve">Reguladores/legisladores, Demanda (Desarrolladores), Oferta</t>
  </si>
  <si>
    <t xml:space="preserve">Red Natura 2000 y aplicación de la jerarquía de mitigación</t>
  </si>
  <si>
    <t xml:space="preserve">Marco jurídico de conservación de hábitats que consagra la jerarquía de mitigación (evitar, minimizar, compensar).</t>
  </si>
  <si>
    <t xml:space="preserve">Nature Restoration Regulation (Regulation (EU) 2024/1991)</t>
  </si>
  <si>
    <t xml:space="preserve">Reguladores/legisladores, Oferta (Agricultores, Silvicultores), Demanda</t>
  </si>
  <si>
    <t xml:space="preserve">Objetivos legalmente vinculantes de restauración de ecosistemas terrestres y marinos</t>
  </si>
  <si>
    <t xml:space="preserve">Reglamento hito que fija metas vinculantes de restauración en la UE para 2030, 2040 y 2050.</t>
  </si>
  <si>
    <t xml:space="preserve">Vallecillo, S. et al. (JRC)</t>
  </si>
  <si>
    <t xml:space="preserve">EU-wide methodology to map and assess ecosystem condition (MAES Methodology)</t>
  </si>
  <si>
    <t xml:space="preserve">Evaluación estandarizada de la condición ecológica de ecosistemas en la UE</t>
  </si>
  <si>
    <t xml:space="preserve">Desarrolla la metodología europea MAES para la evaluación homogénea de la condición de ecosistemas.</t>
  </si>
  <si>
    <t xml:space="preserve">Maes, J. et al.</t>
  </si>
  <si>
    <t xml:space="preserve">Accounting for forest condition in Europe based on an international statistical standard (Nat Commun)</t>
  </si>
  <si>
    <t xml:space="preserve">Comunidad científica, Reguladores/legisladores, Oferta (Silvicultores)</t>
  </si>
  <si>
    <t xml:space="preserve">Bosques europeos y contabilidad de condición forestal</t>
  </si>
  <si>
    <t xml:space="preserve">Aplica el estándar SEEA de la ONU para cuantificar espacialmente la condición y salud de los bosques en Europa.</t>
  </si>
  <si>
    <t xml:space="preserve">UN SEEA</t>
  </si>
  <si>
    <t xml:space="preserve">System of Environmental Economic Accounting – Ecosystem Accounting (UN SEEA-EA)</t>
  </si>
  <si>
    <t xml:space="preserve">Reguladores/legisladores, Comunidad científica, Sector financiero</t>
  </si>
  <si>
    <t xml:space="preserve">Estándar estadístico global de contabilidad de ecosistemas y sus servicios</t>
  </si>
  <si>
    <t xml:space="preserve">Estándar estadístico de la ONU para medir el capital natural y la provisión física y monetaria de servicios ecosistémicos.</t>
  </si>
  <si>
    <t xml:space="preserve">Organic Production and Labelling Regulation (Regulation (EU) 2018/848)</t>
  </si>
  <si>
    <t xml:space="preserve">Oferta (Agricultores ecológicos), Reguladores/legisladores, Público general</t>
  </si>
  <si>
    <t xml:space="preserve">Suelos agrícolas y certificación de producción ecológica</t>
  </si>
  <si>
    <t xml:space="preserve">Reglamento sobre producción y etiquetado de productos ecológicos que sirve de base para esquemas de certificación.</t>
  </si>
  <si>
    <t xml:space="preserve">BloomLabs</t>
  </si>
  <si>
    <t xml:space="preserve">Open-source database on certification and nature credits</t>
  </si>
  <si>
    <t xml:space="preserve">Comunidad científica, Demanda, Oferta</t>
  </si>
  <si>
    <t xml:space="preserve">Base de datos de más de 50 iniciativas globales de certificación y créditos de naturaleza</t>
  </si>
  <si>
    <t xml:space="preserve">Mapea y analiza empíricamente más de 50 proyectos piloto e iniciativas de créditos de naturaleza en el mundo.</t>
  </si>
  <si>
    <t xml:space="preserve">Biodiversity Credit Alliance (BCA)</t>
  </si>
  <si>
    <t xml:space="preserve">BCA Framework and Principles for Biodiversity Credits</t>
  </si>
  <si>
    <t xml:space="preserve">Oferta (IPLC, Comunidades locales), Demanda, Reguladores</t>
  </si>
  <si>
    <t xml:space="preserve">Principios de alta integridad, equidad social y consentimiento previo (FPIC)</t>
  </si>
  <si>
    <t xml:space="preserve">Coalición experta respaldada por la ONU para definir principios de integridad socioambiental en biocréditos.</t>
  </si>
  <si>
    <t xml:space="preserve">WEF Biodiversity Credits Initiative</t>
  </si>
  <si>
    <t xml:space="preserve">Demanda (Sector privado, Inversores), Oferta, Reguladores</t>
  </si>
  <si>
    <t xml:space="preserve">Principios clave para escalar la demanda corporativa de créditos de biodiversidad</t>
  </si>
  <si>
    <t xml:space="preserve">Iniciativa internacional para coordinar compradores e inversores corporativos alrededor de estándares de alta integridad.</t>
  </si>
  <si>
    <t xml:space="preserve">TNFD (Taskforce on Nature-related Financial Disclosures)</t>
  </si>
  <si>
    <t xml:space="preserve">TNFD Recommendations for Nature-related Risk Management and Disclosure</t>
  </si>
  <si>
    <t xml:space="preserve">Demanda (Empresas, Inversores), Reguladores/legisladores</t>
  </si>
  <si>
    <t xml:space="preserve">Marco de divulgación corporativa LEAP (Locate, Evaluate, Assess, Prepare)</t>
  </si>
  <si>
    <t xml:space="preserve">Establece el marco de divulgación voluntario líder para que empresas e instituciones gestionen sus riesgos de naturaleza.</t>
  </si>
  <si>
    <t xml:space="preserve">SBTN (Science Based Targets Network)</t>
  </si>
  <si>
    <t xml:space="preserve">SBTN Target-Setting Guidance for Nature</t>
  </si>
  <si>
    <t xml:space="preserve">Metas científicas de impacto cero neto en tierra, agua dulce y océanos</t>
  </si>
  <si>
    <t xml:space="preserve">Metodología científica para que las empresas fijen objetivos cuantitativos alineados con los límites planetarios.</t>
  </si>
  <si>
    <t xml:space="preserve">Ministère de la Transition Écologique France</t>
  </si>
  <si>
    <t xml:space="preserve">Sites naturels de compensation, de restauration et de renaturation (SNCRR)</t>
  </si>
  <si>
    <t xml:space="preserve">Reguladores/legisladores, Oferta (Gestores de sitios), Demanda</t>
  </si>
  <si>
    <t xml:space="preserve">Sitios naturales reconocidos de compensación y restauración ecológica</t>
  </si>
  <si>
    <t xml:space="preserve">Sistema francés de acreditación previa de sitios dedicados a la compensación y restauración ambiental.</t>
  </si>
  <si>
    <t xml:space="preserve">Peatland Finance Ireland</t>
  </si>
  <si>
    <t xml:space="preserve">Voluntary financial scheme for peatland restoration</t>
  </si>
  <si>
    <t xml:space="preserve">Oferta (Propietarios de turberas), Demanda (Inversores privados), Reguladores</t>
  </si>
  <si>
    <t xml:space="preserve">Turberas degradadas y restauración de depósitos de carbono y agua</t>
  </si>
  <si>
    <t xml:space="preserve">Esquema financiero piloto de inversión voluntaria privada para la restauración de turberas en Irlanda.</t>
  </si>
  <si>
    <t xml:space="preserve">Ministry of the Environment Finland</t>
  </si>
  <si>
    <t xml:space="preserve">Voluntary nature values market system in Finland</t>
  </si>
  <si>
    <t xml:space="preserve">Reguladores/legisladores, Oferta (Silvicultores), Demanda</t>
  </si>
  <si>
    <t xml:space="preserve">Bosques boreales y hábitats forestales protegidos voluntariamente</t>
  </si>
  <si>
    <t xml:space="preserve">Sistema público piloto voluntario para comercializar valores de naturaleza y proteger la biodiversidad forestal.</t>
  </si>
  <si>
    <t xml:space="preserve">United Kingdom Parliament</t>
  </si>
  <si>
    <t xml:space="preserve">Environment Act 2021 - Schedule 14 (Biodiversity Net Gain - BNG)</t>
  </si>
  <si>
    <t xml:space="preserve">Reguladores/legisladores, Demanda (Desarrolladores urbanos), Oferta</t>
  </si>
  <si>
    <t xml:space="preserve">Hábitats naturales y desarrollo de suelo urbano/infraestructura</t>
  </si>
  <si>
    <t xml:space="preserve">Ley que establece el mandato obligatorio de Ganancia Neta de Biodiversidad (BNG) del 10% en el Reino Unido.</t>
  </si>
  <si>
    <t xml:space="preserve">Ecosystem Marketplace</t>
  </si>
  <si>
    <t xml:space="preserve">State of the voluntary carbon market: Renewing trust in carbon finance</t>
  </si>
  <si>
    <t xml:space="preserve">Demanda (Compradores corporativos), Oferta (Desarrolladores), Certificadores</t>
  </si>
  <si>
    <t xml:space="preserve">Mercado voluntario de carbono y créditos con cobeneficios de biodiversidad</t>
  </si>
  <si>
    <t xml:space="preserve">Análisis cuantitativo de precios y volúmenes en el VCM que muestra la alta prima pagada por créditos con cobeneficios.</t>
  </si>
  <si>
    <t xml:space="preserve">Carbon Removals and Carbon Farming (CRCF) Regulation (Regulation (EU) 2024/3012)</t>
  </si>
  <si>
    <t xml:space="preserve">Absorción de carbono en suelos, reorientación de turberas y agroforestería</t>
  </si>
  <si>
    <t xml:space="preserve">Marco de certificación voluntario de la UE para absorciones de carbono y agricultura de carbono con cobeneficios.</t>
  </si>
  <si>
    <t xml:space="preserve">European Commission DG Environment</t>
  </si>
  <si>
    <t xml:space="preserve">EU delivers on global financing commitments to protect nature at COP 16 (Peru Project)</t>
  </si>
  <si>
    <t xml:space="preserve">Reguladores/legisladores, Oferta (Comunidades locales en Perú), Demanda</t>
  </si>
  <si>
    <t xml:space="preserve">Perú / Unión Europea</t>
  </si>
  <si>
    <t xml:space="preserve">Bosques tropicales y humedales amazónicos</t>
  </si>
  <si>
    <t xml:space="preserve">Proyecto piloto que evalúa cómo empresas europeas pueden financiar conservación de bosques en Perú cumpliendo CSRD.</t>
  </si>
  <si>
    <t xml:space="preserve">ESA &amp; Leon Nature Finance</t>
  </si>
  <si>
    <t xml:space="preserve">Leveraging Earth Observation for Nature Finance</t>
  </si>
  <si>
    <t xml:space="preserve">Comunidad científica, Demanda (Sector financiero), Certificadores</t>
  </si>
  <si>
    <t xml:space="preserve">Monitoreo satelital (Copernicus) para verificación MRV de créditos</t>
  </si>
  <si>
    <t xml:space="preserve">Iniciativa para usar tecnologías de observación de la Tierra en el monitoreo científico y verificación de créditos.</t>
  </si>
  <si>
    <t xml:space="preserve">Report on Nature Restoration Financing (Article 21(7) Regulation 2024/1991)</t>
  </si>
  <si>
    <t xml:space="preserve">Reguladores/legisladores, Sector financiero, Oferta</t>
  </si>
  <si>
    <t xml:space="preserve">Mecanismos de financiación para las metas del Reglamento de Restauración</t>
  </si>
  <si>
    <t xml:space="preserve">Informe oficial de la UE que analiza el papel complementario de los créditos de naturaleza para financiar la restauración.</t>
  </si>
  <si>
    <t xml:space="preserve">EIB / InvestEU Advisory Hub</t>
  </si>
  <si>
    <t xml:space="preserve">InvestEU Advisory Hub on Peatland Restoration</t>
  </si>
  <si>
    <t xml:space="preserve">Demanda (EIB, Inversores de impacto), Oferta (Gestores de turberas)</t>
  </si>
  <si>
    <t xml:space="preserve">Proyectos bancables de restauración ecológica de turberas</t>
  </si>
  <si>
    <t xml:space="preserve">Servicio de asesoría técnica de la UE para estructurar vehículos bancables de inversión en restauración de turberas.</t>
  </si>
  <si>
    <t xml:space="preserve">European Commission / CINEA</t>
  </si>
  <si>
    <t xml:space="preserve">Green Assist - Green Advisory Service for Sustainable Investments (LIFE Programme)</t>
  </si>
  <si>
    <t xml:space="preserve">Demanda (Inversores verdes), Oferta (Promotores de proyectos), Reguladores</t>
  </si>
  <si>
    <t xml:space="preserve">Servicios de asesoría de inversión verde bajo el Programa LIFE</t>
  </si>
  <si>
    <t xml:space="preserve">Servicio público de la UE que asesora la estructuración de proyectos de inversión privada en biodiversidad y créditos.</t>
  </si>
  <si>
    <t xml:space="preserve">Polazzo, F. &amp; Rico, A.</t>
  </si>
  <si>
    <t xml:space="preserve">Effects of multiple stressors on the dimensionality of ecological stability</t>
  </si>
  <si>
    <t xml:space="preserve">Múltiples ecorregiones y ecosistemas sometidos a múltiples estresores</t>
  </si>
  <si>
    <t xml:space="preserve">Analiza la estabilidad ecológica multidimensional y demuestra que la respuesta y recuperación de los ecosistemas ante perturbaciones varía ampliamente según la escala espacial y temporal.</t>
  </si>
  <si>
    <t xml:space="preserve">Truchy, A., Sarremejane, R., Muotka, T., Mykrä, H., Angeler, D. G., Lehosmaa, K., ... &amp; McKie, B. G.</t>
  </si>
  <si>
    <t xml:space="preserve">Habitat patchiness, ecological connectivity and the uneven recovery of boreal stream ecosystems from an experimental drought</t>
  </si>
  <si>
    <t xml:space="preserve">Europa Boreal (Finlandia / Suecia)</t>
  </si>
  <si>
    <t xml:space="preserve">Arroyos, ríos y ecosistemas lóticos boreales de agua dulce</t>
  </si>
  <si>
    <t xml:space="preserve">Demuestra los patrones desiguales de recuperación en arroyos boreales tras sequías experimentales, evidenciando que ciertos ecosistemas acuáticos tardan décadas en regenerarse.</t>
  </si>
  <si>
    <t xml:space="preserve">Barboza, F. R., Ito, M. &amp; Franz, M.</t>
  </si>
  <si>
    <t xml:space="preserve">Biodiversity and the Functioning of Ecosystems in the Age of Global Change: Integrating Knowledge Across Scales</t>
  </si>
  <si>
    <t xml:space="preserve">Océanos, mares y zonas costeras marinas</t>
  </si>
  <si>
    <t xml:space="preserve">Sintetiza la relación entre biodiversidad y funcionamiento ecosistémico bajo el cambio global a través de múltiples escalas espacio-temporales.</t>
  </si>
  <si>
    <t xml:space="preserve">McCarthy, M. A., Parris, K. M., van der Ree, R., McDonnell, M. J., Burgman, M. A., Williams, N. S. G., ... &amp; Oberklaid, F.</t>
  </si>
  <si>
    <t xml:space="preserve">The habitat hectares approach to vegetation assessment: An evaluation and suggestions for improvement</t>
  </si>
  <si>
    <t xml:space="preserve">Reguladores/legisladores, Oferta (Propietarios rurales), Comunidad científica</t>
  </si>
  <si>
    <t xml:space="preserve">Australia (Estado de Victoria)</t>
  </si>
  <si>
    <t xml:space="preserve">Vegetación nativa, bosques y hábitats terrestres</t>
  </si>
  <si>
    <t xml:space="preserve">Evalúa cuantitativamente el enfoque de 'Hectáreas de Hábitat' desarrollado en Australia como métrica multivariada para medir la calidad y condición ecológica en biocréditos y compensaciones.</t>
  </si>
  <si>
    <t xml:space="preserve">McCarthy et al.</t>
  </si>
  <si>
    <t xml:space="preserve">The habitat hectares approach to vegetation assessment: an evaluation and suggestions for improvement</t>
  </si>
  <si>
    <t xml:space="preserve">Reguladores/legisladores, Oferta (Propietarios de tierras), Comunidad científica</t>
  </si>
  <si>
    <t xml:space="preserve">Vegetación nativa y hábitats terrestres</t>
  </si>
  <si>
    <t xml:space="preserve">Evaluación cuantitativa del enfoque Habitat Hectares desarrollado en Victoria para medir la calidad de hábitat en offsets.</t>
  </si>
  <si>
    <t xml:space="preserve">Sarmiento, M., Morgan, S. y Serna, M. (Terrasos)</t>
  </si>
  <si>
    <t xml:space="preserve">Créditos de biodiversidad: una oportunidad para generar un enfoque incluyente para reconocer el valor de la naturaleza</t>
  </si>
  <si>
    <t xml:space="preserve">Demanda (Empresas, Sector financiero), Oferta (Comunidades locales, Pequeños propietarios, Custodios de la naturaleza), Reguladores/legisladores</t>
  </si>
  <si>
    <t xml:space="preserve">Colombia / Global (Sur Global)</t>
  </si>
  <si>
    <t xml:space="preserve">Bosques húmedos tropicales, ecosistemas neotropicales y áreas de alta biodiversidad</t>
  </si>
  <si>
    <t xml:space="preserve">Establece 7 principios clave para estructurar mercados voluntarios de biocréditos diferenciados del carbono, vinculados a la seguridad de la tenencia de la tierra, la equidad socioecológica y la durabilidad.</t>
  </si>
  <si>
    <t xml:space="preserve">Andres et al.</t>
  </si>
  <si>
    <t xml:space="preserve">Defining biodiverse reforestation: Why it matters for climate change mitigation and biodiversity</t>
  </si>
  <si>
    <t xml:space="preserve">Bosques y reforestación biodiversa</t>
  </si>
  <si>
    <t xml:space="preserve">Define la reforestación biodiversa frente a monocultivos para maximizar mitigación del clima y biodiversidad.</t>
  </si>
  <si>
    <t xml:space="preserve">Badgley et al.</t>
  </si>
  <si>
    <t xml:space="preserve">Systematic over-crediting in California’s forest carbon offsets program</t>
  </si>
  <si>
    <t xml:space="preserve">Reguladores/legisladores, Demanda (Empresas), Oferta (Silvicultores)</t>
  </si>
  <si>
    <t xml:space="preserve">Bosques templados</t>
  </si>
  <si>
    <t xml:space="preserve">Demuestra sobreemisión sistemática de créditos en el programa de compensación forestal de California por la flexibilización de líneas de base.</t>
  </si>
  <si>
    <t xml:space="preserve">Reguladores/legisladores (California CARB), Demanda, Científicos</t>
  </si>
  <si>
    <t xml:space="preserve">Estados Unidos (California)</t>
  </si>
  <si>
    <t xml:space="preserve">Sobreemisión sistemática de créditos en bosques de California</t>
  </si>
  <si>
    <t xml:space="preserve">Demuestra cuantitativamente la sobreemisión masiva en el programa forestal de carbono de California.</t>
  </si>
  <si>
    <t xml:space="preserve">Bolton et al.</t>
  </si>
  <si>
    <t xml:space="preserve">Net-zero carbon portfolio alignment</t>
  </si>
  <si>
    <t xml:space="preserve">Demanda (Sector financiero, Inversores, Gestores de portafolios)</t>
  </si>
  <si>
    <t xml:space="preserve">Diversos ecosistemas / Portafolios financieros</t>
  </si>
  <si>
    <t xml:space="preserve">Propone metodologías para alinear portafolios financieros corporativos con objetivos net-zero sin depender exclusivamente del offsetting.</t>
  </si>
  <si>
    <t xml:space="preserve">Calel et al.</t>
  </si>
  <si>
    <t xml:space="preserve">Do carbon offsets offset carbon?</t>
  </si>
  <si>
    <t xml:space="preserve">Demanda (Empresas), Reguladores/legisladores, Comunidad científica</t>
  </si>
  <si>
    <t xml:space="preserve">Global (Mecanismos MDL / CDM)</t>
  </si>
  <si>
    <t xml:space="preserve">Bosques e industrias</t>
  </si>
  <si>
    <t xml:space="preserve">Evaluación empírica de la falta de aditividad real en proyectos de compensación de carbono bajo esquemas internacionales.</t>
  </si>
  <si>
    <t xml:space="preserve">Cantillon &amp; Slechten</t>
  </si>
  <si>
    <t xml:space="preserve">Market Design for the Environment</t>
  </si>
  <si>
    <t xml:space="preserve">Reguladores/legisladores, Demanda (Mercados), Comunidad científica</t>
  </si>
  <si>
    <t xml:space="preserve">Múltiples ecosistemas</t>
  </si>
  <si>
    <t xml:space="preserve">Analiza los desafíos del diseño de mercados ambientales (aditividad, permanencia, sobreemisión) y propone soluciones basadas en acciones/shares.</t>
  </si>
  <si>
    <t xml:space="preserve">Pollution versus provision markets for the environment, and why it matters</t>
  </si>
  <si>
    <t xml:space="preserve">Ecosistemas naturales</t>
  </si>
  <si>
    <t xml:space="preserve">Contrasta los mercados de contaminación (compensación) con los mercados de provisión y conservación directa.</t>
  </si>
  <si>
    <t xml:space="preserve">Carbon Pulse</t>
  </si>
  <si>
    <t xml:space="preserve">COP16: Countries strike last-gasp deal on nature finance</t>
  </si>
  <si>
    <t xml:space="preserve">Reguladores/legisladores, Sector financiero, Comunidad internacional</t>
  </si>
  <si>
    <t xml:space="preserve">Reporta el acuerdo de financiamiento de la COP16 para movilizar recursos hacia la naturaleza y el Marco BIOFIN.</t>
  </si>
  <si>
    <t xml:space="preserve">Costanza et al.</t>
  </si>
  <si>
    <t xml:space="preserve">The value of the world’s ecosystem services and natural capital</t>
  </si>
  <si>
    <t xml:space="preserve">Biosfera global y capital natural</t>
  </si>
  <si>
    <t xml:space="preserve">Estudio hito que valoró los servicios ecosistémicos globales entre 1 y 3 veces el PIB mundial.</t>
  </si>
  <si>
    <t xml:space="preserve">Changes in the global value of ecosystem services</t>
  </si>
  <si>
    <t xml:space="preserve">Uso del suelo global y servicios ecosistémicos</t>
  </si>
  <si>
    <t xml:space="preserve">Actualiza la valoración global estimando la pérdida masiva de servicios ecosistémicos debido al cambio de uso del suelo.</t>
  </si>
  <si>
    <t xml:space="preserve">Costanza, R. et al.</t>
  </si>
  <si>
    <t xml:space="preserve">Comunidad científica, Reguladores/legisladores, Público</t>
  </si>
  <si>
    <t xml:space="preserve">Actualiza la valoración monetaria global de los servicios ecosistémicos en $125 billones/año (2011).</t>
  </si>
  <si>
    <t xml:space="preserve">DEFRA</t>
  </si>
  <si>
    <t xml:space="preserve">Biodiversity metric: Calculate the biodiversity net gain of a project or development</t>
  </si>
  <si>
    <t xml:space="preserve">Reguladores/legisladores, Demanda (Desarrolladores), Oferta (Propietarios)</t>
  </si>
  <si>
    <t xml:space="preserve">Hábitats terrestres diversos</t>
  </si>
  <si>
    <t xml:space="preserve">Define la métrica oficial de Ganancia Neta de Biodiversidad (BNG) basada en Unidades de Biodiversidad por hectárea.</t>
  </si>
  <si>
    <t xml:space="preserve">De Schryver et al.</t>
  </si>
  <si>
    <t xml:space="preserve">Uncertainties in the application of the species area relationship for characterisation factors of land occupation in life cycle assessment</t>
  </si>
  <si>
    <t xml:space="preserve">Uso del suelo y biodiversidad</t>
  </si>
  <si>
    <t xml:space="preserve">Analiza la métrica PDF (Potentially Disappeared Fraction) en Análisis de Ciclo de Vida para caracterizar impactos en suelo.</t>
  </si>
  <si>
    <t xml:space="preserve">Edenhofer et al.</t>
  </si>
  <si>
    <t xml:space="preserve">On the Governance of Carbon Dioxide Removal – A Public Economics Perspective</t>
  </si>
  <si>
    <t xml:space="preserve">Remoción tecnológica y biológica de carbono</t>
  </si>
  <si>
    <t xml:space="preserve">Aborda la economía pública y gobernanza para la remoción de carbono diferenciando remociones tecnológicas de soluciones naturales.</t>
  </si>
  <si>
    <t xml:space="preserve">Friedlingstein et al.</t>
  </si>
  <si>
    <t xml:space="preserve">Global Carbon budget 2023</t>
  </si>
  <si>
    <t xml:space="preserve">Bosques tropicales, suelos y océanos</t>
  </si>
  <si>
    <t xml:space="preserve">Cuantifica el presupuesto global de carbono, estimando la absorción biológica en 4.8 Gt CO2/año y emisiones por deforestación en 7 Gt CO2/año.</t>
  </si>
  <si>
    <t xml:space="preserve">Gill-Wiehl et al.</t>
  </si>
  <si>
    <t xml:space="preserve">Pervasive over-crediting from cookstove offset methodologies</t>
  </si>
  <si>
    <t xml:space="preserve">Demanda (Mercados de carbono), Reguladores/legisladores, Oferta (Comunidades)</t>
  </si>
  <si>
    <t xml:space="preserve">Países en desarrollo / Global</t>
  </si>
  <si>
    <t xml:space="preserve">Ecosistemas forestales dependientes de leña / Uso doméstico</t>
  </si>
  <si>
    <t xml:space="preserve">Demuestra sobreemisión masiva en metodologías de proyectos de estufas eficientes en el mercado voluntario de carbono.</t>
  </si>
  <si>
    <t xml:space="preserve">Grassi et al.</t>
  </si>
  <si>
    <t xml:space="preserve">The key role of forests in meeting climate targets requires science for credible mitigation</t>
  </si>
  <si>
    <t xml:space="preserve">Bosques globales</t>
  </si>
  <si>
    <t xml:space="preserve">Evalúa el papel de los bosques en las NDCs del Acuerdo de París, representando un cuarto de las reducciones planeadas.</t>
  </si>
  <si>
    <t xml:space="preserve">Harwood et al.</t>
  </si>
  <si>
    <t xml:space="preserve">BHI v2: Biodiversity Habitat Index: 30s global time series</t>
  </si>
  <si>
    <t xml:space="preserve">Ecosistemas terrestres globales</t>
  </si>
  <si>
    <t xml:space="preserve">Desarrolla el Índice de Hábitat de Biodiversidad (BHI) para evaluar retención de especies en función del área y conectividad.</t>
  </si>
  <si>
    <t xml:space="preserve">Haya et al.</t>
  </si>
  <si>
    <t xml:space="preserve">Managing uncertainty in carbon offsets: insights from California’s standardized approach</t>
  </si>
  <si>
    <t xml:space="preserve">Reguladores/legisladores, Demanda (Empresas), Oferta (Desarrolladores)</t>
  </si>
  <si>
    <t xml:space="preserve">Bosques y proyectos offset</t>
  </si>
  <si>
    <t xml:space="preserve">Evalúa las incertidumbres y fallas en la estandarización de offsets forestales bajo el sistema cap-and-trade de California.</t>
  </si>
  <si>
    <t xml:space="preserve">Heilmayr et al.</t>
  </si>
  <si>
    <t xml:space="preserve">Deforestation spillovers from oil palm sustainability certification</t>
  </si>
  <si>
    <t xml:space="preserve">Demanda (Empresas), Oferta (Agricultores/Productores de palma), Reguladores</t>
  </si>
  <si>
    <t xml:space="preserve">Indonesia / Asia</t>
  </si>
  <si>
    <t xml:space="preserve">Bosques tropicales y plantaciones de palma</t>
  </si>
  <si>
    <t xml:space="preserve">Demuestra fugas de deforestación asociadas a la certificación de palma de aceite sostenible (RSPO).</t>
  </si>
  <si>
    <t xml:space="preserve">Keylock</t>
  </si>
  <si>
    <t xml:space="preserve">Simpson diversity and the Shannon–Wiener index as special cases of a generalized entropy</t>
  </si>
  <si>
    <t xml:space="preserve">Diversidad ecológica general</t>
  </si>
  <si>
    <t xml:space="preserve">Formalización matemática del índice de Shannon y diversidad de Simpson como métricas de riqueza de especies.</t>
  </si>
  <si>
    <t xml:space="preserve">Loh et al.</t>
  </si>
  <si>
    <t xml:space="preserve">The Living Planet Index: using species population time series to track trends in biodiversity</t>
  </si>
  <si>
    <t xml:space="preserve">Especies vertebradas terrestres, dulceacuícolas y marinas</t>
  </si>
  <si>
    <t xml:space="preserve">Desarrolla el Índice Planeta Vivo (LPI) para monitorear tendencias poblacionales globales desde 1970.</t>
  </si>
  <si>
    <t xml:space="preserve">Luyssaert et al.</t>
  </si>
  <si>
    <t xml:space="preserve">Old-growth forests as global carbon sinks</t>
  </si>
  <si>
    <t xml:space="preserve">Bosques maduros/primarios</t>
  </si>
  <si>
    <t xml:space="preserve">Demuestra que los bosques primarios maduros continúan acumulando carbono y sirven como depósitos clave a largo plazo.</t>
  </si>
  <si>
    <t xml:space="preserve">Pan et al.</t>
  </si>
  <si>
    <t xml:space="preserve">The enduring world forest carbon sink</t>
  </si>
  <si>
    <t xml:space="preserve">Bosques tropicales, boreales y templados</t>
  </si>
  <si>
    <t xml:space="preserve">Cuantifica el sumidero de carbono forestal mundial (870 GtC almacenados), destacando que los bosques tropicales representan el 54%.</t>
  </si>
  <si>
    <t xml:space="preserve">Ren et al.</t>
  </si>
  <si>
    <t xml:space="preserve">Measuring the spatiotemporal variations of vegetation net primary productivity in Inner Mongolia using spatial autocorrelation</t>
  </si>
  <si>
    <t xml:space="preserve">China (Mongolia Interior)</t>
  </si>
  <si>
    <t xml:space="preserve">Pastizales y estepas</t>
  </si>
  <si>
    <t xml:space="preserve">Mide la productividad primaria neta (NPP) y variaciones espaciotemporales de la vegetación mediante imágenes satelitales.</t>
  </si>
  <si>
    <t xml:space="preserve">Rockström et al.</t>
  </si>
  <si>
    <t xml:space="preserve">We need biosphere stewardship that protects carbon sinks and builds resilience</t>
  </si>
  <si>
    <t xml:space="preserve">Biosfera global</t>
  </si>
  <si>
    <t xml:space="preserve">Fundamenta la custodia de la biosfera para proteger los sumideros de carbono y la resiliencia frente a puntos de inflexión.</t>
  </si>
  <si>
    <t xml:space="preserve">Rowland et al.</t>
  </si>
  <si>
    <t xml:space="preserve">Ecosystem indices to support global biodiversity conservation</t>
  </si>
  <si>
    <t xml:space="preserve">Ecosistemas amenazados / Lista Roja UICN</t>
  </si>
  <si>
    <t xml:space="preserve">Analiza el Red List Index de la UICN y métricas de riesgo de extinción de ecosistemas.</t>
  </si>
  <si>
    <t xml:space="preserve">SBTi</t>
  </si>
  <si>
    <t xml:space="preserve">Evidence synthesis report Part 1: Carbon Credits</t>
  </si>
  <si>
    <t xml:space="preserve">Demanda (Empresas corporativas, Sector financiero), Reguladores/legisladores</t>
  </si>
  <si>
    <t xml:space="preserve">Proyectos de compensación corporativa</t>
  </si>
  <si>
    <t xml:space="preserve">Síntesis de evidencia que concluye que la mayoría de los créditos de carbono han sido ineficaces para lograr resultados de mitigación reales.</t>
  </si>
  <si>
    <t xml:space="preserve">Schipper et al.</t>
  </si>
  <si>
    <t xml:space="preserve">Projecting terrestrial biodiversity intactness with GLOBIO 4</t>
  </si>
  <si>
    <t xml:space="preserve">Modela la Abundancia Media de Especies (MSA) bajo presiones humanas usando el marco GLOBIO 4.</t>
  </si>
  <si>
    <t xml:space="preserve">Schneider</t>
  </si>
  <si>
    <t xml:space="preserve">Assessing the additionality of CDM projects: practical experiences and lessons learned</t>
  </si>
  <si>
    <t xml:space="preserve">Proyectos MDL</t>
  </si>
  <si>
    <t xml:space="preserve">Evaluación crítica de la falta de aditividad en proyectos del Mecanismo de Desarrollo Limpio (MDL/CDM).</t>
  </si>
  <si>
    <t xml:space="preserve">Scholes &amp; Biggs</t>
  </si>
  <si>
    <t xml:space="preserve">A biodiversity intactness index</t>
  </si>
  <si>
    <t xml:space="preserve">África / Global</t>
  </si>
  <si>
    <t xml:space="preserve">Ecosistemas terrestres</t>
  </si>
  <si>
    <t xml:space="preserve">Propone el Índice de Integridad de la Biodiversidad (BII) para medir la abundancia relativa de poblaciones.</t>
  </si>
  <si>
    <t xml:space="preserve">von Essen &amp; Lambin</t>
  </si>
  <si>
    <t xml:space="preserve">Jurisdictional approaches to sustainable resource use</t>
  </si>
  <si>
    <t xml:space="preserve">Reguladores/legisladores, Oferta (Comunidades, Agricultores), Demanda (Empresas)</t>
  </si>
  <si>
    <t xml:space="preserve">Global (Especialmente Sur Global)</t>
  </si>
  <si>
    <t xml:space="preserve">Paisajes forestales y agrícolas</t>
  </si>
  <si>
    <t xml:space="preserve">Fundamenta los enfoques jurisdiccionales frente a proyectos aislados para reducir fugas y mejorar la aditividad y gobernanza.</t>
  </si>
  <si>
    <t xml:space="preserve">West et al.</t>
  </si>
  <si>
    <t xml:space="preserve">Overstated carbon emission reductions from voluntary REDD+ projects in the Brazilian Amazon</t>
  </si>
  <si>
    <t xml:space="preserve">Demanda (Mercados de carbono), Reguladores/legisladores, Oferta (Desarrolladores REDD+)</t>
  </si>
  <si>
    <t xml:space="preserve">Brasil (Amazonía)</t>
  </si>
  <si>
    <t xml:space="preserve">Selva tropical húmeda</t>
  </si>
  <si>
    <t xml:space="preserve">Demuestra empíricamente que los proyectos REDD+ voluntarios en la Amazonía brasileña exageraron significativamente las reducciones de deforestación.</t>
  </si>
  <si>
    <t xml:space="preserve">Overstated Carbon Emission Reductions From Voluntary REDD+ Projects in the Brazilian Amazon</t>
  </si>
  <si>
    <t xml:space="preserve">Comunidad científica, Demanda, Certificadores, Reguladores</t>
  </si>
  <si>
    <t xml:space="preserve">Evaluación econométrica que demuestra la exageración de reducciones de emisión en proyectos REDD+ voluntarios en la Amazonía.</t>
  </si>
  <si>
    <t xml:space="preserve">Selva tropical húmeda (REDD+)</t>
  </si>
  <si>
    <t xml:space="preserve">Demuestra cuantitativamente la exageración de reducciones de emisión en proyectos REDD+ voluntarios en Brasil.</t>
  </si>
  <si>
    <t xml:space="preserve">Demanda (Compradores), Oferta (Proyectos), Reguladores</t>
  </si>
  <si>
    <t xml:space="preserve">Bosques (Selva Amazónica)</t>
  </si>
  <si>
    <t xml:space="preserve">Demuestra empíricamente que los proyectos voluntarios en el Amazonas exageraron sus reducciones de emisiones.</t>
  </si>
  <si>
    <t xml:space="preserve">Comunidad científica, Reguladores, Demanda, Certificadores</t>
  </si>
  <si>
    <t xml:space="preserve">Selva húmeda tropical amazónica</t>
  </si>
  <si>
    <t xml:space="preserve">Demuestra mediante evaluaciones econométricas que los proyectos REDD+ voluntarios en la Amazonía brasilera exageran las reducciones evadidas.</t>
  </si>
  <si>
    <t xml:space="preserve">World Bank</t>
  </si>
  <si>
    <t xml:space="preserve">State and Trends of Carbon Pricing 2023</t>
  </si>
  <si>
    <t xml:space="preserve">Reguladores/legisladores, Demanda (Empresas, Sector financiero)</t>
  </si>
  <si>
    <t xml:space="preserve">Mercados de carbono mundiales</t>
  </si>
  <si>
    <t xml:space="preserve">Informe anual sobre el estado, tendencias e iliquidez de los mercados de precios de carbono a nivel global.</t>
  </si>
  <si>
    <t xml:space="preserve">State and Trends of Carbon Pricing 2024</t>
  </si>
  <si>
    <t xml:space="preserve">Reporte global que analiza la caída de precios en créditos de carbono basados en la naturaleza debido a crisis de confianza.</t>
  </si>
  <si>
    <t xml:space="preserve">Wu et al.</t>
  </si>
  <si>
    <t xml:space="preserve">Impacts of climate change on vegetation phenology and net primary productivity in arid Central Asia</t>
  </si>
  <si>
    <t xml:space="preserve">Asia Central</t>
  </si>
  <si>
    <t xml:space="preserve">Ecosistemas áridos y semiáridos</t>
  </si>
  <si>
    <t xml:space="preserve">Analiza los impactos del cambio climático en la fenología de la vegetación y la productividad primaria neta en regiones áridas.</t>
  </si>
  <si>
    <t xml:space="preserve">De Carlos Sebastián, A., García de la Cruz, J., Utrera García, P., &amp; Toja Bilbao, E.</t>
  </si>
  <si>
    <t xml:space="preserve">Contexto actual del Mercado Voluntario de Carbono (9º Congreso Forestal Español 9CFE-1212)</t>
  </si>
  <si>
    <t xml:space="preserve">Demanda (Empresas), Oferta (Silvicultores, Desarrolladores), Reguladores/legisladores</t>
  </si>
  <si>
    <t xml:space="preserve">España / Global</t>
  </si>
  <si>
    <t xml:space="preserve">Bosques, Suelos agrícolas, Carbono Azul (Manglares/Praderas marinos)</t>
  </si>
  <si>
    <t xml:space="preserve">Analiza el funcionamiento, oportunidades y gobernanza del mercado voluntario y regulado de créditos de carbono.</t>
  </si>
  <si>
    <t xml:space="preserve">IPCC (Intergovernmental Panel on Climate Change)</t>
  </si>
  <si>
    <t xml:space="preserve">Climate Change 2023: Synthesis Report. Contribution of Working Groups I, II and III to the Sixth Assessment Report</t>
  </si>
  <si>
    <t xml:space="preserve">Ecosistemas globales (terrestres, marinos, dulceacuícolas)</t>
  </si>
  <si>
    <t xml:space="preserve">Informe síntesis del IPCC sobre escenarios de reducción e intensidades necesarias de absorción de CO2 a 2050.</t>
  </si>
  <si>
    <t xml:space="preserve">Cambio climático 2022: mitigación del cambio climático. Contribución del Grupo de Trabajo III al Sexto Informe de Evaluación</t>
  </si>
  <si>
    <t xml:space="preserve">Sistemas forestales, agrícolas, urbanos y marinos</t>
  </si>
  <si>
    <t xml:space="preserve">Evalúa las sendas globales de mitigación y la función de los ecosistemas forestales en la captura de carbono.</t>
  </si>
  <si>
    <t xml:space="preserve">Lazarus, M., Kollmuss, A., &amp; Schneider, L.</t>
  </si>
  <si>
    <t xml:space="preserve">Potential for leakage in carbon markets: Policy options and implications</t>
  </si>
  <si>
    <t xml:space="preserve">Bosques y proyectos de mitigación forestal</t>
  </si>
  <si>
    <t xml:space="preserve">Estudio sobre el riesgo de fugas de carbono en esquemas de mercado y opciones de política para mitigar la sobre-emisión.</t>
  </si>
  <si>
    <t xml:space="preserve">Schneider, L., &amp; La Hoz Theuer, S.</t>
  </si>
  <si>
    <t xml:space="preserve">Environmental integrity of international carbon market mechanisms under the Paris Agreement</t>
  </si>
  <si>
    <t xml:space="preserve">Reguladores/legisladores, Demanda (Países/Empresas), Comunidad científica</t>
  </si>
  <si>
    <t xml:space="preserve">Ecosistemas forestales e industriales bajo mecanismos contables del Artículo 6</t>
  </si>
  <si>
    <t xml:space="preserve">Analiza los requisitos de contabilidad y correspondencia para evitar el doble recuento de créditos de carbono en el VCM.</t>
  </si>
  <si>
    <t xml:space="preserve">Schneider, L. &amp; La Hoz Theuer, S.</t>
  </si>
  <si>
    <t xml:space="preserve">Reguladores/legisladores, Demanda (Empresas, Mercados), Científicos</t>
  </si>
  <si>
    <t xml:space="preserve">Global (Artículo 6 del Acuerdo de París)</t>
  </si>
  <si>
    <t xml:space="preserve">Mecanismos internacionales de mercado de carbono</t>
  </si>
  <si>
    <t xml:space="preserve">Evalúa la integridad ambiental, la aditividad y la prevención del doble recuento en las compensaciones bajo el Artículo 6.</t>
  </si>
  <si>
    <t xml:space="preserve">Science Based Targets initiative (SBTi)</t>
  </si>
  <si>
    <t xml:space="preserve">Net-Zero Standard Criteria</t>
  </si>
  <si>
    <t xml:space="preserve">Cadenas de valor corporativas y proyectos de neutralización/absorción</t>
  </si>
  <si>
    <t xml:space="preserve">Establece los criterios para que las empresas fijen metas net-zero validadas requiriendo neutralizar &gt;90% de emisiones residuales.</t>
  </si>
  <si>
    <t xml:space="preserve">Integrity Council for the Voluntary Carbon Market (IC-VCM)</t>
  </si>
  <si>
    <t xml:space="preserve">Core Carbon Principles, Assessment Framework and Procedure</t>
  </si>
  <si>
    <t xml:space="preserve">Demanda (Empresas), Oferta (Desarrolladores), Reguladores, Clasificación de Actores</t>
  </si>
  <si>
    <t xml:space="preserve">Estándares globales de proyectos forestales, tecnológicos y marinos</t>
  </si>
  <si>
    <t xml:space="preserve">Define los Principios Fundamentales del Carbono (CCP) para clasificar y garantizar la alta calidad de los estándares.</t>
  </si>
  <si>
    <t xml:space="preserve">Verra</t>
  </si>
  <si>
    <t xml:space="preserve">Verified Carbon Standard (VCS) Program Guide</t>
  </si>
  <si>
    <t xml:space="preserve">Oferta (Desarrolladores, Silvicultores), Demanda, Certificadores/Auditores</t>
  </si>
  <si>
    <t xml:space="preserve">Bosques (ARR, REDD+, IFM), Suelos agrícolas y Carbono Azul</t>
  </si>
  <si>
    <t xml:space="preserve">Guía oficial del estándar voluntario VCS para la cuantificación, verificación y emisión de créditos de carbono.</t>
  </si>
  <si>
    <t xml:space="preserve">Gold Standard</t>
  </si>
  <si>
    <t xml:space="preserve">Requirements for Carbon Credit Projects</t>
  </si>
  <si>
    <t xml:space="preserve">Oferta (Comunidades locales, Pequeños propietarios), Demanda, Certificadores</t>
  </si>
  <si>
    <t xml:space="preserve">Bosques, ecosistemas agrícolas y desarrollo comunitario</t>
  </si>
  <si>
    <t xml:space="preserve">Establece salvaguardas ambientales y sociales y cobeneficios obligatorios de ODS para proyectos de compensación de carbono.</t>
  </si>
  <si>
    <t xml:space="preserve">Plan Vivo Foundation</t>
  </si>
  <si>
    <t xml:space="preserve">Plan Vivo Standard: Technical Specifications</t>
  </si>
  <si>
    <t xml:space="preserve">Oferta (Comunidades locales, Pequeños agricultores), Demanda</t>
  </si>
  <si>
    <t xml:space="preserve">Bosques comunitarios, sistemas agroforestales</t>
  </si>
  <si>
    <t xml:space="preserve">Estándar especializado en certificar créditos de carbono mediante proyectos comunitarios orientados a la equidad y distribución de beneficios.</t>
  </si>
  <si>
    <t xml:space="preserve">MITERD (Ministerio para la Transición Ecológica y el Reto Demográfico)</t>
  </si>
  <si>
    <t xml:space="preserve">Registro de Proyectos de Absorción de CO2 y Real Decreto 322/2025</t>
  </si>
  <si>
    <t xml:space="preserve">Reguladores/legisladores, Oferta (Silvicultores, Propietarios), Demanda (Empresas)</t>
  </si>
  <si>
    <t xml:space="preserve">España</t>
  </si>
  <si>
    <t xml:space="preserve">Bosques, repoblaciones forestales y actuaciones de gestión forestal</t>
  </si>
  <si>
    <t xml:space="preserve">Marco normativo en España para registrar proyectos nacionales de absorción y facilitar la compensación corporativa.</t>
  </si>
  <si>
    <t xml:space="preserve">Jessop, S., &amp; Twidale, S.</t>
  </si>
  <si>
    <t xml:space="preserve">Analysis - Carbon offset setback risks corporate backtrack on climate goals</t>
  </si>
  <si>
    <t xml:space="preserve">Demanda (Empresas corporativas), Público general</t>
  </si>
  <si>
    <t xml:space="preserve">Mercados voluntarios corporativos</t>
  </si>
  <si>
    <t xml:space="preserve">Artículo periodístico de investigación sobre el impacto de las críticas a la calidad de créditos de carbono en los compromisos corporativos.</t>
  </si>
  <si>
    <t xml:space="preserve">Financial Times</t>
  </si>
  <si>
    <t xml:space="preserve">Corporate climate claims and the evolution of voluntary carbon markets</t>
  </si>
  <si>
    <t xml:space="preserve">Demanda (Sector financiero, Empresas), Público general</t>
  </si>
  <si>
    <t xml:space="preserve">Mercados financieros y corporativos</t>
  </si>
  <si>
    <t xml:space="preserve">Análisis sobre la escrutinización mediática e institucional de las declaraciones corporativas de neutralidad.</t>
  </si>
  <si>
    <t xml:space="preserve">Accenture</t>
  </si>
  <si>
    <t xml:space="preserve">Las compañías en camino de alcanzar las cero emisiones de carbono 2050</t>
  </si>
  <si>
    <t xml:space="preserve">Demanda (Empresas corporativas, Sector financiero)</t>
  </si>
  <si>
    <t xml:space="preserve">Global / España</t>
  </si>
  <si>
    <t xml:space="preserve">Grandes empresas cotizadas y sectores industriales</t>
  </si>
  <si>
    <t xml:space="preserve">Estudio estadístico que muestra que el 70% de las grandes empresas en España tienen metas de cero emisiones netas (frente al 37% global).</t>
  </si>
  <si>
    <t xml:space="preserve">Laier, P., &amp; Romani, A.</t>
  </si>
  <si>
    <t xml:space="preserve">Microsoft to buy 8 million carbon credits from BTG Pactual in largest-ever sale</t>
  </si>
  <si>
    <t xml:space="preserve">Demanda (Microsoft), Oferta (BTG Pactual, Silvicultores)</t>
  </si>
  <si>
    <t xml:space="preserve">Brasil / América Latina</t>
  </si>
  <si>
    <t xml:space="preserve">Reforestación, restauración de tierras degradadas en la Amazonía</t>
  </si>
  <si>
    <t xml:space="preserve">Reporte sobre la transacción histórica de compra directa de 8M de créditos de absorción forestal por parte de Microsoft.</t>
  </si>
  <si>
    <t xml:space="preserve">Dhumal, T., &amp; Eluri, K. C.</t>
  </si>
  <si>
    <t xml:space="preserve">Occidental's 1PointFive to sell carbon credits to Microsoft</t>
  </si>
  <si>
    <t xml:space="preserve">Demanda (Microsoft, Occidental 1PointFive)</t>
  </si>
  <si>
    <t xml:space="preserve">Captura directa de aire (DAC) y almacenamiento</t>
  </si>
  <si>
    <t xml:space="preserve">Análisis de acuerdo comercial corporativo de compra de 500.000 tCO2 de créditos de ingeniería para estrategia net-zero.</t>
  </si>
  <si>
    <t xml:space="preserve">Trove Research</t>
  </si>
  <si>
    <t xml:space="preserve">Future Demand, Supply and Prices for Voluntary Carbon Credits – Keeping the Balance</t>
  </si>
  <si>
    <t xml:space="preserve">Proyectos forestales y tecnológicos de carbono</t>
  </si>
  <si>
    <t xml:space="preserve">Modelo prospectivo que proyecta el crecimiento multiplicativo de la demanda y balance de precios en el MVC a 2030 y 2050.</t>
  </si>
  <si>
    <t xml:space="preserve">McKinsey &amp; Company</t>
  </si>
  <si>
    <t xml:space="preserve">A blueprint for scaling voluntary carbon markets to meet the climate challenge</t>
  </si>
  <si>
    <t xml:space="preserve">Demanda (Empresas, Sector financiero), Reguladores, Oferta</t>
  </si>
  <si>
    <t xml:space="preserve">Mercados globales de soluciones basadas en la naturaleza e ingeniería</t>
  </si>
  <si>
    <t xml:space="preserve">Hoja de ruta estratégica de la TSVCM para estructurar la liquidez, estandarización y escala del mercado voluntario.</t>
  </si>
  <si>
    <t xml:space="preserve">Blaufelder, C., Levy, C., Mannion, P. &amp; Pinner, D. (McKinsey)</t>
  </si>
  <si>
    <t xml:space="preserve">Cuantitativo / Modelación de mercado</t>
  </si>
  <si>
    <t xml:space="preserve">Mercados globales de carbono y soluciones climáticas</t>
  </si>
  <si>
    <t xml:space="preserve">Modela el potencial de crecimiento del mercado voluntario de carbono hasta multiplicar por 15 su escala hacia 2030.</t>
  </si>
  <si>
    <t xml:space="preserve">Taskforce on Scaling Voluntary Carbon Markets (TSVCM / IIF)</t>
  </si>
  <si>
    <t xml:space="preserve">Cuantitativo / Hoja de ruta</t>
  </si>
  <si>
    <t xml:space="preserve">Demanda (Sector financiero, Corporaciones), Certificadores, Oferta</t>
  </si>
  <si>
    <t xml:space="preserve">Mercados de carbono voluntario ($5B-$50B a 2030)</t>
  </si>
  <si>
    <t xml:space="preserve">Plan de acción impulsado por Mark Carney para estructurar la infraestructura de mercado de créditos de carbono.</t>
  </si>
  <si>
    <t xml:space="preserve">Adaptation Fund</t>
  </si>
  <si>
    <t xml:space="preserve">Coastal zone management - adaptation fund</t>
  </si>
  <si>
    <t xml:space="preserve">Reguladores/legisladores, Demanda (Sector financiero), Oferta (Comunidades locales)</t>
  </si>
  <si>
    <t xml:space="preserve">Global (Países en desarrollo)</t>
  </si>
  <si>
    <t xml:space="preserve">Zonas costeras y ecosistemas marinos costeros</t>
  </si>
  <si>
    <t xml:space="preserve">Revisa los proyectos de adaptación y gestión costera financiados para aumentar la resiliencia en comunidades vulnerables.</t>
  </si>
  <si>
    <t xml:space="preserve">Ahluwalia, Summers &amp; Velasco</t>
  </si>
  <si>
    <t xml:space="preserve">High level panel on the future of multilateral development banking</t>
  </si>
  <si>
    <t xml:space="preserve">Bienes públicos globales y ecosistemas compartidos</t>
  </si>
  <si>
    <t xml:space="preserve">Analiza la necesidad de que los bancos multilaterales centren sus prioridades en bienes públicos globales como la biodiversidad.</t>
  </si>
  <si>
    <t xml:space="preserve">Arnason, Kelleher &amp; Willmann (World Bank / FAO)</t>
  </si>
  <si>
    <t xml:space="preserve">The sunken billions: The economic justification for fisheries reform</t>
  </si>
  <si>
    <t xml:space="preserve">Reguladores/legisladores, Oferta (Pesquerías), Comunidad científica</t>
  </si>
  <si>
    <t xml:space="preserve">Pesquerías marinas globales y recursos pesqueros</t>
  </si>
  <si>
    <t xml:space="preserve">Cuantifica las pérdidas económicas multimillonarias por la sobrepesca y demuestra la justificación económica de reformar subsidios.</t>
  </si>
  <si>
    <t xml:space="preserve">Association of Chartered Certified Accountants (ACCA)</t>
  </si>
  <si>
    <t xml:space="preserve">Identifying natural capital risk and materiality</t>
  </si>
  <si>
    <t xml:space="preserve">Capital natural y servicios ecosistémicos corporativos</t>
  </si>
  <si>
    <t xml:space="preserve">Proporciona directrices para que las instituciones financieras evalúen y reporten la materialidad y riesgos del capital natural.</t>
  </si>
  <si>
    <t xml:space="preserve">Ban et al.</t>
  </si>
  <si>
    <t xml:space="preserve">Better integration of sectoral planning and management approaches for the interlinked ecology of the open oceans</t>
  </si>
  <si>
    <t xml:space="preserve">Reguladores/legisladores, Comunidad científica, Oferta (Pesquerías/Transporte)</t>
  </si>
  <si>
    <t xml:space="preserve">Alta Mar (ABNJ)</t>
  </si>
  <si>
    <t xml:space="preserve">Océano abierto y ecosistemas pelágicos</t>
  </si>
  <si>
    <t xml:space="preserve">Propone la integración de la planificación espacial marina y herramientas sectoriales en alta mar bajo el acuerdo de UNCLOS.</t>
  </si>
  <si>
    <t xml:space="preserve">Bank, D.</t>
  </si>
  <si>
    <t xml:space="preserve">Making nature pay: Bankers work to finance conservation at scale</t>
  </si>
  <si>
    <t xml:space="preserve">Demanda (Sector financiero, Inversores de impacto), Reguladores/legisladores</t>
  </si>
  <si>
    <t xml:space="preserve">Humedales, bosques y hábitats conservados a escala</t>
  </si>
  <si>
    <t xml:space="preserve">Analiza cómo la banca de inversión estructurada moviliza capital privado hacia proyectos de conservación y restauración.</t>
  </si>
  <si>
    <t xml:space="preserve">Bax et al.</t>
  </si>
  <si>
    <t xml:space="preserve">Open data: Enabling conservation and sustainable use of biodiversity in areas beyond national jurisdiction</t>
  </si>
  <si>
    <t xml:space="preserve">Comunidad científica, Reguladores/legisladores, Demanda (Empresas tecnológicas)</t>
  </si>
  <si>
    <t xml:space="preserve">Océano profundo y zonas marinas fuera de jurisdicción nacional</t>
  </si>
  <si>
    <t xml:space="preserve">Fundamenta la necesidad de infraestructura de datos abiertos para monitorear y gestionar la biodiversidad en alta mar.</t>
  </si>
  <si>
    <t xml:space="preserve">Beaudoin &amp; Pendleton</t>
  </si>
  <si>
    <t xml:space="preserve">Why value the oceans: A discussion paper</t>
  </si>
  <si>
    <t xml:space="preserve">Ecosistemas marinos y costeros globales</t>
  </si>
  <si>
    <t xml:space="preserve">Marco conceptual sobre la valoración económica de los servicios ecosistémicos marinos para fundamentar políticas públicas.</t>
  </si>
  <si>
    <t xml:space="preserve">Benedetti &amp; van Lavieren (GEF)</t>
  </si>
  <si>
    <t xml:space="preserve">From coast to coast - celebrating 20 years of transboundary management of our shared oceans</t>
  </si>
  <si>
    <t xml:space="preserve">Reguladores/legisladores, Oferta (Comunidades costeras), Comunidad científica</t>
  </si>
  <si>
    <t xml:space="preserve">Global (Ecorregiones marinas compartidas)</t>
  </si>
  <si>
    <t xml:space="preserve">Ecosistemas marinos transfronterizos y zonas costeras</t>
  </si>
  <si>
    <t xml:space="preserve">Revisa 20 años de gestión transfronteriza del FMAM e inversiones privadas en carbono azul e integración costera.</t>
  </si>
  <si>
    <t xml:space="preserve">Beresnev &amp; Broadhead (FAO &amp; IUCN)</t>
  </si>
  <si>
    <t xml:space="preserve">Financing for mangrove protection with emphasis on Pakistan</t>
  </si>
  <si>
    <t xml:space="preserve">Oferta (Comunidades locales), Demanda (Inversores de impacto), Reguladores/legisladores</t>
  </si>
  <si>
    <t xml:space="preserve">Pakistán / Asia</t>
  </si>
  <si>
    <t xml:space="preserve">Manglares y vegetación costera de carbono azul</t>
  </si>
  <si>
    <t xml:space="preserve">Identifica 54 fuentes de financiación para manglares en Asia y evalúa el potencial de capital privado en conservación de carbono azul.</t>
  </si>
  <si>
    <t xml:space="preserve">Bhattacharya, Oppenheim &amp; Stern</t>
  </si>
  <si>
    <t xml:space="preserve">Driving sustainable development through better infrastructure</t>
  </si>
  <si>
    <t xml:space="preserve">Demanda (Sector financiero), Reguladores/legisladores, Público general</t>
  </si>
  <si>
    <t xml:space="preserve">Infraestructura sostenible y servicios ecosistémicos</t>
  </si>
  <si>
    <t xml:space="preserve">Examina la combinación de finanzas concesionales y privadas para reducir riesgos en inversiones de infraestructura sostenible.</t>
  </si>
  <si>
    <t xml:space="preserve">Bos, Pressey &amp; Stoeckl</t>
  </si>
  <si>
    <t xml:space="preserve">Marine conservation finance: The need for and scope of an emerging field</t>
  </si>
  <si>
    <t xml:space="preserve">Arrecifes de coral, áreas protegidas marinas y ecosistemas costeros</t>
  </si>
  <si>
    <t xml:space="preserve">Define el alcance de las finanzas de conservación marina e identifica instrumentos de mercado como pagadores de biodiversidad.</t>
  </si>
  <si>
    <t xml:space="preserve">Bos et al.</t>
  </si>
  <si>
    <t xml:space="preserve">Marine conservation finance: the need for and scope of an emerging field</t>
  </si>
  <si>
    <t xml:space="preserve">Demanda (empresas), Reguladores/legisladores, Comunidad científica</t>
  </si>
  <si>
    <t xml:space="preserve">Revisa los desafíos y oportunidades en la financiación marina y la participación de capital privado.</t>
  </si>
  <si>
    <t xml:space="preserve">Arrecifes de coral, áreas marinas protegidas y zonas costeras</t>
  </si>
  <si>
    <t xml:space="preserve">Define el alcance de las finanzas de conservación marina e identifica instrumentos de mercado para canalizar capital de biodiversidad.</t>
  </si>
  <si>
    <t xml:space="preserve">Brest &amp; Born</t>
  </si>
  <si>
    <t xml:space="preserve">When can impact investing create real impact?</t>
  </si>
  <si>
    <t xml:space="preserve">Demanda (Inversores de impacto, Sector financiero), Comunidad científica</t>
  </si>
  <si>
    <t xml:space="preserve">Ecosistemas diversos sujetas a inversión de impacto</t>
  </si>
  <si>
    <t xml:space="preserve">Establece criterios analíticos para verificar cuándo las inversiones de impacto generan aditividad social y ambiental real.</t>
  </si>
  <si>
    <t xml:space="preserve">Brown et al. (CPI)</t>
  </si>
  <si>
    <t xml:space="preserve">Improving the effectiveness of climate finance: A survey of leveraging methodologies</t>
  </si>
  <si>
    <t xml:space="preserve">Proyectos de adaptación y mitigación climática</t>
  </si>
  <si>
    <t xml:space="preserve">Evalúa metodologías para medir el apalancamiento de capital privado mediante financiación pública inicial.</t>
  </si>
  <si>
    <t xml:space="preserve">Buchner et al. (CPI)</t>
  </si>
  <si>
    <t xml:space="preserve">Global landscape of climate finance 2015</t>
  </si>
  <si>
    <t xml:space="preserve">Demanda (Sector financiero, Bancos de desarrollo), Reguladores/legisladores</t>
  </si>
  <si>
    <t xml:space="preserve">Flujos globales de capital de mitigación y adaptación</t>
  </si>
  <si>
    <t xml:space="preserve">Mapeo cuantitativo de los flujos mundiales de financiación climática pública y privada.</t>
  </si>
  <si>
    <t xml:space="preserve">Buebe, Meiher &amp; Wittmer</t>
  </si>
  <si>
    <t xml:space="preserve">International financial instruments for biodiversity conservation in developing countries</t>
  </si>
  <si>
    <t xml:space="preserve">Reguladores/legisladores, Demanda (Sector financiero), Oferta (Comunidades)</t>
  </si>
  <si>
    <t xml:space="preserve">Países en desarrollo</t>
  </si>
  <si>
    <t xml:space="preserve">Bosques tropicales y biodiversidad en países en desarrollo</t>
  </si>
  <si>
    <t xml:space="preserve">Analiza instrumentos financieros internacionales e incentivos de política para la conservación de la biodiversidad forestal.</t>
  </si>
  <si>
    <t xml:space="preserve">Carney, M.</t>
  </si>
  <si>
    <t xml:space="preserve">The five measures needed to scale up the green bond market</t>
  </si>
  <si>
    <t xml:space="preserve">Demanda (Bancos centrales, Sector financiero, Inversores), Reguladores/legisladores</t>
  </si>
  <si>
    <t xml:space="preserve">Mercados de capitales y proyectos verdes/azules</t>
  </si>
  <si>
    <t xml:space="preserve">Propone 5 medidas estratégicas para estandarizar, certificar y escalar los mercados de bonos verdes y azules.</t>
  </si>
  <si>
    <t xml:space="preserve">Chair's Overview (UN BBNJ PrepCom II)</t>
  </si>
  <si>
    <t xml:space="preserve">Development of an international legally binding instrument under UNCLOS on BBNJ</t>
  </si>
  <si>
    <t xml:space="preserve">Biodiversidad marina fuera de la jurisdicción nacional</t>
  </si>
  <si>
    <t xml:space="preserve">Resumen de la negociación diplomática de la ONU para el acuerdo jurídicamente vinculante sobre biodiversidad marina en alta mar.</t>
  </si>
  <si>
    <t xml:space="preserve">China Ocean Strategic Industry Investment Fund (COSIIF)</t>
  </si>
  <si>
    <t xml:space="preserve">China Ocean Strategic Industry Investment Fund Initiative</t>
  </si>
  <si>
    <t xml:space="preserve">China / Global</t>
  </si>
  <si>
    <t xml:space="preserve">Infraestructura marina estratégica y economía azul</t>
  </si>
  <si>
    <t xml:space="preserve">Fondo estratégico estatal-privado chino para financiar infraestructura marina e industria sostenible en el océano.</t>
  </si>
  <si>
    <t xml:space="preserve">Cicin-Sain et al.</t>
  </si>
  <si>
    <t xml:space="preserve">Towards a strategic action roadmap on oceans and climate: 2016 to 2021</t>
  </si>
  <si>
    <t xml:space="preserve">Reguladores/legisladores, Comunidad científica, Demanda (Sector financiero)</t>
  </si>
  <si>
    <t xml:space="preserve">Océanos globales, zonas costeras y clima</t>
  </si>
  <si>
    <t xml:space="preserve">Hoja de ruta para integrar los océanos en la agenda climática del Acuerdo de París e impulsar mecanismos de financiación.</t>
  </si>
  <si>
    <t xml:space="preserve">Cisneros-Montemayor et al.</t>
  </si>
  <si>
    <t xml:space="preserve">Global economic value of shark ecotourism: Implications for conservation</t>
  </si>
  <si>
    <t xml:space="preserve">Oferta (Operadores turísticos, Comunidades costeras), Demanda, Reguladores/legisladores</t>
  </si>
  <si>
    <t xml:space="preserve">Ecosistemas marinos pelágicos y especies de tiburones</t>
  </si>
  <si>
    <t xml:space="preserve">Estima el valor económico global del ecoturismo de tiburones ($314M/año) demostrando mayores ingresos que la pesca extractiva.</t>
  </si>
  <si>
    <t xml:space="preserve">Climate Bonds Initiative</t>
  </si>
  <si>
    <t xml:space="preserve">Bonds and climate change: The State of the market in 2016</t>
  </si>
  <si>
    <t xml:space="preserve">Demanda (Sector financiero, Inversores institucionales), Reguladores/legisladores</t>
  </si>
  <si>
    <t xml:space="preserve">Mercados de bonos verdes y etiquetados</t>
  </si>
  <si>
    <t xml:space="preserve">Análisis del mercado de bonos verdes climáticos ($118B emitidos) y su expansión hacia estándares marinos y agrícolas.</t>
  </si>
  <si>
    <t xml:space="preserve">Climate bonds convenes marine technical working group - April 2016</t>
  </si>
  <si>
    <t xml:space="preserve">Comunidad científica, Demanda (Sector financiero), Reguladores/legisladores</t>
  </si>
  <si>
    <t xml:space="preserve">Infraestructura marina, pesquerías sostenibles y energía marina</t>
  </si>
  <si>
    <t xml:space="preserve">Desarrollo de criterios de elegibilidad científica para certificar bonos marinos/azules bajo el estándar CBI.</t>
  </si>
  <si>
    <t xml:space="preserve">Climate Disclosure Standards Board (CDSB)</t>
  </si>
  <si>
    <t xml:space="preserve">CDSB framework for reporting environmental information &amp; natural capital</t>
  </si>
  <si>
    <t xml:space="preserve">Capital natural y reporte corporativo de información ambiental</t>
  </si>
  <si>
    <t xml:space="preserve">Marco de divulgación corporativa para integrar información del capital natural en los informes financieros principales.</t>
  </si>
  <si>
    <t xml:space="preserve">Climate Policy Initiative (CPI)</t>
  </si>
  <si>
    <t xml:space="preserve">Global landscape of climate finance</t>
  </si>
  <si>
    <t xml:space="preserve">Proyectos de gestión de agua, protección costera y uso de tierra</t>
  </si>
  <si>
    <t xml:space="preserve">Informe que cuantifica que la mitad de las finanzas de adaptación se dirigen a gestión de agua, tierras y zonas costeras.</t>
  </si>
  <si>
    <t xml:space="preserve">Coalition for Private Investment in Conservation (CPIC)</t>
  </si>
  <si>
    <t xml:space="preserve">Statement of intent: Building blueprints for conservation finance</t>
  </si>
  <si>
    <t xml:space="preserve">Demanda (Inversores privados, Bancos), Oferta (Comunidades locales), Científicos</t>
  </si>
  <si>
    <t xml:space="preserve">Ecosistemas terrestres y marinos receptores de capital de conservación</t>
  </si>
  <si>
    <t xml:space="preserve">Iniciativa global para crear 'modelos/blueprints' de inversión privada que entreguen retornos financieros e impacto ecológico.</t>
  </si>
  <si>
    <t xml:space="preserve">Committee of Experts on Sustainable Development Financing (UN)</t>
  </si>
  <si>
    <t xml:space="preserve">Report of the intergovernmental Committee of Experts on sustainable development financing</t>
  </si>
  <si>
    <t xml:space="preserve">Reguladores/legisladores, Demanda (Sector financiero), Público general</t>
  </si>
  <si>
    <t xml:space="preserve">Sistemas socioecológicos mundiales y ODS</t>
  </si>
  <si>
    <t xml:space="preserve">Informe de la ONU proponiendo incentivos para movilizar financiación privada a largo plazo hacia los Objetivos de Desarrollo Sostenible.</t>
  </si>
  <si>
    <t xml:space="preserve">Credit Suisse, WWF &amp; McKinsey &amp; Company</t>
  </si>
  <si>
    <t xml:space="preserve">Conservation finance: Moving beyond donor funding toward an investor-driven approach</t>
  </si>
  <si>
    <t xml:space="preserve">Ecosistemas prioritarios globales para conservación</t>
  </si>
  <si>
    <t xml:space="preserve">Estudio hito proponiendo estructurar la conservación como un activo financiero comerciable de $200B-$400B anuales.</t>
  </si>
  <si>
    <t xml:space="preserve">Huwyler et al.</t>
  </si>
  <si>
    <t xml:space="preserve">Conservation Finance: Moving beyond Donor Funding toward an Investor-Driven Approach</t>
  </si>
  <si>
    <t xml:space="preserve">Demanda (inversores privados/bancos), Oferta (desarrolladores), Clasificación de Actores</t>
  </si>
  <si>
    <t xml:space="preserve">Inversión de impacto en ecosistemas terrestres y marinos</t>
  </si>
  <si>
    <t xml:space="preserve">Propone transitarde subvenciones a modelos orientados a inversores con retornos medibles.</t>
  </si>
  <si>
    <t xml:space="preserve">Huywler et al. (Credit Suisse)</t>
  </si>
  <si>
    <t xml:space="preserve">Conservation finance: moving beyond donor funding toward an investor-driven approach</t>
  </si>
  <si>
    <t xml:space="preserve">Demanda (Sector financiero, Credit Suisse), Reguladores/legisladores, Inversores</t>
  </si>
  <si>
    <t xml:space="preserve">Ecosistemas prioritarios de conservación</t>
  </si>
  <si>
    <t xml:space="preserve">Informe clave de Credit Suisse y WWF proponiendo estructurar la conservación como un activo financiero alineado con inversores.</t>
  </si>
  <si>
    <t xml:space="preserve">Druel &amp; Gjerde</t>
  </si>
  <si>
    <t xml:space="preserve">Sustaining marine life beyond boundaries: Options for an implementing agreement under UNCLOS</t>
  </si>
  <si>
    <t xml:space="preserve">Ecosistemas marinos de alta mar y biodiversidad ABNJ</t>
  </si>
  <si>
    <t xml:space="preserve">Analiza las opciones legales bajo UNCLOS para gestionar de forma integrada la conservación de especies y hábitats en alta mar.</t>
  </si>
  <si>
    <t xml:space="preserve">Economist Intelligence Unit (EIU)</t>
  </si>
  <si>
    <t xml:space="preserve">The blue economy: Growth, opportunity and a sustainable ocean economy</t>
  </si>
  <si>
    <t xml:space="preserve">Demanda (Empresas marítimas, Sector financiero), Reguladores/legisladores</t>
  </si>
  <si>
    <t xml:space="preserve">Economía marina, energía de olas y turismo costero</t>
  </si>
  <si>
    <t xml:space="preserve">Evalúa el potencial económico y las salvaguardas ambientales necesarias para el crecimiento de la economía azul.</t>
  </si>
  <si>
    <t xml:space="preserve">Economist Ocean Innovation Challenge</t>
  </si>
  <si>
    <t xml:space="preserve">Blockchain technologies for mangrove carbon and tuna supply chains</t>
  </si>
  <si>
    <t xml:space="preserve">Demanda (Empresas tecnológicas, Inversores), Oferta (Pesquerías, Comunidades costeras)</t>
  </si>
  <si>
    <t xml:space="preserve">Manglares de carbono azul y pesquerías de túnidos</t>
  </si>
  <si>
    <t xml:space="preserve">Propone el uso de cadenas de bloques (blockchain) para garantizar la trazabilidad de capturas y la integridad de créditos de manglar.</t>
  </si>
  <si>
    <t xml:space="preserve">Ferraro &amp; Pattanayak</t>
  </si>
  <si>
    <t xml:space="preserve">Money for nothing? A call for empirical evaluation of biodiversity conservation investments</t>
  </si>
  <si>
    <t xml:space="preserve">Comunidad científica, Reguladores/legisladores, Demanda (Donantes)</t>
  </si>
  <si>
    <t xml:space="preserve">Ecosistemas objeto de inversiones de conservación</t>
  </si>
  <si>
    <t xml:space="preserve">Llamado metodológico para aplicar evaluaciones de impacto rigurosas y cuasi-experimentales en inversiones de biodiversidad.</t>
  </si>
  <si>
    <t xml:space="preserve">Fétiveau et al.</t>
  </si>
  <si>
    <t xml:space="preserve">Etude relative aux initiatives innovantes pour le financement de la biodiversité</t>
  </si>
  <si>
    <t xml:space="preserve">Reguladores/legisladores, Demanda (Inversores), Oferta (Comunidades)</t>
  </si>
  <si>
    <t xml:space="preserve">Global (Francia / Países en desarrollo)</t>
  </si>
  <si>
    <t xml:space="preserve">Diversos ecosistemas receptores de financiación internacional</t>
  </si>
  <si>
    <t xml:space="preserve">Informe para el Ministerio de Relaciones Exteriores francés identificando mecanismos financieros innovadores de biodiversidad.</t>
  </si>
  <si>
    <t xml:space="preserve">Financial Innovations Lab / Milken Institute</t>
  </si>
  <si>
    <t xml:space="preserve">Creating mechanisms for conservation finance in Southeast Asia</t>
  </si>
  <si>
    <t xml:space="preserve">Sudeste Asiático</t>
  </si>
  <si>
    <t xml:space="preserve">Bosques tropicales y ecosistemas marinos en el Sudeste Asiático</t>
  </si>
  <si>
    <t xml:space="preserve">Establece estructuras financieras de mitigación de riesgo y fondos de inversión para canalizar capital privado en la región.</t>
  </si>
  <si>
    <t xml:space="preserve">Freestone, D.</t>
  </si>
  <si>
    <t xml:space="preserve">The sargasso sea alliance: Working to protect the 'golden floating rainforest of the ocean'</t>
  </si>
  <si>
    <t xml:space="preserve">Mar de los Sargazos (Atlántico)</t>
  </si>
  <si>
    <t xml:space="preserve">Ecosistemas pelágicos de sargazo en alta mar</t>
  </si>
  <si>
    <t xml:space="preserve">Describe la alianza de gobernanza voluntaria para la protección del Mar de los Sargazos como área marina de alto valor.</t>
  </si>
  <si>
    <t xml:space="preserve">Gartner, D.</t>
  </si>
  <si>
    <t xml:space="preserve">Innovative financing and sustainable development: Lessons from global health</t>
  </si>
  <si>
    <t xml:space="preserve">Mecanismos institucionales de financiación del desarrollo</t>
  </si>
  <si>
    <t xml:space="preserve">Extrae lecciones de los fondos de salud global (ej. GAVI) para estructurar mecanismos automáticos de financiación en medio ambiente.</t>
  </si>
  <si>
    <t xml:space="preserve">Gill et al.</t>
  </si>
  <si>
    <t xml:space="preserve">Capacity shortfalls hinder the performance of marine protected areas globally</t>
  </si>
  <si>
    <t xml:space="preserve">Comunidad científica, Reguladores/legisladores, Oferta (Gestores de AMPs)</t>
  </si>
  <si>
    <t xml:space="preserve">Global (200+ Áreas Marinas Protegidas)</t>
  </si>
  <si>
    <t xml:space="preserve">Redes globales de Áreas Marinas Protegidas</t>
  </si>
  <si>
    <t xml:space="preserve">Demuestra empíricamente en Nature que el déficit presupuestario y de personal es el factor principal que limita el éxito de las AMPs.</t>
  </si>
  <si>
    <t xml:space="preserve">Global Environment Facility (GEF)</t>
  </si>
  <si>
    <t xml:space="preserve">Financing the achievement of the Aichi targets</t>
  </si>
  <si>
    <t xml:space="preserve">Reguladores/legisladores, Demanda (Donantes multilaterales), Comunidad científica</t>
  </si>
  <si>
    <t xml:space="preserve">Ecosistemas globales vinculados a las Metas de Aichi del CDB</t>
  </si>
  <si>
    <t xml:space="preserve">Informe del FMAM sobre la movilización de recursos internacionales requeridos para cumplir las Metas de Aichi para la Biodiversidad.</t>
  </si>
  <si>
    <t xml:space="preserve">Global Impact Investing Network (GIIN)</t>
  </si>
  <si>
    <t xml:space="preserve">Catalytic first-loss capital</t>
  </si>
  <si>
    <t xml:space="preserve">Demanda (Inversores de impacto, Donantes filantrópicos, Bancos)</t>
  </si>
  <si>
    <t xml:space="preserve">Vehículos financieros mixtos para conservación y desarrollo</t>
  </si>
  <si>
    <t xml:space="preserve">Define el capital catalítico de primera pérdida como herramienta de garantía para atraer inversores comerciales a proyectos de riesgo.</t>
  </si>
  <si>
    <t xml:space="preserve">Achieving the Sustainable Development Goals through Impact Investing</t>
  </si>
  <si>
    <t xml:space="preserve">Demanda (Inversores de impacto, Sector financiero), Reguladores/legisladores</t>
  </si>
  <si>
    <t xml:space="preserve">Acuático / Mixto</t>
  </si>
  <si>
    <t xml:space="preserve">Océanos (ODS 14) y ecosistemas protegidos</t>
  </si>
  <si>
    <t xml:space="preserve">Mapea fondos de impacto dedicados explícitamente al ODS 14 (Vida Submarina), como el Althelia Sustainable Ocean Fund.</t>
  </si>
  <si>
    <t xml:space="preserve">Global Ocean Commission</t>
  </si>
  <si>
    <t xml:space="preserve">The future of our ocean: Next steps and priorities</t>
  </si>
  <si>
    <t xml:space="preserve">Reguladores/legisladores, Demanda (Empresas marítimas), Comunidad científica</t>
  </si>
  <si>
    <t xml:space="preserve">Océanos mundiales y ecosistemas fuera de jurisdicciones nacionales</t>
  </si>
  <si>
    <t xml:space="preserve">Informe final propugnando la eliminación de subsidios pesqueros nocivos e incentivos de capital para la gobernanza en alta mar.</t>
  </si>
  <si>
    <t xml:space="preserve">Green Climate Fund (GCF)</t>
  </si>
  <si>
    <t xml:space="preserve">Meeting of the Board 24-26 March 2015 Decisions and Framework</t>
  </si>
  <si>
    <t xml:space="preserve">Reguladores/legisladores, Demanda (Sector financiero), Oferta (Países en desarrollo)</t>
  </si>
  <si>
    <t xml:space="preserve">Ecosistemas marinos, costeros y terrestres objeto de financiación climática</t>
  </si>
  <si>
    <t xml:space="preserve">Decisión del Fondo Verde del Clima para autorizar garantías e inversiones de capital privado en proyectos de resiliencia costera.</t>
  </si>
  <si>
    <t xml:space="preserve">Gutman &amp; Davidson (WWF)</t>
  </si>
  <si>
    <t xml:space="preserve">A review of innovative international financial mechanisms for biodiversity conservation</t>
  </si>
  <si>
    <t xml:space="preserve">Reguladores/legisladores, Demanda (Donantes), Oferta (Gestores de Áreas Protegidas)</t>
  </si>
  <si>
    <t xml:space="preserve">Áreas Protegidas terrestres y marinas en países en desarrollo</t>
  </si>
  <si>
    <t xml:space="preserve">Revisión sistemática del WWF sobre impuestos, canjes de deuda por naturaleza y esquemas PES para financiar Áreas Protegidas.</t>
  </si>
  <si>
    <t xml:space="preserve">Havemann et al. (Credit Suisse)</t>
  </si>
  <si>
    <t xml:space="preserve">Levering ecosystems: A business-focused perspective on how debt supports investments in ecosystem services</t>
  </si>
  <si>
    <t xml:space="preserve">Demanda (Bancos, Sector financiero, Empresas), Reguladores/legisladores</t>
  </si>
  <si>
    <t xml:space="preserve">Ecosistemas generadores de flujos de efectivo de servicios ecosistémicos</t>
  </si>
  <si>
    <t xml:space="preserve">Analiza cómo la emisión de deuda privada puede estructurarse sobre los flujos de caja futuros derivados de servicios ecosistémicos.</t>
  </si>
  <si>
    <t xml:space="preserve">Heimbach et al.</t>
  </si>
  <si>
    <t xml:space="preserve">Deep ocean observing strategy - a global ocean observing system project report</t>
  </si>
  <si>
    <t xml:space="preserve">Comunidad científica, Reguladores/legisladores, Demanda (Teleco/Tecnológicas)</t>
  </si>
  <si>
    <t xml:space="preserve">Alta Mar (Océano Profundo)</t>
  </si>
  <si>
    <t xml:space="preserve">Ecosistemas marinos de aguas profundas</t>
  </si>
  <si>
    <t xml:space="preserve">Propone compartir la infraestructura de cables submarinos de telecomunicaciones para instalar sensores observatorios de bajo costo.</t>
  </si>
  <si>
    <t xml:space="preserve">Herr et al. (IUCN)</t>
  </si>
  <si>
    <t xml:space="preserve">Coastal 'blue' carbon: A revised guide to supporting coastal wetland programs using climate finance</t>
  </si>
  <si>
    <t xml:space="preserve">Reguladores/legisladores, Oferta (Comunidades costeras), Demanda (Carbono)</t>
  </si>
  <si>
    <t xml:space="preserve">Humedales costeros, manglares y marismas salinas</t>
  </si>
  <si>
    <t xml:space="preserve">Guía técnica para cuantificar la captura de 20.000M de toneladas de CO2 en manglares y estructurar finanzas de carbono azul.</t>
  </si>
  <si>
    <t xml:space="preserve">Hess, J.</t>
  </si>
  <si>
    <t xml:space="preserve">Including tourism enterprises to finance climate change adaptation: Exploring the potential in SIDS</t>
  </si>
  <si>
    <t xml:space="preserve">Oferta (Empresas turísticas, Comunidades SIDS), Demanda, Reguladores</t>
  </si>
  <si>
    <t xml:space="preserve">Pequeños Estados Insulares en Desarrollo (SIDS)</t>
  </si>
  <si>
    <t xml:space="preserve">Ecosistemas arrecifales y zonas costeras insulares</t>
  </si>
  <si>
    <t xml:space="preserve">Explora el cobro de tarifas de usuario e impuestos al turismo marino para financiar la adaptación climática en islas.</t>
  </si>
  <si>
    <t xml:space="preserve">High Seas Alliance</t>
  </si>
  <si>
    <t xml:space="preserve">The need for a new implementing agreement under UNCLOS on marine biodiversity of the high seas</t>
  </si>
  <si>
    <t xml:space="preserve">Océano abierto fuera de la jurisdicción nacional</t>
  </si>
  <si>
    <t xml:space="preserve">Documento de posición requiriendo un marco legal vinculante para crear reservas marinas protegidas y exigir evaluaciones de impacto.</t>
  </si>
  <si>
    <t xml:space="preserve">Hoegh-Guldberg, O. (WWF)</t>
  </si>
  <si>
    <t xml:space="preserve">Reviving the ocean economy: The case for action - 2015</t>
  </si>
  <si>
    <t xml:space="preserve">Reguladores/legisladores, Demanda (Empresas, Sector financiero), Público general</t>
  </si>
  <si>
    <t xml:space="preserve">Océanos globales y activos marinos</t>
  </si>
  <si>
    <t xml:space="preserve">Calcula que los activos oceánicos valen $24 billones y producen un Producto Marino Bruto anual de $2.5 billones.</t>
  </si>
  <si>
    <t xml:space="preserve">Hudson &amp; Fulton (UNDP)</t>
  </si>
  <si>
    <t xml:space="preserve">International waters – Delivering results</t>
  </si>
  <si>
    <t xml:space="preserve">Global (Aguas Internacionales)</t>
  </si>
  <si>
    <t xml:space="preserve">Cuencas transfronterizas y ecosistemas de aguas internacionales</t>
  </si>
  <si>
    <t xml:space="preserve">Presenta los resultados del PNUD en financiación mixta y asociaciones público-privadas para proteger aguas internacionales.</t>
  </si>
  <si>
    <t xml:space="preserve">Hudson &amp; Glemarec (UNDP / GEF)</t>
  </si>
  <si>
    <t xml:space="preserve">Catalysing ocean finance Volume I: Transforming markets to restore and protect the global ocean</t>
  </si>
  <si>
    <t xml:space="preserve">Reguladores/legisladores, Demanda (Sector financiero, Inversores privados)</t>
  </si>
  <si>
    <t xml:space="preserve">Océanos globales y zonas costeras</t>
  </si>
  <si>
    <t xml:space="preserve">Estima que $5.000M en inversión pública inicial pueden apalancar cientos de miles de millones de capital privado para los océanos.</t>
  </si>
  <si>
    <t xml:space="preserve">Making conservation finance investable</t>
  </si>
  <si>
    <t xml:space="preserve">Demanda (Inversores privados, Bancos), Reguladores/legisladores, Oferta</t>
  </si>
  <si>
    <t xml:space="preserve">Ecosistemas receptores de financiación estructurada</t>
  </si>
  <si>
    <t xml:space="preserve">Propone convertir los proyectos de conservación en activos invertibles estandarizados mediante la monetización de servicios ecosistémicos.</t>
  </si>
  <si>
    <t xml:space="preserve">IUCN</t>
  </si>
  <si>
    <t xml:space="preserve">Submission by IUCN to BBNJ PrepCom 3 on innovative financing for high seas</t>
  </si>
  <si>
    <t xml:space="preserve">Ecosistemas de alta mar</t>
  </si>
  <si>
    <t xml:space="preserve">Posición de la UICN estableciendo que la financiación innovadora debe ser una prioridad clave en el nuevo tratado BBNJ.</t>
  </si>
  <si>
    <t xml:space="preserve">Joint Ministerial Committee (World Bank / IMF)</t>
  </si>
  <si>
    <t xml:space="preserve">Forward look: A vision for the World Bank Group in 2030</t>
  </si>
  <si>
    <t xml:space="preserve">Infraestructura mundial y sostenibilidad ambiental</t>
  </si>
  <si>
    <t xml:space="preserve">Visión del Banco Mundial para 2030 promoviendo soluciones de financiación mixta e inversiones verdes/azules.</t>
  </si>
  <si>
    <t xml:space="preserve">Jomo et al. (UN DESA)</t>
  </si>
  <si>
    <t xml:space="preserve">Public-private partnerships and the 2030 agenda for sustainable development: Fit for purpose?</t>
  </si>
  <si>
    <t xml:space="preserve">Infraestructura pública y servicios ecosistémicos</t>
  </si>
  <si>
    <t xml:space="preserve">Evalúa críticamente la efectividad y los riesgos de las asociaciones público-privadas (APP) para cumplir los ODS de la ONU.</t>
  </si>
  <si>
    <t xml:space="preserve">Kharas &amp; MacArthur (Brookings)</t>
  </si>
  <si>
    <t xml:space="preserve">Links in the chain of sustainable finance: Accelerating private investments for the SDGs</t>
  </si>
  <si>
    <t xml:space="preserve">Sistemas financieros globales y ODS</t>
  </si>
  <si>
    <t xml:space="preserve">Identifica los incentivos y cambios regulatorios requeridos para orientar los mercados de capital hacia la sostenibilidad.</t>
  </si>
  <si>
    <t xml:space="preserve">Klein et al.</t>
  </si>
  <si>
    <t xml:space="preserve">Shortfalls in the global protected area network at representing marine biodiversity</t>
  </si>
  <si>
    <t xml:space="preserve">Comunidad científica, Reguladores/legisladores, Oferta (Gestores)</t>
  </si>
  <si>
    <t xml:space="preserve">Redes de Áreas Marinas Protegidas y hábitats pelágicos</t>
  </si>
  <si>
    <t xml:space="preserve">Demuestra científicamente en Scientific Reports las grandes brechas de representación de la biodiversidad en las AMPs actuales.</t>
  </si>
  <si>
    <t xml:space="preserve">Laffoley et al. (IUCN)</t>
  </si>
  <si>
    <t xml:space="preserve">The significance and management of natural carbon stores in the open ocean</t>
  </si>
  <si>
    <t xml:space="preserve">Comunidad científica, Reguladores/legisladores, Demanda (Mercados de carbono)</t>
  </si>
  <si>
    <t xml:space="preserve">Alta Mar (Océano Abierto)</t>
  </si>
  <si>
    <t xml:space="preserve">Depósitos naturales de carbono en el océano abierto y columna de agua</t>
  </si>
  <si>
    <t xml:space="preserve">Cuantifica el papel del océano abierto como sumidero de carbono y evalúa la viabilidad de emitir certificados de carbono azul en alta mar.</t>
  </si>
  <si>
    <t xml:space="preserve">Llewellyn, English &amp; Barnwell</t>
  </si>
  <si>
    <t xml:space="preserve">A roadmap to a sustainable Indian Ocean blue economy</t>
  </si>
  <si>
    <t xml:space="preserve">Océano Índico</t>
  </si>
  <si>
    <t xml:space="preserve">Ecosistemas costeros y marinos del Océano Índico</t>
  </si>
  <si>
    <t xml:space="preserve">Propone una hoja de ruta para desarrollar la economía azul regional con mecanismos de financiación compartidos.</t>
  </si>
  <si>
    <t xml:space="preserve">Lutz &amp; Martin (GRID-Arendal)</t>
  </si>
  <si>
    <t xml:space="preserve">Fish carbon: Exploring marine vertebrate carbon services</t>
  </si>
  <si>
    <t xml:space="preserve">Comunidad científica, Reguladores/legisladores, Oferta (Pesquerías)</t>
  </si>
  <si>
    <t xml:space="preserve">Vertebrados marinos (peces, ballenas) y secuestro biológico de carbono</t>
  </si>
  <si>
    <t xml:space="preserve">Explora el concepto de 'Fish Carbon' cuantificando cómo los vertebrados marinos facilitan el secuestro de carbono hacia el fondo oceánico.</t>
  </si>
  <si>
    <t xml:space="preserve">Madsbjerg, S. (Rockefeller Foundation)</t>
  </si>
  <si>
    <t xml:space="preserve">Innovative finance is key to affording the global goals</t>
  </si>
  <si>
    <t xml:space="preserve">Demanda (Fundaciones, Inversores de impacto), Reguladores/legisladores</t>
  </si>
  <si>
    <t xml:space="preserve">Proyectos de desarrollo sostenible globales</t>
  </si>
  <si>
    <t xml:space="preserve">Enfatiza el papel de las finanzas innovadoras para financiar los ODS apalancando capital filantrópico y comercial.</t>
  </si>
  <si>
    <t xml:space="preserve">Mahon et al. (UNESCO-IOC)</t>
  </si>
  <si>
    <t xml:space="preserve">Transboundary waters assessment Programme (TWAP) assessment of governance arrangements in ABNJ</t>
  </si>
  <si>
    <t xml:space="preserve">Aguas transfronterizas y zonas de alta mar</t>
  </si>
  <si>
    <t xml:space="preserve">Evaluación de la gobernanza marina global mostrando que los acuerdos actuales solo cubren una fracción muy pequeña de la alta mar.</t>
  </si>
  <si>
    <t xml:space="preserve">MAR Fund</t>
  </si>
  <si>
    <t xml:space="preserve">Mesoamerican Reef Fund Annual Report</t>
  </si>
  <si>
    <t xml:space="preserve">Oferta (Comunidades locales, ONGs), Demanda (Donantes), Reguladores</t>
  </si>
  <si>
    <t xml:space="preserve">Arrecife Mesoamericano (México, Belice, Guatemala, Honduras)</t>
  </si>
  <si>
    <t xml:space="preserve">Arrecifes de coral y zonas costeras mesoamericanas</t>
  </si>
  <si>
    <t xml:space="preserve">Presenta el modelo de fondo fiduciario patrimonial invertido a perpetuidad para financiar proyectos comunitarios en el arrecife.</t>
  </si>
  <si>
    <t xml:space="preserve">Martin, Ballance &amp; Groves</t>
  </si>
  <si>
    <t xml:space="preserve">An ecosystem services perspective for the oceanic eastern tropical Pacific</t>
  </si>
  <si>
    <t xml:space="preserve">Comunidad científica, Reguladores/legisladores, Oferta (Pesquerías, Turismo)</t>
  </si>
  <si>
    <t xml:space="preserve">Pacífico Oriental Tropical</t>
  </si>
  <si>
    <t xml:space="preserve">Ecosistemas pelágicos, pesquerías comerciales y almacenamiento de carbono</t>
  </si>
  <si>
    <t xml:space="preserve">Cuantifica los servicios ecosistémicos de la pesca pelágica, captura de carbono y turismo en el Pacífico Oriental.</t>
  </si>
  <si>
    <t xml:space="preserve">McCrea-Strub et al.</t>
  </si>
  <si>
    <t xml:space="preserve">Understanding the cost of establishing marine protected areas</t>
  </si>
  <si>
    <t xml:space="preserve">Reguladores/legisladores, Comunidad científica, Oferta (Gestores)</t>
  </si>
  <si>
    <t xml:space="preserve">Áreas Marinas Protegidas de diversa escala</t>
  </si>
  <si>
    <t xml:space="preserve">Modelo econométrico para estimar los costos de establecimiento y mantenimiento recurrente de las Áreas Marinas Protegidas.</t>
  </si>
  <si>
    <t xml:space="preserve">McDonald et al.</t>
  </si>
  <si>
    <t xml:space="preserve">Designing and financing optimal enforcement for small-scale fisheries and dive tourism industries</t>
  </si>
  <si>
    <t xml:space="preserve">Oferta (Pesquerías artesanales, Turismo de buceo), Reguladores/legisladores</t>
  </si>
  <si>
    <t xml:space="preserve">Global (Zonas costeras tropicales)</t>
  </si>
  <si>
    <t xml:space="preserve">Arrecifes de coral y reservas marinas locales</t>
  </si>
  <si>
    <t xml:space="preserve">Modela estructuras de tarifas de usuario en turismo de buceo para autofinanciar la vigilancia y fiscalización de reservas.</t>
  </si>
  <si>
    <t xml:space="preserve">Mohammed, E. (Ed.)</t>
  </si>
  <si>
    <t xml:space="preserve">Economic incentives for marine and coastal conservation: Prospects, challenges and policy implications</t>
  </si>
  <si>
    <t xml:space="preserve">Reguladores/legisladores, Oferta (Comunidades costeras), Demanda</t>
  </si>
  <si>
    <t xml:space="preserve">Compendio sobre incentivos económicos, seguros y mercados para la conservación de zonas marinas y costeras.</t>
  </si>
  <si>
    <t xml:space="preserve">MRAG</t>
  </si>
  <si>
    <t xml:space="preserve">Towards sustainable fisheries management: International examples of innovation</t>
  </si>
  <si>
    <t xml:space="preserve">Oferta (Industria pesquera), Reguladores/legisladores, Científicos</t>
  </si>
  <si>
    <t xml:space="preserve">Pesquerías marinas y ecosistemas explotados</t>
  </si>
  <si>
    <t xml:space="preserve">Analiza ejemplos internacionales innovadores de gestión pesquera sostenible y trazabilidad.</t>
  </si>
  <si>
    <t xml:space="preserve">MRAG Asia Pacific</t>
  </si>
  <si>
    <t xml:space="preserve">Towards the quantification of illegal, unreported and unregulated (IUU) fishing in the Pacific Islands region</t>
  </si>
  <si>
    <t xml:space="preserve">Reguladores/legisladores, Oferta (Países insulares del Pacífico - FFA), Científicos</t>
  </si>
  <si>
    <t xml:space="preserve">Islas del Pacífico (FFA)</t>
  </si>
  <si>
    <t xml:space="preserve">Pesquerías pelágicas de atún en el Pacífico</t>
  </si>
  <si>
    <t xml:space="preserve">Cuantifica las pérdidas de $600M/año por pesca ilegal (INDNR) en el Pacífico e impulsa monitoreo satelital financiado.</t>
  </si>
  <si>
    <t xml:space="preserve">Murray et al. (Nicholas Institute / Duke)</t>
  </si>
  <si>
    <t xml:space="preserve">Green payments for blue carbon: Economic incentives for protecting threatened coastal habitats</t>
  </si>
  <si>
    <t xml:space="preserve">Reguladores/legisladores, Oferta (Propietarios costeros), Demanda (Carbono)</t>
  </si>
  <si>
    <t xml:space="preserve">Manglares, marismas y praderas marinas de carbono azul</t>
  </si>
  <si>
    <t xml:space="preserve">Demuestra la viabilidad económica de crear pagos verdes por carbono azul para evitar la conversión de humedales costeros.</t>
  </si>
  <si>
    <t xml:space="preserve">NatureVest / TNC</t>
  </si>
  <si>
    <t xml:space="preserve">Investing in Conservation: A landscape assessment of an emerging market</t>
  </si>
  <si>
    <t xml:space="preserve">Bosques, cuencas hídricas y zonas marinas sujetas a inversión de impacto</t>
  </si>
  <si>
    <t xml:space="preserve">Encuesta empírica que revela que los inversores privados planeaban destinar más de $5.000M a inversiones de impacto en conservación.</t>
  </si>
  <si>
    <t xml:space="preserve">Ocean Energy Forum</t>
  </si>
  <si>
    <t xml:space="preserve">Ocean Energy Strategic Roadmap: Building Ocean Energy for Europe</t>
  </si>
  <si>
    <t xml:space="preserve">Demanda (Empresas energéticas, Inversores), Reguladores/legisladores</t>
  </si>
  <si>
    <t xml:space="preserve">Energía de mareas y olas en costas europeas</t>
  </si>
  <si>
    <t xml:space="preserve">Proyecta que la energía marina puede cubrir el 10% de la demanda de la UE en 2050 y propone garantías de crédito para reducir riesgos.</t>
  </si>
  <si>
    <t xml:space="preserve">Ocean Recovery Alliance</t>
  </si>
  <si>
    <t xml:space="preserve">Ocean Appreciation Program Initiative</t>
  </si>
  <si>
    <t xml:space="preserve">Demanda (Empresas navieras / Transporte marítimo), Reguladores, Público general</t>
  </si>
  <si>
    <t xml:space="preserve">Rutas de navegación comercial en el océano global</t>
  </si>
  <si>
    <t xml:space="preserve">Propone una tasa voluntaria por contenedor transportado en alta mar para recaudar $3.000M/año destinados a la conservación marina.</t>
  </si>
  <si>
    <t xml:space="preserve">Parker et al. (Global Canopy Programme)</t>
  </si>
  <si>
    <t xml:space="preserve">The little biodiversity finance book</t>
  </si>
  <si>
    <t xml:space="preserve">Ecosistemas terrestres y marinos (incl. Arrecifes de coral)</t>
  </si>
  <si>
    <t xml:space="preserve">Guía de referencia indicando que el 80% de la financiación de biodiversidad es no comercial y proyectando mecanismos de mercado hacia 2020.</t>
  </si>
  <si>
    <t xml:space="preserve">Rochette et al.</t>
  </si>
  <si>
    <t xml:space="preserve">The regional approach to the conservation and sustainable use of marine biodiversity in ABNJ</t>
  </si>
  <si>
    <t xml:space="preserve">Reguladores/legisladores, Oferta (Convenios de Mares Regionales), Científicos</t>
  </si>
  <si>
    <t xml:space="preserve">Global (Convenios de Mares Regionales)</t>
  </si>
  <si>
    <t xml:space="preserve">Ecosistemas marinos regionales en alta mar</t>
  </si>
  <si>
    <t xml:space="preserve">Analiza las experiencias de los Convenios de Mares Regionales de la PNUMA para gestionar la biodiversidad en alta mar.</t>
  </si>
  <si>
    <t xml:space="preserve">Rochette et al. (IASS)</t>
  </si>
  <si>
    <t xml:space="preserve">A new chapter for the high seas? Analysis of the UNGA decision</t>
  </si>
  <si>
    <t xml:space="preserve">Océanos globales fuera de jurisdicción</t>
  </si>
  <si>
    <t xml:space="preserve">Analiza la decisión histórica de la Asamblea General de la ONU de iniciar negociaciones formales para el tratado de Alta Mar.</t>
  </si>
  <si>
    <t xml:space="preserve">Rogan, S.</t>
  </si>
  <si>
    <t xml:space="preserve">Ecosystem investment partners closes third fund above target at $303M</t>
  </si>
  <si>
    <t xml:space="preserve">Demanda (Inversores institucionales, Bancos), Reguladores, Oferta</t>
  </si>
  <si>
    <t xml:space="preserve">Humedales y hábitats bajo banca de mitigación</t>
  </si>
  <si>
    <t xml:space="preserve">Reporte sobre el éxito del fondo privado EIP que recaudó $300M para financiar la restauración de miles de acres de humedales vía offsets.</t>
  </si>
  <si>
    <t xml:space="preserve">Rogers et al. (Global Ocean Commission)</t>
  </si>
  <si>
    <t xml:space="preserve">The high seas and us: Understanding the value of high-seas ecosystems</t>
  </si>
  <si>
    <t xml:space="preserve">Ecosistemas de alta mar, captura de carbono y ciclo de nutrientes</t>
  </si>
  <si>
    <t xml:space="preserve">Cuantifica el valor ecológico y económico fundamental que proporcionan los ecosistemas de alta mar para la salud planetaria.</t>
  </si>
  <si>
    <t xml:space="preserve">Shames &amp; Scherr (EcoAgriculture)</t>
  </si>
  <si>
    <t xml:space="preserve">Scaling up investment &amp; finance for integrated landscape management</t>
  </si>
  <si>
    <t xml:space="preserve">Oferta (Agricultores, Comunidades locales), Demanda (Inversores), Reguladores</t>
  </si>
  <si>
    <t xml:space="preserve">Paisajes agrícolas y forestales integrados</t>
  </si>
  <si>
    <t xml:space="preserve">Propone marcos para integrar la financiación pública, privada y filantrópica a nivel de paisaje sostenible.</t>
  </si>
  <si>
    <t xml:space="preserve">Soanes et al. (IIED)</t>
  </si>
  <si>
    <t xml:space="preserve">Delivering real change: Getting international climate finance to the local level</t>
  </si>
  <si>
    <t xml:space="preserve">Oferta (Comunidades locales), Reguladores/legisladores, Demanda</t>
  </si>
  <si>
    <t xml:space="preserve">Ecosistemas locales objeto de adaptación climática</t>
  </si>
  <si>
    <t xml:space="preserve">Analiza las barreras institucionales que impiden que los fondos climáticos internacionales lleguen directamente a las comunidades locales.</t>
  </si>
  <si>
    <t xml:space="preserve">Spalding, Brumbaugh &amp; Landis (TNC)</t>
  </si>
  <si>
    <t xml:space="preserve">Atlas of ocean wealth</t>
  </si>
  <si>
    <t xml:space="preserve">Comunidad científica, Reguladores/legisladores, Demanda (Sector financiero)</t>
  </si>
  <si>
    <t xml:space="preserve">Arrecifes, manglares, marismas y zonas costeras</t>
  </si>
  <si>
    <t xml:space="preserve">Mapeo cartográfico y cuantitativo masivo sobre el valor económico de la pesca, protección costera y ecoturismo marino.</t>
  </si>
  <si>
    <t xml:space="preserve">Subacchi et al. (Chatham House)</t>
  </si>
  <si>
    <t xml:space="preserve">Building growth in Europe: Innovative financing for infrastructure</t>
  </si>
  <si>
    <t xml:space="preserve">Infraestructura europea y bienes públicos</t>
  </si>
  <si>
    <t xml:space="preserve">Examina la utilización de bonos y préstamos concesionales para desriesgar proyectos de infraestructura verde a largo plazo.</t>
  </si>
  <si>
    <t xml:space="preserve">Thiele, T.</t>
  </si>
  <si>
    <t xml:space="preserve">The promise of blue finance</t>
  </si>
  <si>
    <t xml:space="preserve">Océanos y mercados de capitales azules</t>
  </si>
  <si>
    <t xml:space="preserve">Propone la creación de un 'Banco de Sostenibilidad Oceánica' e instrumentos de capital de mercado dedicados a los océanos.</t>
  </si>
  <si>
    <t xml:space="preserve">Sauver l'océan, protéger la haute mer</t>
  </si>
  <si>
    <t xml:space="preserve">Ecosistemas de alta mar y monitoreo tecnológico</t>
  </si>
  <si>
    <t xml:space="preserve">Analiza los mecanismos de gobernanza y la necesidad de financiar sensores y monitoreo satelital en alta mar.</t>
  </si>
  <si>
    <t xml:space="preserve">UNEP-WCMC &amp; IUCN</t>
  </si>
  <si>
    <t xml:space="preserve">Protected planet report 2016</t>
  </si>
  <si>
    <t xml:space="preserve">Reguladores/legisladores, Comunidad científica, Oferta (Gestores de Áreas Protegidas)</t>
  </si>
  <si>
    <t xml:space="preserve">Redes globales de áreas protegidas terrestres y marinas (20-30% global)</t>
  </si>
  <si>
    <t xml:space="preserve">Informe oficial que demuestra que conservar el 20-30% de los océanos genera $4.5-$6.7 billones/año en servicios ecosistémicos.</t>
  </si>
  <si>
    <t xml:space="preserve">UNFCCC COP 15</t>
  </si>
  <si>
    <t xml:space="preserve">Copenhagen Accord (Decision 2/CP.15)</t>
  </si>
  <si>
    <t xml:space="preserve">Reguladores/legisladores, Demanda (Países desarrollados), Oferta (Países en desarrollo)</t>
  </si>
  <si>
    <t xml:space="preserve">Sistemas climáticos y ecológicos mundiales</t>
  </si>
  <si>
    <t xml:space="preserve">Acuerdo climático internacional donde los países desarrollados se comprometieron a movilizar $100.000M anuales hacia 2020.</t>
  </si>
  <si>
    <t xml:space="preserve">United Nations</t>
  </si>
  <si>
    <t xml:space="preserve">United Nations Convention on the Law of the Sea (UNCLOS)</t>
  </si>
  <si>
    <t xml:space="preserve">Global (Aguas internacionales)</t>
  </si>
  <si>
    <t xml:space="preserve">Océanos globales, lecho marino y zonas de alta mar</t>
  </si>
  <si>
    <t xml:space="preserve">Tratado marco internacional del derecho del mar que rige el uso y protección ambiental de los recursos marinos globales.</t>
  </si>
  <si>
    <t xml:space="preserve">United Nations Environment Programme (UNEP)</t>
  </si>
  <si>
    <t xml:space="preserve">Convention on Biological Diversity (CBD)</t>
  </si>
  <si>
    <t xml:space="preserve">Biodiversidad global y servicios ecosistémicos</t>
  </si>
  <si>
    <t xml:space="preserve">Convenio marco internacional para la conservación de la biodiversidad que reconoce formalmente los mecanismos financieros innovadores.</t>
  </si>
  <si>
    <t xml:space="preserve">Pathways to scale: Aligning the financing system with sustainable development</t>
  </si>
  <si>
    <t xml:space="preserve">Sistemas financieros globales y regulación de capital</t>
  </si>
  <si>
    <t xml:space="preserve">Informe de la Investigación de la PNUMA para alinear las reglas del sistema financiero con los objetivos de desarrollo sostenible.</t>
  </si>
  <si>
    <t xml:space="preserve">Wang, X.</t>
  </si>
  <si>
    <t xml:space="preserve">The ocean economic statistical system of China and understanding of the blue economy</t>
  </si>
  <si>
    <t xml:space="preserve">Reguladores/legisladores, Comunidad científica, Demanda (Empresas)</t>
  </si>
  <si>
    <t xml:space="preserve">Sistemas contables oceánicos y sectores de economía azul</t>
  </si>
  <si>
    <t xml:space="preserve">Describe el sistema oficial de contabilidad económica marina adoptado por China para medir el PIB oceánico y la biodiversidad.</t>
  </si>
  <si>
    <t xml:space="preserve">Westphal et al. (WRI)</t>
  </si>
  <si>
    <t xml:space="preserve">Getting to $100 billion: Climate finance scenarios and projections to 2020</t>
  </si>
  <si>
    <t xml:space="preserve">Proyecciones de financiación climática pública y apalancamiento privado</t>
  </si>
  <si>
    <t xml:space="preserve">Modela cuantitativamente los escenarios de mobilización de financiación climática internacional para alcanzar la meta de $100.000M.</t>
  </si>
  <si>
    <t xml:space="preserve">White &amp; Costello</t>
  </si>
  <si>
    <t xml:space="preserve">Close the high seas to fishing?</t>
  </si>
  <si>
    <t xml:space="preserve">Pesquerías pelágicas globales de alta mar</t>
  </si>
  <si>
    <t xml:space="preserve">Demuestra en PLoS Biology que cerrar completamente la alta mar a la pesca aumentaría la equidad pesquera y la captura costera.</t>
  </si>
  <si>
    <t xml:space="preserve">Williamson, Smythe-Wright &amp; Burkill (ICSU)</t>
  </si>
  <si>
    <t xml:space="preserve">Future of the Ocean and its seas: A non-governmental scientific perspective for the G7</t>
  </si>
  <si>
    <t xml:space="preserve">Comunidad científica, Reguladores/legisladores (G7), Público general</t>
  </si>
  <si>
    <t xml:space="preserve">Global (Países del G7)</t>
  </si>
  <si>
    <t xml:space="preserve">Acidificación oceánica, desoxigenación y ecosistemas marinos</t>
  </si>
  <si>
    <t xml:space="preserve">Informe científico para los ministros de ciencia del G7 sobre 7 prioridades de investigación e inversión en acidificación y riesgos marinos.</t>
  </si>
  <si>
    <t xml:space="preserve">Blended finance: A Primer for Development Finance and Philanthropic Funders</t>
  </si>
  <si>
    <t xml:space="preserve">Demanda (Sector financiero, Inversores privados, Fundaciones), Reguladores</t>
  </si>
  <si>
    <t xml:space="preserve">Estructuras de inversión ambiental y social</t>
  </si>
  <si>
    <t xml:space="preserve">Guía práctica sobre financiación mixta para utilizar capital público/filantrópico y atraer inversores comerciales a proyectos de riesgo.</t>
  </si>
  <si>
    <t xml:space="preserve">WWF</t>
  </si>
  <si>
    <t xml:space="preserve">Funds are needed for marine protected areas: Open letter for an Ocean Sustainability Bank</t>
  </si>
  <si>
    <t xml:space="preserve">Áreas Marinas Protegidas globales</t>
  </si>
  <si>
    <t xml:space="preserve">Carta abierta firmada por 19 organizaciones en el Día Mundial de los Océanos proponiendo la creación de un Banco de Sostenibilidad Oceánica.</t>
  </si>
  <si>
    <t xml:space="preserve">XL Catlin Deep Ocean Survey</t>
  </si>
  <si>
    <t xml:space="preserve">A deeper understanding of ocean risk</t>
  </si>
  <si>
    <t xml:space="preserve">Demanda (Sector asegurador, Sector financiero), Reguladores/legisladores</t>
  </si>
  <si>
    <t xml:space="preserve">Riesgos del océano profundo, acidificación y eventos climáticos extremas</t>
  </si>
  <si>
    <t xml:space="preserve">Evaluación del sector asegurador privado sobre los riesgos de degradación oceánica para estructurar pólizas y bonos de resiliencia.</t>
  </si>
  <si>
    <t xml:space="preserve">Resumen para los encargados de la formulación de políticas de la evaluación metodológica del impacto y la dependencia de las empresas en la diversidad biológica y las contribuciones de la naturaleza a las personas (Business and Biodiversity Assessment)</t>
  </si>
  <si>
    <t xml:space="preserve">Demanda (empresas, sector financiero), Reguladores/legisladores, Comunidad científica, Público general, Oferta (comunidades locales/IPLC)</t>
  </si>
  <si>
    <t xml:space="preserve">Evaluación metodológica de referencia sobre cómo las empresas e instituciones financieras miden impactos, dependencias, riesgos y oportunidades socioecológicas.</t>
  </si>
  <si>
    <t xml:space="preserve">Global Assessment Report on Biodiversity and Ecosystem Services of the Intergovernmental Science-Policy Platform on Biodiversity and Ecosystem Services (Brondízio et al., eds.)</t>
  </si>
  <si>
    <t xml:space="preserve">Evaluación integral de ecosistemas terrestres, de agua dulce y marinos</t>
  </si>
  <si>
    <t xml:space="preserve">Informe hito que demostró el declive mundial sin precedentes de la biodiversidad y el deterioro de 14 de 18 categorías de contribuciones de la naturaleza.</t>
  </si>
  <si>
    <t xml:space="preserve">Thematic Assessment Report on the Interlinkages among Biodiversity, Water, Food and Health (Harrison et al., eds.)</t>
  </si>
  <si>
    <t xml:space="preserve">Reguladores/legisladores, Comunidad científica, Oferta (Agricultores, comunidades locales)</t>
  </si>
  <si>
    <t xml:space="preserve">Interconexiones entre agricultura, agua, producción de alimentos y salud humana</t>
  </si>
  <si>
    <t xml:space="preserve">Evaluación del nexo entre biodiversidad, agua, alimentos y salud, analizando las interdependencias de los sectores productivos y la resiliencia.</t>
  </si>
  <si>
    <t xml:space="preserve">Thematic Assessment Report on the Underlying Causes of Biodiversity Loss and the Determinants of Transformative Change and Options for Achieving the 2050 Vision for Biodiversity (O’Brien et al., eds.)</t>
  </si>
  <si>
    <t xml:space="preserve">Determinantes indirectos, valores sociales y estructuras económicas de cambio transformador</t>
  </si>
  <si>
    <t xml:space="preserve">Identifica las causas subyacentes de pérdida de biodiversidad (desconexión de la naturaleza, concentración de poder y cortoplacismo) y vías de transformación.</t>
  </si>
  <si>
    <t xml:space="preserve">The Global Risks Report 2025. World Economic Forum</t>
  </si>
  <si>
    <t xml:space="preserve">Riesgos sistémicos mundiales derivados del colapso de ecosistemas y el cambio climático</t>
  </si>
  <si>
    <t xml:space="preserve">Sitúa el colapso de los ecosistemas, la pérdida de biodiversidad y los fenómenos meteorológicos entre los mayores riesgos planetarios a 10 años.</t>
  </si>
  <si>
    <t xml:space="preserve">UNEP</t>
  </si>
  <si>
    <t xml:space="preserve">State of Finance for Nature 2026: Nature in the red: Powering the trillion dollar nature transition economy</t>
  </si>
  <si>
    <t xml:space="preserve">Demanda (Sector financiero, Inversores privados), Reguladores/legisladores</t>
  </si>
  <si>
    <t xml:space="preserve">Flujos financieros públicos y privados hacia la naturaleza vs. subsidios perjudiciales</t>
  </si>
  <si>
    <t xml:space="preserve">Cuantifica en $7,3 billones los flujos con impacto negativo directo en la naturaleza ($4,9T privados y $2,4T subsidios) frente a solo $220.000M en conservación.</t>
  </si>
  <si>
    <t xml:space="preserve">Resumen para los responsables de formular políticas del informe de evaluación sobre polinizadores, polinización y producción de alimentos (Potts et al., eds.)</t>
  </si>
  <si>
    <t xml:space="preserve">Oferta (Agricultores), Comunidad científica, Reguladores/legisladores</t>
  </si>
  <si>
    <t xml:space="preserve">Sistemas agrícolas, paisajes cultivados y polinizadores silvestres y gestionados</t>
  </si>
  <si>
    <t xml:space="preserve">Evaluación científica sobre la importancia económica y ecológica de los polinizadores para la seguridad alimentaria y la producción agrícola.</t>
  </si>
  <si>
    <t xml:space="preserve">The IPBES Guide on the Production of Assessments. Secretaría de la IPBES, Bonn</t>
  </si>
  <si>
    <t xml:space="preserve">Guías de procedimiento y protocolos de comunicación de la confianza científica</t>
  </si>
  <si>
    <t xml:space="preserve">Establece el modelo de cuatro casillas para la evaluación cualitativa de la evidencia científica y el nivel de acuerdo entre expertos.</t>
  </si>
  <si>
    <t xml:space="preserve">Kunming-Montreal Global Biodiversity Framework (Decision CBD/COP/DEC/15/4)</t>
  </si>
  <si>
    <t xml:space="preserve">Reguladores/legisladores, Demanda (Empresas, Financieros), Oferta (IPLC, Agricultores)</t>
  </si>
  <si>
    <t xml:space="preserve">Metas mundiales de biodiversidad a 2030 y visión 2050 (incluyendo Meta 15)</t>
  </si>
  <si>
    <t xml:space="preserve">Marco internacional que impone el compromiso pangubernamental y pansocial para evaluar y divulgar riesgos e impactos corporativos sobre la biodiversidad.</t>
  </si>
  <si>
    <t xml:space="preserve">Reguladores/legisladores, Demanda (Empresas, Sector financiero), Oferta (IPLC, Agricultores)</t>
  </si>
  <si>
    <t xml:space="preserve">Ecosistemas terrestres, marinos y de agua dulce</t>
  </si>
  <si>
    <t xml:space="preserve">Acuerdo marco internacional que incluye expresamente la Meta 19 sobre créditos de biodiversidad como mecanismo de movilización de recursos.</t>
  </si>
  <si>
    <t xml:space="preserve">Reguladores/legisladores, Demanda, Oferta (IPLC, Agricultores)</t>
  </si>
  <si>
    <t xml:space="preserve">Metas mundiales de biodiversidad a 2030 (Metas 14, 15, 18 y 19)</t>
  </si>
  <si>
    <t xml:space="preserve">Acuerdo hito internacional que fija la Meta 19 de movilizar $200.000M/año promoviendo créditos de biodiversidad y esquemas innovadores.</t>
  </si>
  <si>
    <t xml:space="preserve">United Nations CBD</t>
  </si>
  <si>
    <t xml:space="preserve">Marco mundial de biodiversidad a 2030 (23 Metas)</t>
  </si>
  <si>
    <t xml:space="preserve">Acuerdo marco internacional histórico adoptado en la COP15 que fije la meta de proteger el 30% del planeta e impulsa los biocréditos.</t>
  </si>
  <si>
    <t xml:space="preserve">CDB / UNCBD</t>
  </si>
  <si>
    <t xml:space="preserve">Cualitativo / Tratado multilateral</t>
  </si>
  <si>
    <t xml:space="preserve">Reguladores/legisladores (196 Partes), Demanda, Oferta, Público general</t>
  </si>
  <si>
    <t xml:space="preserve">Ecosistemas terrestres, continentales, costeros y marinos a escala planetaria</t>
  </si>
  <si>
    <t xml:space="preserve">Acuerdo histórico que exige movilizar $200B/año para biodiversidad a 2030 mencionando explícitamente los biocréditos (Meta 19).</t>
  </si>
  <si>
    <t xml:space="preserve">ONU</t>
  </si>
  <si>
    <t xml:space="preserve">Transformar nuestro mundo: la Agenda 2030 para el Desarrollo Sostenible (A/RES/70/1)</t>
  </si>
  <si>
    <t xml:space="preserve">Reguladores/legisladores, Público general, Demanda, Oferta</t>
  </si>
  <si>
    <t xml:space="preserve">17 Objetivos de Desarrollo Sostenible (ODS 14 Vida Submarina, ODS 15 Ecosistemas Terrestres)</t>
  </si>
  <si>
    <t xml:space="preserve">Marco global de sostenibilidad que vincula la prosperidad económica, el bienestar humano y la conservación de ecosistemas.</t>
  </si>
  <si>
    <t xml:space="preserve">UNFCCC</t>
  </si>
  <si>
    <t xml:space="preserve">Acuerdo de París sobre el Cambio Climático (Decisión 1/CP.21)</t>
  </si>
  <si>
    <t xml:space="preserve">Mitigación del cambio climático y soluciones basadas en la naturaleza</t>
  </si>
  <si>
    <t xml:space="preserve">Acuerdo climático vinculante que reconoce la interconexión crítica entre la estabilidad climática y la conservación de sumideros de biodiversidad.</t>
  </si>
  <si>
    <t xml:space="preserve">CBD / ONU</t>
  </si>
  <si>
    <t xml:space="preserve">Protocolo de Nagoya sobre el Acceso a los Recursos Genéticos y la Participación Justa y Equitativa en los Beneficios</t>
  </si>
  <si>
    <t xml:space="preserve">Reguladores/legisladores, Oferta (Comunidades locales, IPLC), Demanda (Farmoquímica, Biotecnología)</t>
  </si>
  <si>
    <t xml:space="preserve">Recursos genéticos y conocimientos tradicionales asociados</t>
  </si>
  <si>
    <t xml:space="preserve">Tratado internacional sobre participación en beneficios derivados del uso de recursos genéticos y saberes tradicionales de comunidades locales.</t>
  </si>
  <si>
    <t xml:space="preserve">The Future of Biodiversity Credit Markets: Governing High-Performance Biodiversity Credit Markets</t>
  </si>
  <si>
    <t xml:space="preserve">Reguladores/legisladores, Demanda (Sector financiero), Oferta (IPLC), Comunidad científica</t>
  </si>
  <si>
    <t xml:space="preserve">Propone una taxonomía y una 'pila de gobernanza del mercado' para biocréditos de alto rendimiento e integridad.</t>
  </si>
  <si>
    <t xml:space="preserve">NatureFinance &amp; Taskforce on Nature Markets</t>
  </si>
  <si>
    <t xml:space="preserve">The Future of Biodiversity Credit Markets: Governing High-performance Biodiversity Credit Markets</t>
  </si>
  <si>
    <t xml:space="preserve">Reguladores/legisladores, Demanda, Oferta (IPLC, Comunidades), Certificadores</t>
  </si>
  <si>
    <t xml:space="preserve">Ecosistemas terrestres, de agua dulce y costeros</t>
  </si>
  <si>
    <t xml:space="preserve">Propone estructuras de gobernanza, fijación de precios mínimos e inclusión justa de IPLC para escalar los mercados de biocréditos.</t>
  </si>
  <si>
    <t xml:space="preserve">Taskforce on Nature Markets</t>
  </si>
  <si>
    <t xml:space="preserve">Gobernanza de mercados de naturaleza</t>
  </si>
  <si>
    <t xml:space="preserve">Propone principios de gobernanza, fijación de precios y salvaguardas sociales para biocréditos de alto rendimiento.</t>
  </si>
  <si>
    <t xml:space="preserve">Reguladores, Demanda (Sector financiero), Oferta (IPLC)</t>
  </si>
  <si>
    <t xml:space="preserve">Gobernanza de mercados de biocréditos</t>
  </si>
  <si>
    <t xml:space="preserve">Propone estructuras de gobernanza de alto rendimiento para asegurar la equidad e integridad de los mercados de biocréditos.</t>
  </si>
  <si>
    <t xml:space="preserve">Innovative Finance for Nature and People: Opportunities and Challenges for Biodiversity-Positive Carbon Credits and Nature Certificates</t>
  </si>
  <si>
    <t xml:space="preserve">Reguladores/legisladores, Oferta (IPLC, Comunidades locales), Demanda (Inversores)</t>
  </si>
  <si>
    <t xml:space="preserve">Bosques tropicales, cuencas hídricas y zonas costeras</t>
  </si>
  <si>
    <t xml:space="preserve">Analiza las oportunidades y riesgos de certificados de naturaleza e incentivos de carbono positivo en la biodiversidad.</t>
  </si>
  <si>
    <t xml:space="preserve">Reguladores/legisladores, Demanda, Oferta (Comunidades), Científicos</t>
  </si>
  <si>
    <t xml:space="preserve">Créditos de carbono con cobeneficios y certificados de naturaleza</t>
  </si>
  <si>
    <t xml:space="preserve">Analiza las oportunidades y riesgos de los biocréditos y certificados de naturaleza, enfatizando salvaguardas y beneficios equitativos.</t>
  </si>
  <si>
    <t xml:space="preserve">Ducros &amp; Steele (IIED)</t>
  </si>
  <si>
    <t xml:space="preserve">Biocredits to Finance Nature and People: Emerging Lessons</t>
  </si>
  <si>
    <t xml:space="preserve">Oferta (Comunidades locales, IPLC, Agricultores), Demanda, Reguladores/legisladores</t>
  </si>
  <si>
    <t xml:space="preserve">Bosques comunitarios y tierras agrícolas</t>
  </si>
  <si>
    <t xml:space="preserve">Sostiene los biocréditos pro-pobre como mecanismo para retribuir directamente la custodia ambiental de comunidades locales.</t>
  </si>
  <si>
    <t xml:space="preserve">Bosques comunitarios y tierras agrícolas familiares</t>
  </si>
  <si>
    <t xml:space="preserve">Sostiene el término 'biocréditos' como unidad no orientada a la compensación para garantizar la equidad y el pago directo a comunidades.</t>
  </si>
  <si>
    <t xml:space="preserve">Conceptualiza los biocréditos no orientados a compensación para remunerar directamente a custodios locales e indígenas.</t>
  </si>
  <si>
    <t xml:space="preserve">Ducros &amp; Steele / IIED</t>
  </si>
  <si>
    <t xml:space="preserve">Biocredits to finance nature and people: Emerging lessons</t>
  </si>
  <si>
    <t xml:space="preserve">Biocréditos pro-pobre y gobernanza comunitaria</t>
  </si>
  <si>
    <t xml:space="preserve">Conceptualiza los biocréditos como mecanismos de desarrollo sostenible no enfocados en la compensación de daños.</t>
  </si>
  <si>
    <t xml:space="preserve">Ducros, A. &amp; Steele, P. (IIED)</t>
  </si>
  <si>
    <t xml:space="preserve">Oferta (Comunidades locales, agricultores, IPLC), Demanda, Reguladores</t>
  </si>
  <si>
    <t xml:space="preserve">Bosques tropicales, zonas costeras y pastizales</t>
  </si>
  <si>
    <t xml:space="preserve">Sintetiza lecciones emergentes de proyectos piloto de biocréditos comunitarios en el Sur Global.</t>
  </si>
  <si>
    <t xml:space="preserve">Cualitativo / Lecciones aprendidas</t>
  </si>
  <si>
    <t xml:space="preserve">Oferta (IPLC, comunidades locales), Demanda, Reguladores/legisladores</t>
  </si>
  <si>
    <t xml:space="preserve">Global / Sur Global</t>
  </si>
  <si>
    <t xml:space="preserve">Ecosistemas locales gestionados por comunidades</t>
  </si>
  <si>
    <t xml:space="preserve">Extrae lecciones prácticas de proyectos piloto iniciales de biocréditos centrados en la equidad social y gobernanza.</t>
  </si>
  <si>
    <t xml:space="preserve">IUCN Global Standard for Nature-based Solutions</t>
  </si>
  <si>
    <t xml:space="preserve">Comunidad científica, Reguladores/legisladores, Demanda, Oferta (Comunidades locales)</t>
  </si>
  <si>
    <t xml:space="preserve">Ecosistemas naturales y modificados</t>
  </si>
  <si>
    <t xml:space="preserve">Estándar global de 8 criterios para garantizar que las Soluciones basadas en la Naturaleza aporten beneficios integrales a la biodiversidad.</t>
  </si>
  <si>
    <t xml:space="preserve">High-Level Governance and Integrity Principles for Emerging Voluntary Biodiversity Credit Markets</t>
  </si>
  <si>
    <t xml:space="preserve">Múltiples ecorregiones terrestres y acuáticas</t>
  </si>
  <si>
    <t xml:space="preserve">Establece principios de integridad, salvaguardas socioculturales e inclusión comunitaria para mercados voluntarios de biocréditos.</t>
  </si>
  <si>
    <t xml:space="preserve">Reguladores/legisladores, Demanda (Empresas, Inversores), Oferta (IPLC)</t>
  </si>
  <si>
    <t xml:space="preserve">Principios de gobernanza de biocréditos</t>
  </si>
  <si>
    <t xml:space="preserve">Principios de gobernanza e integridad del Foro Económico Mundial para el desarrollo de mercados de biocréditos.</t>
  </si>
  <si>
    <t xml:space="preserve">Demanda (Empresas corporativas), Reguladores, Oferta (IPLC)</t>
  </si>
  <si>
    <t xml:space="preserve">Principios de integridad y gobernanza para biocréditos</t>
  </si>
  <si>
    <t xml:space="preserve">Establece principios de alto nivel para garantizar la aditividad, medición robusta y equidad en los mercados voluntarios de biocréditos.</t>
  </si>
  <si>
    <t xml:space="preserve">Cualitativo / Principios de gobernanza</t>
  </si>
  <si>
    <t xml:space="preserve">Mercados voluntarios de biocréditos</t>
  </si>
  <si>
    <t xml:space="preserve">Establece los principios de gobernanza, transparencia e inclusión comunitaria para mercados de biocréditos de alta integridad.</t>
  </si>
  <si>
    <t xml:space="preserve">Capital Coalition</t>
  </si>
  <si>
    <t xml:space="preserve">Natural Capital Protocol</t>
  </si>
  <si>
    <t xml:space="preserve">Capital natural, biodiversidad y servicios ecosistémicos</t>
  </si>
  <si>
    <t xml:space="preserve">Marco estandarizado para que las empresas identifiquen, midan y valoren sus impactos y dependencias del capital natural.</t>
  </si>
  <si>
    <t xml:space="preserve">Forest Trends / BBOP</t>
  </si>
  <si>
    <t xml:space="preserve">BBOP Standard on Biodiversity Offsets and Updated Glossary</t>
  </si>
  <si>
    <t xml:space="preserve">Demanda (Desarrolladores de proyectos, Minería), Reguladores/legisladores, Científicos</t>
  </si>
  <si>
    <t xml:space="preserve">Hábitats naturales afectados por desarrollo de infraestructura</t>
  </si>
  <si>
    <t xml:space="preserve">Estándar internacional pionero sobre la aplicación rigurosa de la jerarquía de mitigación y la compensación 'No Net Loss'.</t>
  </si>
  <si>
    <t xml:space="preserve">Sustainable Insurance Forum &amp; UNDP</t>
  </si>
  <si>
    <t xml:space="preserve">Nature-Related Risks in the Global Insurance Sector</t>
  </si>
  <si>
    <t xml:space="preserve">Ecosistemas reguladores del riesgo físico y climático</t>
  </si>
  <si>
    <t xml:space="preserve">Evaluación del riesgo financiero asociado a la pérdida de naturaleza para el sector asegurador global.</t>
  </si>
  <si>
    <t xml:space="preserve">Nature in an Era of Crises: Shaping Purposeful Nature Markets</t>
  </si>
  <si>
    <t xml:space="preserve">Reguladores/legisladores, Demanda (Sector financiero), Público general, Oferta (IPLC)</t>
  </si>
  <si>
    <t xml:space="preserve">Mercados globales de commodities y activos de naturaleza</t>
  </si>
  <si>
    <t xml:space="preserve">Analiza cómo transformar los mercados de naturaleza para alinearlos con resultados equitativos, net-zero y nature-positive.</t>
  </si>
  <si>
    <t xml:space="preserve">Global Nature Markets Landscaping Study</t>
  </si>
  <si>
    <t xml:space="preserve">Demanda (Empresas, Inversores), Reguladores/legisladores, Público general</t>
  </si>
  <si>
    <t xml:space="preserve">Mercados de recursos naturales ($9.8 billones/año)</t>
  </si>
  <si>
    <t xml:space="preserve">Mapea cuantitativamente el valor económico de los mercados de naturaleza ($9,8 billones, equivalente al 10% del PIB global).</t>
  </si>
  <si>
    <t xml:space="preserve">Living Planet Report 2022: Building a Nature-Positive Society</t>
  </si>
  <si>
    <t xml:space="preserve">Poblaciones globales de fauna silvestre (decline del 69% desde 1970)</t>
  </si>
  <si>
    <t xml:space="preserve">Documenta la pérdida del 69% en abundancia de poblaciones de especies de vertebrados entre 1970 y 2018.</t>
  </si>
  <si>
    <t xml:space="preserve">Comunidad científica, Público general, Reguladores/legisladores</t>
  </si>
  <si>
    <t xml:space="preserve">Poblaciones de vertebrados, bosques primarios, arrecifes de coral y humedales</t>
  </si>
  <si>
    <t xml:space="preserve">Mide el Índice Planeta Vivo mostrando un declive medio del 69% en la abundancia relativa de especies silvestres entre 1970 y 2018.</t>
  </si>
  <si>
    <t xml:space="preserve">Stockholm Resilience Centre</t>
  </si>
  <si>
    <t xml:space="preserve">Planetary Boundaries Framework Update</t>
  </si>
  <si>
    <t xml:space="preserve">Límites biofísicos planetarios (integridad de la biosfera, clima, agua dulce)</t>
  </si>
  <si>
    <t xml:space="preserve">Evidencia la transgresión de 6 de los 9 límites planetarios biofísicos que sustentan la estabilidad de la Tierra.</t>
  </si>
  <si>
    <t xml:space="preserve">FAO / UNFCCC</t>
  </si>
  <si>
    <t xml:space="preserve">UNFCCC Cancun Agreement REDD+ Scope and Guidelines</t>
  </si>
  <si>
    <t xml:space="preserve">Reguladores/legisladores, Oferta (Países en desarrollo, Comunidades), Demanda</t>
  </si>
  <si>
    <t xml:space="preserve">Países en desarrollo (Congo, Amazonía, SE Asiático)</t>
  </si>
  <si>
    <t xml:space="preserve">Bosques tropicales y conservación de reservas de carbono</t>
  </si>
  <si>
    <t xml:space="preserve">Define el alcance internacional de las actividades REDD+ (deforestación evitada, gestión forestal sostenible y reservas de carbono).</t>
  </si>
  <si>
    <t xml:space="preserve">McLea &amp; Thompson</t>
  </si>
  <si>
    <t xml:space="preserve">Concepts for Managing Water Allocation: Ruamāhanga Catchment</t>
  </si>
  <si>
    <t xml:space="preserve">Reguladores/legisladores, Oferta (Agricultores, Propietarios), Público general</t>
  </si>
  <si>
    <t xml:space="preserve">Nueva Zelanda (Cuenca de Ruamāhanga)</t>
  </si>
  <si>
    <t xml:space="preserve">Cuencas de agua dulce y derechos de captación</t>
  </si>
  <si>
    <t xml:space="preserve">Propone marcos de asignación y unidades de gestión negociables para regular el consumo de agua dulce.</t>
  </si>
  <si>
    <t xml:space="preserve">Queensland Government</t>
  </si>
  <si>
    <t xml:space="preserve">Reef Credit Scheme Framework for Water Quality Improvement</t>
  </si>
  <si>
    <t xml:space="preserve">Reguladores/legisladores, Oferta (Agricultores, Ganaderos), Demanda (Inversores)</t>
  </si>
  <si>
    <t xml:space="preserve">Australia (Queensland - Gran Barrera de Coral)</t>
  </si>
  <si>
    <t xml:space="preserve">Cuencas costeras y arrecifes de coral</t>
  </si>
  <si>
    <t xml:space="preserve">Esquema voluntario que emite 'Reef Credits' negociables por reducciones verificadas de nutrientes, plaguicidas y sedimentos.</t>
  </si>
  <si>
    <t xml:space="preserve">Eco-markets Australia</t>
  </si>
  <si>
    <t xml:space="preserve">What is the Reef Credit Scheme?</t>
  </si>
  <si>
    <t xml:space="preserve">Oferta (Productores rurales), Demanda (Compradores voluntarios), Reguladores</t>
  </si>
  <si>
    <t xml:space="preserve">Australia (Gran Barrera de Coral)</t>
  </si>
  <si>
    <t xml:space="preserve">Calidad del agua y ecosistemas marinos costeros</t>
  </si>
  <si>
    <t xml:space="preserve">Describe el funcionamiento operativo del mercado de créditos de calidad de agua en la cuenca de la Gran Barrera de Coral.</t>
  </si>
  <si>
    <t xml:space="preserve">Plastic Waste Reduction Standard and Plastic Program</t>
  </si>
  <si>
    <t xml:space="preserve">Demanda (Empresas corporativas), Oferta (Gestores de residuos), Certificadores</t>
  </si>
  <si>
    <t xml:space="preserve">Entornos terrestres y marinos afectados por contaminación plástica</t>
  </si>
  <si>
    <t xml:space="preserve">Estándar voluntario que emite 'Plastic Credits' equivalentes a 1 tonelada de residuos plásticos recolectados o reciclados.</t>
  </si>
  <si>
    <t xml:space="preserve">Harvey Locke et al.</t>
  </si>
  <si>
    <t xml:space="preserve">A Nature-Positive World: The Global Goal for Nature</t>
  </si>
  <si>
    <t xml:space="preserve">Reguladores/legisladores, Demanda (CEOs, Empresas), Comunidad científica</t>
  </si>
  <si>
    <t xml:space="preserve">Ecosistemas globales e indicadores de estado de la naturaleza</t>
  </si>
  <si>
    <t xml:space="preserve">Establece la meta global 'Nature Positive para 2030' (detener y revertir la pérdida de naturaleza) como estrella guía corporativa.</t>
  </si>
  <si>
    <t xml:space="preserve">World View - A Snapshot of National Biodiversity Offset Policies</t>
  </si>
  <si>
    <t xml:space="preserve">Reguladores/legisladores, Comunidad científica, Demanda (Desarrolladores)</t>
  </si>
  <si>
    <t xml:space="preserve">12,983 proyectos de compensación en 37 países</t>
  </si>
  <si>
    <t xml:space="preserve">Inventario global que revela que el 77% de los países con leyes de compensación no aplican estrictamente la jerarquía de mitigación.</t>
  </si>
  <si>
    <t xml:space="preserve">The Role of 'No Net Loss' Policies in Conserving Biodiversity Threatened by Global Infrastructure</t>
  </si>
  <si>
    <t xml:space="preserve">Reguladores/legisladores, Demanda (Sector infraestructura, Minería), Científicos</t>
  </si>
  <si>
    <t xml:space="preserve">Ecosistemas impactados por expansión de infraestructura</t>
  </si>
  <si>
    <t xml:space="preserve">Evalúa la efectividad de las políticas NNL frente al auge de proyectos globales de infraestructura y transporte.</t>
  </si>
  <si>
    <t xml:space="preserve">Aligning Ecological Compensation Policies with the Post-2020 Global Biodiversity Framework</t>
  </si>
  <si>
    <t xml:space="preserve">Ecosistemas amenazados por degradación acumulada</t>
  </si>
  <si>
    <t xml:space="preserve">Demuestra los fallos de las 'ganancias evitadas' en compensaciones y exige que la compensación genere ganancias absolutas.</t>
  </si>
  <si>
    <t xml:space="preserve">Needham et al.</t>
  </si>
  <si>
    <t xml:space="preserve">Designing Markets for Biodiversity Offsets: Lessons from Tradable Pollution Permits</t>
  </si>
  <si>
    <t xml:space="preserve">Mercados de permisos y compensación de hábitats</t>
  </si>
  <si>
    <t xml:space="preserve">Extrae lecciones de los mercados de permisos de contaminación para mejorar el diseño institucional de mercados de offsets.</t>
  </si>
  <si>
    <t xml:space="preserve">Designing markets for biodiversity offsets: lessons from tradable pollution permits</t>
  </si>
  <si>
    <t xml:space="preserve">Cualitativo / Econométrico</t>
  </si>
  <si>
    <t xml:space="preserve">Global / Reino Unido</t>
  </si>
  <si>
    <t xml:space="preserve">Diseño de mercados de offsets y permisos negociables</t>
  </si>
  <si>
    <t xml:space="preserve">Extrae lecciones de los mercados de contaminación para estructurar divisas e intercambios de biodiversidad.</t>
  </si>
  <si>
    <t xml:space="preserve">Darbi</t>
  </si>
  <si>
    <t xml:space="preserve">Biodiversity Offsets Between Regulation and Voluntary Commitment: A Typology of Approaches</t>
  </si>
  <si>
    <t xml:space="preserve">Global / Europa</t>
  </si>
  <si>
    <t xml:space="preserve">Esquemas de compensación ambiental</t>
  </si>
  <si>
    <t xml:space="preserve">Desarrolla una tipología de enfoques de compensación de biodiversidad distinguiendo esquemas mandatorios y voluntarios.</t>
  </si>
  <si>
    <t xml:space="preserve">Madsen, Carroll &amp; Brands (Ecosystem Marketplace)</t>
  </si>
  <si>
    <t xml:space="preserve">State of Biodiversity Markets Report: Offset and Compensation Programs Worldwide</t>
  </si>
  <si>
    <t xml:space="preserve">Demanda (Inversores, Empresas), Oferta (Bancos de conservación), Reguladores</t>
  </si>
  <si>
    <t xml:space="preserve">Programas de compensación de especies y humedales</t>
  </si>
  <si>
    <t xml:space="preserve">Reporte de referencia sobre el volumen económico global ($2.4B-$4.0B/año) de los mercados de compensación de biodiversidad.</t>
  </si>
  <si>
    <t xml:space="preserve">IFC</t>
  </si>
  <si>
    <t xml:space="preserve">Performance Standard 6: Biodiversity Conservation and Sustainable Management of Living Natural Resources</t>
  </si>
  <si>
    <t xml:space="preserve">Demanda (Bancos de desarrollo, Empresas mineras/energéticas), Reguladores</t>
  </si>
  <si>
    <t xml:space="preserve">Hábitats críticos y modificados</t>
  </si>
  <si>
    <t xml:space="preserve">Estándar obligatorio de sostenibilidad financiera que exige 'No Net Loss' o 'Net Gain' para financiar proyectos con impacto en hábitats.</t>
  </si>
  <si>
    <t xml:space="preserve">IFC (International Finance Corporation)</t>
  </si>
  <si>
    <t xml:space="preserve">Reguladores/legisladores, Demanda (Empresas, Proyectos de desarrollo), Financieros</t>
  </si>
  <si>
    <t xml:space="preserve">Estándar ambiental de la Corporación Financiera Internacional que consagró el mandato de la jerarquía de mitigación y el No Net Loss.</t>
  </si>
  <si>
    <t xml:space="preserve">Bidaud, Schreckenberg &amp; Jones</t>
  </si>
  <si>
    <t xml:space="preserve">The Local Costs of Biodiversity Offsets: Comparing Standards, Policy and Practice</t>
  </si>
  <si>
    <t xml:space="preserve">Oferta (Comunidades locales), Demanda (Proyectos mineros), Reguladores</t>
  </si>
  <si>
    <t xml:space="preserve">Bosques tropicales y medios de vida locales</t>
  </si>
  <si>
    <t xml:space="preserve">Muestra que las compensaciones a menudo imponen costos no compensados a las comunidades locales al restringir el acceso a la tierra.</t>
  </si>
  <si>
    <t xml:space="preserve">The local costs of biodiversity offsets: comparing standards, policy and practice</t>
  </si>
  <si>
    <t xml:space="preserve">Cualitativo / Etnográfico</t>
  </si>
  <si>
    <t xml:space="preserve">Oferta (Comunidades locales afectadas), Demanda (Empresas), Reguladores</t>
  </si>
  <si>
    <t xml:space="preserve">Costos locales y medios de vida afectados por proyectos de compensación</t>
  </si>
  <si>
    <t xml:space="preserve">Demuestra los costos locales no compensados que sufren las comunidades rurales vecinas a minas en Madagascar.</t>
  </si>
  <si>
    <t xml:space="preserve">UK Parliament</t>
  </si>
  <si>
    <t xml:space="preserve">Environment Act 2021 (Schedule 14: Mandatory Biodiversity Net Gain)</t>
  </si>
  <si>
    <t xml:space="preserve">Reguladores/legisladores, Demanda (Desarrolladores inmobiliarios), Oferta (Propietarios)</t>
  </si>
  <si>
    <t xml:space="preserve">Hábitats urbanos y rurales sujetos a desarrollo</t>
  </si>
  <si>
    <t xml:space="preserve">Mandato legal pionero a nivel mundial que exige una Ganancia Neta de Biodiversidad (BNG) mínima del 10% en nuevos desarrollos.</t>
  </si>
  <si>
    <t xml:space="preserve">UK House of Commons Environmental Audit Committee</t>
  </si>
  <si>
    <t xml:space="preserve">Biodiversity in the UK: Bloom or Bust?</t>
  </si>
  <si>
    <t xml:space="preserve">Ecosistemas del Reino Unido y bosques antiguos</t>
  </si>
  <si>
    <t xml:space="preserve">Informe parlamentario sobre los riesgos de comerciar hábitats irremplazables (como bosques antiguos) bajo esquemas de compensación.</t>
  </si>
  <si>
    <t xml:space="preserve">Faustian Bargains? Restoration Realities in the Context of Biodiversity Offset Policies</t>
  </si>
  <si>
    <t xml:space="preserve">Restauración ecológica de vegetación destruida</t>
  </si>
  <si>
    <t xml:space="preserve">Advierte sobre los largos desfases temporales y la incertidumbre de la restauración ecológica usada para justificar pérdidas inmediatas.</t>
  </si>
  <si>
    <t xml:space="preserve">Faustian bargains? Restoration realities in the context of biodiversity offset policies</t>
  </si>
  <si>
    <t xml:space="preserve">Reguladores/legisladores, Demanda (Empresas), Comunidad científica, Oferta</t>
  </si>
  <si>
    <t xml:space="preserve">Australia / Global</t>
  </si>
  <si>
    <t xml:space="preserve">Bosques nativos y vegetación remanente</t>
  </si>
  <si>
    <t xml:space="preserve">Análisis crítico de los supuestos irrealistas de restauración en las políticas de compensación de biodiversidad.</t>
  </si>
  <si>
    <t xml:space="preserve">Reguladores/legisladores, Demanda, Comunidad científica, Oferta</t>
  </si>
  <si>
    <t xml:space="preserve">Analiza los supuestos irrealistas de velocidad y éxito de restauración en las políticas de compensación.</t>
  </si>
  <si>
    <t xml:space="preserve">Samuel (Graeme Samuel Review)</t>
  </si>
  <si>
    <t xml:space="preserve">Final Review of the EPBC Act (Environment Protection and Biodiversity Conservation Act)</t>
  </si>
  <si>
    <t xml:space="preserve">Reguladores/legisladores, Demanda (Desarrolladores), Oferta, Comunidad científica</t>
  </si>
  <si>
    <t xml:space="preserve">Hábitats de especies amenazadas y vegetación nativa</t>
  </si>
  <si>
    <t xml:space="preserve">Auditoría crítica que concluye que los offsets en Australia sufren de 'pérdida evitada' débil y no evitan la degradación continua.</t>
  </si>
  <si>
    <t xml:space="preserve">New South Wales Auditor-General</t>
  </si>
  <si>
    <t xml:space="preserve">Effectiveness of the Biodiversity Offsets Scheme (NSW)</t>
  </si>
  <si>
    <t xml:space="preserve">Reguladores/legisladores, Demanda, Oferta (Créditos de biodiversidad en NSW)</t>
  </si>
  <si>
    <t xml:space="preserve">Australia (Nueva Gales del Sur)</t>
  </si>
  <si>
    <t xml:space="preserve">Ecosistemas nativos y créditos de la ley Biodiversity Conservation Act</t>
  </si>
  <si>
    <t xml:space="preserve">Revela severas falencias de transparencia, falta de monitoreo e incapacidad para verificar el logro de ganancias de biodiversidad.</t>
  </si>
  <si>
    <t xml:space="preserve">Victorian Auditor General Office (VAGO)</t>
  </si>
  <si>
    <t xml:space="preserve">Offsetting Native Vegetation Loss on Private Land (Victoria)</t>
  </si>
  <si>
    <t xml:space="preserve">Reguladores/legisladores, Oferta (Propietarios privados), Demanda</t>
  </si>
  <si>
    <t xml:space="preserve">Vegetación nativa y 477 especies amenazadas en tierras privadas</t>
  </si>
  <si>
    <t xml:space="preserve">Demuestra que la calculadora de offsets en Victoria carece de datos de modelos de distribución para el 25% de especies amenazadas.</t>
  </si>
  <si>
    <t xml:space="preserve">Government of Niue</t>
  </si>
  <si>
    <t xml:space="preserve">Media Release: Making Conservation Pay - Ocean Conservation Credit (OCC) Scheme</t>
  </si>
  <si>
    <t xml:space="preserve">Reguladores/legisladores, Demanda (Inversores filantrópicos y bilaterales), Oferta</t>
  </si>
  <si>
    <t xml:space="preserve">Niue (Pacífico Sur)</t>
  </si>
  <si>
    <t xml:space="preserve">Zona Económica Exclusiva marina y arrecifes</t>
  </si>
  <si>
    <t xml:space="preserve">Presenta el instrumento 'Ocean Conservation Credit' (OCC) para monetizar la protección del espacio marino sin fines de compensación.</t>
  </si>
  <si>
    <t xml:space="preserve">Australian Government / DCCEEW</t>
  </si>
  <si>
    <t xml:space="preserve">Nature Repair Market Bill / Biodiversity Certificates Scheme</t>
  </si>
  <si>
    <t xml:space="preserve">Reguladores/legisladores, Oferta (Agricultores, Propietarios), Demanda (Inversores)</t>
  </si>
  <si>
    <t xml:space="preserve">Vegetación nativa y hábitats terrestres/costeros</t>
  </si>
  <si>
    <t xml:space="preserve">Iniciativa legislativa para crear un Mercado de Reparación de la Naturaleza emitiendo 'Certificados de Biodiversidad' negociables.</t>
  </si>
  <si>
    <t xml:space="preserve">Government of Gabon / Boris Ngounou</t>
  </si>
  <si>
    <t xml:space="preserve">Gabon Biodiversity Credit System Announcement</t>
  </si>
  <si>
    <t xml:space="preserve">Reguladores/legisladores, Oferta (Comunidades locales), Demanda (Compradores)</t>
  </si>
  <si>
    <t xml:space="preserve">Gabón (Cuenca del Congo)</t>
  </si>
  <si>
    <t xml:space="preserve">Selva ecuatorial húmeda de la Cuenca del Congo</t>
  </si>
  <si>
    <t xml:space="preserve">Propuesta soberana para poner precio a los servicios de conservación de la selva tropical mediante créditos de biodiversidad.</t>
  </si>
  <si>
    <t xml:space="preserve">VCMI</t>
  </si>
  <si>
    <t xml:space="preserve">Voluntary Carbon Markets Integrity Initiative Claims Code</t>
  </si>
  <si>
    <t xml:space="preserve">Demanda (Empresas corporativas), Reguladores/legisladores, Certificadores</t>
  </si>
  <si>
    <t xml:space="preserve">Mercados voluntarios de carbono y alegaciones ambientales</t>
  </si>
  <si>
    <t xml:space="preserve">Guía de gobernanza para estandarizar las declaraciones corporativas de uso de créditos de carbono y mitigar el greenwashing.</t>
  </si>
  <si>
    <t xml:space="preserve">Global Biodiversity Credit Principles and Digital Standards</t>
  </si>
  <si>
    <t xml:space="preserve">Oferta (IPLC, Practicantes de conservación), Comunidad científica, Demanda, Reguladores</t>
  </si>
  <si>
    <t xml:space="preserve">Múltiples ecorregiones y proyectos comunitarios</t>
  </si>
  <si>
    <t xml:space="preserve">Alianza global que define biocréditos como unidades cuantificables de ganancia neta no vinculadas a la compensación de daños.</t>
  </si>
  <si>
    <t xml:space="preserve">Dutch Consumer Protection Authority / DutchNews</t>
  </si>
  <si>
    <t xml:space="preserve">Shell CO2 Compensation Greenwashing Ruling</t>
  </si>
  <si>
    <t xml:space="preserve">Demanda (Shell), Reguladores/legisladores (Consumo), Público general</t>
  </si>
  <si>
    <t xml:space="preserve">Alegaciones publicitarias corporativas de neutralidad</t>
  </si>
  <si>
    <t xml:space="preserve">Fallo de la autoridad de consumo que sancionó la publicidad engañosa de gasolina 'CO2-neutra' basada en offsets forestales.</t>
  </si>
  <si>
    <t xml:space="preserve">ClientEarth</t>
  </si>
  <si>
    <t xml:space="preserve">KLM Airlines Legal Action Over Greenwashing Marketing</t>
  </si>
  <si>
    <t xml:space="preserve">Demanda (KLM), Reguladores/legisladores, Público general (Consumidores)</t>
  </si>
  <si>
    <t xml:space="preserve">Países Bajos / Europa</t>
  </si>
  <si>
    <t xml:space="preserve">Marketing ambiental corporativo en aviación</t>
  </si>
  <si>
    <t xml:space="preserve">Demanda judicial contra la campaña 'Fly Responsibly' por engañar a los consumidores sobre el impacto de la compensación de carbono.</t>
  </si>
  <si>
    <t xml:space="preserve">Ensuring the Integrity of the European Carbon Market (MiFID II / MiFIR)</t>
  </si>
  <si>
    <t xml:space="preserve">Reguladores/legisladores, Demanda (Empresas del EU ETS, Inversores), Financieros</t>
  </si>
  <si>
    <t xml:space="preserve">Derechos de emisión del mercado europeo (EU ETS)</t>
  </si>
  <si>
    <t xml:space="preserve">Regula los permisos de emisión como instrumentos financieros bajo MiFID II para prevenir abusos de mercado y blanqueo.</t>
  </si>
  <si>
    <t xml:space="preserve">Australian Government / Clean Energy Regulator</t>
  </si>
  <si>
    <t xml:space="preserve">National Greenhouse and Energy Reporting Act &amp; Emissions Reduction Fund</t>
  </si>
  <si>
    <t xml:space="preserve">Reguladores/legisladores, Demanda (Empresas emisoras), Oferta (Silvicultores)</t>
  </si>
  <si>
    <t xml:space="preserve">Bosques, suelos agrícolas y proyectos de regeneración nativa</t>
  </si>
  <si>
    <t xml:space="preserve">Marco legal que exige reporte de emisiones e incentiva créditos de carbono (ACCUs) comprados por el gobierno.</t>
  </si>
  <si>
    <t xml:space="preserve">Accounting for Nature</t>
  </si>
  <si>
    <t xml:space="preserve">Accounting for Nature Framework for Environmental Condition Accounting</t>
  </si>
  <si>
    <t xml:space="preserve">Comunidad científica, Demanda (Empresas), Oferta (Propietarios de tierras)</t>
  </si>
  <si>
    <t xml:space="preserve">Métricas de condición ambiental de activos (Ecosystem Condition Score - Ecometric)</t>
  </si>
  <si>
    <t xml:space="preserve">Estándar de contabilidad de capital natural que certifica rigurosamente el estado ecológico mediante el índice Econd.</t>
  </si>
  <si>
    <t xml:space="preserve">TNFD</t>
  </si>
  <si>
    <t xml:space="preserve">The TNFD Nature-Related Risk and Opportunity Management and Disclosure Framework</t>
  </si>
  <si>
    <t xml:space="preserve">Demanda (Sector financiero, Bancos, Empresas), Reguladores/legisladores</t>
  </si>
  <si>
    <t xml:space="preserve">Evaluar, medir y divulgar dependencias e impactos en la naturaleza (LEAP)</t>
  </si>
  <si>
    <t xml:space="preserve">Marco corporativo para identificar, evaluar y reportar riesgos y oportunidades financieras asociadas a la naturaleza.</t>
  </si>
  <si>
    <t xml:space="preserve">TCFD</t>
  </si>
  <si>
    <t xml:space="preserve">Task Force on Climate-Related Financial Disclosures Status Report</t>
  </si>
  <si>
    <t xml:space="preserve">Demanda (Empresas globales, Inversores), Reguladores/legisladores</t>
  </si>
  <si>
    <t xml:space="preserve">Riesgos climáticos físicos y de transición en carteras</t>
  </si>
  <si>
    <t xml:space="preserve">Marco estandarizado de reporte de riesgos climáticos financieros adoptado de forma obligatoria en múltiples países.</t>
  </si>
  <si>
    <t xml:space="preserve">Aviva Investors (Mathieu)</t>
  </si>
  <si>
    <t xml:space="preserve">Back to Nature: Biodiversity Crisis and Tax Considerations</t>
  </si>
  <si>
    <t xml:space="preserve">Demanda (Analistas ESG, Inversores), Reguladores/legisladores</t>
  </si>
  <si>
    <t xml:space="preserve">Fiscalidad e impuestos sobre actividades destructoras de naturaleza</t>
  </si>
  <si>
    <t xml:space="preserve">Propone aplicar impuestos a actividades destructivas de biodiversidad e internalizar externalidades en los balances corporativos.</t>
  </si>
  <si>
    <t xml:space="preserve">Responsible Investor (Mrema Interview)</t>
  </si>
  <si>
    <t xml:space="preserve">Make TNFD Reporting Mandatory, Says Head of UN Biodiversity Convention</t>
  </si>
  <si>
    <t xml:space="preserve">Reguladores/legisladores, Demanda (Sector financiero, Empresas)</t>
  </si>
  <si>
    <t xml:space="preserve">Divulgación obligatoria de riesgos de biodiversidad</t>
  </si>
  <si>
    <t xml:space="preserve">Llamado de la Secretaría del CDB para que los gobiernos impongan la divulgación obligatoria bajo el marco TNFD.</t>
  </si>
  <si>
    <t xml:space="preserve">Official Journal of the French Republic</t>
  </si>
  <si>
    <t xml:space="preserve">Decree no. 2021-663 / Article 29 of the Energy and Climate Law</t>
  </si>
  <si>
    <t xml:space="preserve">Reguladores/legisladores, Demanda (Instituciones financieras, Fondos de pensión)</t>
  </si>
  <si>
    <t xml:space="preserve">Inversiones financieras y doble materialidad de biodiversidad</t>
  </si>
  <si>
    <t xml:space="preserve">Norma pionera mundial que exige a instituciones financieras divulgar riesgos de biodiversidad y alineación con metas del CDB hacia 2030.</t>
  </si>
  <si>
    <t xml:space="preserve">Constituyente de Ecuador</t>
  </si>
  <si>
    <t xml:space="preserve">Constitución de la República del Ecuador (Artículo 71: Derechos de la Naturaleza)</t>
  </si>
  <si>
    <t xml:space="preserve">Reguladores/legisladores, Público general, Oferta (Comunidades local)</t>
  </si>
  <si>
    <t xml:space="preserve">Pachamama y ecosistemas naturales ecuatorianos</t>
  </si>
  <si>
    <t xml:space="preserve">Reconoce constitucionalmente la personería jurídica y el derecho de la naturaleza (Pachamama) a existir, persistir y regenerarse.</t>
  </si>
  <si>
    <t xml:space="preserve">Township of Grant, PA</t>
  </si>
  <si>
    <t xml:space="preserve">Community Rights Home Rule Charter of Grant Township</t>
  </si>
  <si>
    <t xml:space="preserve">Reguladores/legisladores (Local), Público general, Comunidades</t>
  </si>
  <si>
    <t xml:space="preserve">Estados Unidos (Pensilvania)</t>
  </si>
  <si>
    <t xml:space="preserve">Ecosistemas locales, agua y suelo de la comunidad de Grant</t>
  </si>
  <si>
    <t xml:space="preserve">Ordenanza municipal que otorga derechos legales a los ecosistemas locales para defender su derecho a un aire, agua y suelo limpios.</t>
  </si>
  <si>
    <t xml:space="preserve">New Zealand Parliament</t>
  </si>
  <si>
    <t xml:space="preserve">Te Urewera Act 2014</t>
  </si>
  <si>
    <t xml:space="preserve">Reguladores/legisladores, Oferta (Pueblo Māori / Tūhoe), Público general</t>
  </si>
  <si>
    <t xml:space="preserve">Región forestal de Te Urewera</t>
  </si>
  <si>
    <t xml:space="preserve">Otorga personería jurídica al parque forestal Te Urewera como entidad propia administrada conjuntamente con los Māori.</t>
  </si>
  <si>
    <t xml:space="preserve">Te Awa Tupua (Whanganui River Claims Settlement) Act 2017</t>
  </si>
  <si>
    <t xml:space="preserve">Reguladores/legisladores, Oferta (Iwi Māori), Público general</t>
  </si>
  <si>
    <t xml:space="preserve">Río Whanganui y sus afluentes</t>
  </si>
  <si>
    <t xml:space="preserve">Otorga personería y derechos legales al río Whanganui (Te Awa Tupua) como un todo viviente e indivisible.</t>
  </si>
  <si>
    <t xml:space="preserve">Ecomarkets Australia</t>
  </si>
  <si>
    <t xml:space="preserve">Ecomarkets Australia Voluntary Environmental Standards</t>
  </si>
  <si>
    <t xml:space="preserve">Certificadores, Oferta (Productores rurales), Demanda (Inversores)</t>
  </si>
  <si>
    <t xml:space="preserve">Biodiversidad terrestre y cuencas acuáticas</t>
  </si>
  <si>
    <t xml:space="preserve">Administrador independiente que aprueba metodologías y emite créditos de conservación e impacto ambiental.</t>
  </si>
  <si>
    <r>
      <rPr>
        <sz val="10"/>
        <rFont val="Arial"/>
        <family val="0"/>
        <charset val="1"/>
      </rPr>
      <t xml:space="preserve">Bai et al. (</t>
    </r>
    <r>
      <rPr>
        <sz val="10"/>
        <rFont val="Noto Sans CJK SC"/>
        <family val="2"/>
      </rPr>
      <t xml:space="preserve">白韫雯等</t>
    </r>
    <r>
      <rPr>
        <sz val="10"/>
        <rFont val="Arial"/>
        <family val="0"/>
        <charset val="1"/>
      </rPr>
      <t xml:space="preserve">)</t>
    </r>
  </si>
  <si>
    <r>
      <rPr>
        <sz val="10"/>
        <rFont val="Arial"/>
        <family val="0"/>
        <charset val="1"/>
      </rPr>
      <t xml:space="preserve">Study on key issues in financial institutions' support for biodiversity conservation (</t>
    </r>
    <r>
      <rPr>
        <sz val="10"/>
        <rFont val="Noto Sans CJK SC"/>
        <family val="2"/>
      </rPr>
      <t xml:space="preserve">金融机构支持生物多样性保护关键问题研究</t>
    </r>
    <r>
      <rPr>
        <sz val="10"/>
        <rFont val="Arial"/>
        <family val="0"/>
        <charset val="1"/>
      </rPr>
      <t xml:space="preserve">)</t>
    </r>
  </si>
  <si>
    <t xml:space="preserve">Ecosistemas terrestres y acuáticos bajo financiamiento bancario</t>
  </si>
  <si>
    <t xml:space="preserve">Examina la integración de la gestión de riesgos de biodiversidad e inversión verde en instituciones financieras de China.</t>
  </si>
  <si>
    <t xml:space="preserve">Benedito &amp; Sarmiento</t>
  </si>
  <si>
    <t xml:space="preserve">Biodiversity Credit Market Must Learn from Carbon Offset Mistakes</t>
  </si>
  <si>
    <t xml:space="preserve">Reguladores/legisladores, Demanda (Empresas), Oferta (Comunidades locales)</t>
  </si>
  <si>
    <t xml:space="preserve">Global / Colombia</t>
  </si>
  <si>
    <t xml:space="preserve">Bosques neotropicales y ecosistemas frágiles</t>
  </si>
  <si>
    <t xml:space="preserve">Advierte sobre los riesgos de replicar fallas del mercado de carbono e insiste en la transparencia y medición directa de biodiversidad.</t>
  </si>
  <si>
    <t xml:space="preserve">Kunming-Montreal Global Biodiversity Framework (Draft Decision COP-15)</t>
  </si>
  <si>
    <t xml:space="preserve">Reguladores/legisladores, Demanda (Empresas, Financieros), Oferta (IPLC)</t>
  </si>
  <si>
    <t xml:space="preserve">Acuerdo marco internacional que fija la Meta 19 para movilizar $200.000M/año incentivando esquemas de biocréditos y PES.</t>
  </si>
  <si>
    <r>
      <rPr>
        <sz val="10"/>
        <rFont val="Arial"/>
        <family val="0"/>
        <charset val="1"/>
      </rPr>
      <t xml:space="preserve">Chen &amp; Pan (</t>
    </r>
    <r>
      <rPr>
        <sz val="10"/>
        <rFont val="Noto Sans CJK SC"/>
        <family val="2"/>
      </rPr>
      <t xml:space="preserve">陈燕和 </t>
    </r>
    <r>
      <rPr>
        <sz val="10"/>
        <rFont val="Arial"/>
        <family val="0"/>
        <charset val="1"/>
      </rPr>
      <t xml:space="preserve">&amp; </t>
    </r>
    <r>
      <rPr>
        <sz val="10"/>
        <rFont val="Noto Sans CJK SC"/>
        <family val="2"/>
      </rPr>
      <t xml:space="preserve">潘玉</t>
    </r>
    <r>
      <rPr>
        <sz val="10"/>
        <rFont val="Arial"/>
        <family val="0"/>
        <charset val="1"/>
      </rPr>
      <t xml:space="preserve">)</t>
    </r>
  </si>
  <si>
    <r>
      <rPr>
        <sz val="10"/>
        <rFont val="Arial"/>
        <family val="0"/>
        <charset val="1"/>
      </rPr>
      <t xml:space="preserve">Biodiversity, biodiversity finance and financial stability (</t>
    </r>
    <r>
      <rPr>
        <sz val="10"/>
        <rFont val="Noto Sans CJK SC"/>
        <family val="2"/>
      </rPr>
      <t xml:space="preserve">生物多样性、生物多样性融资与金融稳定</t>
    </r>
    <r>
      <rPr>
        <sz val="10"/>
        <rFont val="Arial"/>
        <family val="0"/>
        <charset val="1"/>
      </rPr>
      <t xml:space="preserve">)</t>
    </r>
  </si>
  <si>
    <t xml:space="preserve">Demanda (Sector financiero), Reguladores/legisladores, Comunidad científica</t>
  </si>
  <si>
    <t xml:space="preserve">Servicios ecosistémicos globales e infraestructura financiera</t>
  </si>
  <si>
    <t xml:space="preserve">Analiza las fallas de mercado que subestiman el valor de la naturaleza y el impacto del colapso ecológico en la estabilidad financiera.</t>
  </si>
  <si>
    <r>
      <rPr>
        <sz val="10"/>
        <rFont val="Arial"/>
        <family val="0"/>
        <charset val="1"/>
      </rPr>
      <t xml:space="preserve">Cui et al. (</t>
    </r>
    <r>
      <rPr>
        <sz val="10"/>
        <rFont val="Noto Sans CJK SC"/>
        <family val="2"/>
      </rPr>
      <t xml:space="preserve">崔楚云等</t>
    </r>
    <r>
      <rPr>
        <sz val="10"/>
        <rFont val="Arial"/>
        <family val="0"/>
        <charset val="1"/>
      </rPr>
      <t xml:space="preserve">)</t>
    </r>
  </si>
  <si>
    <r>
      <rPr>
        <sz val="10"/>
        <rFont val="Arial"/>
        <family val="0"/>
        <charset val="1"/>
      </rPr>
      <t xml:space="preserve">Biodiversity conservation supported by finance: Global practice and policy enlightenment (</t>
    </r>
    <r>
      <rPr>
        <sz val="10"/>
        <rFont val="Noto Sans CJK SC"/>
        <family val="2"/>
      </rPr>
      <t xml:space="preserve">金融支持生物多样性保护</t>
    </r>
    <r>
      <rPr>
        <sz val="10"/>
        <rFont val="Arial"/>
        <family val="0"/>
        <charset val="1"/>
      </rPr>
      <t xml:space="preserve">: </t>
    </r>
    <r>
      <rPr>
        <sz val="10"/>
        <rFont val="Noto Sans CJK SC"/>
        <family val="2"/>
      </rPr>
      <t xml:space="preserve">全球实践及政策启示</t>
    </r>
    <r>
      <rPr>
        <sz val="10"/>
        <rFont val="Arial"/>
        <family val="0"/>
        <charset val="1"/>
      </rPr>
      <t xml:space="preserve">)</t>
    </r>
  </si>
  <si>
    <t xml:space="preserve">Global / China</t>
  </si>
  <si>
    <t xml:space="preserve">Ecosistemas terrestres y acuáticos con apoyo financiero</t>
  </si>
  <si>
    <t xml:space="preserve">Sintetiza prácticas globales de finanzas de biodiversidad e identifica la necesidad de diversificar instrumentos de mercado e incentivos.</t>
  </si>
  <si>
    <t xml:space="preserve">FFI &amp; Plan Vivo Foundation</t>
  </si>
  <si>
    <t xml:space="preserve">High-level Integrity Principles Developed to Steer Emerging Biodiversity Credits Market</t>
  </si>
  <si>
    <t xml:space="preserve">Reguladores/legisladores, Demanda, Oferta (IPLC, Comunidades locales)</t>
  </si>
  <si>
    <t xml:space="preserve">Bosques y hábitats comunitarios</t>
  </si>
  <si>
    <t xml:space="preserve">Establece principios de alta integridad basados en resultados verificables, salvaguardas de derechos de comunidades y beneficios climáticos.</t>
  </si>
  <si>
    <t xml:space="preserve">Gray &amp; Khatri (WEF)</t>
  </si>
  <si>
    <t xml:space="preserve">How Biodiversity Credits can Deliver Benefits for Business, Nature and Local Communities</t>
  </si>
  <si>
    <t xml:space="preserve">Demanda (Empresas corporativas), Oferta (IPLC, Comunidades locales), Reguladores</t>
  </si>
  <si>
    <t xml:space="preserve">Hábitats naturales, bosques y ecosistemas amenazados</t>
  </si>
  <si>
    <t xml:space="preserve">Define el crédito de biodiversidad como instrumento económico voluntario para financiar la restauración y conservación sin compensar daños.</t>
  </si>
  <si>
    <t xml:space="preserve">Hawker</t>
  </si>
  <si>
    <t xml:space="preserve">Carbon Markets Nurture Biodiversity Solutions</t>
  </si>
  <si>
    <t xml:space="preserve">Demanda (Inversores de carbono/ESG), Oferta (Desarrolladores), Reguladores</t>
  </si>
  <si>
    <t xml:space="preserve">Bosques y proyectos de soluciones basadas en la naturaleza</t>
  </si>
  <si>
    <t xml:space="preserve">Discute la complementariedad y diferencias entre mercados de carbono y créditos de biodiversidad independientes.</t>
  </si>
  <si>
    <r>
      <rPr>
        <sz val="10"/>
        <rFont val="Arial"/>
        <family val="0"/>
        <charset val="1"/>
      </rPr>
      <t xml:space="preserve">Hu (</t>
    </r>
    <r>
      <rPr>
        <sz val="10"/>
        <rFont val="Noto Sans CJK SC"/>
        <family val="2"/>
      </rPr>
      <t xml:space="preserve">胡远洋</t>
    </r>
    <r>
      <rPr>
        <sz val="10"/>
        <rFont val="Arial"/>
        <family val="0"/>
        <charset val="1"/>
      </rPr>
      <t xml:space="preserve">)</t>
    </r>
  </si>
  <si>
    <r>
      <rPr>
        <sz val="10"/>
        <rFont val="Arial"/>
        <family val="0"/>
        <charset val="1"/>
      </rPr>
      <t xml:space="preserve">Research progress on biodiversity offsetting (</t>
    </r>
    <r>
      <rPr>
        <sz val="10"/>
        <rFont val="Noto Sans CJK SC"/>
        <family val="2"/>
      </rPr>
      <t xml:space="preserve">生物多样性抵消的研究进展</t>
    </r>
    <r>
      <rPr>
        <sz val="10"/>
        <rFont val="Arial"/>
        <family val="0"/>
        <charset val="1"/>
      </rPr>
      <t xml:space="preserve">)</t>
    </r>
  </si>
  <si>
    <t xml:space="preserve">Hábitats terrestres alterados por proyectos de desarrollo</t>
  </si>
  <si>
    <t xml:space="preserve">Revisa los avances científicos en compensaciones de biodiversidad, jerarquía de mitigación y equivalencia ecológica.</t>
  </si>
  <si>
    <t xml:space="preserve">ICVCM (Integrity Council for the Voluntary Carbon Market)</t>
  </si>
  <si>
    <t xml:space="preserve">The Core Carbon Principles: Plus Program-level Assessment Framework</t>
  </si>
  <si>
    <t xml:space="preserve">Demanda (Empresas), Certificadores, Oferta, Reguladores</t>
  </si>
  <si>
    <t xml:space="preserve">Bosques y proyectos de créditos de carbono</t>
  </si>
  <si>
    <t xml:space="preserve">Establece los Principios Fundamentales del Carbono para garantizar la alta integridad, gobernanza y aditividad en mercados voluntarios.</t>
  </si>
  <si>
    <r>
      <rPr>
        <sz val="10"/>
        <rFont val="Arial"/>
        <family val="0"/>
        <charset val="1"/>
      </rPr>
      <t xml:space="preserve">Jing &amp; Zhang (</t>
    </r>
    <r>
      <rPr>
        <sz val="10"/>
        <rFont val="Noto Sans CJK SC"/>
        <family val="2"/>
      </rPr>
      <t xml:space="preserve">荆珍 </t>
    </r>
    <r>
      <rPr>
        <sz val="10"/>
        <rFont val="Arial"/>
        <family val="0"/>
        <charset val="1"/>
      </rPr>
      <t xml:space="preserve">&amp; </t>
    </r>
    <r>
      <rPr>
        <sz val="10"/>
        <rFont val="Noto Sans CJK SC"/>
        <family val="2"/>
      </rPr>
      <t xml:space="preserve">张鑫</t>
    </r>
    <r>
      <rPr>
        <sz val="10"/>
        <rFont val="Arial"/>
        <family val="0"/>
        <charset val="1"/>
      </rPr>
      <t xml:space="preserve">)</t>
    </r>
  </si>
  <si>
    <r>
      <rPr>
        <sz val="10"/>
        <rFont val="Arial"/>
        <family val="0"/>
        <charset val="1"/>
      </rPr>
      <t xml:space="preserve">Analysis of the legal realization path of biodiversity offsetting in China (</t>
    </r>
    <r>
      <rPr>
        <sz val="10"/>
        <rFont val="Noto Sans CJK SC"/>
        <family val="2"/>
      </rPr>
      <t xml:space="preserve">我国生物多样性抵消的法律实现路径探析</t>
    </r>
    <r>
      <rPr>
        <sz val="10"/>
        <rFont val="Arial"/>
        <family val="0"/>
        <charset val="1"/>
      </rPr>
      <t xml:space="preserve">)</t>
    </r>
  </si>
  <si>
    <t xml:space="preserve">Reguladores/legisladores, Demanda (Desarrolladores de infraestructura)</t>
  </si>
  <si>
    <t xml:space="preserve">Áreas naturales protegidas y hábitats terrestres</t>
  </si>
  <si>
    <t xml:space="preserve">Explora el marco legal e institucional necesario para implementar sistemas de compensación ecológica obligatorios en China.</t>
  </si>
  <si>
    <t xml:space="preserve">Karsenty</t>
  </si>
  <si>
    <t xml:space="preserve">Emmanuel Macron’s 'Biodiversity Credits': What are We Talking about?</t>
  </si>
  <si>
    <t xml:space="preserve">Reguladores/legisladores, Demanda (Empresas), Oferta (Países en desarrollo)</t>
  </si>
  <si>
    <t xml:space="preserve">Global / Francia / Gabón</t>
  </si>
  <si>
    <t xml:space="preserve">Bosques tropicales de alta cobertura (HFLD)</t>
  </si>
  <si>
    <t xml:space="preserve">Analiza la propuesta política de biocréditos para recompensar la conservación en países con bosques tropicales intactos.</t>
  </si>
  <si>
    <t xml:space="preserve">Koh et al. (The Biodiversity Consultancy)</t>
  </si>
  <si>
    <t xml:space="preserve">Exploring Design Principles for High Integrity and Scalable Voluntary Biodiversity Credits</t>
  </si>
  <si>
    <t xml:space="preserve">Comunidad científica, Reguladores/legisladores, Demanda, Oferta (IPLC)</t>
  </si>
  <si>
    <t xml:space="preserve">Múltiples ecosistemas prioritarios</t>
  </si>
  <si>
    <t xml:space="preserve">Resume 12 principios de diseño para biocréditos voluntarios de alta integridad que abarcan sostenibilidad ecológica, equidad e impacto financiero.</t>
  </si>
  <si>
    <t xml:space="preserve">TBC</t>
  </si>
  <si>
    <t xml:space="preserve">Principios de diseño para biocréditos</t>
  </si>
  <si>
    <t xml:space="preserve">Resume 12 principios de diseño para biocréditos de alta integridad que abarcan la equivalencia y la equidad.</t>
  </si>
  <si>
    <t xml:space="preserve">The Biodiversity Consultancy</t>
  </si>
  <si>
    <t xml:space="preserve">Exploring design principles for high integrity and scalable voluntary biodiversity credits</t>
  </si>
  <si>
    <t xml:space="preserve">Demanda (Empresas), Oferta (Comunidades), Reguladores, Científicos</t>
  </si>
  <si>
    <t xml:space="preserve">Ecosistemas prioritarios para la conservación</t>
  </si>
  <si>
    <t xml:space="preserve">Propone principios de diseño para asegurar la aditividad, durabilidad e integridad de los biocréditos voluntarios.</t>
  </si>
  <si>
    <t xml:space="preserve">Comunidad científica, Demanda (Empresas), Reguladores/legisladores</t>
  </si>
  <si>
    <t xml:space="preserve">Diversas ecorregiones bajo conservación voluntaria</t>
  </si>
  <si>
    <t xml:space="preserve">Formula los principios de diseño e integridad ambiental para escalar mercados voluntarios de créditos de biodiversidad.</t>
  </si>
  <si>
    <r>
      <rPr>
        <sz val="10"/>
        <rFont val="Arial"/>
        <family val="0"/>
        <charset val="1"/>
      </rPr>
      <t xml:space="preserve">Lan (</t>
    </r>
    <r>
      <rPr>
        <sz val="10"/>
        <rFont val="Noto Sans CJK SC"/>
        <family val="2"/>
      </rPr>
      <t xml:space="preserve">蓝虹</t>
    </r>
    <r>
      <rPr>
        <sz val="10"/>
        <rFont val="Arial"/>
        <family val="0"/>
        <charset val="1"/>
      </rPr>
      <t xml:space="preserve">)</t>
    </r>
  </si>
  <si>
    <r>
      <rPr>
        <sz val="10"/>
        <rFont val="Arial"/>
        <family val="0"/>
        <charset val="1"/>
      </rPr>
      <t xml:space="preserve">The present and future of biodiversity financing in China (</t>
    </r>
    <r>
      <rPr>
        <sz val="10"/>
        <rFont val="Noto Sans CJK SC"/>
        <family val="2"/>
      </rPr>
      <t xml:space="preserve">中国生物多样性融资的现状及未来</t>
    </r>
    <r>
      <rPr>
        <sz val="10"/>
        <rFont val="Arial"/>
        <family val="0"/>
        <charset val="1"/>
      </rPr>
      <t xml:space="preserve">)</t>
    </r>
  </si>
  <si>
    <t xml:space="preserve">Reguladores/legisladores, Demanda (Sector financiero), Oferta</t>
  </si>
  <si>
    <t xml:space="preserve">Ecosistemas estratégicos y cuencas fluviales en China</t>
  </si>
  <si>
    <t xml:space="preserve">Analiza los mecanismos de financiamiento gubernamentales, bancarios y de mercado para la biodiversidad en China.</t>
  </si>
  <si>
    <r>
      <rPr>
        <sz val="10"/>
        <rFont val="Arial"/>
        <family val="0"/>
        <charset val="1"/>
      </rPr>
      <t xml:space="preserve">Li et al. (</t>
    </r>
    <r>
      <rPr>
        <sz val="10"/>
        <rFont val="Noto Sans CJK SC"/>
        <family val="2"/>
      </rPr>
      <t xml:space="preserve">李京梅等</t>
    </r>
    <r>
      <rPr>
        <sz val="10"/>
        <rFont val="Arial"/>
        <family val="0"/>
        <charset val="1"/>
      </rPr>
      <t xml:space="preserve">)</t>
    </r>
  </si>
  <si>
    <r>
      <rPr>
        <sz val="10"/>
        <rFont val="Arial"/>
        <family val="0"/>
        <charset val="1"/>
      </rPr>
      <t xml:space="preserve">Paths and institutional arrangements for value realization of biodiversity products: Experiences of bio-banking (</t>
    </r>
    <r>
      <rPr>
        <sz val="10"/>
        <rFont val="Noto Sans CJK SC"/>
        <family val="2"/>
      </rPr>
      <t xml:space="preserve">生物多样性产品价值实现的路径与制度安排</t>
    </r>
    <r>
      <rPr>
        <sz val="10"/>
        <rFont val="Arial"/>
        <family val="0"/>
        <charset val="1"/>
      </rPr>
      <t xml:space="preserve">)</t>
    </r>
  </si>
  <si>
    <t xml:space="preserve">Reguladores/legisladores, Oferta (Propietarios de tierras), Demanda</t>
  </si>
  <si>
    <t xml:space="preserve">EE. UU. / Australia / Alemania / China</t>
  </si>
  <si>
    <t xml:space="preserve">Bancos de conservación, humedales y vegetación nativa</t>
  </si>
  <si>
    <t xml:space="preserve">Sintetiza lecciones internacionales de la banca de conservación y compensaciones para la conversión de activos de biodiversidad.</t>
  </si>
  <si>
    <r>
      <rPr>
        <sz val="10"/>
        <rFont val="Arial"/>
        <family val="0"/>
        <charset val="1"/>
      </rPr>
      <t xml:space="preserve">Liu et al. (</t>
    </r>
    <r>
      <rPr>
        <sz val="10"/>
        <rFont val="Noto Sans CJK SC"/>
        <family val="2"/>
      </rPr>
      <t xml:space="preserve">刘耕源等</t>
    </r>
    <r>
      <rPr>
        <sz val="10"/>
        <rFont val="Arial"/>
        <family val="0"/>
        <charset val="1"/>
      </rPr>
      <t xml:space="preserve">)</t>
    </r>
  </si>
  <si>
    <r>
      <rPr>
        <sz val="10"/>
        <rFont val="Arial"/>
        <family val="0"/>
        <charset val="1"/>
      </rPr>
      <t xml:space="preserve">Optimizing ecological credit accounting to enhance ecosystem functions (</t>
    </r>
    <r>
      <rPr>
        <sz val="10"/>
        <rFont val="Noto Sans CJK SC"/>
        <family val="2"/>
      </rPr>
      <t xml:space="preserve">优化生态信用核算提升生态系统功能</t>
    </r>
    <r>
      <rPr>
        <sz val="10"/>
        <rFont val="Arial"/>
        <family val="0"/>
        <charset val="1"/>
      </rPr>
      <t xml:space="preserve">)</t>
    </r>
  </si>
  <si>
    <t xml:space="preserve">Sistemas de uso del suelo y cobertura vegetal</t>
  </si>
  <si>
    <t xml:space="preserve">Propone metodologías mejoradas de contabilidad de créditos ecológicos para cuantificar funciones ecosistémicas.</t>
  </si>
  <si>
    <r>
      <rPr>
        <sz val="10"/>
        <rFont val="Arial"/>
        <family val="0"/>
        <charset val="1"/>
      </rPr>
      <t xml:space="preserve">Liu &amp; Tang (</t>
    </r>
    <r>
      <rPr>
        <sz val="10"/>
        <rFont val="Noto Sans CJK SC"/>
        <family val="2"/>
      </rPr>
      <t xml:space="preserve">刘云波 </t>
    </r>
    <r>
      <rPr>
        <sz val="10"/>
        <rFont val="Arial"/>
        <family val="0"/>
        <charset val="1"/>
      </rPr>
      <t xml:space="preserve">&amp; </t>
    </r>
    <r>
      <rPr>
        <sz val="10"/>
        <rFont val="Noto Sans CJK SC"/>
        <family val="2"/>
      </rPr>
      <t xml:space="preserve">唐仁娜</t>
    </r>
    <r>
      <rPr>
        <sz val="10"/>
        <rFont val="Arial"/>
        <family val="0"/>
        <charset val="1"/>
      </rPr>
      <t xml:space="preserve">)</t>
    </r>
  </si>
  <si>
    <r>
      <rPr>
        <sz val="10"/>
        <rFont val="Arial"/>
        <family val="0"/>
        <charset val="1"/>
      </rPr>
      <t xml:space="preserve">The impact of ESG on enterprise value (ESG</t>
    </r>
    <r>
      <rPr>
        <sz val="10"/>
        <rFont val="Noto Sans CJK SC"/>
        <family val="2"/>
      </rPr>
      <t xml:space="preserve">对企业价值的影响</t>
    </r>
    <r>
      <rPr>
        <sz val="10"/>
        <rFont val="Arial"/>
        <family val="0"/>
        <charset val="1"/>
      </rPr>
      <t xml:space="preserve">)</t>
    </r>
  </si>
  <si>
    <t xml:space="preserve">Demanda (Empresas corporativas, Sector financiero, Inversores)</t>
  </si>
  <si>
    <t xml:space="preserve">Cadenas de valor corporativas e industriales</t>
  </si>
  <si>
    <t xml:space="preserve">Demuestra empíricamente el impacto positivo del desempeño ESG en la valoración bursátil y sostenibilidad financiera de las empresas.</t>
  </si>
  <si>
    <r>
      <rPr>
        <sz val="10"/>
        <rFont val="Arial"/>
        <family val="0"/>
        <charset val="1"/>
      </rPr>
      <t xml:space="preserve">Lu (</t>
    </r>
    <r>
      <rPr>
        <sz val="10"/>
        <rFont val="Noto Sans CJK SC"/>
        <family val="2"/>
      </rPr>
      <t xml:space="preserve">卢笛音</t>
    </r>
    <r>
      <rPr>
        <sz val="10"/>
        <rFont val="Arial"/>
        <family val="0"/>
        <charset val="1"/>
      </rPr>
      <t xml:space="preserve">)</t>
    </r>
  </si>
  <si>
    <r>
      <rPr>
        <sz val="10"/>
        <rFont val="Arial"/>
        <family val="0"/>
        <charset val="1"/>
      </rPr>
      <t xml:space="preserve">Brief study of promoting biodiversity conservation by economical measures (</t>
    </r>
    <r>
      <rPr>
        <sz val="10"/>
        <rFont val="Noto Sans CJK SC"/>
        <family val="2"/>
      </rPr>
      <t xml:space="preserve">浅谈以经济手段促进生物多样性保护</t>
    </r>
    <r>
      <rPr>
        <sz val="10"/>
        <rFont val="Arial"/>
        <family val="0"/>
        <charset val="1"/>
      </rPr>
      <t xml:space="preserve">)</t>
    </r>
  </si>
  <si>
    <t xml:space="preserve">Ecosistemas terrestres y acuáticos</t>
  </si>
  <si>
    <t xml:space="preserve">Evalúa el uso de herramientas económicas e incentivos fiscales para internalizar los costos externos de la pérdida de biodiversidad.</t>
  </si>
  <si>
    <t xml:space="preserve">Manuell</t>
  </si>
  <si>
    <t xml:space="preserve">Biodiversity Crediting to Imminently Face up to Challenges of Bundling and Stacking with Carbon</t>
  </si>
  <si>
    <t xml:space="preserve">Demanda (Compradores corporativos), Oferta (Desarrolladores), Reguladores</t>
  </si>
  <si>
    <t xml:space="preserve">Bosques y tierras de uso multipropósito</t>
  </si>
  <si>
    <t xml:space="preserve">Examina las controversias metodológicas del apilamiento (*stacking*) y empaquetamiento (*bundling*) de créditos de biodiversidad y carbono.</t>
  </si>
  <si>
    <t xml:space="preserve">Mehrabi &amp; Naidoo</t>
  </si>
  <si>
    <t xml:space="preserve">Shifting baselines and biodiversity success stories</t>
  </si>
  <si>
    <t xml:space="preserve">Ecosistemas terrestres y marinos protegidos</t>
  </si>
  <si>
    <t xml:space="preserve">Aborda el desafío de las líneas de base cambiantes en la evaluación de aditividad e impacto de conservación de la biodiversidad.</t>
  </si>
  <si>
    <t xml:space="preserve">Milner-Gulland et al.</t>
  </si>
  <si>
    <t xml:space="preserve">Four steps for the Earth: Mainstreaming the post-2020 global biodiversity framework</t>
  </si>
  <si>
    <t xml:space="preserve">Reguladores/legisladores, Demanda (Empresas), Oferta, Comunidad científica</t>
  </si>
  <si>
    <t xml:space="preserve">Marco conceptual de 4 pasos (Evitar, Reducir, Restaurar, Compensar) para guiar compromisos hacia una naturaleza positiva (*nature-positive*).</t>
  </si>
  <si>
    <t xml:space="preserve">Four Steps for the Earth: Mainstreaming the Post-2020 Global Biodiversity Framework</t>
  </si>
  <si>
    <t xml:space="preserve">Metas mundiales de biodiversidad</t>
  </si>
  <si>
    <t xml:space="preserve">Propone un marco de 4 pasos (Evitar, Reducir, Restaurar, Regenerar) para integrar metas de biodiversidad en empresas.</t>
  </si>
  <si>
    <t xml:space="preserve">Milner-Gulland, E. J. et al.</t>
  </si>
  <si>
    <t xml:space="preserve">Four steps for the Earth: mainstreaming the post-2020 global biodiversity framework</t>
  </si>
  <si>
    <t xml:space="preserve">Biosfera y ecosistemas planetarios</t>
  </si>
  <si>
    <t xml:space="preserve">Propone en One Earth el marco de 4 pasos (Jerarquía de Conservación) para operacionalizar el Marco Mundial de Biodiversidad.</t>
  </si>
  <si>
    <t xml:space="preserve">NGFS &amp; INSPIRE</t>
  </si>
  <si>
    <t xml:space="preserve">Biodiversity and Financial Stability: Exploring the Case for Action</t>
  </si>
  <si>
    <t xml:space="preserve">Demanda (Bancos centrales, Sector financiero), Reguladores/legisladores</t>
  </si>
  <si>
    <t xml:space="preserve">Sistemas financieros y servicios ecosistémicos globales</t>
  </si>
  <si>
    <t xml:space="preserve">Informe hito de bancos centrales que establece que la pérdida de biodiversidad es una amenaza directa para la estabilidad financiera.</t>
  </si>
  <si>
    <t xml:space="preserve">NSW Department of Planning and Environment</t>
  </si>
  <si>
    <t xml:space="preserve">What are Biodiversity Credits? Biodiversity Offsets Scheme</t>
  </si>
  <si>
    <t xml:space="preserve">Reguladores/legisladores, Oferta (Propietarios de tierras), Demanda (Desarrolladores)</t>
  </si>
  <si>
    <t xml:space="preserve">Vegetación nativa y hábitats de especies amenazadas</t>
  </si>
  <si>
    <t xml:space="preserve">Define el sistema regulatorio obligatorio de unidades de crédito de biodiversidad para compensar impactos de desarrollo en Australia.</t>
  </si>
  <si>
    <t xml:space="preserve">State of Voluntary Biodiversity Credit Markets: A Global Review of Biodiversity Credit Schemes</t>
  </si>
  <si>
    <t xml:space="preserve">Demanda (Empresas, Sector financiero), Oferta (Desarrolladores, IPLC), Reguladores</t>
  </si>
  <si>
    <t xml:space="preserve">Global (Australia, Colombia, Reino Unido, Gabón, Niue, etc.)</t>
  </si>
  <si>
    <t xml:space="preserve">Bosques, humedales, arrecifes y áreas agrícolas</t>
  </si>
  <si>
    <t xml:space="preserve">Mapea exhaustivamente el estado global de los esquemas de biocréditos voluntarios privados, gubernamentales e independientes.</t>
  </si>
  <si>
    <t xml:space="preserve">Demanda, Oferta (Desarrolladores, IPLC), Reguladores</t>
  </si>
  <si>
    <t xml:space="preserve">Esquemas globales de biocréditos</t>
  </si>
  <si>
    <t xml:space="preserve">Revisión global del estado de los esquemas y mercados voluntarios de créditos de biodiversidad.</t>
  </si>
  <si>
    <t xml:space="preserve">State of Voluntary Biodiversity Credit Markets: A global review of biodiversity credit schemes</t>
  </si>
  <si>
    <t xml:space="preserve">Demanda (Empresas, Sector financiero), Oferta (Desarrolladores, IPLC)</t>
  </si>
  <si>
    <t xml:space="preserve">Global (20+ países)</t>
  </si>
  <si>
    <t xml:space="preserve">Revisión de 30+ esquemas y estándares de biocréditos</t>
  </si>
  <si>
    <t xml:space="preserve">Mapeo global detallado de los estándares y esquemas piloto de biocréditos en desarrollo a nivel mundial.</t>
  </si>
  <si>
    <t xml:space="preserve">Porras &amp; Steele (IIED)</t>
  </si>
  <si>
    <t xml:space="preserve">Making the Market Work for Nature: How Biocredits can Protect Biodiversity and Reduce Poverty</t>
  </si>
  <si>
    <t xml:space="preserve">Global / Países en desarrollo (Colombia, Costa Rica, Uganda)</t>
  </si>
  <si>
    <t xml:space="preserve">Bosques comunitarios y áreas rurales de alta biodiversidad</t>
  </si>
  <si>
    <t xml:space="preserve">Conceptualiza los 'biocréditos' pro-pobre como canal financiero inclusivo para retribuir la gestión ambiental comunitaria.</t>
  </si>
  <si>
    <t xml:space="preserve">Porras, I. &amp; Steele, P. (IIED)</t>
  </si>
  <si>
    <t xml:space="preserve">Making the market work for nature: How biocredits can protect biodiversity and reduce poverty</t>
  </si>
  <si>
    <t xml:space="preserve">Cualitativo / Formulación de política</t>
  </si>
  <si>
    <t xml:space="preserve">Oferta (Comunidades locales, IPLC, agricultores), Reguladores/legisladores, Demanda</t>
  </si>
  <si>
    <t xml:space="preserve">Bosques comunitarios y áreas protegidas rurales</t>
  </si>
  <si>
    <t xml:space="preserve">Propone el concepto de biocrédito como herramienta doble para financiar la conservación e incrementar los ingresos comunitarios.</t>
  </si>
  <si>
    <t xml:space="preserve">Radjabov (UNDP)</t>
  </si>
  <si>
    <t xml:space="preserve">Biodiversity Credit - An Effective Trade-off Mechanism</t>
  </si>
  <si>
    <t xml:space="preserve">Reguladores/legisladores, Oferta (Comunidades locales), Demanda</t>
  </si>
  <si>
    <t xml:space="preserve">Uzbekistán / Asia Central</t>
  </si>
  <si>
    <t xml:space="preserve">Zonas áridas, estepas y bosques secos</t>
  </si>
  <si>
    <t xml:space="preserve">Evalúa la factibilidad de introducir biocréditos como mecanismo financiero en paisajes vulnerables de Asia Central.</t>
  </si>
  <si>
    <t xml:space="preserve">Sarmiento &amp; Morgan (Terrasos)</t>
  </si>
  <si>
    <t xml:space="preserve">Biodiversity Credits: An Opportunity to Create a New Financing Framework</t>
  </si>
  <si>
    <t xml:space="preserve">Demanda (Empresas, Inversores), Oferta (Propietarios, Comunidades), Reguladores</t>
  </si>
  <si>
    <t xml:space="preserve">Colombia / América Latina</t>
  </si>
  <si>
    <t xml:space="preserve">Bosques de niebla y bancos de hábitat neotropicales</t>
  </si>
  <si>
    <t xml:space="preserve">Argumenta por qué los créditos de biodiversidad deben estructurarse como unidades positivas independientes no destinadas a la compensación.</t>
  </si>
  <si>
    <t xml:space="preserve">Tedersoo et al.</t>
  </si>
  <si>
    <t xml:space="preserve">Towards a co-crediting system for carbon and biodiversity</t>
  </si>
  <si>
    <t xml:space="preserve">Comunidad científica, Demanda (Compradores), Oferta (Silvicultores)</t>
  </si>
  <si>
    <t xml:space="preserve">Bosques boreales y templados</t>
  </si>
  <si>
    <t xml:space="preserve">Propone un sistema de acreditación conjunta (*co-crediting*) para cuantificar simultáneamente secuestro de carbono y conservación de biodiversidad.</t>
  </si>
  <si>
    <t xml:space="preserve">The Nature Conservancy (TNC)</t>
  </si>
  <si>
    <r>
      <rPr>
        <sz val="10"/>
        <rFont val="Arial"/>
        <family val="0"/>
        <charset val="1"/>
      </rPr>
      <t xml:space="preserve">Principles, Characteristics and Applications of High-quality Carbon Credits (</t>
    </r>
    <r>
      <rPr>
        <sz val="10"/>
        <rFont val="Noto Sans CJK SC"/>
        <family val="2"/>
      </rPr>
      <t xml:space="preserve">高质量碳信用的原则、特征和应用</t>
    </r>
    <r>
      <rPr>
        <sz val="10"/>
        <rFont val="Arial"/>
        <family val="0"/>
        <charset val="1"/>
      </rPr>
      <t xml:space="preserve">)</t>
    </r>
  </si>
  <si>
    <t xml:space="preserve">Bosques y proyectos de carbono forestal</t>
  </si>
  <si>
    <t xml:space="preserve">Establece criterios de alta calidad para créditos de carbono, enfocándose en aditividad, permanencia y evitar fugas.</t>
  </si>
  <si>
    <t xml:space="preserve">The Wallacea Trust</t>
  </si>
  <si>
    <t xml:space="preserve">Methodology for Quantifying Units of Biodiversity Gain (V3)</t>
  </si>
  <si>
    <t xml:space="preserve">Comunidad científica, Certificadores, Demanda, Oferta</t>
  </si>
  <si>
    <t xml:space="preserve">Global (Reino Unido, Honduras, Rumanía, Fiyi, etc.)</t>
  </si>
  <si>
    <t xml:space="preserve">Bosques de niebla, pastizales, manglares y arrecifes</t>
  </si>
  <si>
    <t xml:space="preserve">Desarrolla una metodología cuantitativa de código abierto basada en una canasta de 5 métricas ecológicas para medir la ganancia neta de biodiversidad por hectárea.</t>
  </si>
  <si>
    <t xml:space="preserve">UNDP (United Nations Development Programme)</t>
  </si>
  <si>
    <t xml:space="preserve">High-integrity Voluntary Carbon Markets (VCM): Emerging Issues in Forest Countries</t>
  </si>
  <si>
    <t xml:space="preserve">Reguladores/legisladores, Oferta (Comunidades forestales, IPLC), Demanda</t>
  </si>
  <si>
    <t xml:space="preserve">Global / Países forestales tropicales</t>
  </si>
  <si>
    <t xml:space="preserve">Bosques tropicales y cuencas boscosas</t>
  </si>
  <si>
    <t xml:space="preserve">Aborda los desafíos de integridad, tenencia comunitaria y distribución justa de beneficios en mercados de carbono forestal.</t>
  </si>
  <si>
    <t xml:space="preserve">UNEP FI (UN Environment Programme Finance Initiative)</t>
  </si>
  <si>
    <t xml:space="preserve">150 Financial Institutions, Managing More than $24 Trillion, Call on World Leaders to Adopt Ambitious Global Biodiversity Framework at COP15</t>
  </si>
  <si>
    <t xml:space="preserve">Demanda (Sector financiero, Inversores, Bancos), Reguladores/legisladores</t>
  </si>
  <si>
    <t xml:space="preserve">Carteras de inversión global y ecosistemas mundiales</t>
  </si>
  <si>
    <t xml:space="preserve">Declaración hito del sector financiero internacional exigiendo políticas obligatorias para evaluar y reducir impactos sobre la biodiversidad.</t>
  </si>
  <si>
    <t xml:space="preserve">US Fish and Wildlife Service (USFWS)</t>
  </si>
  <si>
    <t xml:space="preserve">Guidance for the Establishment, Use, and Operation of Conservation Banks</t>
  </si>
  <si>
    <t xml:space="preserve">Reguladores/legisladores, Oferta (Propietarios de bancos), Demanda (Desarrolladores)</t>
  </si>
  <si>
    <t xml:space="preserve">Hábitats de especies amenazadas y en peligro de extinción</t>
  </si>
  <si>
    <t xml:space="preserve">Guía normativa pionera para el establecimiento y operación de Bancos de Conservación para compensación de hábitats.</t>
  </si>
  <si>
    <t xml:space="preserve">USFWS</t>
  </si>
  <si>
    <t xml:space="preserve">Guidance for the establishment, use, and operation of conservation banks</t>
  </si>
  <si>
    <t xml:space="preserve">Reguladores/legisladores (USFWS), Oferta (Banqueros), Demanda</t>
  </si>
  <si>
    <t xml:space="preserve">Hábitats de especies listadas bajo la ley ESA</t>
  </si>
  <si>
    <t xml:space="preserve">Directriz oficial del Servicio de Pesca y Vida Silvestre de EE. UU. que formalizó la creación y operación de bancos de conservación.</t>
  </si>
  <si>
    <t xml:space="preserve">Nature Credits: Financing Nature Conservation and Restoration</t>
  </si>
  <si>
    <t xml:space="preserve">Demanda (Empresas corporativas), Oferta (IPLC, Desarrolladores), Certificadores</t>
  </si>
  <si>
    <t xml:space="preserve">Presenta el concepto de 'créditos de naturaleza' como vehículo de inversión para el objetivo de naturaleza positiva sin fines de compensación.</t>
  </si>
  <si>
    <t xml:space="preserve">SD VISta Nature Framework v0.1 for Public Consultation</t>
  </si>
  <si>
    <t xml:space="preserve">Certificadores, Demanda, Oferta (Desarrolladores, IPLC), Científicos</t>
  </si>
  <si>
    <t xml:space="preserve">Terrestre y acuático (calculado por Hectáreas de Calidad - Qha)</t>
  </si>
  <si>
    <t xml:space="preserve">Marco metodológico formal en 13 pasos para cuantificar créditos de naturaleza medidos en 'hectáreas de calidad' (Quality Hectares - Qha).</t>
  </si>
  <si>
    <t xml:space="preserve">Alvarado-Quesada et al.</t>
  </si>
  <si>
    <t xml:space="preserve">Market-Based Mechanisms for Biodiversity Conservation: A Review of Existing Schemes and an Outline for a Global Mechanism</t>
  </si>
  <si>
    <t xml:space="preserve">Reguladores/legisladores, Demanda (Empresas, Sector financiero), Oferta</t>
  </si>
  <si>
    <t xml:space="preserve">Revisa los mecanismos de mercado globales para la conservación de la biodiversidad y propone un diseño institucional marco.</t>
  </si>
  <si>
    <t xml:space="preserve">Anderegg et al.</t>
  </si>
  <si>
    <t xml:space="preserve">Current Forest Carbon Offset Buffer Pools Do Not Adequately Insure Against Disturbance-Driven Carbon Losses</t>
  </si>
  <si>
    <t xml:space="preserve">Reguladores/legisladores, Demanda, Oferta (Silvicultores), Científicos</t>
  </si>
  <si>
    <t xml:space="preserve">Bosques y reservas de carbono</t>
  </si>
  <si>
    <t xml:space="preserve">Demuestra empíricamente que los fondos de reserva (buffers) de créditos de carbono no cubren adecuadamente los riesgos de perturbación.</t>
  </si>
  <si>
    <t xml:space="preserve">Atmadja &amp; Verchot</t>
  </si>
  <si>
    <t xml:space="preserve">A Review of the State of Research, Policies and Strategies in Addressing Leakage From Reducing Emissions From Deforestation and Forest Degradation (REDD+)</t>
  </si>
  <si>
    <t xml:space="preserve">Reguladores/legisladores, Comunidad científica, Oferta (Comunidades locales)</t>
  </si>
  <si>
    <t xml:space="preserve">Bosques tropicales y deforestación</t>
  </si>
  <si>
    <t xml:space="preserve">Revisa los métodos de medición y mitigación de fugas (leakage) en proyectos forestales REDD+.</t>
  </si>
  <si>
    <t xml:space="preserve">Systematic Over-Crediting in California's Forest Carbon Offsets Program</t>
  </si>
  <si>
    <t xml:space="preserve">Cuantifica la sobreemisión sistemática de créditos en el programa de offset forestal de California por fallas de diseño de línea de base.</t>
  </si>
  <si>
    <t xml:space="preserve">Realising the Social Value of Impermanent Carbon Credits</t>
  </si>
  <si>
    <t xml:space="preserve">Bosques y absorción de carbono</t>
  </si>
  <si>
    <t xml:space="preserve">Propone modelos contables para internalizar el valor social de los créditos de carbono de duración temporal.</t>
  </si>
  <si>
    <t xml:space="preserve">Barros et al.</t>
  </si>
  <si>
    <t xml:space="preserve">No Evidence of Local Deforestation Leakage From Protected Areas Establishment in Brazil's Amazon and Atlantic Forest</t>
  </si>
  <si>
    <t xml:space="preserve">Brasil (Amazonía y Mata Atlántica)</t>
  </si>
  <si>
    <t xml:space="preserve">Bosques tropicales húmedos</t>
  </si>
  <si>
    <t xml:space="preserve">Demuestra cuantitativamente la ausencia de fugas locales significativas tras la creación de 525 Áreas Protegidas en Brasil.</t>
  </si>
  <si>
    <t xml:space="preserve">Bidaud et al.</t>
  </si>
  <si>
    <t xml:space="preserve">The Sweet and the Bitter: Intertwined Positive and Negative Social Impacts of a Biodiversity Offset</t>
  </si>
  <si>
    <t xml:space="preserve">Oferta (Comunidades locales, Pequeños agricultores), Demanda (Minería)</t>
  </si>
  <si>
    <t xml:space="preserve">Evalúa los impactos sociales positivos y negativos de un proyecto de compensación minera de biodiversidad en comunidades locales.</t>
  </si>
  <si>
    <t xml:space="preserve">BloombergNEF</t>
  </si>
  <si>
    <t xml:space="preserve">Biodiversity Finance Factbook: 1H-2023</t>
  </si>
  <si>
    <t xml:space="preserve">Mercados de capitales e inversión ambiental</t>
  </si>
  <si>
    <t xml:space="preserve">Proporciona datos estadísticos sobre los flujos de financiación global para la biodiversidad e instrumentos financieros verdes.</t>
  </si>
  <si>
    <t xml:space="preserve">Börner et al.</t>
  </si>
  <si>
    <t xml:space="preserve">The Effectiveness of Forest Conservation Policies and Programs</t>
  </si>
  <si>
    <t xml:space="preserve">Bosques y políticas de conservación</t>
  </si>
  <si>
    <t xml:space="preserve">Revisión sistemática de la efectividad ambiental y socioeconómica de políticas e incentivos forestales.</t>
  </si>
  <si>
    <t xml:space="preserve">Boyd et al.</t>
  </si>
  <si>
    <t xml:space="preserve">Jurisdictional Approaches to REDD+ and Low Emissions Development: Progress and Prospects</t>
  </si>
  <si>
    <t xml:space="preserve">Reguladores/legisladores, Oferta (Comunidades, Silvicultores), Demanda</t>
  </si>
  <si>
    <t xml:space="preserve">Global / Países tropicales</t>
  </si>
  <si>
    <t xml:space="preserve">Paisajes forestales jurisdiccionales</t>
  </si>
  <si>
    <t xml:space="preserve">Analiza los avances de los enfoques jurisdiccionales REDD+ para superar las limitaciones de escala de los proyectos individuales.</t>
  </si>
  <si>
    <t xml:space="preserve">Biodiversity Offsets in Theory and Practice</t>
  </si>
  <si>
    <t xml:space="preserve">Ecosistemas intervenidos y de restauración</t>
  </si>
  <si>
    <t xml:space="preserve">Establece las bases teóricas y analíticas de los offsets de biodiversidad, la equivalencia ecológica y la jerarquía de mitigación.</t>
  </si>
  <si>
    <t xml:space="preserve">Bull, Suttle, Gordon, Singh &amp; Milner-Gulland</t>
  </si>
  <si>
    <t xml:space="preserve">Biodiversity offsets in theory and practice</t>
  </si>
  <si>
    <t xml:space="preserve">Ecosistemas terrestres y acuáticos en marcos de compensación</t>
  </si>
  <si>
    <t xml:space="preserve">Revisión conceptual sobre la teoría y práctica de las compensaciones de biodiversidad y los desafíos de lograr No Net Loss.</t>
  </si>
  <si>
    <t xml:space="preserve">Ecosistemas amenazados por desarrollo</t>
  </si>
  <si>
    <t xml:space="preserve">Revisión crítica de la teoría y práctica de las compensaciones de biodiversidad en el mundo.</t>
  </si>
  <si>
    <t xml:space="preserve">Ecosistemas amenazados por desarrollo de infraestructura</t>
  </si>
  <si>
    <t xml:space="preserve">Revisión conceptual sobre la aplicación de compensaciones bajo la jerarquía de mitigación para lograr No Net Loss.</t>
  </si>
  <si>
    <t xml:space="preserve">Analysis: The Biodiversity Footprint of the University of Oxford</t>
  </si>
  <si>
    <t xml:space="preserve">Demanda (Instituciones, Empresas), Comunidad científica</t>
  </si>
  <si>
    <t xml:space="preserve">Huella de biodiversidad en cadenas de suministro</t>
  </si>
  <si>
    <t xml:space="preserve">Desarrolla una metodología cuantitativa para calcular la huella institucional de biodiversidad en cadenas de valor.</t>
  </si>
  <si>
    <t xml:space="preserve">Do Carbon Offsets Offset Carbon?</t>
  </si>
  <si>
    <t xml:space="preserve">Demanda (Empresas), Reguladores/legisladores, Científicos</t>
  </si>
  <si>
    <t xml:space="preserve">Proyectos de créditos de carbono</t>
  </si>
  <si>
    <t xml:space="preserve">Evaluación econométrica que evidencia que una parte sustancial de los créditos de carbono voluntarios carece de aditividad real.</t>
  </si>
  <si>
    <t xml:space="preserve">Calyx</t>
  </si>
  <si>
    <t xml:space="preserve">Turning REDD Into Green: Improving the GHG Efficiency of Avoided Deforestation Credits</t>
  </si>
  <si>
    <t xml:space="preserve">Demanda (Inversores, Empresas), Certificadores, Reguladores</t>
  </si>
  <si>
    <t xml:space="preserve">Global (Trópicos)</t>
  </si>
  <si>
    <t xml:space="preserve">Bosques tropicales y proyectos REDD+</t>
  </si>
  <si>
    <t xml:space="preserve">Critica las metodologías de deforestación evitada e insta a endurecer la integridad de los créditos.</t>
  </si>
  <si>
    <t xml:space="preserve">Developed Biodiversity Market Schemes Have Seen $8 Mln Pledged for Credits</t>
  </si>
  <si>
    <t xml:space="preserve">Demanda (Inversores), Oferta (Desarrolladores), Reguladores</t>
  </si>
  <si>
    <t xml:space="preserve">Reporta sobre los compromisos financieros iniciales y la tracción de mercado de esquemas de biocréditos.</t>
  </si>
  <si>
    <t xml:space="preserve">New Zealand Outfit Adds More Biodiversity Credit Types</t>
  </si>
  <si>
    <t xml:space="preserve">Oferta (Propietarios), Demanda, Reguladores</t>
  </si>
  <si>
    <t xml:space="preserve">Bosques nativos y tierras agrícolas</t>
  </si>
  <si>
    <t xml:space="preserve">Analiza la diversificación de tipologías de créditos de biodiversidad en el mercado neozelandés.</t>
  </si>
  <si>
    <t xml:space="preserve">Forecasters See Rapidly Growing Biodiversity Market as Nature Crisis Forces Response</t>
  </si>
  <si>
    <t xml:space="preserve">Mercados emergentes de biodiversidad</t>
  </si>
  <si>
    <t xml:space="preserve">Presenta proyecciones de crecimiento acelerado de la demanda de créditos de naturaleza impulsadas por compromisos corporativos.</t>
  </si>
  <si>
    <t xml:space="preserve">Carbone4</t>
  </si>
  <si>
    <t xml:space="preserve">Towards Biodiversity Certificates: Proposal for a Methodological Framework</t>
  </si>
  <si>
    <t xml:space="preserve">Demanda (Empresas), Certificadores, Comunidad científica</t>
  </si>
  <si>
    <t xml:space="preserve">Francia / Global</t>
  </si>
  <si>
    <t xml:space="preserve">Índice de integridad-disturbio ecosistémico</t>
  </si>
  <si>
    <t xml:space="preserve">Propone un marco metodológico para certificados de biodiversidad basados en un índice de integridad de 0 a 1.</t>
  </si>
  <si>
    <t xml:space="preserve">Carbone4, NatureFinance &amp; GEF</t>
  </si>
  <si>
    <t xml:space="preserve">Harnessing Biodiversity Credits for People and Planet</t>
  </si>
  <si>
    <t xml:space="preserve">Reguladores, Demanda (Empresas), Oferta (IPLC, Comunidades)</t>
  </si>
  <si>
    <t xml:space="preserve">Documento estratégico sobre cómo estructurar créditos de biodiversidad respetando la equidad comunitaria y la aditividad.</t>
  </si>
  <si>
    <t xml:space="preserve">Carbone4 &amp; NatureFinance</t>
  </si>
  <si>
    <t xml:space="preserve">Harnessing biodiversity credits for people and planet</t>
  </si>
  <si>
    <t xml:space="preserve">Reguladores/legisladores, Demanda, Oferta (IPLC, Comunidades)</t>
  </si>
  <si>
    <t xml:space="preserve">Mercados emergentes de créditos de biodiversidad</t>
  </si>
  <si>
    <t xml:space="preserve">Propone principios estratégicos para que los créditos de biodiversidad beneficien a los custodios de la naturaleza y respeten el clima.</t>
  </si>
  <si>
    <t xml:space="preserve">Carbone4 and NatureFinance</t>
  </si>
  <si>
    <t xml:space="preserve">Demanda (Empresas, Financieros), Oferta (Comunidades locales, IPLC), Reguladores</t>
  </si>
  <si>
    <t xml:space="preserve">Bosques tropicales y ecosistemas comunitarios</t>
  </si>
  <si>
    <t xml:space="preserve">Examina el potencial de los créditos de biodiversidad para canalizar financiamiento climático y promover la equidad social.</t>
  </si>
  <si>
    <t xml:space="preserve">Carroll, Fox &amp; Bayon</t>
  </si>
  <si>
    <t xml:space="preserve">Conservation and Biodiversity Banking: A Guide to Setting up and Running Biodiversity Credit Trading Systems</t>
  </si>
  <si>
    <t xml:space="preserve">Reguladores, Oferta (Propietarios de bancos), Demanda</t>
  </si>
  <si>
    <t xml:space="preserve">Global / EE. UU. / Australia</t>
  </si>
  <si>
    <t xml:space="preserve">Humedales y hábitats protegidos</t>
  </si>
  <si>
    <t xml:space="preserve">Guía técnica sobre la constitución, gobernanza y salvaguardas permanentes para sistemas de bancos de conservación.</t>
  </si>
  <si>
    <t xml:space="preserve">Kunming-Montreal Global Biodiversity Framework (COP15)</t>
  </si>
  <si>
    <t xml:space="preserve">Reguladores/legisladores, Demanda, Oferta (IPLC), Público general</t>
  </si>
  <si>
    <t xml:space="preserve">Metas mundiales de biodiversidad a 2030</t>
  </si>
  <si>
    <t xml:space="preserve">Acuerdo hito internacional que fija las metas de movilización de \$200.000M/año incentivando créditos de biodiversidad y PES.</t>
  </si>
  <si>
    <t xml:space="preserve">CPIC</t>
  </si>
  <si>
    <t xml:space="preserve">CPIC Conservation Finance Report</t>
  </si>
  <si>
    <t xml:space="preserve">Demanda (Sector financiero, Inversores), Oferta, Reguladores</t>
  </si>
  <si>
    <t xml:space="preserve">Proyectos de inversión en conservación</t>
  </si>
  <si>
    <t xml:space="preserve">Cuantifica las barreras de inversión privada en finanzas de conservación e identifica la escasez de proyectos rentables.</t>
  </si>
  <si>
    <t xml:space="preserve">Cubbage &amp; Sills</t>
  </si>
  <si>
    <t xml:space="preserve">Forest Certification and Forest Use: A Comprehensive Analysis</t>
  </si>
  <si>
    <t xml:space="preserve">Oferta (Silvicultores), Demanda (Empresas), Reguladores</t>
  </si>
  <si>
    <t xml:space="preserve">Bosques bajo gestión FSC/PEFC</t>
  </si>
  <si>
    <t xml:space="preserve">Análisis sobre la certificación forestal sostenible, mostrando que las primas de precio suelen ser pequeñas pero mejoran la gestión.</t>
  </si>
  <si>
    <t xml:space="preserve">Damiens, Porter &amp; Gordon</t>
  </si>
  <si>
    <t xml:space="preserve">The Politics of Biodiversity Offsetting Across Time and Institutional Scales</t>
  </si>
  <si>
    <t xml:space="preserve">Reguladores/legisladores, Demanda (Desarrolladores), Público general</t>
  </si>
  <si>
    <t xml:space="preserve">Políticas públicas de desarrollo y territorio</t>
  </si>
  <si>
    <t xml:space="preserve">Estudio político-institucional que muestra cómo los offsets pueden dar una ilusión de acción efectiva justificando la expansión industrial.</t>
  </si>
  <si>
    <t xml:space="preserve">The politics of biodiversity offsetting across time and institutional scales</t>
  </si>
  <si>
    <t xml:space="preserve">Global / Australia / Francia</t>
  </si>
  <si>
    <t xml:space="preserve">Gobernanza e instituciones de compensación ambiental</t>
  </si>
  <si>
    <t xml:space="preserve">Analiza las dimensiones políticas y de escala institucional en la implementación de compensaciones.</t>
  </si>
  <si>
    <t xml:space="preserve">Delacote et al.</t>
  </si>
  <si>
    <t xml:space="preserve">Strong Transparency Required for Carbon Credit Mechanisms</t>
  </si>
  <si>
    <t xml:space="preserve">Reguladores/legisladores, Demanda, Certificadores, Científicos</t>
  </si>
  <si>
    <t xml:space="preserve">Mercados de créditos de carbono y biodiversidad</t>
  </si>
  <si>
    <t xml:space="preserve">Enfatiza que la transparencia de datos abierta es imprescindible para detectar sobreemisión y corregir fallas de mercado.</t>
  </si>
  <si>
    <t xml:space="preserve">Dempsey et al.</t>
  </si>
  <si>
    <t xml:space="preserve">Biodiversity Targets Will Not Be Met Without Debt and Tax Justice</t>
  </si>
  <si>
    <t xml:space="preserve">Reguladores/legisladores, Público general, Sur Global</t>
  </si>
  <si>
    <t xml:space="preserve">Estructuras financieras macroeconómicas</t>
  </si>
  <si>
    <t xml:space="preserve">Sostiene que las metas de biodiversidad requieren reformas estructurales de deuda y justicia fiscal global, más allá de mercados privados.</t>
  </si>
  <si>
    <t xml:space="preserve">Díaz &amp; Malhi</t>
  </si>
  <si>
    <t xml:space="preserve">Biodiversity: Concepts, Patterns, Trends, and Perspectives</t>
  </si>
  <si>
    <t xml:space="preserve">Diversidad biológica a escala genética, de especie y ecosistémica</t>
  </si>
  <si>
    <t xml:space="preserve">Revisión sobre la complejidad de medir la biodiversidad en múltiples dimensiones e implicaciones para su cuantificación.</t>
  </si>
  <si>
    <t xml:space="preserve">Díaz et al.</t>
  </si>
  <si>
    <t xml:space="preserve">Pervasive Human-Driven Decline of Life on Earth Points to the Need for Transformative Change</t>
  </si>
  <si>
    <t xml:space="preserve">Ecosistemas planetarios globales (IPBES)</t>
  </si>
  <si>
    <t xml:space="preserve">Informe de la IPBES que demuestra el declive global sin precedentes de la naturaleza impulsado por factores socioeconómicos.</t>
  </si>
  <si>
    <t xml:space="preserve">Díaz et al. (IPBES)</t>
  </si>
  <si>
    <t xml:space="preserve">Comunidad científica, Reguladores, Público general</t>
  </si>
  <si>
    <t xml:space="preserve">Ecosistemas globales y especies</t>
  </si>
  <si>
    <t xml:space="preserve">Resumen científico del informe de evaluación global IPBES sobre la tasa acelerada de extinción de especies y declive de ecosistemas.</t>
  </si>
  <si>
    <t xml:space="preserve">Díaz, S., Settele, J., Brondízio, E.S., et al.</t>
  </si>
  <si>
    <t xml:space="preserve">Pervasive human-driven decline of life on Earth points to the need for transformative change</t>
  </si>
  <si>
    <t xml:space="preserve">Resumen ejecutivo del Informe de Evaluación Global de la IPBES sobre el declive de la vida en la Tierra por acción humana.</t>
  </si>
  <si>
    <t xml:space="preserve">Eliwa, Aboud &amp; Saleh</t>
  </si>
  <si>
    <t xml:space="preserve">ESG Practices and the Cost of Debt: Evidence From EU Countries</t>
  </si>
  <si>
    <t xml:space="preserve">Demanda (Empresas, Sector financiero/Bancos)</t>
  </si>
  <si>
    <t xml:space="preserve">Mercados corporativos y crediticios</t>
  </si>
  <si>
    <t xml:space="preserve">Muestra estadísticamente que las empresas con mejores prácticas ESG se benefician de menores costos de endeudamiento.</t>
  </si>
  <si>
    <t xml:space="preserve">Evans</t>
  </si>
  <si>
    <t xml:space="preserve">Backloading to Extinction: Coping With Values Conflict in the Administration of Australia's Federal Biodiversity Offset Policy</t>
  </si>
  <si>
    <t xml:space="preserve">Documenta las fallas de gobernanza en la aplicación de la política federal australiana de compensaciones de biodiversidad.</t>
  </si>
  <si>
    <t xml:space="preserve">Farber</t>
  </si>
  <si>
    <t xml:space="preserve">Taking Slippage Seriously: Noncompliance and Creative Compliance in Environmental Law</t>
  </si>
  <si>
    <t xml:space="preserve">Reguladores/legisladores, Demanda (Empresas reguladas)</t>
  </si>
  <si>
    <t xml:space="preserve">Derecho e instituciones ambientales</t>
  </si>
  <si>
    <t xml:space="preserve">Analiza el fenómeno de 'slippage' (flexibilización/degradación progresiva) cuando las políticas normativas se vuelven demasiado flexibles.</t>
  </si>
  <si>
    <t xml:space="preserve">Filewod &amp; McCarney</t>
  </si>
  <si>
    <t xml:space="preserve">Avoiding Carbon Leakage From Nature-Based Offsets by Design</t>
  </si>
  <si>
    <t xml:space="preserve">Reguladores, Demanda, Oferta (Silvicultores)</t>
  </si>
  <si>
    <t xml:space="preserve">Bosques y proyectos de restauración/preservación</t>
  </si>
  <si>
    <t xml:space="preserve">Propone mecanismos de diseño para evitar fugas de carbono en proyectos de compensación basados en la naturaleza.</t>
  </si>
  <si>
    <t xml:space="preserve">Avoiding carbon leakage from nature-based offsets by design</t>
  </si>
  <si>
    <t xml:space="preserve">Fuga de carbono directa y de mercado en proyectos de offset</t>
  </si>
  <si>
    <t xml:space="preserve">Analiza los mecanismos de fuga directa y de mercado (teleconexiones) en offsets basados en la naturaleza.</t>
  </si>
  <si>
    <t xml:space="preserve">Gan &amp; McCarl</t>
  </si>
  <si>
    <t xml:space="preserve">Measuring Transnational Leakage of Forest Conservation</t>
  </si>
  <si>
    <t xml:space="preserve">Global (Multipaís)</t>
  </si>
  <si>
    <t xml:space="preserve">Mercados madereros y bosques</t>
  </si>
  <si>
    <t xml:space="preserve">Modela cuantitativamente la fuga transnacional (42%-95%) provocada por programas de conservación forestal restringidos.</t>
  </si>
  <si>
    <t xml:space="preserve">GEF</t>
  </si>
  <si>
    <t xml:space="preserve">Innovative Finance for Nature and People</t>
  </si>
  <si>
    <t xml:space="preserve">Reguladores, Demanda (Inversores de impacto), Oferta (IPLC)</t>
  </si>
  <si>
    <t xml:space="preserve">Ecosistemas prioritarios para conservación</t>
  </si>
  <si>
    <t xml:space="preserve">Informe del GEF que evalúa el potencial de los créditos de biodiversidad y finanzas innovadoras para el desarrollo sostenible.</t>
  </si>
  <si>
    <t xml:space="preserve">Gradeckas</t>
  </si>
  <si>
    <t xml:space="preserve">Deep Dive: Biodiversity Credit Schemes</t>
  </si>
  <si>
    <t xml:space="preserve">Oferta (Desarrolladores), Demanda, Certificadores</t>
  </si>
  <si>
    <t xml:space="preserve">Mapea y clasifica las metodologías de medición y los esquemas de créditos de biodiversidad en el mundo.</t>
  </si>
  <si>
    <t xml:space="preserve">Gradeckas &amp; Berger</t>
  </si>
  <si>
    <t xml:space="preserve">Biodiversity Credit Metrics: What, Why and How</t>
  </si>
  <si>
    <t xml:space="preserve">Certificadores, Comunidad científica, Demanda</t>
  </si>
  <si>
    <t xml:space="preserve">Análisis comparativo de las métricas utilizadas por desarrolladores de biocréditos (riqueza de especies, intactez, hábitat).</t>
  </si>
  <si>
    <t xml:space="preserve">Greenfield</t>
  </si>
  <si>
    <t xml:space="preserve">Biggest Carbon Credit Certifier to Replace Its Rainforest Offsets Scheme</t>
  </si>
  <si>
    <t xml:space="preserve">Certificadores (Verra), Demanda (Empresas), Público general</t>
  </si>
  <si>
    <t xml:space="preserve">Global (Selvas tropicales)</t>
  </si>
  <si>
    <t xml:space="preserve">Reporte sobre las reformas del estándar Verra tras revelaciones periodísticas sobre sobreemisión en créditos REDD+.</t>
  </si>
  <si>
    <t xml:space="preserve">Griffiths et al.</t>
  </si>
  <si>
    <t xml:space="preserve">No Net Loss for People and Biodiversity</t>
  </si>
  <si>
    <t xml:space="preserve">Oferta (Comunidades locales), Reguladores, Demanda (Desarrolladores)</t>
  </si>
  <si>
    <t xml:space="preserve">Ecosistemas sujetos a desarrollo e infraestructura</t>
  </si>
  <si>
    <t xml:space="preserve">Propone principios para garantizar que las políticas de No Net Loss no perjudiquen el bienestar de las poblaciones locales.</t>
  </si>
  <si>
    <t xml:space="preserve">No net loss for people and biodiversity</t>
  </si>
  <si>
    <t xml:space="preserve">Público general (Comunidades afectadas / IPLC), Demanda, Reguladores</t>
  </si>
  <si>
    <t xml:space="preserve">Bosques y recursos naturales comunitarios</t>
  </si>
  <si>
    <t xml:space="preserve">Propone el principio 'No Worse Off' para asegurar que las comunidades locales no sufran pérdidas de bienestar por offsets.</t>
  </si>
  <si>
    <t xml:space="preserve">Quality Assessment of REDD+ Carbon Credit Projects</t>
  </si>
  <si>
    <t xml:space="preserve">Comunidad científica, Demanda (Empresas), Certificadores</t>
  </si>
  <si>
    <t xml:space="preserve">Bosques tropicales REDD+</t>
  </si>
  <si>
    <t xml:space="preserve">Evaluación cuantitativa del Berkeley Carbon Trading Project que muestra sobreestimación sistemática en proyectos REDD+.</t>
  </si>
  <si>
    <t xml:space="preserve">Inkinen et al.</t>
  </si>
  <si>
    <t xml:space="preserve">Using Markets for Environmental Offsetting: Evaluation of Wetland Area Gains and Losses Under the US Clean Water Act</t>
  </si>
  <si>
    <t xml:space="preserve">Reguladores/legisladores, Demanda, Oferta (Bancos de mitigación)</t>
  </si>
  <si>
    <t xml:space="preserve">Humedales regulados por la CWA</t>
  </si>
  <si>
    <t xml:space="preserve">Evaluación econométrica del mercado de mitigación de humedales en EE. UU., analizando ganancias y pérdidas de área.</t>
  </si>
  <si>
    <t xml:space="preserve">Jaureguiberry et al.</t>
  </si>
  <si>
    <t xml:space="preserve">The Direct Drivers of Recent Global Anthropogenic Biodiversity Loss</t>
  </si>
  <si>
    <t xml:space="preserve">Identifica y jerarquiza cuantitativamente los impulsores directos del cambio ambiental (uso del suelo, sobreexplotación, clima).</t>
  </si>
  <si>
    <t xml:space="preserve">Jones et al.</t>
  </si>
  <si>
    <t xml:space="preserve">Net Gain: Seeking Better Outcomes for Local People When Mitigating Biodiversity Loss From Development</t>
  </si>
  <si>
    <t xml:space="preserve">Hábitats intervenidos por grandes proyectos</t>
  </si>
  <si>
    <t xml:space="preserve">Defiende que el diseño de compensaciones debe buscar beneficios netos sociales además de ecológicos.</t>
  </si>
  <si>
    <t xml:space="preserve">Kedward et al.</t>
  </si>
  <si>
    <t xml:space="preserve">Heavy Reliance on Private Finance Alone Will Not Deliver Conservation Goals</t>
  </si>
  <si>
    <t xml:space="preserve">Políticas macrofinancieras de biodiversidad</t>
  </si>
  <si>
    <t xml:space="preserve">Advierte sobre los riesgos de depender exclusivamente de mercados de capital privado para alcanzar metas de conservación.</t>
  </si>
  <si>
    <t xml:space="preserve">Heavy reliance on private finance alone will not deliver conservation goals</t>
  </si>
  <si>
    <t xml:space="preserve">Comunidad científica, Reguladores/legisladores, Demanda (Financieros)</t>
  </si>
  <si>
    <t xml:space="preserve">Límites de las finanzas privadas para alcanzar las metas globales de conservación</t>
  </si>
  <si>
    <t xml:space="preserve">Demuestra en Nature Ecology &amp; Evolution que las finanzas privadas no pueden sustituir el financiamiento público.</t>
  </si>
  <si>
    <t xml:space="preserve">Kering</t>
  </si>
  <si>
    <t xml:space="preserve">Kering Biodiversity Strategy: Bending the Curve on Biodiversity Loss</t>
  </si>
  <si>
    <t xml:space="preserve">Demanda (Empresas corporativas), Oferta (Cadenas de suministro)</t>
  </si>
  <si>
    <t xml:space="preserve">Paisajes agrícolas y ganaderos en cadenas de valor</t>
  </si>
  <si>
    <t xml:space="preserve">Estrategia corporativa del grupo Kering para restaurar 1M de ha en su cadena de suministro y proteger otro millón.</t>
  </si>
  <si>
    <t xml:space="preserve">Social Equity and the Probability of Success of Biodiversity Conservation</t>
  </si>
  <si>
    <t xml:space="preserve">Comunidad científica, Oferta (Comunidades locales), Reguladores</t>
  </si>
  <si>
    <t xml:space="preserve">Áreas prioritarias de conservación</t>
  </si>
  <si>
    <t xml:space="preserve">Demuestra estadísticamente que la equidad social en la distribución de costos y beneficios incrementa la probabilidad de éxito.</t>
  </si>
  <si>
    <t xml:space="preserve">Koh, Hahn &amp; Boonstra</t>
  </si>
  <si>
    <t xml:space="preserve">How Much of a Market Is Involved in a Biodiversity Offset? A Typology of Biodiversity Offset Policies</t>
  </si>
  <si>
    <t xml:space="preserve">Políticas e instrumentos de offset</t>
  </si>
  <si>
    <t xml:space="preserve">Desarrolla una tipología de políticas de compensación de biodiversidad según su grado real de intermediación de mercado.</t>
  </si>
  <si>
    <t xml:space="preserve">Koh, N.S., Hahn, T., &amp; Boonstra, W.J.</t>
  </si>
  <si>
    <t xml:space="preserve">Ecosistemas protegidos</t>
  </si>
  <si>
    <t xml:space="preserve">Desarrolla una tipología de políticas de compensación de biodiversidad según el grado de intervención estatal frente a mecanismos de mercado.</t>
  </si>
  <si>
    <t xml:space="preserve">How much of a market is involved in a biodiversity offset? A typology of biodiversity offset policies</t>
  </si>
  <si>
    <t xml:space="preserve">Tipología de políticas de compensación de biodiversidad</t>
  </si>
  <si>
    <t xml:space="preserve">Desarrolla una tipología de compensaciones evaluando el grado de regulación vs. dinamismo de mercado.</t>
  </si>
  <si>
    <t xml:space="preserve">Krause, Droste &amp; Matzdorf</t>
  </si>
  <si>
    <t xml:space="preserve">What Makes Businesses Commit to Nature Conservation?</t>
  </si>
  <si>
    <t xml:space="preserve">Demanda (Empresas corporativas), Reguladores</t>
  </si>
  <si>
    <t xml:space="preserve">Alemania / Europa</t>
  </si>
  <si>
    <t xml:space="preserve">Entorno empresarial y responsabilidad ambiental</t>
  </si>
  <si>
    <t xml:space="preserve">Estudio cuantitativo sobre las motivaciones corporativas (reputación, valores, riesgo) para invertir en conservación.</t>
  </si>
  <si>
    <t xml:space="preserve">Krause et al.</t>
  </si>
  <si>
    <t xml:space="preserve">Demanda (Empresas), Oferta, Reguladores</t>
  </si>
  <si>
    <t xml:space="preserve">Compromisos corporativos con la naturaleza</t>
  </si>
  <si>
    <t xml:space="preserve">Identifica los factores organizacionales y motivaciones que impulsan a las empresas a asumir compromisos voluntarios de conservación.</t>
  </si>
  <si>
    <t xml:space="preserve">Landbrugsavisen</t>
  </si>
  <si>
    <t xml:space="preserve">Lego-Familien Vil Købe 10.000 Hektar Landbrugsjord—Bruger Milliarder På at Rejse Skov</t>
  </si>
  <si>
    <t xml:space="preserve">Demanda (Empresas / Fundación Lego), Oferta (Propietarios)</t>
  </si>
  <si>
    <t xml:space="preserve">Tierras agrícolas reforestadas</t>
  </si>
  <si>
    <t xml:space="preserve">Estudio de caso sobre la adquisición corporativa voluntaria de 10.000 ha de tierras agrícolas para reforestación cerca de su sede.</t>
  </si>
  <si>
    <t xml:space="preserve">Larrosa, Carrasco &amp; Milner-Gulland</t>
  </si>
  <si>
    <t xml:space="preserve">Unintended Feedbacks: Challenges and Opportunities for Improving Conservation Effectiveness</t>
  </si>
  <si>
    <t xml:space="preserve">Instrumentos económicos de conservación</t>
  </si>
  <si>
    <t xml:space="preserve">Analiza las retroalimentaciones no intencionadas y efectos perversos que pueden desencadenar incentivos económicos mal diseñados.</t>
  </si>
  <si>
    <t xml:space="preserve">Leung et al.</t>
  </si>
  <si>
    <t xml:space="preserve">Clustered Versus Catastrophic Global Vertebrate Declines</t>
  </si>
  <si>
    <t xml:space="preserve">Poblaciones de vertebrados globales</t>
  </si>
  <si>
    <t xml:space="preserve">Análisis estadístico sobre las tendencias de declive de vertebrados globales y heterogeneidad regional de impactos.</t>
  </si>
  <si>
    <t xml:space="preserve">Leung, B., Hargreaves, A.L., Greenberg, D.A., et al.</t>
  </si>
  <si>
    <t xml:space="preserve">Clustered versus catastrophic global vertebrate declines</t>
  </si>
  <si>
    <t xml:space="preserve">Poblaciones globales de vertebrados (LPI)</t>
  </si>
  <si>
    <t xml:space="preserve">Demuestra en Nature que las reducciones catastróficas de vertebrados están agrupadas en sistemas específicos y no generalizadas.</t>
  </si>
  <si>
    <t xml:space="preserve">Poblaciones de vertebrados</t>
  </si>
  <si>
    <t xml:space="preserve">Muestra que las declinaciones extremas de vertebrados están concentradas en clusters específicos y no son homogéneas.</t>
  </si>
  <si>
    <t xml:space="preserve">Löfqvist et al.</t>
  </si>
  <si>
    <t xml:space="preserve">How Social Considerations Improve the Equity and Effectiveness of Ecosystem Restoration</t>
  </si>
  <si>
    <t xml:space="preserve">Oferta (Comunidades locales, IPLC), Reguladores, Científicos</t>
  </si>
  <si>
    <t xml:space="preserve">Proyectos de restauración ecológica de paisajes</t>
  </si>
  <si>
    <t xml:space="preserve">Muestra cómo integrar consideraciones sociales mejora tanto la equidad como la supervivencia biológica en proyectos de restauración.</t>
  </si>
  <si>
    <t xml:space="preserve">Löfqvist, Garrett &amp; Ghazoul</t>
  </si>
  <si>
    <t xml:space="preserve">Incentives and Barriers to Private Finance for Forest and Landscape Restoration</t>
  </si>
  <si>
    <t xml:space="preserve">Demanda (Inversores privados), Oferta (Propietarios, Comunidades)</t>
  </si>
  <si>
    <t xml:space="preserve">Restauración de bosques y paisajes (FLR)</t>
  </si>
  <si>
    <t xml:space="preserve">Identifica los incentivos y barreras estructurales (tenencia, escala, riesgo) para atraer finanzas privadas hacia la restauración.</t>
  </si>
  <si>
    <t xml:space="preserve">Demanda (Gestores de activos, Inversores privados), Oferta</t>
  </si>
  <si>
    <t xml:space="preserve">Restauración de paisajes y bosques</t>
  </si>
  <si>
    <t xml:space="preserve">Investiga los incentivos y barreras de inversores privados para canalizar capital hacia la restauración forestal.</t>
  </si>
  <si>
    <t xml:space="preserve">Löfqvist &amp; Ghazoul</t>
  </si>
  <si>
    <t xml:space="preserve">Private Funding Is Essential to Leverage Forest and Landscape Restoration at Global Scales</t>
  </si>
  <si>
    <t xml:space="preserve">Demanda (Inversores privados), Reguladores/legisladores</t>
  </si>
  <si>
    <t xml:space="preserve">Paisajes degradados</t>
  </si>
  <si>
    <t xml:space="preserve">Discute la necesidad y los desafíos de apalancar capital privado para cumplir metas globales de restauración.</t>
  </si>
  <si>
    <t xml:space="preserve">Luttrell et al.</t>
  </si>
  <si>
    <t xml:space="preserve">Who Should Benefit From REDD+? Rationales and Realities</t>
  </si>
  <si>
    <t xml:space="preserve">Oferta (Comunidades locales, IPLC), Reguladores/legisladores</t>
  </si>
  <si>
    <t xml:space="preserve">Global / Países REDD+</t>
  </si>
  <si>
    <t xml:space="preserve">Bosques tropicales comunitarios</t>
  </si>
  <si>
    <t xml:space="preserve">Examina las distintas justificaciones éticas y legales para la distribución de beneficios en proyectos de carbono REDD+.</t>
  </si>
  <si>
    <t xml:space="preserve">Macintosh et al.</t>
  </si>
  <si>
    <t xml:space="preserve">Australian Human-Induced Native Forest Regeneration Carbon Offset Projects Have Limited Impact on Changes in Woody Vegetation Cover</t>
  </si>
  <si>
    <t xml:space="preserve">Bosques nativos y zonas áridas (HIR)</t>
  </si>
  <si>
    <t xml:space="preserve">Evaluación por teledetección que demuestra impactos reales mínimos en cobertura vegetal de proyectos HIR en Australia.</t>
  </si>
  <si>
    <t xml:space="preserve">Locking in Loss: Baselines of Decline in Australian Biodiversity Offset Policies</t>
  </si>
  <si>
    <t xml:space="preserve">Vegetación nativa y biodiversidad amenazada</t>
  </si>
  <si>
    <t xml:space="preserve">Demuestra que usar líneas de base de declive decreciente en políticas de offset institucionaliza la pérdida neta perpetua de biodiversidad.</t>
  </si>
  <si>
    <t xml:space="preserve">Locking in loss: Baselines of decline in Australian biodiversity offset policies</t>
  </si>
  <si>
    <t xml:space="preserve">Vegetación nativa y hábitats amenazados</t>
  </si>
  <si>
    <t xml:space="preserve">Critica las políticas de offset en Australia por usar líneas de base de declive que garantizan la pérdida neta continua.</t>
  </si>
  <si>
    <t xml:space="preserve">Locking in loss: baselines of decline in Australian biodiversity offset policies</t>
  </si>
  <si>
    <t xml:space="preserve">Cuantitativo / Análisis de políticas</t>
  </si>
  <si>
    <t xml:space="preserve">Reguladores/legisladores (Australia), Demanda, Científicos</t>
  </si>
  <si>
    <t xml:space="preserve">Uso de líneas de base de declive que institucionalizan pérdidas netas</t>
  </si>
  <si>
    <t xml:space="preserve">Demuestra que asumir líneas de base contrafácticas de declive institucionaliza la pérdida continua de hábitat.</t>
  </si>
  <si>
    <t xml:space="preserve">'Nature Positive' Must Incorporate, Not Undermine, the Mitigation Hierarchy</t>
  </si>
  <si>
    <t xml:space="preserve">Reguladores/legisladores, Demanda (Empresas), Científicos</t>
  </si>
  <si>
    <t xml:space="preserve">Ecosistemas sujetos a impactos corporativos</t>
  </si>
  <si>
    <t xml:space="preserve">Advierte que la meta 'Nature Positive' debe incorporar estrictamente la jerarquía de mitigación y no sustituir la evitación.</t>
  </si>
  <si>
    <t xml:space="preserve">'Nature positive' must incorporate, not undermine, the mitigation hierarchy</t>
  </si>
  <si>
    <t xml:space="preserve">Jerarquía de mitigación (Evitar, Reducir, Restaurar, Compensar)</t>
  </si>
  <si>
    <t xml:space="preserve">Advierte en Nature Ecology &amp; Evolution que la meta Nature Positive debe basarse en la jerarquía de mitigación y no justificar compensaciones laxas.</t>
  </si>
  <si>
    <t xml:space="preserve">Jerarquía de mitigación y metas Nature Positive</t>
  </si>
  <si>
    <t xml:space="preserve">Advierte en Nature Ecology &amp; Evolution que 'Nature Positive' exige respetar la jerarquía de mitigación.</t>
  </si>
  <si>
    <t xml:space="preserve">Maron, Rhodes &amp; Gibbons</t>
  </si>
  <si>
    <t xml:space="preserve">Calculating the Benefit of Conservation Actions</t>
  </si>
  <si>
    <t xml:space="preserve">Métodos de cuantificación de aditividad</t>
  </si>
  <si>
    <t xml:space="preserve">Formulación matemática para calcular ganancias netas adicionales de acciones de conservación frente a contrafácticos.</t>
  </si>
  <si>
    <t xml:space="preserve">What Are We Measuring? A Review of Metrics Used to Describe Biodiversity in Offsets Exchanges</t>
  </si>
  <si>
    <t xml:space="preserve">Comunidad científica, Reguladores, Certificadores</t>
  </si>
  <si>
    <t xml:space="preserve">Métricas de equivalencia ecológica</t>
  </si>
  <si>
    <t xml:space="preserve">Revisión de métricas utilizadas en intercambios de compensaciones, señalando la sobrerrepresentación de área y estructura.</t>
  </si>
  <si>
    <t xml:space="preserve">Marshall, E., Wintle, B.A., Southwell, D., et al.</t>
  </si>
  <si>
    <t xml:space="preserve">What are we measuring? A review of metrics used to describe biodiversity in offsets exchanges</t>
  </si>
  <si>
    <t xml:space="preserve">Métricas de biodiversidad en intercambios de compensación</t>
  </si>
  <si>
    <t xml:space="preserve">Revisa críticamente las métricas simplificadas utilizadas en los mercados de compensación y sus limitaciones.</t>
  </si>
  <si>
    <t xml:space="preserve">Martius et al.</t>
  </si>
  <si>
    <t xml:space="preserve">Pathway to Impact: Is REDD+ a Viable Theory of Change?</t>
  </si>
  <si>
    <t xml:space="preserve">Comunidad científica, Reguladores/legisladores, Oferta</t>
  </si>
  <si>
    <t xml:space="preserve">Bosques tropicales</t>
  </si>
  <si>
    <t xml:space="preserve">Evalúa la teoría de cambio de REDD+ y los supuestos institucionales requeridos para lograr impactos duraderos.</t>
  </si>
  <si>
    <t xml:space="preserve">Medina &amp; Scales</t>
  </si>
  <si>
    <t xml:space="preserve">Finance and Biodiversity Conservation: Insights From Rhinoceros Conservation and the First Wildlife Conservation Bond</t>
  </si>
  <si>
    <t xml:space="preserve">Demanda (Inversores de impacto, Banco Mundial), Oferta (Gobernanza de APs)</t>
  </si>
  <si>
    <t xml:space="preserve">Sudáfrica</t>
  </si>
  <si>
    <t xml:space="preserve">Áreas Protegidas y conservación de rinocerontes</t>
  </si>
  <si>
    <t xml:space="preserve">Estudio de caso sobre el 'Rhino Bond' (Bono de Conservación de Vida Silvestre) y exclusión de países de alto riesgo.</t>
  </si>
  <si>
    <t xml:space="preserve">Meyfroidt et al.</t>
  </si>
  <si>
    <t xml:space="preserve">Focus on Leakage and Spillovers: Informing Land-Use Governance in a Tele-Coupled World</t>
  </si>
  <si>
    <t xml:space="preserve">Gobernanza del suelo y cadenas de suministro</t>
  </si>
  <si>
    <t xml:space="preserve">Analiza las dinámicas de fuga y derrame (spillover) transmitidas por mercados globales y precios de materias primas.</t>
  </si>
  <si>
    <t xml:space="preserve">Michaelowa</t>
  </si>
  <si>
    <t xml:space="preserve">Joint Implementation—The Baseline Issue</t>
  </si>
  <si>
    <t xml:space="preserve">Mecanismos de mercado de emisiones de carbono</t>
  </si>
  <si>
    <t xml:space="preserve">Análisis pionero sobre los riesgos de manipulación de líneas de base cuando son autoseleccionadas por proponentes.</t>
  </si>
  <si>
    <t xml:space="preserve">Michaelowa et al.</t>
  </si>
  <si>
    <t xml:space="preserve">Additionality Revisited: Guarding the Integrity of Market Mechanisms Under the Paris Agreement</t>
  </si>
  <si>
    <t xml:space="preserve">Reguladores/legisladores, Certificadores, Demanda</t>
  </si>
  <si>
    <t xml:space="preserve">Mecanismos del Artículo 6 del Acuerdo de París</t>
  </si>
  <si>
    <t xml:space="preserve">Revisa el concepto de aditividad y propone reglas de gobernanza para salvaguardar la integridad de los créditos.</t>
  </si>
  <si>
    <t xml:space="preserve">Millner et al.</t>
  </si>
  <si>
    <t xml:space="preserve">Between Monitoring and Surveillance: Geographies of Emerging Drone Technologies in Contemporary Conservation</t>
  </si>
  <si>
    <t xml:space="preserve">Oferta (Comunidades locales, IPLC), Comunidad científica, Certificadores</t>
  </si>
  <si>
    <t xml:space="preserve">Monitoreo tecnológico mediante drones</t>
  </si>
  <si>
    <t xml:space="preserve">Discute las implicaciones éticas y de justicia de datos del uso de drones y tecnología remota en monitoreo de biodiversidad.</t>
  </si>
  <si>
    <t xml:space="preserve">Milne &amp; Niesten</t>
  </si>
  <si>
    <t xml:space="preserve">Direct Payments for Biodiversity Conservation in Developing Countries: Practical Insights for Design and Implementation</t>
  </si>
  <si>
    <t xml:space="preserve">Oferta (Comunidades locales, Pequeños propietarios), Reguladores</t>
  </si>
  <si>
    <t xml:space="preserve">Países en desarrollo (Camboya, etc.)</t>
  </si>
  <si>
    <t xml:space="preserve">Bosques y conservación comunitaria</t>
  </si>
  <si>
    <t xml:space="preserve">Lecciones prácticas de diseño para la implementación exitosa de pagos directos por conservación en el Sur Global.</t>
  </si>
  <si>
    <t xml:space="preserve">Ministry for the Environment</t>
  </si>
  <si>
    <t xml:space="preserve">Government Biodiversity Work Programme (New Zealand)</t>
  </si>
  <si>
    <t xml:space="preserve">Reguladores/legisladores, Oferta (Propietarios, Māori), Público general</t>
  </si>
  <si>
    <t xml:space="preserve">Vida silvestre y hábitats nativos</t>
  </si>
  <si>
    <t xml:space="preserve">Programa del gobierno neozelandés para la consulta y desarrollo de un marco regulatorio de créditos de biodiversidad.</t>
  </si>
  <si>
    <t xml:space="preserve">Monterroso &amp; Sills</t>
  </si>
  <si>
    <t xml:space="preserve">Interaction of Conditional Incentives for Ecosystem Conservation With Tenure Security: Multiple Roles for Tenure Interventions</t>
  </si>
  <si>
    <t xml:space="preserve">América Latina / Global</t>
  </si>
  <si>
    <t xml:space="preserve">Bosques comunitarios e incentivos</t>
  </si>
  <si>
    <t xml:space="preserve">Muestra que la seguridad de tenencia de la tierra es un prerrequisito indispensable para el funcionamiento de incentivos.</t>
  </si>
  <si>
    <t xml:space="preserve">Murray</t>
  </si>
  <si>
    <t xml:space="preserve">Leakage From an Avoided Deforestation Compensation Policy: Concepts, Empirical Evidence, and Corrective Policy Options</t>
  </si>
  <si>
    <t xml:space="preserve">Bosques y mercados agrícolas</t>
  </si>
  <si>
    <t xml:space="preserve">Análisis conceptual y empírico de los canales de transmisión de fugas económicas por elasticidad de mercado.</t>
  </si>
  <si>
    <t xml:space="preserve">Nature Finance</t>
  </si>
  <si>
    <t xml:space="preserve">The Future of Biodiversity Credit Markets</t>
  </si>
  <si>
    <t xml:space="preserve">Ecosistemas globales y gobernanza de mercados</t>
  </si>
  <si>
    <t xml:space="preserve">Informe marco sobre la gobernanza y regulación requeridas para desarrollar mercados de biocréditos de alto rendimiento.</t>
  </si>
  <si>
    <t xml:space="preserve">Niesten, Ratay &amp; Rice</t>
  </si>
  <si>
    <t xml:space="preserve">Achieving Biodiversity Conservation Using Conservation Concessions to Complement Agroforestry</t>
  </si>
  <si>
    <t xml:space="preserve">Oferta (Comunidades locales, Silvicultores), Demanda, Reguladores</t>
  </si>
  <si>
    <t xml:space="preserve">Trópicos (África / América Latina)</t>
  </si>
  <si>
    <t xml:space="preserve">Concesiones forestales y agroforestería</t>
  </si>
  <si>
    <t xml:space="preserve">Analiza las concesiones de conservación como alternativa para competir económicamente con concesiones madereras.</t>
  </si>
  <si>
    <t xml:space="preserve">O'Sullivan et al.</t>
  </si>
  <si>
    <t xml:space="preserve">REDD Can Be High Quality: Here's How</t>
  </si>
  <si>
    <t xml:space="preserve">Certificadores, Reguladores, Demanda, Oferta</t>
  </si>
  <si>
    <t xml:space="preserve">Bosques tropicales y salvaguardas REDD+</t>
  </si>
  <si>
    <t xml:space="preserve">Propone reformas institucionales (ej. baselines independientes) para garantizar alta integridad en proyectos REDD+.</t>
  </si>
  <si>
    <t xml:space="preserve">Pagiola &amp; Ruthenberg</t>
  </si>
  <si>
    <t xml:space="preserve">Selling Biodiversity in a Coffee Cup: Shade-Grown Coffee and Conservation in Mesoamerica</t>
  </si>
  <si>
    <t xml:space="preserve">Oferta (Caficultores), Demanda (Consumidores, Empresas)</t>
  </si>
  <si>
    <t xml:space="preserve">Mesoamérica (Centroamérica)</t>
  </si>
  <si>
    <t xml:space="preserve">Cafetales bajo sombra y agroforestería</t>
  </si>
  <si>
    <t xml:space="preserve">Evalúa el potencial y límites de la certificación de café bajo sombra como incentivo económico de conservación.</t>
  </si>
  <si>
    <t xml:space="preserve">Panwar, Ober &amp; Pinkse</t>
  </si>
  <si>
    <t xml:space="preserve">The Uncomfortable Relationship Between Business and Biodiversity: Advancing Research on Business Strategies</t>
  </si>
  <si>
    <t xml:space="preserve">Estrategias corporativas de biodiversidad</t>
  </si>
  <si>
    <t xml:space="preserve">Identifica la necesidad de colaboración profunda entre ciencia de conservación y estrategia empresarial para abordar la biodiversidad.</t>
  </si>
  <si>
    <t xml:space="preserve">Pascual et al.</t>
  </si>
  <si>
    <t xml:space="preserve">Social Equity Matters in Payments for Ecosystem Services</t>
  </si>
  <si>
    <t xml:space="preserve">Esquemas de PES</t>
  </si>
  <si>
    <t xml:space="preserve">Demuestra la centralidad de la equidad social (distributiva, procedimental, de reconocimiento) para la efectividad de los PES.</t>
  </si>
  <si>
    <t xml:space="preserve">Pfaff &amp; Robalino</t>
  </si>
  <si>
    <t xml:space="preserve">Spillovers From Conservation Programs</t>
  </si>
  <si>
    <t xml:space="preserve">Global / Costa Rica / Brasil</t>
  </si>
  <si>
    <t xml:space="preserve">Evaluación de impacto de programas de conservación</t>
  </si>
  <si>
    <t xml:space="preserve">Analiza los derrames (spillovers) de programas de conservación a través de canales económicos e institucionales.</t>
  </si>
  <si>
    <t xml:space="preserve">Biodiversity Credit Markets</t>
  </si>
  <si>
    <t xml:space="preserve">Demanda (Empresas, Inversores), Oferta, Reguladores/legisladores</t>
  </si>
  <si>
    <t xml:space="preserve">Mercados de biocréditos globales</t>
  </si>
  <si>
    <t xml:space="preserve">Mapeo exhaustivo del marco legal, regulatorio e iniciativas de mercado de créditos de biodiversidad en el mundo.</t>
  </si>
  <si>
    <t xml:space="preserve">Biodiversity credit markets</t>
  </si>
  <si>
    <t xml:space="preserve">Demanda (Sector financiero, Inversores), Reguladores/legisladores, Oferta</t>
  </si>
  <si>
    <t xml:space="preserve">Mercados voluntarios de créditos de biodiversidad</t>
  </si>
  <si>
    <t xml:space="preserve">Informe hito sobre la hoja de ruta, arquitectura de gobernanza e integridad de los mercados de biocréditos.</t>
  </si>
  <si>
    <t xml:space="preserve">Qiu et al.</t>
  </si>
  <si>
    <t xml:space="preserve">Evidence-Based Causal Chains for Linking Health, Development, and Conservation Actions</t>
  </si>
  <si>
    <t xml:space="preserve">Cadenas causales de teoría de cambio</t>
  </si>
  <si>
    <t xml:space="preserve">Desarrolla el uso de cadenas causales basadas en evidencia para evaluar intervenciones complejas de conservación.</t>
  </si>
  <si>
    <t xml:space="preserve">Achieving Biodiversity Net Gain by Addressing Governance Gaps Underpinning Ecological Compensation Policies</t>
  </si>
  <si>
    <t xml:space="preserve">Reguladores/legisladores, Demanda (Desarrolladores), Científicos</t>
  </si>
  <si>
    <t xml:space="preserve">Inglaterra (Reino Unido)</t>
  </si>
  <si>
    <t xml:space="preserve">Hábitats en planificación urbana/rural</t>
  </si>
  <si>
    <t xml:space="preserve">Identifica brechas de gobernanza, supervisión y fiscalización en la política de BNG de Inglaterra.</t>
  </si>
  <si>
    <t xml:space="preserve">Redford, Padoch &amp; Sunderland</t>
  </si>
  <si>
    <t xml:space="preserve">Fads, Funding, and Forgetting in Three Decades of Conservation</t>
  </si>
  <si>
    <t xml:space="preserve">Modas y paradigmas en conservación</t>
  </si>
  <si>
    <t xml:space="preserve">Establece los criterios de las 'modas pasajeras' (fads) en ciencia de conservación y la tendencia a ignorar lecciones pasadas.</t>
  </si>
  <si>
    <t xml:space="preserve">Robertson</t>
  </si>
  <si>
    <t xml:space="preserve">The Neoliberalization of Ecosystem Services: Wetland Mitigation Banking and Problems in Environmental Governance</t>
  </si>
  <si>
    <t xml:space="preserve">Reguladores/legisladores, Oferta (Bancos de mitigación), Científicos</t>
  </si>
  <si>
    <t xml:space="preserve">Humedales y bancos de mitigación CWA</t>
  </si>
  <si>
    <t xml:space="preserve">Análisis crítico sobre los problemas de mercantilización y comodificación de ecosistemas en la banca de humedales.</t>
  </si>
  <si>
    <t xml:space="preserve">Robinson et al.</t>
  </si>
  <si>
    <t xml:space="preserve">Incorporating Land Tenure Security Into Conservation</t>
  </si>
  <si>
    <t xml:space="preserve">Tierras comunitarias e indígenas</t>
  </si>
  <si>
    <t xml:space="preserve">Muestra que la seguridad de tenencia de la tierra es un factor determinante para el éxito de proyectos de conservación.</t>
  </si>
  <si>
    <t xml:space="preserve">Romero &amp; Putz</t>
  </si>
  <si>
    <t xml:space="preserve">Theory-of-Change Development for Forest Stewardship Council Certification of Sustained Timber Yields From Natural Forests in Indonesia</t>
  </si>
  <si>
    <t xml:space="preserve">Oferta (Concesiones madereras), Certificadores (FSC), Científicos</t>
  </si>
  <si>
    <t xml:space="preserve">Bosques tropicales de producción maderera</t>
  </si>
  <si>
    <t xml:space="preserve">Aplica una teoría de cambio para evaluar los impactos de la certificación FSC en concesiones forestales de Indonesia.</t>
  </si>
  <si>
    <t xml:space="preserve">Ruhl &amp; Salzman</t>
  </si>
  <si>
    <t xml:space="preserve">Gaming the Past: The Theory and Practice of Historic Baselines in the Administrative State</t>
  </si>
  <si>
    <t xml:space="preserve">Líneas de base administrativas y regulatorias</t>
  </si>
  <si>
    <t xml:space="preserve">Analiza la manipulación estratégica ('gaming') de líneas de base históricas en la regulación ambiental.</t>
  </si>
  <si>
    <t xml:space="preserve">Salzman &amp; Ruhl</t>
  </si>
  <si>
    <t xml:space="preserve">Currencies and the Commodification of Environmental Law</t>
  </si>
  <si>
    <t xml:space="preserve">Monedas de cambio en mercados ambientales</t>
  </si>
  <si>
    <t xml:space="preserve">Artículo seminal sobre las tensiones entre la simplificación de métricas para la negociabilidad y la integridad ecológica.</t>
  </si>
  <si>
    <t xml:space="preserve">Currencies and the commodification of environmental law</t>
  </si>
  <si>
    <t xml:space="preserve">Cualitativo / Legal</t>
  </si>
  <si>
    <t xml:space="preserve">Obra jurídica fundamental sobre la mercantilización de la ley ambiental y los riesgos del intercambio de monedas no equivalentes.</t>
  </si>
  <si>
    <t xml:space="preserve">Cualitativo / Legal-Económico</t>
  </si>
  <si>
    <t xml:space="preserve">Divisas ambientales, fungibilidad y ley ambiental</t>
  </si>
  <si>
    <t xml:space="preserve">Análisis pionero en Stanford Law Review sobre la construcción de 'divisas' ambientales y los riesgos de fungibilidad.</t>
  </si>
  <si>
    <t xml:space="preserve">Schaltegger, Gibassier &amp; Maas</t>
  </si>
  <si>
    <t xml:space="preserve">Managing and Accounting for Corporate Biodiversity Contributions: Mapping the Field</t>
  </si>
  <si>
    <t xml:space="preserve">Demanda (Empresas corporativas, Contables), Científicos</t>
  </si>
  <si>
    <t xml:space="preserve">Contabilidad y gestión corporativa de biodiversidad</t>
  </si>
  <si>
    <t xml:space="preserve">Revisa los métodos de contabilidad corporativa de biodiversidad y la falta de procesos de medición pragmáticos.</t>
  </si>
  <si>
    <t xml:space="preserve">Schleicher et al.</t>
  </si>
  <si>
    <t xml:space="preserve">Statistical Matching for Conservation Science</t>
  </si>
  <si>
    <t xml:space="preserve">Evaluación de impacto de Áreas Protegidas</t>
  </si>
  <si>
    <t xml:space="preserve">Guía metodológica sobre el uso de apareamiento estadístico (matching) para evaluar el impacto atribuable de intervenciones.</t>
  </si>
  <si>
    <t xml:space="preserve">Sheil &amp; Wunder</t>
  </si>
  <si>
    <t xml:space="preserve">The Value of Tropical Forest to Local Communities: Complications, Caveats, and Cautions</t>
  </si>
  <si>
    <t xml:space="preserve">Oferta (Comunidades locales, IPLC), Comunidad científica</t>
  </si>
  <si>
    <t xml:space="preserve">Trópicos (Indonesia, etc.)</t>
  </si>
  <si>
    <t xml:space="preserve">Bosques tropicales y recursos forestales</t>
  </si>
  <si>
    <t xml:space="preserve">Destaca la disparidad entre las valoraciones globales de biodiversidad y las prioridades de uso de comunidades locales.</t>
  </si>
  <si>
    <t xml:space="preserve">Shell &amp; BCG</t>
  </si>
  <si>
    <t xml:space="preserve">The Voluntary Carbon Market: 2022 Insights and Trends</t>
  </si>
  <si>
    <t xml:space="preserve">Demanda (Empresas, Inversores), Oferta, Certificadores</t>
  </si>
  <si>
    <t xml:space="preserve">Mercado voluntario de carbono</t>
  </si>
  <si>
    <t xml:space="preserve">Reporte comercial sobre el volumen del VCM (\$2B en 2022) y tendencias de precios e inversión.</t>
  </si>
  <si>
    <t xml:space="preserve">Stapp et al.</t>
  </si>
  <si>
    <t xml:space="preserve">Little Evidence of Management Change in California's Forest Offset Program</t>
  </si>
  <si>
    <t xml:space="preserve">Bosques bajo proyectos de offset</t>
  </si>
  <si>
    <t xml:space="preserve">Evaluación empírica por teledetección que demuestra escaso cambio de gestión forestal real en proyectos de offset de California.</t>
  </si>
  <si>
    <t xml:space="preserve">Strunz</t>
  </si>
  <si>
    <t xml:space="preserve">Is Conceptual Vagueness an Asset? Arguments From Philosophy of Science Applied to the Concept of Resilience</t>
  </si>
  <si>
    <t xml:space="preserve">Conceptos científicos de resiliencia y conservación</t>
  </si>
  <si>
    <t xml:space="preserve">Discute el papel de la imprecisión conceptual en las etapas tempranas de un nuevo paradigma científico o de mercado.</t>
  </si>
  <si>
    <t xml:space="preserve">Swinfield &amp; Balmford</t>
  </si>
  <si>
    <t xml:space="preserve">Cambridge Carbon Impact: Evaluating Carbon Credit Claims and Co-Benefits</t>
  </si>
  <si>
    <t xml:space="preserve">Comunidad científica, Demanda (Compradores), Certificadores</t>
  </si>
  <si>
    <t xml:space="preserve">Proyectos de créditos de carbono y cobeneficios</t>
  </si>
  <si>
    <t xml:space="preserve">Desarrolla herramientas analíticas para verificar las declaraciones de absorción y cobeneficios de biocréditos.</t>
  </si>
  <si>
    <t xml:space="preserve">Swinfield et al.</t>
  </si>
  <si>
    <t xml:space="preserve">Nature-Based Credit Markets at a Crossroads</t>
  </si>
  <si>
    <t xml:space="preserve">Mercados de créditos basados en la naturaleza</t>
  </si>
  <si>
    <t xml:space="preserve">Propone emitir créditos ex post mediante evaluación de impacto con datos satelitales continuos para garantizar aditividad.</t>
  </si>
  <si>
    <t xml:space="preserve">Discute los desafíos metodológicos de equivalencia y la encrucijada de los mercados de créditos de naturaleza.</t>
  </si>
  <si>
    <t xml:space="preserve">Nature-based credit markets at a crossroads</t>
  </si>
  <si>
    <t xml:space="preserve">Evolución e integridad de mercados de créditos de naturaleza</t>
  </si>
  <si>
    <t xml:space="preserve">Propone emitir créditos ex post mediante evaluación de impacto con datos satelitales continuos para garantizar aditividad real.</t>
  </si>
  <si>
    <t xml:space="preserve">Demanda (Sector financiero), Reguladores, Oferta, Científicos</t>
  </si>
  <si>
    <t xml:space="preserve">Mercados de créditos de naturaleza y riesgo de selección adversa</t>
  </si>
  <si>
    <t xml:space="preserve">Alerta en Nature Sustainability sobre la selección adversa que atrae proyectos con bajo costo de oportunidad.</t>
  </si>
  <si>
    <t xml:space="preserve">Testa et al.</t>
  </si>
  <si>
    <t xml:space="preserve">Untangling Companies' Engagement With Biodiversity: A Systematic Literature Review and Research Agenda</t>
  </si>
  <si>
    <t xml:space="preserve">Estrategias de gestión empresarial de biodiversidad</t>
  </si>
  <si>
    <t xml:space="preserve">Revisión sistemática que muestra que casi todas las estrategias corporativas de biodiversidad requieren componentes compensatorios.</t>
  </si>
  <si>
    <t xml:space="preserve">Teytelboym</t>
  </si>
  <si>
    <t xml:space="preserve">Natural Capital Market Design</t>
  </si>
  <si>
    <t xml:space="preserve">Diseño de mercados de capital natural</t>
  </si>
  <si>
    <t xml:space="preserve">Aplica teoría económica de diseño de mercados a los activos de capital natural, identificando fallas de iliquidez.</t>
  </si>
  <si>
    <t xml:space="preserve">Guidance on the Identification and Assessment of Nature Related Issues: The LEAP Approach (V1.1)</t>
  </si>
  <si>
    <t xml:space="preserve">Demanda (Empresas, Sector financiero/Bancos), Reguladores</t>
  </si>
  <si>
    <t xml:space="preserve">Metodología LEAP para evaluación de dependencias</t>
  </si>
  <si>
    <t xml:space="preserve">Guía metodológica de la TNFD para evaluar y divulgar riesgos, dependencias e impactos corporativos sobre la naturaleza.</t>
  </si>
  <si>
    <t xml:space="preserve">Torabi &amp; Bekessy</t>
  </si>
  <si>
    <t xml:space="preserve">Bundling and Stacking in Bio-Sequestration Schemes: Opportunities and Risks Identified by Australian Stakeholders</t>
  </si>
  <si>
    <t xml:space="preserve">Oferta (Propietarios, Agricultores), Reguladores, Demanda</t>
  </si>
  <si>
    <t xml:space="preserve">Bosques y secuestro de carbono</t>
  </si>
  <si>
    <t xml:space="preserve">Evalúa las percepciones de actores sobre las oportunidades y riesgos de apilar o empaquetar carbono y biodiversidad.</t>
  </si>
  <si>
    <t xml:space="preserve">Oferta (Agricultores, Propietarios), Reguladores, Demanda</t>
  </si>
  <si>
    <t xml:space="preserve">Apilamiento (stacking) y empaquetamiento (bundling)</t>
  </si>
  <si>
    <t xml:space="preserve">Evalúa las oportunidades y riesgos percibidos en el apilamiento y empaquetamiento de créditos de biodiversidad y carbono.</t>
  </si>
  <si>
    <t xml:space="preserve">Tscharntke et al.</t>
  </si>
  <si>
    <t xml:space="preserve">Conserving Biodiversity Through Certification of Tropical Agroforestry Crops at Local and Landscape Scales</t>
  </si>
  <si>
    <t xml:space="preserve">Oferta (Pequeños agricultores), Demanda (Consumidores, Empresas)</t>
  </si>
  <si>
    <t xml:space="preserve">Trópicos (Global)</t>
  </si>
  <si>
    <t xml:space="preserve">Sistemas agroforestales (café, cacao)</t>
  </si>
  <si>
    <t xml:space="preserve">Muestra que la certificación de cultivos agroforestales tiene impactos limitados si no se aplica a nivel de paisaje.</t>
  </si>
  <si>
    <t xml:space="preserve">Tupala, Huttunen &amp; Halme</t>
  </si>
  <si>
    <t xml:space="preserve">Social Impacts of Biodiversity Offsetting: A Review</t>
  </si>
  <si>
    <t xml:space="preserve">Oferta (Comunidades locales), Reguladores, Demanda</t>
  </si>
  <si>
    <t xml:space="preserve">Proyectos de compensación de biodiversidad</t>
  </si>
  <si>
    <t xml:space="preserve">Revisión sistemática que evidencia que los impactos sociales de las compensaciones son predominantemente negativos si no se evalúan.</t>
  </si>
  <si>
    <t xml:space="preserve">Twidale &amp; Mcfarlane</t>
  </si>
  <si>
    <t xml:space="preserve">Carbon Credit Market Confidence Ebbs as Big Names Retreat</t>
  </si>
  <si>
    <t xml:space="preserve">Reporta sobre la retirada de grandes compradores corporativos del VCM debido a pérdida de confianza e integridad ambiental.</t>
  </si>
  <si>
    <t xml:space="preserve">State of Finance for Nature: The Big Nature Turnaround—Repurposing $7 Trillion to Combat Nature Loss</t>
  </si>
  <si>
    <t xml:space="preserve">Flujos financieros globales y naturaleza</t>
  </si>
  <si>
    <t xml:space="preserve">Cuantifica los \$7 billones de flujos financieros públicos y privados que dañan directamente la naturaleza frente a la inversión verde.</t>
  </si>
  <si>
    <t xml:space="preserve">Vaissière et al.</t>
  </si>
  <si>
    <t xml:space="preserve">Preferences for Biodiversity Offset Contracts on Arable Land: A Choice Experiment Study With Farmers</t>
  </si>
  <si>
    <t xml:space="preserve">Oferta (Agricultores, Propietarios de tierras), Reguladores</t>
  </si>
  <si>
    <t xml:space="preserve">Tierras agrícolas de cultivo</t>
  </si>
  <si>
    <t xml:space="preserve">Experimento de elección discreta que mide cuantitativamente la disposición de los agricultores a firmar contratos de offset según pagos y duración.</t>
  </si>
  <si>
    <t xml:space="preserve">Preferences for biodiversity offset contracts on arable land: A choice experiment study with farmers</t>
  </si>
  <si>
    <t xml:space="preserve">Oferta (Agricultores franceses), Reguladores</t>
  </si>
  <si>
    <t xml:space="preserve">Agrícola</t>
  </si>
  <si>
    <t xml:space="preserve">Experimento que muestra cómo los agricultores exigen mayores pagos por contratos más largos o inflexibles.</t>
  </si>
  <si>
    <t xml:space="preserve">Theory and Practice of 'Stacking' and 'Bundling' Ecosystem Goods and Services: A Resource Paper</t>
  </si>
  <si>
    <t xml:space="preserve">Reguladores/legisladores, Demanda, Oferta, Científicos</t>
  </si>
  <si>
    <t xml:space="preserve">Global (19 esquemas)</t>
  </si>
  <si>
    <t xml:space="preserve">Mercados de servicios ecosistémicos</t>
  </si>
  <si>
    <t xml:space="preserve">Revisión global que demuestra que el apilamiento (stacking) ha fallado casi universalmente por problemas de doble contabilidad.</t>
  </si>
  <si>
    <t xml:space="preserve">Walker et al.</t>
  </si>
  <si>
    <t xml:space="preserve">Why Bartering Biodiversity Fails</t>
  </si>
  <si>
    <t xml:space="preserve">Vegetación nativa e intercambios de offset</t>
  </si>
  <si>
    <t xml:space="preserve">Análisis sobre por qué los intercambios de biodiversidad negociados suelen fallar en prevenir la pérdida neta de hábitats.</t>
  </si>
  <si>
    <t xml:space="preserve">Why bartering biodiversity fails</t>
  </si>
  <si>
    <t xml:space="preserve">Hábitats nativos y compensaciones</t>
  </si>
  <si>
    <t xml:space="preserve">Análisis crítico de los fallos teóricos e institucionales de los intercambios de biodiversidad por compensación.</t>
  </si>
  <si>
    <t xml:space="preserve">Cualitativo / Análisis ecológico</t>
  </si>
  <si>
    <t xml:space="preserve">Fallos conceptuales de los intercambios de biodiversidad</t>
  </si>
  <si>
    <t xml:space="preserve">Demuestra los límites teóricos e institucionales del trueque y comercio de unidades de biodiversidad.</t>
  </si>
  <si>
    <t xml:space="preserve">Wallacea</t>
  </si>
  <si>
    <t xml:space="preserve">Methodology for Quantifying Units of Biodiversity Gain (Version 3)</t>
  </si>
  <si>
    <t xml:space="preserve">Certificadores, Demanda, Oferta, Comunidad científica</t>
  </si>
  <si>
    <t xml:space="preserve">Global (RU, Honduras, Fiyi, etc.)</t>
  </si>
  <si>
    <t xml:space="preserve">Bosques de niebla, pastizales y manglares</t>
  </si>
  <si>
    <t xml:space="preserve">Metodología de código abierto para cuantificar unidades de ganancia de biodiversidad basándose en una canasta de 5 métricas ecológicas.</t>
  </si>
  <si>
    <t xml:space="preserve">Warner et al.</t>
  </si>
  <si>
    <t xml:space="preserve">Young Mixed Planted Forests Store More Carbon Than Monocultures—A Meta-Analysis</t>
  </si>
  <si>
    <t xml:space="preserve">Comunidad científica, Oferta (Silvicultores), Demanda</t>
  </si>
  <si>
    <t xml:space="preserve">Bosques plantados mixtos vs. monocultivos</t>
  </si>
  <si>
    <t xml:space="preserve">Meta-análisis que demuestra que las plantaciones mixtas biodiversas almacenan sustancialmente más carbono que los monocultivos.</t>
  </si>
  <si>
    <t xml:space="preserve">Evaluating Impact Using Time-Series Data</t>
  </si>
  <si>
    <t xml:space="preserve">Series temporales ecológicas</t>
  </si>
  <si>
    <t xml:space="preserve">Desarrolla métodos estadísticos para evaluar el impacto atribuable de intervenciones de conservación utilizando series de tiempo.</t>
  </si>
  <si>
    <t xml:space="preserve">Protected Areas Have a Mixed Impact on Waterbirds, but Management Helps</t>
  </si>
  <si>
    <t xml:space="preserve">Global (27.000+ sitios)</t>
  </si>
  <si>
    <t xml:space="preserve">Humedales y aves acuáticas</t>
  </si>
  <si>
    <t xml:space="preserve">Estudio empírico a escala global que evalúa el impacto de las Áreas Protegidas en poblaciones de aves acuáticas.</t>
  </si>
  <si>
    <t xml:space="preserve">Biodiversity Credits: Demand Analysis and Market Outlook</t>
  </si>
  <si>
    <t xml:space="preserve">Demanda (Empresas corporativas, Sector financiero), Reguladores</t>
  </si>
  <si>
    <t xml:space="preserve">Análisis de demanda y mercado futuro</t>
  </si>
  <si>
    <t xml:space="preserve">Informe del WEF que proyecta la demanda potencial de biocréditos hacia 2030 y 2050 (\$2B a \$69B).</t>
  </si>
  <si>
    <t xml:space="preserve">Demanda (Empresas corporativas, Financieros), Oferta</t>
  </si>
  <si>
    <t xml:space="preserve">Análisis de demanda e incentivos corporativos</t>
  </si>
  <si>
    <t xml:space="preserve">Analiza las motivaciones corporativas, riesgos reputacionales y proyecciones de demanda de créditos de biodiversidad.</t>
  </si>
  <si>
    <t xml:space="preserve">WEF and McKinsey</t>
  </si>
  <si>
    <t xml:space="preserve">Demanda (Empresas, Inversores), Reguladores/legisladores, Oferta</t>
  </si>
  <si>
    <t xml:space="preserve">Estimación de demanda y tamaño de mercado</t>
  </si>
  <si>
    <t xml:space="preserve">Modela la demanda futura de créditos de biodiversidad, estimando $760M en 2030 (escenario cauto) y hasta $7.000M en 2030 ($180.000M a 2050 en transformacional).</t>
  </si>
  <si>
    <t xml:space="preserve">World Economic Forum &amp; McKinsey</t>
  </si>
  <si>
    <t xml:space="preserve">Cuantitativo / Modelación</t>
  </si>
  <si>
    <t xml:space="preserve">Mercado global de créditos de biodiversidad</t>
  </si>
  <si>
    <t xml:space="preserve">Informe que cuantifica el tamaño potencial y las proyecciones de demanda corporativa para biocréditos a 2030.</t>
  </si>
  <si>
    <t xml:space="preserve">World Economic Forum &amp; McKinsey &amp; Company</t>
  </si>
  <si>
    <t xml:space="preserve">Biodiversity credits: Demand analysis and market outlook</t>
  </si>
  <si>
    <t xml:space="preserve">Cuantitativo / Modelación de Mercado (30 entrevistas)</t>
  </si>
  <si>
    <t xml:space="preserve">Demanda (Empresas corporativas, Financieros), Oferta (Desarrolladores de proyectos), Reguladores/legisladores</t>
  </si>
  <si>
    <t xml:space="preserve">Bosques, cuencas hídricas y hábitats críticos terrestres/marinos</t>
  </si>
  <si>
    <t xml:space="preserve">Modela las perspectivas de crecimiento del mercado de créditos de biodiversidad hacia 2030 y proyecta la demanda voluntaria corporativa bajo distintos escenarios de regulación.</t>
  </si>
  <si>
    <t xml:space="preserve">WEF &amp; McKinsey &amp; Company</t>
  </si>
  <si>
    <t xml:space="preserve">Demanda (Empresas, Sector financiero), Reguladores/legisladores, Oferta (IPLC), Comunidad científica</t>
  </si>
  <si>
    <t xml:space="preserve">Global (11 países: EE. UU., Reino Unido, Suiza, Noruega, Singapur, Japón, Alemania, Francia, Canadá, Bélgica, Australia)</t>
  </si>
  <si>
    <t xml:space="preserve">Ecosistemas terrestres (bosques, humedales, desiertos) y marinos/costeros (arrecifes, manglares)</t>
  </si>
  <si>
    <t xml:space="preserve">Informe principal que modela la demanda de biocréditos ($2B-$7B a 2030) y define 5 casos de uso corporativos.</t>
  </si>
  <si>
    <t xml:space="preserve">Action Needed to Make Carbon Offsets From Forest Conservation Work for Climate Change Mitigation</t>
  </si>
  <si>
    <t xml:space="preserve">Estudio publicado en Science que confirma que la mayoría de los créditos REDD+ de deforestación evitada no reducen deforestación.</t>
  </si>
  <si>
    <t xml:space="preserve">Aboga por reformar el mercado voluntario ante la sobrefacturación masiva de créditos de conservación de bosques.</t>
  </si>
  <si>
    <t xml:space="preserve">Action needed to make carbon offsets from forest conservation work for climate change mitigation</t>
  </si>
  <si>
    <t xml:space="preserve">Comunidad científica, Reguladores/legisladores, Demanda, Certificadores</t>
  </si>
  <si>
    <t xml:space="preserve">Global / Tropicos</t>
  </si>
  <si>
    <t xml:space="preserve">Proyectos REDD+ voluntarios y sobreestimación de aditividad</t>
  </si>
  <si>
    <t xml:space="preserve">Estudio hito en Science que demuestra la falta de aditividad real en la mayoría de proyectos REDD+.</t>
  </si>
  <si>
    <t xml:space="preserve">The 'Nature-Positive' Journey for Business: A Conceptual Research Agenda to Guide Contributions to Societal Goals</t>
  </si>
  <si>
    <t xml:space="preserve">Estrategias de contribución societaria a la naturaleza</t>
  </si>
  <si>
    <t xml:space="preserve">Marco conceptual para definir cómo las empresas pueden hacer contribuciones 'Nature Positive' legítimas.</t>
  </si>
  <si>
    <t xml:space="preserve">White, Bull et al.</t>
  </si>
  <si>
    <t xml:space="preserve">Uncovering Opportunities for Effective Species Conservation Banking Requires Navigating Technical and Practical Complexities</t>
  </si>
  <si>
    <t xml:space="preserve">Discute cómo la disparidad de requisitos de rigurosidad en bancos de conservación provoca 'fuga de demanda' hacia opciones menos exigentes.</t>
  </si>
  <si>
    <t xml:space="preserve">White, Viana et al.</t>
  </si>
  <si>
    <t xml:space="preserve">Using Technology to Improve the Management of Development Impacts on Biodiversity</t>
  </si>
  <si>
    <t xml:space="preserve">Demanda (Empresas), Certificadores, Científicos</t>
  </si>
  <si>
    <t xml:space="preserve">Tecnologías de monitoreo ambiental</t>
  </si>
  <si>
    <t xml:space="preserve">Evalúa cómo el uso de eDNA, acústica pasiva y LIDAR mejora el seguimiento de impactos sobre la biodiversidad.</t>
  </si>
  <si>
    <t xml:space="preserve">Wunder</t>
  </si>
  <si>
    <t xml:space="preserve">How do we deal with leakage?</t>
  </si>
  <si>
    <t xml:space="preserve">Bosques y proyectos de conservación</t>
  </si>
  <si>
    <t xml:space="preserve">Marco conceptual sobre la naturaleza de las fugas de conservación y opciones de política para abordarlas.</t>
  </si>
  <si>
    <t xml:space="preserve">When Payments for Environmental Services Will Work for Conservation</t>
  </si>
  <si>
    <t xml:space="preserve">Reguladores/legisladores, Oferta (Comunidades, Propietarios), Científicos</t>
  </si>
  <si>
    <t xml:space="preserve">Bosques, cuencas e incentivos condicionales</t>
  </si>
  <si>
    <t xml:space="preserve">Identifica las condiciones de contexto bajo las cuales los esquemas de PES son efectivos para la conservación ambiental.</t>
  </si>
  <si>
    <t xml:space="preserve">When Donors Get Cold Feet: The Community Conservation Concession in Setulang (Kalimantan, Indonesia) That Never Happened</t>
  </si>
  <si>
    <t xml:space="preserve">Oferta (Comunidad indígena Tane' Olen), Donantes internacionales</t>
  </si>
  <si>
    <t xml:space="preserve">Indonesia (Kalimantan)</t>
  </si>
  <si>
    <t xml:space="preserve">Estudio de caso sobre las barreras institucionales y el retiro de donantes en una concesión de conservación comunitaria.</t>
  </si>
  <si>
    <t xml:space="preserve">REDD+ in Theory and Practice: How Lessons From Local Projects Can Inform Jurisdictional Approaches</t>
  </si>
  <si>
    <t xml:space="preserve">Reguladores/legisladores, Oferta (Comunidades), Demanda</t>
  </si>
  <si>
    <t xml:space="preserve">Global (Brasil, Indonesia, Tanzania, etc.)</t>
  </si>
  <si>
    <t xml:space="preserve">Sintetiza lecciones de proyectos locales REDD+ para orientar las estrategias forestales jurisdiccionales.</t>
  </si>
  <si>
    <t xml:space="preserve">Modest Forest and Welfare Gains From Initiatives for Reduced Emissions From Deforestation and Forest Degradation</t>
  </si>
  <si>
    <t xml:space="preserve">Global (6 países tropicales)</t>
  </si>
  <si>
    <t xml:space="preserve">Bosques tropicales e ingresos de hogares</t>
  </si>
  <si>
    <t xml:space="preserve">Evaluación de impacto ex post que demuestra ganancias modestas tanto forestales como de bienestar asociadas a REDD+.</t>
  </si>
  <si>
    <t xml:space="preserve">Wunder &amp; Wertz-Kanounnikoff</t>
  </si>
  <si>
    <t xml:space="preserve">Payments for Ecosystem Services: A New Way of Conserving Biodiversity in Forests</t>
  </si>
  <si>
    <t xml:space="preserve">Bosques y servicios ecosistémicos múltiples</t>
  </si>
  <si>
    <t xml:space="preserve">Analiza cómo los PES pueden estructurarse para conservar la biodiversidad forestal junto con otros servicios.</t>
  </si>
  <si>
    <t xml:space="preserve">The Hidden Biodiversity Risks of Increasing Flexibility in Biodiversity Offset Trades</t>
  </si>
  <si>
    <t xml:space="preserve">Comercio de créditos de compensación</t>
  </si>
  <si>
    <t xml:space="preserve">Demuestra los riesgos ecológicos ocultos que surgen al aumentar la flexibilización e intercambiabilidad en offsets.</t>
  </si>
  <si>
    <t xml:space="preserve">The hidden biodiversity risks of increasing flexibility in biodiversity offset trades</t>
  </si>
  <si>
    <t xml:space="preserve">Reguladores, Demanda (Desarrolladores)</t>
  </si>
  <si>
    <t xml:space="preserve">Modelación que alerta sobre cómo aumentar la flexibilidad ecológica en los offsets destruye hábitats amenazados.</t>
  </si>
  <si>
    <t xml:space="preserve">Intercambio de créditos de offset</t>
  </si>
  <si>
    <t xml:space="preserve">Modela los riesgos ocultos para la biodiversidad al permitir mayor flexibilidad espacial y de tipo en los offsets.</t>
  </si>
  <si>
    <t xml:space="preserve">Intercambio de compensaciones y flexibilidad geográfica/ecológica</t>
  </si>
  <si>
    <t xml:space="preserve">Demuestra mediante simulación que aumentar la flexibilidad geográfica y ecológica en las compensaciones reduce costos pero destruye la aditividad ecológica.</t>
  </si>
  <si>
    <t xml:space="preserve">Adams</t>
  </si>
  <si>
    <t xml:space="preserve">Conducting Semi-Structured Interviews</t>
  </si>
  <si>
    <t xml:space="preserve">Metodología de investigación cualitativa</t>
  </si>
  <si>
    <t xml:space="preserve">Guía metodológica sobre el diseño y realización de entrevistas semiestructuradas en ciencias sociales.</t>
  </si>
  <si>
    <t xml:space="preserve">Alharahsheh &amp; Pius</t>
  </si>
  <si>
    <t xml:space="preserve">A Review of Key Paradigms: Positivism vs Interpretivism</t>
  </si>
  <si>
    <t xml:space="preserve">Epistemología e investigación social</t>
  </si>
  <si>
    <t xml:space="preserve">Revisión teórica sobre los paradigmas positivista e interpretativo en la investigación cualitativa.</t>
  </si>
  <si>
    <t xml:space="preserve">Ali et al.</t>
  </si>
  <si>
    <t xml:space="preserve">Is Biodiversity Disclosure Emerging as a Key Topic on the Agenda of Institutional Investors?</t>
  </si>
  <si>
    <t xml:space="preserve">Demanda (Sector financiero, Inversores institucionales)</t>
  </si>
  <si>
    <t xml:space="preserve">Divulgación de datos corporativos de biodiversidad</t>
  </si>
  <si>
    <t xml:space="preserve">Analiza empíricamente cómo la divulgación corporativa de biodiversidad influye en las decisiones de inversión institucional.</t>
  </si>
  <si>
    <t xml:space="preserve">Alvesson &amp; Sköldberg</t>
  </si>
  <si>
    <t xml:space="preserve">Reflexive Methodology: New Vistas for Qualitative Research</t>
  </si>
  <si>
    <t xml:space="preserve">Metodología reflexiva</t>
  </si>
  <si>
    <t xml:space="preserve">Libro de texto sobre metodología reflexiva e investigación cualitativa interpretativa.</t>
  </si>
  <si>
    <t xml:space="preserve">Antonelli et al.</t>
  </si>
  <si>
    <t xml:space="preserve">How Biodiversity Credits Could Help to Conserve and Restore Nature</t>
  </si>
  <si>
    <t xml:space="preserve">Bosques y restauración ecológica</t>
  </si>
  <si>
    <t xml:space="preserve">Discute el potencial de los créditos de biodiversidad para financiar la conservación ajustando la jerarquía de mitigación.</t>
  </si>
  <si>
    <t xml:space="preserve">How biodiversity credits could help to conserve and restore nature</t>
  </si>
  <si>
    <t xml:space="preserve">Demanda (Empresas, Inversores), Oferta (Comunidades locales, Propietarios), Reguladores, Científicos</t>
  </si>
  <si>
    <t xml:space="preserve">Bosques, humedales, hábitats amenazados</t>
  </si>
  <si>
    <t xml:space="preserve">Analiza cómo los créditos de biodiversidad pueden canalizar financiamiento privado para conservación y restauración ajustando la jerarquía de mitigación.</t>
  </si>
  <si>
    <t xml:space="preserve">Atkins et al.</t>
  </si>
  <si>
    <t xml:space="preserve">Conservation Through Conversation? Therapeutic Engagement on Biodiversity and Extinction Between NGOs and Companies</t>
  </si>
  <si>
    <t xml:space="preserve">Demanda (Empresas), ONGs, Público general</t>
  </si>
  <si>
    <t xml:space="preserve">Especies en peligro y hábitats</t>
  </si>
  <si>
    <t xml:space="preserve">Analiza el diálogo y compromiso entre ONGs ambientalistas y corporaciones sobre biodiversidad y extinción de especies.</t>
  </si>
  <si>
    <t xml:space="preserve">Bach et al.</t>
  </si>
  <si>
    <t xml:space="preserve">Biodiversity Risk and Firm Performance: Evidence From US Firms</t>
  </si>
  <si>
    <t xml:space="preserve">Riesgo operativo y financiero corporativo</t>
  </si>
  <si>
    <t xml:space="preserve">Evalúa empíricamente la relación entre la exposición al riesgo de biodiversidad y el desempeño financiero de empresas en EE. UU.</t>
  </si>
  <si>
    <t xml:space="preserve">Credit Credibility Threatens Forests</t>
  </si>
  <si>
    <t xml:space="preserve">Comunidad científica, Demanda, Reguladores</t>
  </si>
  <si>
    <t xml:space="preserve">Advierte en Science que la falta de integridad y sobreemisión en créditos de carbono amenaza la conservación forestal real.</t>
  </si>
  <si>
    <t xml:space="preserve">Bansal et al.</t>
  </si>
  <si>
    <t xml:space="preserve">Strategy Can no Longer Ignore Planetary Boundaries: A Call for Tackling Strategy's Ecological Fallacy</t>
  </si>
  <si>
    <t xml:space="preserve">Límites planetarios y estrategia corporativa</t>
  </si>
  <si>
    <t xml:space="preserve">Llama a integrar los límites planetarios ecológicos en las teorías de estrategia de negocios para evitar falacias ecológicas.</t>
  </si>
  <si>
    <t xml:space="preserve">Bassen et al.</t>
  </si>
  <si>
    <t xml:space="preserve">Biodiversity Management and Stock Price Crash Risk</t>
  </si>
  <si>
    <t xml:space="preserve">Demanda (Empresas, Inversores financieros)</t>
  </si>
  <si>
    <t xml:space="preserve">Mercados bursátiles y valoración de activos</t>
  </si>
  <si>
    <t xml:space="preserve">Demuestra cuantitativamente que la gestión activa de la biodiversidad reduce el riesgo de caída drástica en el precio de las acciones.</t>
  </si>
  <si>
    <t xml:space="preserve">Benson et al. (SBTi)</t>
  </si>
  <si>
    <t xml:space="preserve">Above and Beyond: An SBTI Report on the Design and Implementation of Beyond Value Chain Mitigation (BVCM)</t>
  </si>
  <si>
    <t xml:space="preserve">Demanda (Empresas), Reguladores, Certificadores</t>
  </si>
  <si>
    <t xml:space="preserve">Mitigación fuera de la cadena de valor corporativa</t>
  </si>
  <si>
    <t xml:space="preserve">Reporte de la SBTi para estructurar la financiación de mitigación más allá de la cadena de valor corporativa (BVCM).</t>
  </si>
  <si>
    <t xml:space="preserve">Demand-Side Sources and Motivation for Biodiversity Credits</t>
  </si>
  <si>
    <t xml:space="preserve">Demanda (Empresas, Sector financiero, Filantropía)</t>
  </si>
  <si>
    <t xml:space="preserve">Analiza las fuentes de demanda, motivaciones corporativas y barreras para la compra voluntaria de créditos de biodiversidad.</t>
  </si>
  <si>
    <t xml:space="preserve">Demand-side Sources and Motivation for Biodiversity Credits</t>
  </si>
  <si>
    <t xml:space="preserve">Demanda (Empresas, Sector financiero), Oferta (Comunidades locales, IPLC), Reguladores</t>
  </si>
  <si>
    <t xml:space="preserve">Diversas ecorregiones y biomas prioritarios</t>
  </si>
  <si>
    <t xml:space="preserve">Analiza las fuentes de demanda y motivaciones corporativas para la compra voluntaria de créditos de biodiversidad.</t>
  </si>
  <si>
    <t xml:space="preserve">Demand-side sources and motivation for biodiversity credits</t>
  </si>
  <si>
    <t xml:space="preserve">Fuentes de demanda y motivaciones corporativas para biocréditos</t>
  </si>
  <si>
    <t xml:space="preserve">Mapea las motivaciones de demanda corporativa para adquirir créditos de biodiversidad voluntarios.</t>
  </si>
  <si>
    <t xml:space="preserve">Definition of a Biodiversity Credit</t>
  </si>
  <si>
    <t xml:space="preserve">Reguladores, Demanda, Oferta (IPLC, Propietarios)</t>
  </si>
  <si>
    <t xml:space="preserve">Unidades verificadas de ganancia positiva</t>
  </si>
  <si>
    <t xml:space="preserve">Establece la definición estándar internacional de un crédito de biodiversidad como unidad de resultado positivo adicional y duradero.</t>
  </si>
  <si>
    <t xml:space="preserve">Reguladores/legisladores, Oferta (IPLC, Comunidades), Demanda</t>
  </si>
  <si>
    <t xml:space="preserve">Unidades certificadas de ganancias ecológicas adicionales</t>
  </si>
  <si>
    <t xml:space="preserve">Define el crédito de biodiversidad como certificado de un resultado positivo medible, adicional y duradero no apto para offsetting.</t>
  </si>
  <si>
    <t xml:space="preserve">Definition of a biodiversity credit</t>
  </si>
  <si>
    <t xml:space="preserve">Reguladores/legisladores, Demanda (Empresas, Financieros), Oferta (IPLC), Científicos</t>
  </si>
  <si>
    <t xml:space="preserve">Ecosistemas terrestres, marinos y continentales</t>
  </si>
  <si>
    <t xml:space="preserve">Establece la definición estándar internacional de un crédito de biodiversidad como unidad de resultado positivo.</t>
  </si>
  <si>
    <t xml:space="preserve">Review Mechanisms for Supply-Side Quality and Integrity in the Biodiversity Credit Market</t>
  </si>
  <si>
    <t xml:space="preserve">Oferta (Desarrolladores, IPLC), Certificadores, Reguladores</t>
  </si>
  <si>
    <t xml:space="preserve">Integridad de la oferta y verificación</t>
  </si>
  <si>
    <t xml:space="preserve">Examina los mecanismos de revisión y salvaguardas para garantizar la alta calidad e integridad socioecológica en la oferta de créditos.</t>
  </si>
  <si>
    <t xml:space="preserve">High Level Principles to Guide the Biodiversity Credit Market</t>
  </si>
  <si>
    <t xml:space="preserve">Principios marco de gobernanza</t>
  </si>
  <si>
    <t xml:space="preserve">Presenta los Principios de Alto Nivel desarrollados con el WEF e IAPB para guiar la integridad del mercado de biocréditos.</t>
  </si>
  <si>
    <t xml:space="preserve">BCA, IAPB &amp; WEF</t>
  </si>
  <si>
    <t xml:space="preserve">Reguladores/legisladores, Demanda (Empresas), Oferta (IPLC)</t>
  </si>
  <si>
    <t xml:space="preserve">Principios globales consensuados para mercados de biocréditos</t>
  </si>
  <si>
    <t xml:space="preserve">Documento tripartito de consenso global sobre los principios rectores de integridad ecológica y derechos de comunidades locales.</t>
  </si>
  <si>
    <t xml:space="preserve">Bloom Labs</t>
  </si>
  <si>
    <t xml:space="preserve">Deep Dive: Biodiversity Credit Sales</t>
  </si>
  <si>
    <t xml:space="preserve">Demanda (Empresas), Oferta (Proyectos), Intermediarios</t>
  </si>
  <si>
    <t xml:space="preserve">Transacciones de mercado voluntario</t>
  </si>
  <si>
    <t xml:space="preserve">Análisis empírico de las ventas reales de créditos de biodiversidad (\$2M-\$8M) y el predominio de reclamos de contribución.</t>
  </si>
  <si>
    <t xml:space="preserve">Operationalizing Transformative Change for Business in the Context of Nature Positive</t>
  </si>
  <si>
    <t xml:space="preserve">Demanda (Empresas), Reguladores, Científicos</t>
  </si>
  <si>
    <t xml:space="preserve">Estrategias 'Nature Positive' corporativas</t>
  </si>
  <si>
    <t xml:space="preserve">Operacionaliza el concepto de cambio transformador para empresas en el marco de metas globales de naturaleza positiva.</t>
  </si>
  <si>
    <t xml:space="preserve">Braun &amp; Clarke</t>
  </si>
  <si>
    <t xml:space="preserve">Thematic Analysis</t>
  </si>
  <si>
    <t xml:space="preserve">Análisis temático reflexivo</t>
  </si>
  <si>
    <t xml:space="preserve">Capítulo metodológico sobre los pasos para realizar análisis temático cualitativo en psicología y ciencias sociales.</t>
  </si>
  <si>
    <t xml:space="preserve">British Standards Institution (BSI)</t>
  </si>
  <si>
    <t xml:space="preserve">Nature Markets – Supply of Biodiversity Benefits – Specification (BSI Flex 702)</t>
  </si>
  <si>
    <t xml:space="preserve">Reguladores, Oferta (Gestores de tierra), Demanda</t>
  </si>
  <si>
    <t xml:space="preserve">Estándares técnicos de mercados de naturaleza</t>
  </si>
  <si>
    <t xml:space="preserve">Especificación estándar nacional del Reino Unido para la oferta de beneficios e integridad en mercados de naturaleza.</t>
  </si>
  <si>
    <t xml:space="preserve">Bromley (BloombergNEF)</t>
  </si>
  <si>
    <t xml:space="preserve">Biodiversity Finance Factbook: Biodiversity COP16 Edition</t>
  </si>
  <si>
    <t xml:space="preserve">Demanda (Sector financiero), Reguladores, Público general</t>
  </si>
  <si>
    <t xml:space="preserve">Flujos financieros de biodiversidad</t>
  </si>
  <si>
    <t xml:space="preserve">Cuantifica la brecha de financiamiento de la biodiversidad (\$942.000M anuales) y analiza las tendencias de inversión pública y privada.</t>
  </si>
  <si>
    <t xml:space="preserve">Biodiversity finance factbook: Biodiversity COP16 Edition</t>
  </si>
  <si>
    <t xml:space="preserve">Flujos de capital, bonos verdes/azules y biocréditos</t>
  </si>
  <si>
    <t xml:space="preserve">Actualización cuantitativa de los flujos de finanzas de biodiversidad ($208B en 2023) y el crecimiento de bonos etiquetados.</t>
  </si>
  <si>
    <t xml:space="preserve">Burns et al.</t>
  </si>
  <si>
    <t xml:space="preserve">Constructivist Grounded Theory or Interpretive Phenomenology? Methodological Choices Within Specific Study Contexts</t>
  </si>
  <si>
    <t xml:space="preserve">Compara la teoría fundamentada constructivista y la fenomenología interpretativa para la toma de decisiones metodológicas.</t>
  </si>
  <si>
    <t xml:space="preserve">Byrne</t>
  </si>
  <si>
    <t xml:space="preserve">A Worked Example of Braun and Clarke's Approach to Reflexive Thematic Analysis</t>
  </si>
  <si>
    <t xml:space="preserve">Análisis temático reflexivo aplicado</t>
  </si>
  <si>
    <t xml:space="preserve">Proporciona un ejemplo práctico paso a paso de la aplicación del análisis temático reflexivo.</t>
  </si>
  <si>
    <t xml:space="preserve">Carvalho et al.</t>
  </si>
  <si>
    <t xml:space="preserve">From Impacts to Dependencies: A First Global Assessment of Corporate Biodiversity Risk Exposure and Responses</t>
  </si>
  <si>
    <t xml:space="preserve">Demanda (Empresas multinacionales, Sector financiero)</t>
  </si>
  <si>
    <t xml:space="preserve">Cadenas de valor globales y riesgo de biodiversidad</t>
  </si>
  <si>
    <t xml:space="preserve">Evaluación global que cuantifica la exposición corporativa a riesgos de dependencia e impacto sobre la biodiversidad.</t>
  </si>
  <si>
    <t xml:space="preserve">Cherief et al.</t>
  </si>
  <si>
    <t xml:space="preserve">The Market Effect of Acute Biodiversity Risk: The Case of Corporate Bonds</t>
  </si>
  <si>
    <t xml:space="preserve">Demanda (Sector financiero, Mercado de bonos corporativos)</t>
  </si>
  <si>
    <t xml:space="preserve">Mercados de deuda corporativa</t>
  </si>
  <si>
    <t xml:space="preserve">Analiza empíricamente el impacto del riesgo agudo de biodiversidad en los diferenciales de rendimiento de bonos corporativos.</t>
  </si>
  <si>
    <t xml:space="preserve">The Biodiversity Plan for Life on Earth (Kunming-Montreal GBF Targets 19c/19d)</t>
  </si>
  <si>
    <t xml:space="preserve">Reguladores/legisladores, Demanda, Oferta (IPLC)</t>
  </si>
  <si>
    <t xml:space="preserve">Marco Global de Biodiversidad</t>
  </si>
  <si>
    <t xml:space="preserve">Marco internacional que respalda los esquemas innovadores de financiamiento como créditos de biodiversidad y PES (Metas 19c y 19d).</t>
  </si>
  <si>
    <t xml:space="preserve">de Silva et al.</t>
  </si>
  <si>
    <t xml:space="preserve">The Evolution of Corporate No Net Loss and Net Positive Impact Biodiversity Commitments</t>
  </si>
  <si>
    <t xml:space="preserve">Demanda (Empresas corporativas, Sector privado)</t>
  </si>
  <si>
    <t xml:space="preserve">Compromisos corporativos de No Pérdida Neta</t>
  </si>
  <si>
    <t xml:space="preserve">Analiza la evolución de los compromisos corporativos hacia la ganancia neta positiva de biodiversidad y sus desafíos de implementación.</t>
  </si>
  <si>
    <t xml:space="preserve">DEFRA (UK)</t>
  </si>
  <si>
    <t xml:space="preserve">Sell Biodiversity Units as a Land Manager</t>
  </si>
  <si>
    <t xml:space="preserve">Unidades de biodiversidad (BNG)</t>
  </si>
  <si>
    <t xml:space="preserve">Guía oficial del gobierno británico para que propietarios vendan unidades de biodiversidad bajo el marco regulatorio BNG.</t>
  </si>
  <si>
    <t xml:space="preserve">Environment Act 2021 (UK)</t>
  </si>
  <si>
    <t xml:space="preserve">Environment Act 2021 (c. 30)</t>
  </si>
  <si>
    <t xml:space="preserve">Ganancia Neta de Biodiversidad (BNG 10%)</t>
  </si>
  <si>
    <t xml:space="preserve">Ley del Reino Unido que establece el mandato obligatorio de Ganancia Neta de Biodiversidad (BNG) del 10% por 30 años.</t>
  </si>
  <si>
    <t xml:space="preserve">Fontana &amp; Frey</t>
  </si>
  <si>
    <t xml:space="preserve">The Interview: From Neutral Stance to Political Involvement</t>
  </si>
  <si>
    <t xml:space="preserve">Técnicas de entrevista cualitativa</t>
  </si>
  <si>
    <t xml:space="preserve">Capítulo metodológico sobre las dinámicas y enfoques cualitativos en la realización de entrevistas.</t>
  </si>
  <si>
    <t xml:space="preserve">Ford et al.</t>
  </si>
  <si>
    <t xml:space="preserve">A Technological Biodiversity Monitoring Toolkit for Biocredits</t>
  </si>
  <si>
    <t xml:space="preserve">Comunidad científica, Oferta (Desarrolladores), Certificadores</t>
  </si>
  <si>
    <t xml:space="preserve">Monitoreo tecnológico (eDNA, bioacústica, LIDAR)</t>
  </si>
  <si>
    <t xml:space="preserve">Propone un conjunto de herramientas tecnológicas avanzadas para la medición y monitoreo de la biodiversidad en biocréditos.</t>
  </si>
  <si>
    <t xml:space="preserve">A technological biodiversity monitoring toolkit for biocredits</t>
  </si>
  <si>
    <t xml:space="preserve">Comunidad científica, Certificadores, Oferta (Tecnología MRV)</t>
  </si>
  <si>
    <t xml:space="preserve">Monitoreo con eDNA, bioacústica y teledetección</t>
  </si>
  <si>
    <t xml:space="preserve">Presenta una caja de herramientas tecnológicas (eDNA, bioacústica, sensores remotos) para el monitoreo costo-efectivo de biocréditos.</t>
  </si>
  <si>
    <t xml:space="preserve">Cualitativo / Tecnológico</t>
  </si>
  <si>
    <t xml:space="preserve">Herramientas tecnológicas de monitoreo para biocréditos</t>
  </si>
  <si>
    <t xml:space="preserve">Evalúa el kit de herramientas tecnológicas (eDNA, bioacústica, sensores) aplicable a mercados de biocréditos.</t>
  </si>
  <si>
    <t xml:space="preserve">Gioia et al.</t>
  </si>
  <si>
    <t xml:space="preserve">Seeking Qualitative Rigor in Inductive Research: Notes on the Gioia Methodology</t>
  </si>
  <si>
    <t xml:space="preserve">Metodología Gioia de codificación inductiva</t>
  </si>
  <si>
    <t xml:space="preserve">Establece la metodología de codificación en 3 etapas (conceptos de 1er orden, temas de 2º orden y dimensiones agregadas).</t>
  </si>
  <si>
    <t xml:space="preserve">Glegg</t>
  </si>
  <si>
    <t xml:space="preserve">Facilitating Interviews in Qualitative Research With Visual Tools: A Typology</t>
  </si>
  <si>
    <t xml:space="preserve">Herramientas visuales en entrevistas</t>
  </si>
  <si>
    <t xml:space="preserve">Clasifica el uso de herramientas visuales para enriquecer el diálogo e intercambios en entrevistas cualitativas.</t>
  </si>
  <si>
    <t xml:space="preserve">Recommendations for High Integrity Demand for Biodiversity Credits</t>
  </si>
  <si>
    <t xml:space="preserve">Demanda (Empresas corporativas, Financieros), Reguladores</t>
  </si>
  <si>
    <t xml:space="preserve">Reclamos legítimos de la demanda corporativa</t>
  </si>
  <si>
    <t xml:space="preserve">Establece recomendaciones para que las empresas usen biocréditos prioritariamente como contribución y no para sustituir la mitigación.</t>
  </si>
  <si>
    <t xml:space="preserve">Design Criteria for High Integrity Measurement of Biodiversity Credits</t>
  </si>
  <si>
    <t xml:space="preserve">Comunidad científica, Certificadores, Oferta, Demanda</t>
  </si>
  <si>
    <t xml:space="preserve">Criterios de medición ecológica de alta integridad</t>
  </si>
  <si>
    <t xml:space="preserve">Criterios de diseño metodológico para medir la ganancia neta, aditividad y durabilidad sin requerir una única métrica universal.</t>
  </si>
  <si>
    <t xml:space="preserve">Kalhoro &amp; Kyaw</t>
  </si>
  <si>
    <t xml:space="preserve">Manage Biodiversity Risk Exposure?</t>
  </si>
  <si>
    <t xml:space="preserve">Demanda (Empresas, Sector financiero)</t>
  </si>
  <si>
    <t xml:space="preserve">Riesgo financiero corporativo</t>
  </si>
  <si>
    <t xml:space="preserve">Analiza empíricamente cómo las estrategias de gestión del riesgo de biodiversidad afectan la estabilidad financiera de la firma.</t>
  </si>
  <si>
    <t xml:space="preserve">Koellner et al.</t>
  </si>
  <si>
    <t xml:space="preserve">Why and How Much Are Firms Willing to Invest in Ecosystem Services From Tropical Forests?</t>
  </si>
  <si>
    <t xml:space="preserve">Demanda (Empresas internacionales y locales), Oferta (Bosques)</t>
  </si>
  <si>
    <t xml:space="preserve">Costa Rica / Global</t>
  </si>
  <si>
    <t xml:space="preserve">Bosques tropicales y servicios ecosistémicos</t>
  </si>
  <si>
    <t xml:space="preserve">Estudia la disposición a pagar (WTP) de empresas por servicios ecosistémicos forestales tropicales.</t>
  </si>
  <si>
    <t xml:space="preserve">Krause &amp; Matzdorf</t>
  </si>
  <si>
    <t xml:space="preserve">The Intention of Companies to Invest in Biodiversity and Ecosystem Services Credits Through an Online-Marketplace</t>
  </si>
  <si>
    <t xml:space="preserve">Demanda (Empresas corporativas), Intermediarios</t>
  </si>
  <si>
    <t xml:space="preserve">Plataformas digitales de créditos ecosistémicos</t>
  </si>
  <si>
    <t xml:space="preserve">Analiza la intención de inversión corporativa en créditos de biodiversidad a través de un mercado digital.</t>
  </si>
  <si>
    <t xml:space="preserve">Lounsbury et al.</t>
  </si>
  <si>
    <t xml:space="preserve">Beyond Homo Entrepreneurus: Judgment and the Theory of Cultural Entrepreneurship</t>
  </si>
  <si>
    <t xml:space="preserve">Comunidad científica, Emprendedores</t>
  </si>
  <si>
    <t xml:space="preserve">Teoría de emprendimiento cultural</t>
  </si>
  <si>
    <t xml:space="preserve">Aporta el marco de emprendimiento cultural e interpretación de significados en mercados emergentes.</t>
  </si>
  <si>
    <t xml:space="preserve">Lounsbury &amp; Glynn</t>
  </si>
  <si>
    <t xml:space="preserve">Cultural Entrepreneurship: Stories, Legitimacy, and the Acquisition of Resources</t>
  </si>
  <si>
    <t xml:space="preserve">Comunidad científica, Mercado emergente</t>
  </si>
  <si>
    <t xml:space="preserve">Construcción de legitimidad en mercados</t>
  </si>
  <si>
    <t xml:space="preserve">Teoriza sobre cómo las narrativas y la legitimidad cultural permiten la adquisición de recursos en mercados nacientes.</t>
  </si>
  <si>
    <t xml:space="preserve">Lumivero</t>
  </si>
  <si>
    <t xml:space="preserve">NVivo (Version 14) [Computer Software]</t>
  </si>
  <si>
    <t xml:space="preserve">Software de análisis cualitativo</t>
  </si>
  <si>
    <t xml:space="preserve">Software informático para el procesamiento y codificación temática de datos cualitativos.</t>
  </si>
  <si>
    <t xml:space="preserve">Maczik et al.</t>
  </si>
  <si>
    <t xml:space="preserve">Evaluating Biodiversity Credits Using Metacommunity Modelling</t>
  </si>
  <si>
    <t xml:space="preserve">Comunidad científica, Certificadores</t>
  </si>
  <si>
    <t xml:space="preserve">Modelado de metacomunidades ecológicas</t>
  </si>
  <si>
    <t xml:space="preserve">Utiliza modelos de metacomunidades para evaluar el rendimiento ecológico de diferentes diseños de biocréditos.</t>
  </si>
  <si>
    <t xml:space="preserve">Maroun &amp; Ecim</t>
  </si>
  <si>
    <t xml:space="preserve">Biodiversity Reporting by United Kingdom (UK)-Listed Companies</t>
  </si>
  <si>
    <t xml:space="preserve">Demanda (Empresas cotizadas en bolsa, Inversores)</t>
  </si>
  <si>
    <t xml:space="preserve">Informes de sostenibilidad corporativa</t>
  </si>
  <si>
    <t xml:space="preserve">Revisa el contenido, extensión y legibilidad de las divulgaciones de biodiversidad de empresas cotizadas en el Reino Unido.</t>
  </si>
  <si>
    <t xml:space="preserve">Nature in the Balance: What Companies Can Do to Restore Natural Capital</t>
  </si>
  <si>
    <t xml:space="preserve">Capital natural y restauración corporativa</t>
  </si>
  <si>
    <t xml:space="preserve">Informe estratégico sobre el valor del capital natural y las acciones corporativas para mitigar riesgos de naturaleza.</t>
  </si>
  <si>
    <t xml:space="preserve">Demanda (Inversores de impacto, Banco Mundial), Oferta (Áreas protegidas)</t>
  </si>
  <si>
    <t xml:space="preserve">Sudáfrica / Global</t>
  </si>
  <si>
    <t xml:space="preserve">Rinocerontes negros y reservas naturales</t>
  </si>
  <si>
    <t xml:space="preserve">Analiza la estructuración del primer Bono de Conservación de Vida Silvestre (Rhino Bond) de pago por resultados.</t>
  </si>
  <si>
    <t xml:space="preserve">Mirova</t>
  </si>
  <si>
    <t xml:space="preserve">Environmental Market Instruments. Position Paper</t>
  </si>
  <si>
    <t xml:space="preserve">Demanda (Sector financiero, Inversores de impacto), Reguladores</t>
  </si>
  <si>
    <t xml:space="preserve">Instrumentos de mercado ambiental</t>
  </si>
  <si>
    <t xml:space="preserve">Documento de posición de Mirova sobre la integridad y diseño de instrumentos de mercados de naturaleza para inversores.</t>
  </si>
  <si>
    <t xml:space="preserve">Montgomery et al.</t>
  </si>
  <si>
    <t xml:space="preserve">No End in Sight? A Greenwash Review and Research Agenda</t>
  </si>
  <si>
    <t xml:space="preserve">Comunidad científica, Público general, Demanda</t>
  </si>
  <si>
    <t xml:space="preserve">Greenwashing y 'future-washing'</t>
  </si>
  <si>
    <t xml:space="preserve">Revisa las formas emergentes de ecoblanqueo (greenwashing y future-washing) en declaraciones ambientales corporativas.</t>
  </si>
  <si>
    <t xml:space="preserve">Nedopil</t>
  </si>
  <si>
    <t xml:space="preserve">Integrating Biodiversity Into Financial Decision-Making: Challenges and Four Principles</t>
  </si>
  <si>
    <t xml:space="preserve">Demanda (Sector financiero, Bancos), Reguladores</t>
  </si>
  <si>
    <t xml:space="preserve">Toma de decisiones financieras</t>
  </si>
  <si>
    <t xml:space="preserve">Establece 4 principios clave para integrar la biodiversidad en la toma de decisiones del sector financiero.</t>
  </si>
  <si>
    <t xml:space="preserve">Panwar et al.</t>
  </si>
  <si>
    <t xml:space="preserve">The Uncomfortable Relationship Between Business and Biodiversity</t>
  </si>
  <si>
    <t xml:space="preserve">Examina la relación compleja entre empresas y biodiversidad y aboga por investigaciones estratégicas más profundas.</t>
  </si>
  <si>
    <t xml:space="preserve">Parker et al.</t>
  </si>
  <si>
    <t xml:space="preserve">Snowball Sampling</t>
  </si>
  <si>
    <t xml:space="preserve">Muestreo por bola de nieve</t>
  </si>
  <si>
    <t xml:space="preserve">Descripción metodológica de la técnica de muestreo por bola de nieve para estudios cualitativos.</t>
  </si>
  <si>
    <t xml:space="preserve">Patton</t>
  </si>
  <si>
    <t xml:space="preserve">Qualitative Research &amp; Evaluation Methods</t>
  </si>
  <si>
    <t xml:space="preserve">Métodos de investigación cualitativa</t>
  </si>
  <si>
    <t xml:space="preserve">Libro clásico sobre diseño, ejecución y evaluación de investigaciones cualitativas.</t>
  </si>
  <si>
    <t xml:space="preserve">Plan Vivo (PV Nature)</t>
  </si>
  <si>
    <t xml:space="preserve">Methodology &amp; Data Protocol</t>
  </si>
  <si>
    <t xml:space="preserve">Oferta (Comunidades locales), Certificadores, Demanda</t>
  </si>
  <si>
    <t xml:space="preserve">Bosques comunitarios y biodiversidad</t>
  </si>
  <si>
    <t xml:space="preserve">Protocolo metodológico de Plan Vivo Nature para certificar ganancias de biodiversidad comunitarias.</t>
  </si>
  <si>
    <t xml:space="preserve">Pontikes &amp; Rindova</t>
  </si>
  <si>
    <t xml:space="preserve">Shaping Markets Through Temporal, Constructive, and Interactive Agency</t>
  </si>
  <si>
    <t xml:space="preserve">Comunidad científica, Agentes de mercado</t>
  </si>
  <si>
    <t xml:space="preserve">Formación e interacción de mercados</t>
  </si>
  <si>
    <t xml:space="preserve">Analiza cómo la agencia interactiva y constructiva da forma a los mercados nacientes.</t>
  </si>
  <si>
    <t xml:space="preserve">Probst et al.</t>
  </si>
  <si>
    <t xml:space="preserve">Systematic Review of the Actual Emissions Reductions of Carbon Offset Projects Across All Major Sectors</t>
  </si>
  <si>
    <t xml:space="preserve">Proyectos de compensación de carbono</t>
  </si>
  <si>
    <t xml:space="preserve">Revisión sistemática que demuestra la falta de reducción real de emisiones en la mayoría de proyectos de offset.</t>
  </si>
  <si>
    <t xml:space="preserve">Systematic review of the actual emissions reductions of carbon offset projects across all major sectors</t>
  </si>
  <si>
    <t xml:space="preserve">Revisión de proyectos de carbono en todos los sectores</t>
  </si>
  <si>
    <t xml:space="preserve">Revisión sistemática de ETH Zürich que concluye que la gran mayoría de proyectos de offset de carbono sobreestiman sus reducciones reales.</t>
  </si>
  <si>
    <t xml:space="preserve">Gobernanza de compensaciones ecológicas</t>
  </si>
  <si>
    <t xml:space="preserve">Aborda las brechas de gobernanza que amenazan la efectividad de las políticas obligatorias de BNG.</t>
  </si>
  <si>
    <t xml:space="preserve">Achieving biodiversity net gain by addressing governance gaps underpinning ecological compensation policies</t>
  </si>
  <si>
    <t xml:space="preserve">Brechas de gobernanza en la política de Biodiversity Net Gain (BNG)</t>
  </si>
  <si>
    <t xml:space="preserve">Identifica los vacíos de gobernanza que impiden lograr ganancias netas bajo el esquema BNG de Inglaterra.</t>
  </si>
  <si>
    <t xml:space="preserve">Richardson et al.</t>
  </si>
  <si>
    <t xml:space="preserve">Earth Beyond Six of Nine Planetary Boundaries</t>
  </si>
  <si>
    <t xml:space="preserve">Límites planetarios (Integridad de la biosfera)</t>
  </si>
  <si>
    <t xml:space="preserve">Actualización científica que demuestra que se han transgredido 6 de los 9 límites planetarios, incluida la biodiversidad.</t>
  </si>
  <si>
    <t xml:space="preserve">Richardson, K. et al.</t>
  </si>
  <si>
    <t xml:space="preserve">Earth beyond six of nine planetary boundaries</t>
  </si>
  <si>
    <t xml:space="preserve">Cuantitativo / Límites planetarios</t>
  </si>
  <si>
    <t xml:space="preserve">Integridad de la biosfera, cambio de uso de suelo y agua dulce</t>
  </si>
  <si>
    <t xml:space="preserve">Estudio hito en Science Advances que demuestra que la humanidad ha traspasado 6 de los 9 límites planetarios de sostenibilidad.</t>
  </si>
  <si>
    <t xml:space="preserve">Rindova &amp; Fombrun</t>
  </si>
  <si>
    <t xml:space="preserve">Constructing Competitive Advantage: The Role of Firm–Constituent Interactions</t>
  </si>
  <si>
    <t xml:space="preserve">Comunidad científica, Demanda (Empresas)</t>
  </si>
  <si>
    <t xml:space="preserve">Dominio interpretativo y ventaja competitiva</t>
  </si>
  <si>
    <t xml:space="preserve">Desarrolla el concepto de 'dominio interpretativo' y la red de interpretaciones entre empresas y grupos de interés.</t>
  </si>
  <si>
    <t xml:space="preserve">Rindova et al.</t>
  </si>
  <si>
    <t xml:space="preserve">The Good, the Bad, and the Ugly of Organizational Rankings</t>
  </si>
  <si>
    <t xml:space="preserve">Comunidad científica, Demanda</t>
  </si>
  <si>
    <t xml:space="preserve">Evaluaciones organizacionales</t>
  </si>
  <si>
    <t xml:space="preserve">Revisa la construcción de rankings y criterios de evaluación en mercados nacientes.</t>
  </si>
  <si>
    <t xml:space="preserve">Safe and Just Earth System Boundaries</t>
  </si>
  <si>
    <t xml:space="preserve">Límites justos del sistema Tierra</t>
  </si>
  <si>
    <t xml:space="preserve">Cuantifica los límites seguros y justos del sistema Tierra para garantizar la estabilidad climática y biosférica.</t>
  </si>
  <si>
    <t xml:space="preserve">Schaltegger et al.</t>
  </si>
  <si>
    <t xml:space="preserve">Managing and Accounting for Corporate Biodiversity Contributions. Mapping the Field</t>
  </si>
  <si>
    <t xml:space="preserve">Contabilidad de biodiversidad corporativa</t>
  </si>
  <si>
    <t xml:space="preserve">Mapea el campo de la contabilidad y gestión corporativa de las contribuciones a la biodiversidad.</t>
  </si>
  <si>
    <t xml:space="preserve">Seidl et al.</t>
  </si>
  <si>
    <t xml:space="preserve">Investing in the Wealth of Nature Through Biodiversity and Ecosystem Service Finance Solutions</t>
  </si>
  <si>
    <t xml:space="preserve">Reguladores, Demanda (Sector financiero), Oferta</t>
  </si>
  <si>
    <t xml:space="preserve">Soluciones financieras de biodiversidad</t>
  </si>
  <si>
    <t xml:space="preserve">Muestra que las necesidades financieras de biodiversidad son 7 veces superiores a la inversión pública actual.</t>
  </si>
  <si>
    <t xml:space="preserve">Indicators for Measuring and Reporting Corporate Nature-Related Impacts, Dependencies, and Risks</t>
  </si>
  <si>
    <t xml:space="preserve">Demanda (Empresas corporativas), Científicos</t>
  </si>
  <si>
    <t xml:space="preserve">Indicadores corporativos de naturaleza</t>
  </si>
  <si>
    <t xml:space="preserve">Desarrolla indicadores clave para medir y divulgar impactos y dependencias corporativas de la naturaleza.</t>
  </si>
  <si>
    <t xml:space="preserve">St-Laurent et al.</t>
  </si>
  <si>
    <t xml:space="preserve">Barriers to the Development of Forest Carbon Offsetting: Insights From British Columbia, Canada</t>
  </si>
  <si>
    <t xml:space="preserve">Oferta (Silvicultores, Propietarios), Reguladores, Demanda</t>
  </si>
  <si>
    <t xml:space="preserve">Canadá (Columbia Británica)</t>
  </si>
  <si>
    <t xml:space="preserve">Identifica las barreras normativas e institucionales para el desarrollo de proyectos de compensación forestal.</t>
  </si>
  <si>
    <t xml:space="preserve">Suchman</t>
  </si>
  <si>
    <t xml:space="preserve">Managing Legitimacy: Strategic and Institutional Approaches</t>
  </si>
  <si>
    <t xml:space="preserve">Gestión de legitimidad organizacional</t>
  </si>
  <si>
    <t xml:space="preserve">Aporta la teoría de gestión de legitimidad (pragmática, moral y cognitiva) en contextos institucionales.</t>
  </si>
  <si>
    <t xml:space="preserve">Recommendations of the Taskforce on Nature-Related Financial Disclosures</t>
  </si>
  <si>
    <t xml:space="preserve">Marco LEAP de divulgación de riesgos de naturaleza</t>
  </si>
  <si>
    <t xml:space="preserve">Recomendaciones finales del TNFD para la divulgación corporativa de impactos, dependencias y riesgos de naturaleza.</t>
  </si>
  <si>
    <t xml:space="preserve">Recommendations of the Taskforce on Nature-related Financial Disclosures</t>
  </si>
  <si>
    <t xml:space="preserve">Evaluación de dependencias e impactos corporativos (Marco LEAP)</t>
  </si>
  <si>
    <t xml:space="preserve">Establece el marco global para que las corporaciones e instituciones financieras divulguen sus riesgos, dependencias e impactos de naturaleza.</t>
  </si>
  <si>
    <t xml:space="preserve">Taskforce on Nature-related Financial Disclosures (TNFD)</t>
  </si>
  <si>
    <t xml:space="preserve">Cualitativo / Marco de Divulgación</t>
  </si>
  <si>
    <t xml:space="preserve">Demanda (Empresas corporativas, Sector financiero, Bancos, Aseguradoras), Reguladores/legisladores</t>
  </si>
  <si>
    <t xml:space="preserve">Evaluación de dependencias, impactos, riesgos y oportunidades sobre la naturaleza (Metodología LEAP)</t>
  </si>
  <si>
    <t xml:space="preserve">Proporciona el marco corporativo e institucional estandarizado para que empresas y entidades financieras divulguen sus riesgos e impactos asociados a la naturaleza.</t>
  </si>
  <si>
    <t xml:space="preserve">Teo</t>
  </si>
  <si>
    <t xml:space="preserve">'This Is Not a Forum for Reducing Poverty': The Moral Economy of the Voluntary Carbon Market</t>
  </si>
  <si>
    <t xml:space="preserve">Comunidad científica, Demanda, Oferta (Comunidades)</t>
  </si>
  <si>
    <t xml:space="preserve">Economía moral de los mercados de carbono</t>
  </si>
  <si>
    <t xml:space="preserve">Analiza la economía moral y los valores contrapuestos en los mercados voluntarios de créditos ambientales.</t>
  </si>
  <si>
    <t xml:space="preserve">Townsend et al.</t>
  </si>
  <si>
    <t xml:space="preserve">Uncertainty, Knowledge Problems, and Entrepreneurial Action</t>
  </si>
  <si>
    <t xml:space="preserve">Teoría de la incertidumbre</t>
  </si>
  <si>
    <t xml:space="preserve">Analiza los problemas de conocimiento e incertidumbre en la acción emprendedora en mercados nacientes.</t>
  </si>
  <si>
    <t xml:space="preserve">Treepongkaruna</t>
  </si>
  <si>
    <t xml:space="preserve">Corporate Sustainability and Biodiversity Reporting: A Proactive Business Strategy to Mitigate Litigation and Reputational Risks</t>
  </si>
  <si>
    <t xml:space="preserve">Riesgo reputacional y de litigios</t>
  </si>
  <si>
    <t xml:space="preserve">Demuestra que la divulgación proactiva de biodiversidad mitiga los riesgos reputacionales y de litigio de las empresas.</t>
  </si>
  <si>
    <t xml:space="preserve">Trencher et al.</t>
  </si>
  <si>
    <t xml:space="preserve">Demand for Low-Quality Offsets by Major Companies Undermines Climate Integrity of the Voluntary Carbon Market</t>
  </si>
  <si>
    <t xml:space="preserve">Demanda (Grandes empresas multinacionales), Certificadores</t>
  </si>
  <si>
    <t xml:space="preserve">Mercado voluntario de offsets</t>
  </si>
  <si>
    <t xml:space="preserve">Demuestra en Nature Comms que las grandes empresas priorizan la compra de offsets baratas de baja calidad.</t>
  </si>
  <si>
    <t xml:space="preserve">Demand for low-quality offsets by major companies undermines climate integrity of the voluntary carbon market</t>
  </si>
  <si>
    <t xml:space="preserve">Demanda (Grandes empresas multinacionales)</t>
  </si>
  <si>
    <t xml:space="preserve">Demuestra empíricamente que las grandes corporaciones priorizan comprar créditos baratos de baja calidad.</t>
  </si>
  <si>
    <t xml:space="preserve">Demanda (Grandes empresas Fortune 500), Reguladores, Científicos</t>
  </si>
  <si>
    <t xml:space="preserve">Carteras de compra de créditos de grandes corporaciones</t>
  </si>
  <si>
    <t xml:space="preserve">Demuestra en Nature Communications que la preferencia de las corporaciones por créditos baratos de baja calidad socava el VCM.</t>
  </si>
  <si>
    <t xml:space="preserve">Demanda (Grandes corporaciones), Certificadores, Público general</t>
  </si>
  <si>
    <t xml:space="preserve">Mercado voluntario de carbono y créditos de deforestación evitada</t>
  </si>
  <si>
    <t xml:space="preserve">Demuestra empíricamente que la demanda de créditos de compensación de baja calidad por grandes corporaciones socava la integridad del mercado voluntario.</t>
  </si>
  <si>
    <t xml:space="preserve">UN Climate Change</t>
  </si>
  <si>
    <t xml:space="preserve">What Is the Triple Planetary Crisis?</t>
  </si>
  <si>
    <t xml:space="preserve">Crisis planetaria (clima, biodiversidad, contaminación)</t>
  </si>
  <si>
    <t xml:space="preserve">Marco conceptual de la ONU sobre la triple crisis planetaria interconectada.</t>
  </si>
  <si>
    <t xml:space="preserve">Theory and Practice of 'Stacking' and 'Bundling' Ecosystem Goods and Services</t>
  </si>
  <si>
    <t xml:space="preserve">Comunidad científica, Reguladores, Desarrolladores</t>
  </si>
  <si>
    <t xml:space="preserve">Apilamiento y empaquetamiento de créditos</t>
  </si>
  <si>
    <t xml:space="preserve">Documento del BBOP sobre la teoría y práctica del apilamiento de créditos evitando la doble contabilidad.</t>
  </si>
  <si>
    <t xml:space="preserve">von Hase, A. &amp; Cassin / BBOP, Forest Trends</t>
  </si>
  <si>
    <t xml:space="preserve">Cualitativo / Metodológico</t>
  </si>
  <si>
    <t xml:space="preserve">Comunidad científica, Reguladores/legisladores, Demanda (Empresas)</t>
  </si>
  <si>
    <t xml:space="preserve">Servicios ecosistémicos forestales, hídricos y de carbono</t>
  </si>
  <si>
    <t xml:space="preserve">Analiza la teoría y práctica de la acumulación (stacking) y empaquetamiento (bundling) de créditos de carbono y biodiversidad.</t>
  </si>
  <si>
    <t xml:space="preserve">Wallacea Trust</t>
  </si>
  <si>
    <t xml:space="preserve">Methodology for Quantifying Units of Biodiversity Gain</t>
  </si>
  <si>
    <t xml:space="preserve">Certificadores, Oferta, Demanda, Científicos</t>
  </si>
  <si>
    <t xml:space="preserve">Canasta de 5 métricas ecológicas</t>
  </si>
  <si>
    <t xml:space="preserve">Metodología abierta para cuantificar unidades de ganancia de biodiversidad mediante una canasta de métricas ecológicas.</t>
  </si>
  <si>
    <t xml:space="preserve">The 'Nature-Positive' Journey for Business: A Conceptual Research Agenda to Guide Contributions to Societal Biodiversity Goals</t>
  </si>
  <si>
    <t xml:space="preserve">Ruta hacia metas de Naturaleza Positiva</t>
  </si>
  <si>
    <t xml:space="preserve">Propone una agenda conceptual de investigación para guiar las contribuciones corporativas hacia objetivos de naturaleza positiva.</t>
  </si>
  <si>
    <t xml:space="preserve">World Wide Fund for Nature (WWF)</t>
  </si>
  <si>
    <t xml:space="preserve">WWF Position Voluntary Biodiversity Credits</t>
  </si>
  <si>
    <t xml:space="preserve">ONGs, Demanda, Reguladores, Oferta (IPLC)</t>
  </si>
  <si>
    <t xml:space="preserve">Posición sobre biocréditos voluntarios</t>
  </si>
  <si>
    <t xml:space="preserve">Posición oficial de WWF exigiendo salvaguardas estrictas, no compensación de daños y participación equitativa de IPLC.</t>
  </si>
  <si>
    <t xml:space="preserve">Biodiversity Credits: An Overview of the Current State, Future Opportunities, and Potential Pitfalls</t>
  </si>
  <si>
    <t xml:space="preserve">Global (34 iniciativas piloto)</t>
  </si>
  <si>
    <t xml:space="preserve">34 proyectos piloto globales de biocréditos</t>
  </si>
  <si>
    <t xml:space="preserve">Revisión integral de 34 iniciativas globales de biocréditos proponiendo una Teoría de Cambio para evitar los errores del VCM.</t>
  </si>
  <si>
    <t xml:space="preserve">Demanda (Empresas, sector financiero), Oferta (Agricultores, silvicultores, comunidades locales), Reguladores, Científica</t>
  </si>
  <si>
    <t xml:space="preserve">Bosques, arrecifes de coral, humedales</t>
  </si>
  <si>
    <t xml:space="preserve">Créditos de Naturaleza / Compensaciones / Pagos por Servicios Ecosistémicos (PES)</t>
  </si>
  <si>
    <t xml:space="preserve">Analiza sistemáticamente el estado de 34 iniciativas globales de créditos y su ToC.</t>
  </si>
  <si>
    <t xml:space="preserve">Yin</t>
  </si>
  <si>
    <t xml:space="preserve">Case Study Research and Applications Design and Methods</t>
  </si>
  <si>
    <t xml:space="preserve">Metodología de estudio de caso</t>
  </si>
  <si>
    <t xml:space="preserve">Libro de texto clásico sobre diseño y métodos de investigación de estudios de caso.</t>
  </si>
  <si>
    <t xml:space="preserve">Exploring the Ecological Outcomes of Mandatory Biodiversity Net Gain Using Evidence From Early-Adopter Jurisdictions in England</t>
  </si>
  <si>
    <t xml:space="preserve">Jurisdicciones pioneras de BNG</t>
  </si>
  <si>
    <t xml:space="preserve">Evaluación empírica temprana que revela que el 25% de las pérdidas de hábitat no fueron compensadas adecuadamente bajo BNG.</t>
  </si>
  <si>
    <t xml:space="preserve">Adger, W. N. (Ed.)</t>
  </si>
  <si>
    <t xml:space="preserve">Fairness in adaptation to climate change</t>
  </si>
  <si>
    <t xml:space="preserve">Ecosistemas vulnerables al clima</t>
  </si>
  <si>
    <t xml:space="preserve">Marco teórico y ético sobre la equidad y justicia distributiva en la adaptación al cambio climático.</t>
  </si>
  <si>
    <t xml:space="preserve">Batres, M. et al.</t>
  </si>
  <si>
    <t xml:space="preserve">Environmental and climate justice and technological carbon removal</t>
  </si>
  <si>
    <t xml:space="preserve">Demanda (Empresas tecnológicas), Reguladores/legisladores, Oferta (Comunidades locales)</t>
  </si>
  <si>
    <t xml:space="preserve">Remoción de carbono y soluciones tecnológicas</t>
  </si>
  <si>
    <t xml:space="preserve">Analiza la integración de principios de justicia climática en la eliminación tecnológica de dióxido de carbono.</t>
  </si>
  <si>
    <t xml:space="preserve">Calel, R.</t>
  </si>
  <si>
    <t xml:space="preserve">Carbon markets: a historical overview</t>
  </si>
  <si>
    <t xml:space="preserve">Reguladores/legisladores, Demanda (Empresas, Sector financiero), Comunidad científica</t>
  </si>
  <si>
    <t xml:space="preserve">Mercados de carbono y sistemas cap-and-trade</t>
  </si>
  <si>
    <t xml:space="preserve">Revisión histórica de la evolución de los mercados de carbono, precios de derechos de emisión y mecanismos de compensación.</t>
  </si>
  <si>
    <t xml:space="preserve">Choi, C.</t>
  </si>
  <si>
    <t xml:space="preserve">Trading Carbon, Trading Justice: Ethical Dimensions of Market-Based Climate Solutions</t>
  </si>
  <si>
    <t xml:space="preserve">Reguladores/legisladores, Demanda (Empresas), Oferta (Comunidades vulnerables)</t>
  </si>
  <si>
    <t xml:space="preserve">Asia Oriental / Global</t>
  </si>
  <si>
    <t xml:space="preserve">Mecanismos de mercado e iniciativas de desarrollo</t>
  </si>
  <si>
    <t xml:space="preserve">Examina las dimensiones éticas y de equidad de las soluciones climáticas basadas en el mercado y la compensación de carbono.</t>
  </si>
  <si>
    <t xml:space="preserve">Comberti, C. et al.</t>
  </si>
  <si>
    <t xml:space="preserve">Adaptation and resilience at the margins: Addressing indigenous peoples' marginalization at international climate negotiations</t>
  </si>
  <si>
    <t xml:space="preserve">Oferta (Comunidades indígenas y locales / IPLC), Reguladores/legisladores</t>
  </si>
  <si>
    <t xml:space="preserve">Territorios indígenas y bosques</t>
  </si>
  <si>
    <t xml:space="preserve">Aborda la marginalización de los pueblos indígenas en negociaciones internacionales e incentivos de conservación/PES.</t>
  </si>
  <si>
    <t xml:space="preserve">Digitemie, W. &amp; Ekemezie, I.</t>
  </si>
  <si>
    <t xml:space="preserve">Assessing the role of carbon pricing in global climate change mitigation strategies</t>
  </si>
  <si>
    <t xml:space="preserve">Reguladores/legisladores, Demanda (Empresas emisoras), Público general</t>
  </si>
  <si>
    <t xml:space="preserve">Mecanismos de precio al carbono e impuestos</t>
  </si>
  <si>
    <t xml:space="preserve">Analiza la efectividad de la fijación de precios al carbono y los sistemas de comercio de emisiones en la mitigación global.</t>
  </si>
  <si>
    <t xml:space="preserve">Forster, E. J. et al.</t>
  </si>
  <si>
    <t xml:space="preserve">Commercial afforestation can deliver effective climate change mitigation under multiple decarbonisation pathways</t>
  </si>
  <si>
    <t xml:space="preserve">Oferta (Silvicultores, Propietarios de tierras), Reguladores/legisladores, Comunidad científica</t>
  </si>
  <si>
    <t xml:space="preserve">Reino Unido / Europa</t>
  </si>
  <si>
    <t xml:space="preserve">Bosques comerciales y aforestación</t>
  </si>
  <si>
    <t xml:space="preserve">Modela el impacto de la aforestación comercial para el secuestro de carbono e incentivos de compensación bajo diversas rutas.</t>
  </si>
  <si>
    <t xml:space="preserve">Hisler, H. et al.</t>
  </si>
  <si>
    <t xml:space="preserve">Localized governance of carbon dioxide removal in small developing States</t>
  </si>
  <si>
    <t xml:space="preserve">Reguladores/legisladores, Oferta (Comunidades locales SIDS)</t>
  </si>
  <si>
    <t xml:space="preserve">Pequeños Estados Insulares (SIDS)</t>
  </si>
  <si>
    <t xml:space="preserve">Zonas costeras y ecosistemas insulares</t>
  </si>
  <si>
    <t xml:space="preserve">Examina la gobernanza descentralizada de proyectos de remoción de CO2 en pequeños Estados insulares en desarrollo.</t>
  </si>
  <si>
    <t xml:space="preserve">Ludena, C., De Miguel, C. &amp; Schuschny, A.</t>
  </si>
  <si>
    <t xml:space="preserve">Climate change and carbon markets: Implication for developing countries</t>
  </si>
  <si>
    <t xml:space="preserve">América Latina / Países en desarrollo</t>
  </si>
  <si>
    <t xml:space="preserve">Mercados de carbono y sectores productivos</t>
  </si>
  <si>
    <t xml:space="preserve">Evaluación econométrica e institucional de los efectos de los mercados de carbono en el desarrollo sostenible regional.</t>
  </si>
  <si>
    <t xml:space="preserve">Munonye, C.</t>
  </si>
  <si>
    <t xml:space="preserve">The influence of seasonal variation of thermal variables on comfort temperature in tropical buildings</t>
  </si>
  <si>
    <t xml:space="preserve">Nigeria / Región Tropical</t>
  </si>
  <si>
    <t xml:space="preserve">Entorno construido y ambiente urbano</t>
  </si>
  <si>
    <t xml:space="preserve">Estudio físico sobre el confort térmico y variaciones climáticas en edificaciones de regiones tropicales.</t>
  </si>
  <si>
    <t xml:space="preserve">The influence of seasonal variation of thermal variables on comfort temperature in schools in a warm and humid climate</t>
  </si>
  <si>
    <t xml:space="preserve">Comunidad científica, Público general (Comunidad escolar)</t>
  </si>
  <si>
    <t xml:space="preserve">Nigeria</t>
  </si>
  <si>
    <t xml:space="preserve">Entorno construido y escuelas</t>
  </si>
  <si>
    <t xml:space="preserve">Evaluación empírica de variables microclimáticas y confort térmico escolar en zonas cálidas y húmedas.</t>
  </si>
  <si>
    <t xml:space="preserve">Munonye, C., Oluchi, I., Maduka, N. &amp; Ngobili, M.</t>
  </si>
  <si>
    <t xml:space="preserve">An Overview of Implications and Suggestions for Reducing Temperature Rise in Buildings located in the Tropics</t>
  </si>
  <si>
    <t xml:space="preserve">Nigeria / Regiones Tropicales</t>
  </si>
  <si>
    <t xml:space="preserve">Entorno urbano y arquitectura tropical</t>
  </si>
  <si>
    <t xml:space="preserve">Revisión de estrategias pasivas de mitigación del aumento de temperatura en infraestructuras urbanas tropicales.</t>
  </si>
  <si>
    <t xml:space="preserve">Mutua, M.</t>
  </si>
  <si>
    <t xml:space="preserve">The complexity of universalism in human rights</t>
  </si>
  <si>
    <t xml:space="preserve">Global (Sur Global)</t>
  </si>
  <si>
    <t xml:space="preserve">Derecho internacional y gobernanza</t>
  </si>
  <si>
    <t xml:space="preserve">Análisis crítico sobre los derechos humanos universales, decolonialidad y equidad institucional en marcos globales.</t>
  </si>
  <si>
    <t xml:space="preserve">Popke, J., Curtis, S., &amp; Gamble, D. W.</t>
  </si>
  <si>
    <t xml:space="preserve">A social justice framing of climate change discourse and policy: Adaptation, resilience, and vulnerability in a Jamaican agricultural landscape</t>
  </si>
  <si>
    <t xml:space="preserve">Oferta (Agricultores locales), Reguladores/legisladores, Público general</t>
  </si>
  <si>
    <t xml:space="preserve">Jamaica (Caribe)</t>
  </si>
  <si>
    <t xml:space="preserve">Paisajes agrícolas y comunidades rurales</t>
  </si>
  <si>
    <t xml:space="preserve">Aplica un enfoque de justicia social a las políticas de adaptación climática y vulnerabilidad agrícola en Jamaica.</t>
  </si>
  <si>
    <t xml:space="preserve">Ritchie, B., &amp; Kemperman, A.</t>
  </si>
  <si>
    <t xml:space="preserve">Which types of product attributes lead to aviation voluntary carbon offsetting among air passengers?</t>
  </si>
  <si>
    <t xml:space="preserve">Público general (Pasajeros aéreos), Demanda (Aerolíneas / Empresas de transporte)</t>
  </si>
  <si>
    <t xml:space="preserve">Atmósfera / Terrestre</t>
  </si>
  <si>
    <t xml:space="preserve">Transporte aéreo y aviación</t>
  </si>
  <si>
    <t xml:space="preserve">Investigación empírica de mercado sobre las preferencias de los consumidores ante compensaciones voluntarias de carbono.</t>
  </si>
  <si>
    <t xml:space="preserve">Roy, A., Kumar, S. &amp; Rahaman, N.</t>
  </si>
  <si>
    <t xml:space="preserve">Exploring climate change impacts on rural livelihoods and adaptation strategies: Reflections from marginalized communities in India</t>
  </si>
  <si>
    <t xml:space="preserve">Oferta (Comunidades rurales marginadas, agricultores), Reguladores</t>
  </si>
  <si>
    <t xml:space="preserve">India (Asia del Sur)</t>
  </si>
  <si>
    <t xml:space="preserve">Sistemas agrícolas rurales</t>
  </si>
  <si>
    <t xml:space="preserve">Estudio cuali-cuantitativo de los impactos climáticos en comunidades agrícolas marginadas y sus medios de vida.</t>
  </si>
  <si>
    <t xml:space="preserve">Singleton, B. E., Rask, N., Magnusdottir, G. &amp; Kronsell, A.</t>
  </si>
  <si>
    <t xml:space="preserve">Intersectionality and climate policymaking. The inclusion of social difference by three Swedish government Agencies</t>
  </si>
  <si>
    <t xml:space="preserve">Reguladores/legisladores (Agencias gubernamentales), Público general</t>
  </si>
  <si>
    <t xml:space="preserve">Suecia (Europa)</t>
  </si>
  <si>
    <t xml:space="preserve">Política pública de sostenibilidad</t>
  </si>
  <si>
    <t xml:space="preserve">Análisis interseccional sobre cómo las agencias reguladoras clasifican e integran la equidad e inclusión social en políticas climáticas.</t>
  </si>
  <si>
    <t xml:space="preserve">Trisos, C. H., Auerbach, J., &amp; Katti, M.</t>
  </si>
  <si>
    <t xml:space="preserve">Decoloniality and anti-oppressive practices for a more ethical ecology</t>
  </si>
  <si>
    <t xml:space="preserve">Comunidad científica, Oferta (Comunidades indígenas y locales)</t>
  </si>
  <si>
    <t xml:space="preserve">Ecosistemas en investigación ecológica</t>
  </si>
  <si>
    <t xml:space="preserve">Propone prácticas éticas de descolonización e inclusión equitativa en las ciencias ecológicas y ambientales.</t>
  </si>
  <si>
    <t xml:space="preserve">Carbon markets (UNEP Climate Action Report)</t>
  </si>
  <si>
    <t xml:space="preserve">Sistemas globales de financiamiento climático</t>
  </si>
  <si>
    <t xml:space="preserve">Informe institucional del PNUMA sobre la tipología de mercados de carbono (cap-and-trade, impuestos e instrumentos de compensación).</t>
  </si>
  <si>
    <t xml:space="preserve">Bernhardt et al.</t>
  </si>
  <si>
    <t xml:space="preserve">Synthesizing US river restoration projects</t>
  </si>
  <si>
    <t xml:space="preserve">Ríos y cuencas hídricas</t>
  </si>
  <si>
    <t xml:space="preserve">Sintetiza más de 37.000 proyectos de restauración de ríos en EE. UU., analizando costos, seguimiento y tasas de éxito.</t>
  </si>
  <si>
    <t xml:space="preserve">Chapman &amp; Dearden</t>
  </si>
  <si>
    <t xml:space="preserve">Conceptual and empirical issues for alternative student loan designs: the significance of loan repayment burdens for the United States</t>
  </si>
  <si>
    <t xml:space="preserve">Sistema financiero y educación pública</t>
  </si>
  <si>
    <t xml:space="preserve">Modela la carga de reembolso de préstamos contingentes al ingreso (ICL) en EE. UU.</t>
  </si>
  <si>
    <t xml:space="preserve">Chapman &amp; Doan</t>
  </si>
  <si>
    <t xml:space="preserve">Higher education financing: student loans</t>
  </si>
  <si>
    <t xml:space="preserve">Economía pública y educación</t>
  </si>
  <si>
    <t xml:space="preserve">Compilación sobre la teoría y diseño institucional de préstamos contingentes al ingreso (ICL).</t>
  </si>
  <si>
    <t xml:space="preserve">Chapman, Higgins &amp; Stiglitz</t>
  </si>
  <si>
    <t xml:space="preserve">Income Contingent Loans: Theory, Practice and Prospects</t>
  </si>
  <si>
    <t xml:space="preserve">Finanzas públicas y mecanismos de crédito</t>
  </si>
  <si>
    <t xml:space="preserve">Desarrolla los fundamentos económicos de los préstamos contingentes al ingreso como mecanismo de suavización del consumo.</t>
  </si>
  <si>
    <t xml:space="preserve">Chazdon et al.</t>
  </si>
  <si>
    <t xml:space="preserve">A policy-driven knowledge agenda for global forest and landscape restoration</t>
  </si>
  <si>
    <t xml:space="preserve">Reguladores/legisladores, Oferta (Silvicultores, Comunidades locales), Comunidad científica</t>
  </si>
  <si>
    <t xml:space="preserve">Bosques y paisajes degradados</t>
  </si>
  <si>
    <t xml:space="preserve">Analiza la agenda de conocimiento e inversión en la restauración de 350 millones de hectáreas de paisajes forestales.</t>
  </si>
  <si>
    <t xml:space="preserve">Cleugh, H.</t>
  </si>
  <si>
    <t xml:space="preserve">Trees for Shelter—A Guide to Using Windbreaks on Australian Farms</t>
  </si>
  <si>
    <t xml:space="preserve">Oferta (Agricultores, Ganaderos), Comunidad científica</t>
  </si>
  <si>
    <t xml:space="preserve">Agrícola y cortinas rompevientos</t>
  </si>
  <si>
    <t xml:space="preserve">Demuestra que la instalación de cortinas vegetadas aumenta la producción de pastos e incrementa el rendimiento agrícola hasta en un 8%.</t>
  </si>
  <si>
    <t xml:space="preserve">Colombo, Calatrava-Requena &amp; Hanley</t>
  </si>
  <si>
    <t xml:space="preserve">The economic benefits of soil erosion control: an application of the contingent valuation method in the Alto Genil Basin of southern Spain</t>
  </si>
  <si>
    <t xml:space="preserve">Oferta (Agricultores), Reguladores/legisladores, Público general</t>
  </si>
  <si>
    <t xml:space="preserve">España (Cuenca del Alto Genil)</t>
  </si>
  <si>
    <t xml:space="preserve">Suelos agrícolas y cuencas mediterráneas</t>
  </si>
  <si>
    <t xml:space="preserve">Aplica valoración contingente para estimar los beneficios económicos privados y públicos del control de la erosión del suelo.</t>
  </si>
  <si>
    <t xml:space="preserve">Crouzeilles et al.</t>
  </si>
  <si>
    <t xml:space="preserve">New perspectives on natural regeneration for forest landscape restoration</t>
  </si>
  <si>
    <t xml:space="preserve">Oferta (Silvicultores), Reguladores/legisladores, Comunidad científica</t>
  </si>
  <si>
    <t xml:space="preserve">Bosques y restauración del paisaje</t>
  </si>
  <si>
    <t xml:space="preserve">Evalúa la costo-efectividad de la regeneración natural asistida en la restauración de bosques a escala global.</t>
  </si>
  <si>
    <t xml:space="preserve">DELWP (Victoria)</t>
  </si>
  <si>
    <t xml:space="preserve">What are the Benefits to Landholders of Adopting Riparian Works?</t>
  </si>
  <si>
    <t xml:space="preserve">Oferta (Agricultores, Ganaderos), Reguladores/legisladores</t>
  </si>
  <si>
    <t xml:space="preserve">Zonas ribereñas y pastizales</t>
  </si>
  <si>
    <t xml:space="preserve">Muestra que la restauración de vegetación ribereña incrementa la producción láctea y eleva el ingreso de las fincas hasta un 5%.</t>
  </si>
  <si>
    <t xml:space="preserve">Ding et al. (WRI)</t>
  </si>
  <si>
    <t xml:space="preserve">Roots of Prosperity: The Economics and Finance of Restoring Land</t>
  </si>
  <si>
    <t xml:space="preserve">Demanda (Sector financiero, Inversores), Oferta (Agricultores, Comunidades), Reguladores</t>
  </si>
  <si>
    <t xml:space="preserve">Tierras agrícolas y forestales degradadas</t>
  </si>
  <si>
    <t xml:space="preserve">Analiza los modelos financieros y rentabilidad de restaurar tierras degradadas, estimando necesidades de $18B-$300B anuales.</t>
  </si>
  <si>
    <t xml:space="preserve">EU Agriculture Spending: Focused on Results</t>
  </si>
  <si>
    <t xml:space="preserve">Reguladores/legisladores, Oferta (Agricultores de la UE)</t>
  </si>
  <si>
    <t xml:space="preserve">Agrícola y paisajes rurales</t>
  </si>
  <si>
    <t xml:space="preserve">Evalúa el gasto agrícola de €23.000M de la UE y sus resultados mixtos en conservación de biodiversidad y restauración.</t>
  </si>
  <si>
    <t xml:space="preserve">Francis, Weston &amp; Birch</t>
  </si>
  <si>
    <t xml:space="preserve">The Social, Environmental and Economic Benefits of Farmer Managed Natural Regeneration</t>
  </si>
  <si>
    <t xml:space="preserve">Oferta (Agricultores, Comunidades locales), Reguladores, ONGs</t>
  </si>
  <si>
    <t xml:space="preserve">África (Níger / Sahel) / Australia</t>
  </si>
  <si>
    <t xml:space="preserve">Tierras agrícolas áridas y bosques comunitarios</t>
  </si>
  <si>
    <t xml:space="preserve">Demuestra los beneficios socioeconómicos y ecológicos de la regeneración natural gestionada por agricultores (FMNR).</t>
  </si>
  <si>
    <t xml:space="preserve">Furby, S.</t>
  </si>
  <si>
    <t xml:space="preserve">Land cover change: specification for remote sensing analysis</t>
  </si>
  <si>
    <t xml:space="preserve">Bosques y cubierta vegetal</t>
  </si>
  <si>
    <t xml:space="preserve">Especificaciones técnicas de teledetección para el Sistema Nacional de Contabilidad del Carbono de Australia.</t>
  </si>
  <si>
    <t xml:space="preserve">Geddes et al.</t>
  </si>
  <si>
    <t xml:space="preserve">Old field colonization by native trees and shrubs following land use change: Could this be Victoria’s largest example of landscape recovery?</t>
  </si>
  <si>
    <t xml:space="preserve">Comunidad científica, Reguladores, Oferta (Propietarios)</t>
  </si>
  <si>
    <t xml:space="preserve">Antiguos campos agrícolas y matorrales nativos</t>
  </si>
  <si>
    <t xml:space="preserve">Documenta la colonización natural de árboles y arbustos nativos en terrenos agrícolas abandonados.</t>
  </si>
  <si>
    <t xml:space="preserve">Gibbs &amp; Salmon</t>
  </si>
  <si>
    <t xml:space="preserve">Mapping the world’s degraded lands</t>
  </si>
  <si>
    <t xml:space="preserve">Tierras arables y suelos degradados</t>
  </si>
  <si>
    <t xml:space="preserve">Mapea espacialmente la extensión de las tierras degradadas del mundo, estimando entre 1 y 2 mil millones de hectáreas.</t>
  </si>
  <si>
    <t xml:space="preserve">Hajkowicz, S.</t>
  </si>
  <si>
    <t xml:space="preserve">The evolution of Australia’s natural resource management programs: towards improved targeting and evaluation of investments</t>
  </si>
  <si>
    <t xml:space="preserve">Reguladores/legisladores, Oferta (Gestores regionales), Comunidad científica</t>
  </si>
  <si>
    <t xml:space="preserve">Recursos naturales y cuencas hidrográficas</t>
  </si>
  <si>
    <t xml:space="preserve">Evalúa la evolución de los programas públicos de gestión de recursos naturales en Australia e identifica deficiencias en focalización.</t>
  </si>
  <si>
    <t xml:space="preserve">Ikin et al.</t>
  </si>
  <si>
    <t xml:space="preserve">Avian functional responses to landscape recovery</t>
  </si>
  <si>
    <t xml:space="preserve">Woodlands templados y franjas arboladas</t>
  </si>
  <si>
    <t xml:space="preserve">Mide la respuesta de las comunidades de aves ante la recuperación de la vegetación en paisajes agrícolas.</t>
  </si>
  <si>
    <t xml:space="preserve">The IPBES Assessment Report on Land Degradation and Restoration</t>
  </si>
  <si>
    <t xml:space="preserve">Reguladores/legisladores, Comunidad científica, Público general, Oferta</t>
  </si>
  <si>
    <t xml:space="preserve">Todos los ecosistemas terrestres degradados</t>
  </si>
  <si>
    <t xml:space="preserve">Informe global de evaluación que señala que el 29% de la tierra arable está degradada, afectando a 3.200 millones de personas.</t>
  </si>
  <si>
    <t xml:space="preserve">Economic Costs of Hill Country Erosion and Benefits of Mitigation in New Zealand: Review and Recommendation of Approach</t>
  </si>
  <si>
    <t xml:space="preserve">Tierras de colina y suelos agrícolas</t>
  </si>
  <si>
    <t xml:space="preserve">Cuantifica los costos económicos de la erosión del suelo y demuestra los beneficios financieros de las obras de mitigación.</t>
  </si>
  <si>
    <t xml:space="preserve">Kremen &amp; Merenlender</t>
  </si>
  <si>
    <t xml:space="preserve">Landscapes that work for biodiversity and people</t>
  </si>
  <si>
    <t xml:space="preserve">Comunidad científica, Oferta (Agricultores), Reguladores</t>
  </si>
  <si>
    <t xml:space="preserve">Paisajes agrícolas multifuncionales</t>
  </si>
  <si>
    <t xml:space="preserve">Argumenta cómo los paisajes agrícolas diversificados promueven la biodiversidad y mejoran la productividad a largo plazo.</t>
  </si>
  <si>
    <t xml:space="preserve">Lindenmayer et al.</t>
  </si>
  <si>
    <t xml:space="preserve">Weather effects on birds of different size are mediated by long-term climate and vegetation type in endangered temperate woodlands</t>
  </si>
  <si>
    <t xml:space="preserve">Bosques templados y woodlands amenezados</t>
  </si>
  <si>
    <t xml:space="preserve">Evalúa la interacción entre el clima, el tipo de vegetación y la avifauna en bosques agrícolas en restauración.</t>
  </si>
  <si>
    <t xml:space="preserve">Restoring Farm Woodlands for Wildlife</t>
  </si>
  <si>
    <t xml:space="preserve">Woodlands agrícolas y vegetación nativa</t>
  </si>
  <si>
    <t xml:space="preserve">Guía práctica y científica sobre los beneficios productivos y de biodiversidad al restaurar áreas arboladas en fincas.</t>
  </si>
  <si>
    <t xml:space="preserve">Menz, Dixon &amp; Hobbs</t>
  </si>
  <si>
    <t xml:space="preserve">Hurdles and opportunities for landscape-scale restoration</t>
  </si>
  <si>
    <t xml:space="preserve">Ecosistemas degradados a gran escala</t>
  </si>
  <si>
    <t xml:space="preserve">Revisa los obstáculos de financiación y ejecución en proyectos de restauración a escala de paisaje.</t>
  </si>
  <si>
    <t xml:space="preserve">Morandi et al.</t>
  </si>
  <si>
    <t xml:space="preserve">How is success or failure in river restoration projects evaluated? Feedback from French restoration projects</t>
  </si>
  <si>
    <t xml:space="preserve">Ríos y ecosistemas fluviales</t>
  </si>
  <si>
    <t xml:space="preserve">Evalúa los criterios de éxito y fracaso en proyectos de restauración de ríos en Francia.</t>
  </si>
  <si>
    <t xml:space="preserve">Nilsson et al.</t>
  </si>
  <si>
    <t xml:space="preserve">Riparian and in-stream restoration of boreal streams and rivers: success or failure?</t>
  </si>
  <si>
    <t xml:space="preserve">Suecia / Europa Boreal</t>
  </si>
  <si>
    <t xml:space="preserve">Ríos boreales y zonas ribereñas</t>
  </si>
  <si>
    <t xml:space="preserve">Analiza la efectividad de los proyectos de restauración de arroyos y ríos boreales en el norte de Europa.</t>
  </si>
  <si>
    <t xml:space="preserve">Pannell &amp; Roberts</t>
  </si>
  <si>
    <t xml:space="preserve">Australia’s national action plan for salinity and water quality: a retrospective assessment</t>
  </si>
  <si>
    <t xml:space="preserve">Reguladores/legisladores, Oferta (Agricultores), Científicos</t>
  </si>
  <si>
    <t xml:space="preserve">Suelos salinos y cuencas agrícolas</t>
  </si>
  <si>
    <t xml:space="preserve">Evaluación retrospectiva del programa nacional australiano de $1.400M contra la salinidad y calidad del agua.</t>
  </si>
  <si>
    <t xml:space="preserve">Pezo Quevedo et al. (Banco Mundial)</t>
  </si>
  <si>
    <t xml:space="preserve">Silvopastoral Systems for Intensifying Cattle Production and Enhancing Forest Cover: The Case of Costa Rica</t>
  </si>
  <si>
    <t xml:space="preserve">Oferta (Ganaderos, Agricultores), Reguladores/legisladores</t>
  </si>
  <si>
    <t xml:space="preserve">Sistemas silvopastoriles y bosques tropicales</t>
  </si>
  <si>
    <t xml:space="preserve">Demuestra que los sistemas silvopastoriles aumentan la productividad ganadera e incrementan la cobertura forestal.</t>
  </si>
  <si>
    <t xml:space="preserve">Polyakov et al.</t>
  </si>
  <si>
    <t xml:space="preserve">Capitalized amenity value of native vegetation in a multifunctional rural landscape</t>
  </si>
  <si>
    <t xml:space="preserve">Oferta (Propietarios rurales), Público general, Mercado inmobiliario</t>
  </si>
  <si>
    <t xml:space="preserve">Vegetación nativa y propiedades rurales</t>
  </si>
  <si>
    <t xml:space="preserve">Demuestra mediante precios hedónicos que la presencia de vegetación nativa incrementa el valor de mercado de las propiedades rurales.</t>
  </si>
  <si>
    <t xml:space="preserve">Quiggin, J.</t>
  </si>
  <si>
    <t xml:space="preserve">The welfare effects of income contingent financing for higher education</t>
  </si>
  <si>
    <t xml:space="preserve">Economía del bienestar y finanzas públicas</t>
  </si>
  <si>
    <t xml:space="preserve">Analiza teóricamente los efectos en el bienestar de los esquemas de financiamiento contingente al ingreso.</t>
  </si>
  <si>
    <t xml:space="preserve">Income-contingent loans as a risk management device</t>
  </si>
  <si>
    <t xml:space="preserve">Reguladores/legisladores, Demanda (Sector financiero)</t>
  </si>
  <si>
    <t xml:space="preserve">Gestión de riesgo financiero</t>
  </si>
  <si>
    <t xml:space="preserve">Demuestra que los préstamos contingentes al ingreso actúan como mecanismos de seguro automático y suavización del consumo.</t>
  </si>
  <si>
    <t xml:space="preserve">Ribaudo, M. O.</t>
  </si>
  <si>
    <t xml:space="preserve">Reducing soil erosion: offsite benefits</t>
  </si>
  <si>
    <t xml:space="preserve">Reguladores/legisladores, Oferta (Agricultores), Público general</t>
  </si>
  <si>
    <t xml:space="preserve">Suelos agrícolas y cuencas hídricas</t>
  </si>
  <si>
    <t xml:space="preserve">Cuantifica los beneficios fuera del sitio (offsite) del control de la erosión del suelo en calidad del agua e infraestructura.</t>
  </si>
  <si>
    <t xml:space="preserve">Robins &amp; Kanowski</t>
  </si>
  <si>
    <t xml:space="preserve">Crying for our country: eight ways in which ‘caring for our country’ has undermined Australia’s regional model for natural resource management</t>
  </si>
  <si>
    <t xml:space="preserve">Reguladores/legisladores, Oferta (Gestores regionales), Comunidad</t>
  </si>
  <si>
    <t xml:space="preserve">Gestión de recursos naturales regionales</t>
  </si>
  <si>
    <t xml:space="preserve">Crítica el cambio en el programa australiano de gestión regional de recursos naturales y sus distorsiones presupuestarias.</t>
  </si>
  <si>
    <t xml:space="preserve">Stiglitz, J. E.</t>
  </si>
  <si>
    <t xml:space="preserve">Remarks on income contingent loans: how effective can they be at mitigating risk?</t>
  </si>
  <si>
    <t xml:space="preserve">Economía pública</t>
  </si>
  <si>
    <t xml:space="preserve">Analiza la capacidad de los préstamos contingentes al ingreso para corregir fallas de mercado en la gestión de riesgo.</t>
  </si>
  <si>
    <t xml:space="preserve">Income-contingent loans: some general theoretical considerations, with applications</t>
  </si>
  <si>
    <t xml:space="preserve">Caracteriza los préstamos contingentes respaldados por el Estado como una innovación social y financiera superior.</t>
  </si>
  <si>
    <t xml:space="preserve">Stiglitz &amp; Rosengard</t>
  </si>
  <si>
    <t xml:space="preserve">Economics of the Public Sector</t>
  </si>
  <si>
    <t xml:space="preserve">Finanzas públicas y bienes públicos</t>
  </si>
  <si>
    <t xml:space="preserve">Texto fundamental sobre economía del sector público, bienes públicos y principios de cofinanciamiento eficiente.</t>
  </si>
  <si>
    <t xml:space="preserve">Thorburn et al. (Queensland Govt)</t>
  </si>
  <si>
    <t xml:space="preserve">Scientific consensus statement: The Water Quality and Economic Benefits of Agricultural Management Practices</t>
  </si>
  <si>
    <t xml:space="preserve">Oferta (Agricultores), Reguladores/legisladores, Científicos</t>
  </si>
  <si>
    <t xml:space="preserve">Australia (Queensland - Gran Barrera)</t>
  </si>
  <si>
    <t xml:space="preserve">Cuencas agrícolas y Gran Barrera de Coral</t>
  </si>
  <si>
    <t xml:space="preserve">Demuestra los beneficios económicos y de calidad del agua al adoptar mejores prácticas agrícolas en cuencas costeras.</t>
  </si>
  <si>
    <t xml:space="preserve">Tilman et al.</t>
  </si>
  <si>
    <t xml:space="preserve">Global food demand and the sustainable intensification of agriculture</t>
  </si>
  <si>
    <t xml:space="preserve">Tierras de cultivo y producción agrícola</t>
  </si>
  <si>
    <t xml:space="preserve">Proyecta la demanda global de alimentos a 2050 y la necesidad de intensificación agrícola sostenible para prevenir deforestación.</t>
  </si>
  <si>
    <t xml:space="preserve">Sustainable Development Goals: 15 Life on Land</t>
  </si>
  <si>
    <t xml:space="preserve">Reguladores/legisladores, Público general, Oferta, Demanda</t>
  </si>
  <si>
    <t xml:space="preserve">Ecosistemas terrestres y bosques</t>
  </si>
  <si>
    <t xml:space="preserve">Marco marco que establece el ODS 15.5 para detener y revertir la degradación de la tierra y la pérdida de biodiversidad.</t>
  </si>
  <si>
    <t xml:space="preserve">New UN Decade on Ecosystem Restoration offers Unparalleled Opportunity for Job Creation, Food Security and Addressing Climate Change</t>
  </si>
  <si>
    <t xml:space="preserve">Todos los ecosistemas degradados</t>
  </si>
  <si>
    <t xml:space="preserve">Proclama el Decenio de las Naciones Unidas para la Restauración de los Ecosistemas (2021-2030).</t>
  </si>
  <si>
    <t xml:space="preserve">van Long, N.</t>
  </si>
  <si>
    <t xml:space="preserve">Income-contingent loans: towards a piecewise linear scheme</t>
  </si>
  <si>
    <t xml:space="preserve">Economía matemática y crédito</t>
  </si>
  <si>
    <t xml:space="preserve">Desarrolla modelos matemáticos de esquemas lineales por tramos para optimizar el reembolso de préstamos contingentes.</t>
  </si>
  <si>
    <t xml:space="preserve">Walpole, S. C.</t>
  </si>
  <si>
    <t xml:space="preserve">Assessment of the economic and ecological impacts of remnant vegetation on pasture productivity</t>
  </si>
  <si>
    <t xml:space="preserve">Oferta (Ganaderos, Agricultores), Comunidad científica</t>
  </si>
  <si>
    <t xml:space="preserve">Vegetación remanente nativa y pastizales</t>
  </si>
  <si>
    <t xml:space="preserve">Muestra empíricamente que la conservación de vegetación nativa remanente mejora la productividad de los pastos e incrementa rentabilidad.</t>
  </si>
  <si>
    <t xml:space="preserve">Armsworth et al.</t>
  </si>
  <si>
    <t xml:space="preserve">The cost of policy simplification in conservation incentive programs</t>
  </si>
  <si>
    <t xml:space="preserve">Reguladores/legisladores, Oferta (Agricultores)</t>
  </si>
  <si>
    <t xml:space="preserve">Tierras de cultivo y paisajes agrícolas</t>
  </si>
  <si>
    <t xml:space="preserve">Modela cuantitativamente los costos de simplificación de políticas en programas de incentivos de conservación (zonal vs horizontal).</t>
  </si>
  <si>
    <t xml:space="preserve">Attwood et al.</t>
  </si>
  <si>
    <t xml:space="preserve">Declining birds in Australian agricultural landscapes may benefit from aspects of the European agrienvironment model</t>
  </si>
  <si>
    <t xml:space="preserve">Comunidad científica, Oferta (Agricultores), Reguladores/legisladores</t>
  </si>
  <si>
    <t xml:space="preserve">Paisajes agrícolas y hábitats de aves de pastizal</t>
  </si>
  <si>
    <t xml:space="preserve">Analiza cómo los esquemas agroambientales europeos (AES) pueden adaptarse al contexto australiano para proteger aves en declive.</t>
  </si>
  <si>
    <t xml:space="preserve">Báldi &amp; Batáry</t>
  </si>
  <si>
    <t xml:space="preserve">The past and future of farmland birds in Hungary</t>
  </si>
  <si>
    <t xml:space="preserve">Comunidad científica, Reguladores/legisladores, Oferta (Agricultores)</t>
  </si>
  <si>
    <t xml:space="preserve">Hungría (Europa Central)</t>
  </si>
  <si>
    <t xml:space="preserve">Tierras de cultivo a gran escala y pastizales</t>
  </si>
  <si>
    <t xml:space="preserve">Evalúa el impacto histórico de la colectivización e intensificación agrícola sobre aves de pastizal y el rol de los AES post-UE.</t>
  </si>
  <si>
    <t xml:space="preserve">Landscape-moderated biodiversity effects of agri-environmental management – a meta-analysis</t>
  </si>
  <si>
    <t xml:space="preserve">Europa (Meta-análisis)</t>
  </si>
  <si>
    <t xml:space="preserve">Campos de cultivo y bordes de campo</t>
  </si>
  <si>
    <t xml:space="preserve">Demuestra mediante meta-análisis que la efectividad de los AES sobre la biodiversidad depende de la complejidad del paisaje circundante.</t>
  </si>
  <si>
    <t xml:space="preserve">Boitani &amp; Sutherland</t>
  </si>
  <si>
    <t xml:space="preserve">Conservation in Europe as a model for emerging conservation issues globally</t>
  </si>
  <si>
    <t xml:space="preserve">Paisajes modificados por el ser humano y áreas protegidas</t>
  </si>
  <si>
    <t xml:space="preserve">Analiza las particularidades del modelo europeo de conservación en paisajes agrícolas gestionados e intensivos frente a América.</t>
  </si>
  <si>
    <t xml:space="preserve">Burton &amp; Schwarz</t>
  </si>
  <si>
    <t xml:space="preserve">Result-oriented agri-environmental schemes in Europe and their potential for promoting behavioural change</t>
  </si>
  <si>
    <t xml:space="preserve">Pastizales y tierras de cultivo</t>
  </si>
  <si>
    <t xml:space="preserve">Examina el potencial de los esquemas orientados a resultados para fomentar un cambio de comportamiento continuo en los agricultores.</t>
  </si>
  <si>
    <t xml:space="preserve">Carvalheiro et al.</t>
  </si>
  <si>
    <t xml:space="preserve">Species richness declines and biotic homogenisation have slowed down for NW-European pollinators and plants</t>
  </si>
  <si>
    <t xml:space="preserve">Europa del Noroeste (Reino Unido, Países Bajos, Holanda)</t>
  </si>
  <si>
    <t xml:space="preserve">Polinizadores y plantas silvestres de tierras agrícolas</t>
  </si>
  <si>
    <t xml:space="preserve">Demuestra que la ralentización en la pérdida de biodiversidad de polinizadores coincide temporalmente con la implementación masiva de AES.</t>
  </si>
  <si>
    <t xml:space="preserve">Debussche, Lepart &amp; Dervieux</t>
  </si>
  <si>
    <t xml:space="preserve">Mediterranean landscape changes: evidence from old postcards</t>
  </si>
  <si>
    <t xml:space="preserve">Francia (Región Mediterránea)</t>
  </si>
  <si>
    <t xml:space="preserve">Bosques, matorrales y terrazas agrícolas abandonadas</t>
  </si>
  <si>
    <t xml:space="preserve">Utiliza fotografías históricas para cuantificar el abandono de tierras agrícolas y la sucesión forestal secundaria en el Mediterráneo.</t>
  </si>
  <si>
    <t xml:space="preserve">Defrancesco et al.</t>
  </si>
  <si>
    <t xml:space="preserve">Factors affecting farmers’ participation in agri-environmental measures: a northern Italian perspective</t>
  </si>
  <si>
    <t xml:space="preserve">Oferta (Agricultores), Reguladores/legisladores</t>
  </si>
  <si>
    <t xml:space="preserve">Italia (Norte de Italia)</t>
  </si>
  <si>
    <t xml:space="preserve">Tierras de cultivo intensivo</t>
  </si>
  <si>
    <t xml:space="preserve">Identifica los factores socioeconómicos y las actitudes que determinan la adopción de medidas agroambientales por los agricultores.</t>
  </si>
  <si>
    <t xml:space="preserve">de Snoo et al.</t>
  </si>
  <si>
    <t xml:space="preserve">Toward effective nature conservation on farmland: making farmers matter</t>
  </si>
  <si>
    <t xml:space="preserve">Tierras agrícolas y campos de cultivo</t>
  </si>
  <si>
    <t xml:space="preserve">Arguye la importancia de integrar los conocimientos, motivación y valores de los agricultores en el diseño de programas de conservación.</t>
  </si>
  <si>
    <t xml:space="preserve">Dicks et al. (a)</t>
  </si>
  <si>
    <t xml:space="preserve">Farmland conservation synopsis. Synopses of Conservation Evidence</t>
  </si>
  <si>
    <t xml:space="preserve">Ecosistemas agrícolas y especies asociadas</t>
  </si>
  <si>
    <t xml:space="preserve">Compilación sintética de evidencia científica sobre la efectividad de diversas intervenciones de conservación en tierras de cultivo.</t>
  </si>
  <si>
    <t xml:space="preserve">Dicks et al. (b)</t>
  </si>
  <si>
    <t xml:space="preserve">A transparent process for ‘evidence-informed’ policy making</t>
  </si>
  <si>
    <t xml:space="preserve">Unión Europea / Reino Unido</t>
  </si>
  <si>
    <t xml:space="preserve">Paisajes agrícolas bajo la PAC</t>
  </si>
  <si>
    <t xml:space="preserve">Evalúa el uso de evidencia científica en las reformas de la Política Agrícola Común (PAC) de la UE para el diseño de políticas verdes.</t>
  </si>
  <si>
    <t xml:space="preserve">Ekroos et al.</t>
  </si>
  <si>
    <t xml:space="preserve">Optimizing agri-environment schemes for biodiversity, ecosystem services or both?</t>
  </si>
  <si>
    <t xml:space="preserve">Reguladores/legisladores, Comunidad científica, Oferta (Agricultores)</t>
  </si>
  <si>
    <t xml:space="preserve">Europa (Suecia/Finlandia)</t>
  </si>
  <si>
    <t xml:space="preserve">Campos agrícolas y servicios de polinizadores/biocontrol</t>
  </si>
  <si>
    <t xml:space="preserve">Analiza las sinergias y compromisos al optimizar los AES para la conservación de especies frente a la provisión de servicios ecosistémicos.</t>
  </si>
  <si>
    <t xml:space="preserve">The CAP towards 2020: meeting the food, natural resources and territorial challenges of the future</t>
  </si>
  <si>
    <t xml:space="preserve">Territorios agrícolas y rurales de la UE</t>
  </si>
  <si>
    <t xml:space="preserve">Documento marco de la Comisión Europea que establece el mandato de la PAC para financiar bienes públicos ambientales y conservación.</t>
  </si>
  <si>
    <t xml:space="preserve">European Network for Rural Development</t>
  </si>
  <si>
    <t xml:space="preserve">Rural Development Programme Financial and Physical Indicators</t>
  </si>
  <si>
    <t xml:space="preserve">Áreas rurales y agrícolas asignadas a AES</t>
  </si>
  <si>
    <t xml:space="preserve">Base de datos con indicadores de gasto ejecutado e hectáreas bajo esquemas agroambientales en los Estados Miembros de la UE (2007-2013).</t>
  </si>
  <si>
    <t xml:space="preserve">Flynn et al.</t>
  </si>
  <si>
    <t xml:space="preserve">Loss of functional diversity under land use intensification across multiple taxa</t>
  </si>
  <si>
    <t xml:space="preserve">Global (Múltiples sitios)</t>
  </si>
  <si>
    <t xml:space="preserve">Bosques, pastizales y cultivos intensivos</t>
  </si>
  <si>
    <t xml:space="preserve">Meta-análisis que demuestra la pérdida sistemática de diversidad funcional ante la intensificación del uso del suelo en múltiples taxones.</t>
  </si>
  <si>
    <t xml:space="preserve">Foley et al.</t>
  </si>
  <si>
    <t xml:space="preserve">Solutions for a cultivated planet</t>
  </si>
  <si>
    <t xml:space="preserve">Ecosistemas agrícolas globales y límites planetarios</t>
  </si>
  <si>
    <t xml:space="preserve">Identifica la expansión e intensificación agrícola como el mayor motor de pérdida de biodiversidad y propone estrategias de sostenibilidad.</t>
  </si>
  <si>
    <t xml:space="preserve">Fuller, R. M.</t>
  </si>
  <si>
    <t xml:space="preserve">The changing extent and conservation interest of lowland grasslands in England and Wales</t>
  </si>
  <si>
    <t xml:space="preserve">Reino Unido (Inglaterra y Gales)</t>
  </si>
  <si>
    <t xml:space="preserve">Pastizales semi-naturales de tierras bajas</t>
  </si>
  <si>
    <t xml:space="preserve">Documenta la destrucción masiva de pastizales ricos en especies en Inglaterra debido al arado, fertilización y siembra comercial.</t>
  </si>
  <si>
    <t xml:space="preserve">Garibaldi et al.</t>
  </si>
  <si>
    <t xml:space="preserve">From research to action: practices to enhance crop yield through wild pollinators</t>
  </si>
  <si>
    <t xml:space="preserve">Cultivos arables y franjas de flores silvestres</t>
  </si>
  <si>
    <t xml:space="preserve">Demuestra que la creación de franjas florales y hábitats no productivos aumenta los polinizadores silvestres y mejora el rendimiento de cultivos.</t>
  </si>
  <si>
    <t xml:space="preserve">The evolution of Australia’s natural resource management programs: towards improved targeting and evaluation</t>
  </si>
  <si>
    <t xml:space="preserve">Reguladores/legisladores, Oferta (Agricultores, Comunidades locales)</t>
  </si>
  <si>
    <t xml:space="preserve">Paisajes rurales, vegetación nativa y cuencas</t>
  </si>
  <si>
    <t xml:space="preserve">Analiza la evolución de los programas Landcare y NHT en Australia para la restauración de hábitats naturales en tierras privadas.</t>
  </si>
  <si>
    <t xml:space="preserve">Hammers et al.</t>
  </si>
  <si>
    <t xml:space="preserve">Ecological contrasts drive responses of wintering farmland birds to conservation management</t>
  </si>
  <si>
    <t xml:space="preserve">Comunidad científica, Oferta (Agricultores)</t>
  </si>
  <si>
    <t xml:space="preserve">Aves invernantes en campos agrícolas</t>
  </si>
  <si>
    <t xml:space="preserve">Demuestra que la respuesta de las aves agrícolas a los AES está determinada por el contraste ecológico entre la medida y el entorno.</t>
  </si>
  <si>
    <t xml:space="preserve">Hedges &amp; Olkin</t>
  </si>
  <si>
    <t xml:space="preserve">Statistical methods for meta-analysis</t>
  </si>
  <si>
    <t xml:space="preserve">Metodología estadística de meta-análisis</t>
  </si>
  <si>
    <t xml:space="preserve">Texto metodológico de referencia sobre estimación de tamaño de efecto y varianza no paramétrica en meta-análisis.</t>
  </si>
  <si>
    <t xml:space="preserve">Herzon &amp; Mikk</t>
  </si>
  <si>
    <t xml:space="preserve">Farmers’ perceptions of biodiversity and their willingness to enhance it through agri-environment schemes</t>
  </si>
  <si>
    <t xml:space="preserve">Estonia y Finlandia</t>
  </si>
  <si>
    <t xml:space="preserve">Tierras de cultivo y pastizales</t>
  </si>
  <si>
    <t xml:space="preserve">Estudio comparativo sobre la percepción de la biodiversidad por parte de agricultores estonios y finlandeses y su disposición a participar en AES.</t>
  </si>
  <si>
    <t xml:space="preserve">Hodge, Hauck &amp; Bonn</t>
  </si>
  <si>
    <t xml:space="preserve">The alignment of agricultural and nature conservation policies in the European Union</t>
  </si>
  <si>
    <t xml:space="preserve">Paisajes agrícolas y áreas sensibles ambientalmente</t>
  </si>
  <si>
    <t xml:space="preserve">Analiza la alineación histórica entre la Política Agrícola Común (PAC) y las directivas de conservación de la naturaleza en la UE.</t>
  </si>
  <si>
    <t xml:space="preserve">Hodge &amp; Reader</t>
  </si>
  <si>
    <t xml:space="preserve">The introduction of Entry Level Stewardship in England: Extension or dilution in agri-environment policy?</t>
  </si>
  <si>
    <t xml:space="preserve">Campos de cultivo y bordes de hierba</t>
  </si>
  <si>
    <t xml:space="preserve">Demuestra que la mayoría de opciones adoptadas en esquemas básicos son aquellas de bajo esfuerzo con menor impacto en biodiversidad.</t>
  </si>
  <si>
    <t xml:space="preserve">Hungarian Government</t>
  </si>
  <si>
    <t xml:space="preserve">Regulation on the National Agri-environment Program 2009–2014 (Decision 96/2009)</t>
  </si>
  <si>
    <t xml:space="preserve">Hungría</t>
  </si>
  <si>
    <t xml:space="preserve">Tierras agrícolas y estepas arables</t>
  </si>
  <si>
    <t xml:space="preserve">Regulación nacional del programa agroambiental en Hungría definiendo las partidas presupuestarias y compromisos de gestión.</t>
  </si>
  <si>
    <t xml:space="preserve">Hungarian Ministry of Agriculture</t>
  </si>
  <si>
    <t xml:space="preserve">Report on the implementation of Hungarian Rural Development Plan in 2008</t>
  </si>
  <si>
    <t xml:space="preserve">Ecosistemas agrícolas y rurales</t>
  </si>
  <si>
    <t xml:space="preserve">Informe de ejecución presupuestaria mostrando que el gasto en AES (€117,6M) superó ampliamente el presupuesto general de conservación.</t>
  </si>
  <si>
    <t xml:space="preserve">Kampmann et al.</t>
  </si>
  <si>
    <t xml:space="preserve">Agri-environment scheme protects diversity of mountain grassland species</t>
  </si>
  <si>
    <t xml:space="preserve">Oferta (Agricultores de montaña), Reguladores/legisladores</t>
  </si>
  <si>
    <t xml:space="preserve">Suiza (Alpes Suizos)</t>
  </si>
  <si>
    <t xml:space="preserve">Pastizales de montaña de alta diversidad</t>
  </si>
  <si>
    <t xml:space="preserve">Demuestra empíricamente la efectividad de los AES para conservar comunidades de plantas ricas en especies en zonas de montaña.</t>
  </si>
  <si>
    <t xml:space="preserve">Kleijn et al.</t>
  </si>
  <si>
    <t xml:space="preserve">Mixed biodiversity benefits of agri-environment schemes in five European countries</t>
  </si>
  <si>
    <t xml:space="preserve">Europa (Holanda, RU, Alemania, España, Suiza)</t>
  </si>
  <si>
    <t xml:space="preserve">Pastizales, estepas arables y cultivos</t>
  </si>
  <si>
    <t xml:space="preserve">Estudio cuantitativo europeo que revela beneficios mixtos de los AES y resalta su mayor efectividad en aves esteparias en España.</t>
  </si>
  <si>
    <t xml:space="preserve">On the relationship between farmland biodiversity and land-use intensity in Europe</t>
  </si>
  <si>
    <t xml:space="preserve">Paisajes agrícolas bajo gradientes de intensificación</t>
  </si>
  <si>
    <t xml:space="preserve">Analiza la relación no lineal entre la intensidad de uso de la tierra y la biodiversidad agrícola a través de Europa.</t>
  </si>
  <si>
    <t xml:space="preserve">Does conservation on farmland contribute to halting the biodiversity decline?</t>
  </si>
  <si>
    <t xml:space="preserve">Tierras de cultivo e infraestructura verde agrícola</t>
  </si>
  <si>
    <t xml:space="preserve">Plantea el marco conceptual de efectividad moderada por la estructura del paisaje, intensidad de uso y contraste ecológico.</t>
  </si>
  <si>
    <t xml:space="preserve">Kleijn &amp; Sutherland</t>
  </si>
  <si>
    <t xml:space="preserve">How effective are European agrienvironment schemes in conserving and promoting biodiversity?</t>
  </si>
  <si>
    <t xml:space="preserve">Tierras de cultivo europeas</t>
  </si>
  <si>
    <t xml:space="preserve">Revisión pionera que cuestionó la eficacia global de los AES al concluir que la mitad de los esquemas carecían de efectos positivos rigurosos.</t>
  </si>
  <si>
    <t xml:space="preserve">Kovács-Hostyánszki &amp; Báldi</t>
  </si>
  <si>
    <t xml:space="preserve">Set-aside fields in agri-environment schemes can replace the market-driven abolishment of fallows</t>
  </si>
  <si>
    <t xml:space="preserve">Campos en barbecho y tierras arables</t>
  </si>
  <si>
    <t xml:space="preserve">Muestra que las parcelas de retiro (set-aside) financiada por AES sustituyen eficazmente los barbechos abolidos por el mercado.</t>
  </si>
  <si>
    <t xml:space="preserve">Kremen &amp; Miles</t>
  </si>
  <si>
    <t xml:space="preserve">Ecosystem services in biologically diversified versus conventional farming systems</t>
  </si>
  <si>
    <t xml:space="preserve">Sistemas agrícolas diversificados vs convencionales</t>
  </si>
  <si>
    <t xml:space="preserve">Revisión de la provisión de múltiples servicios ecosistémicos (polinización, control de plagas, suelos) en agricultura diversificada.</t>
  </si>
  <si>
    <t xml:space="preserve">Lambert et al.</t>
  </si>
  <si>
    <t xml:space="preserve">Profiles of US farm households adopting conservation-compatible practices</t>
  </si>
  <si>
    <t xml:space="preserve">Oferta (Agricultores de EE. UU.), Reguladores/legisladores</t>
  </si>
  <si>
    <t xml:space="preserve">Estados Unidos</t>
  </si>
  <si>
    <t xml:space="preserve">Tierras agrícolas bajo CRP y EQIP</t>
  </si>
  <si>
    <t xml:space="preserve">Clasifica los perfiles socioeconómicos de los hogares agrícolas estadounidenses que adoptan programas de conservación como CRP y EQIP.</t>
  </si>
  <si>
    <t xml:space="preserve">Lobley et al.</t>
  </si>
  <si>
    <t xml:space="preserve">Training farmers in agri-environmental management: the case of Environmental Stewardship in lowland England</t>
  </si>
  <si>
    <t xml:space="preserve">Oferta (Agricultores), Reguladores/legisladores, Asesores técnicos</t>
  </si>
  <si>
    <t xml:space="preserve">Reino Unido (Inglaterra de tierras bajas)</t>
  </si>
  <si>
    <t xml:space="preserve">Paisajes agrícolas y franjas florales</t>
  </si>
  <si>
    <t xml:space="preserve">Demuestra empíricamente que capacitar a los agricultores aumenta la abundancia de abejorros y aves en parcelas bajo AES.</t>
  </si>
  <si>
    <t xml:space="preserve">Lomba et al.</t>
  </si>
  <si>
    <t xml:space="preserve">Mapping and monitoring High Nature Value farmlands: challenges in European landscapes</t>
  </si>
  <si>
    <t xml:space="preserve">Tierras agrícolas de Alto Valor Natural (HNV)</t>
  </si>
  <si>
    <t xml:space="preserve">Revisa las metodologías de mapeo y monitoreo de tierras agrícolas de Alto Valor Natural (HNV) para focalizar subvenciones.</t>
  </si>
  <si>
    <t xml:space="preserve">Maiorano, Amori &amp; Boitani</t>
  </si>
  <si>
    <t xml:space="preserve">On how biodiversity is covered in Europe by national protected areas and by the Natura2000 network</t>
  </si>
  <si>
    <t xml:space="preserve">Red Natura 2000 y vertebrados terrestres</t>
  </si>
  <si>
    <t xml:space="preserve">Compara los costos y cobertura de biodiversidad entre áreas protegidas públicas, la red Natura 2000 y el gasto en AES.</t>
  </si>
  <si>
    <t xml:space="preserve">Marja et al.</t>
  </si>
  <si>
    <t xml:space="preserve">Environmentally friendly management as an intermediate strategy between organic and conventional agriculture</t>
  </si>
  <si>
    <t xml:space="preserve">Estonia</t>
  </si>
  <si>
    <t xml:space="preserve">Campos de cultivo arables</t>
  </si>
  <si>
    <t xml:space="preserve">Muestra que la gestión 'respetuosa con el medio ambiente' funciona como estrategia intermedia efectiva entre convencional y orgánica.</t>
  </si>
  <si>
    <t xml:space="preserve">Mendenhall et al.</t>
  </si>
  <si>
    <t xml:space="preserve">Predicting biodiversity change and averting collapse in agricultural landscapes</t>
  </si>
  <si>
    <t xml:space="preserve">Global (Costa Rica / Américas)</t>
  </si>
  <si>
    <t xml:space="preserve">Matriz agrícola y fragmentos de bosque</t>
  </si>
  <si>
    <t xml:space="preserve">Demuestra que la matriz agrícola no boscosa alberga un valor de conservación crítico si se gestiona con elementos arbolados.</t>
  </si>
  <si>
    <t xml:space="preserve">MNP (Milieu- en Natuurplanbureau)</t>
  </si>
  <si>
    <t xml:space="preserve">Ecologische evaluatie regelingen voor natuurbeheer Programma Beheer en Staatsbosbeheer 2000–2006</t>
  </si>
  <si>
    <t xml:space="preserve">Reguladores/legisladores, Oferta (Gestores)</t>
  </si>
  <si>
    <t xml:space="preserve">Reserva de naturaleza y áreas de gestión agrícola</t>
  </si>
  <si>
    <t xml:space="preserve">Evaluación ecológica oficial del presupuesto holandés comparando €48,8M en áreas protegidas frente a €42,1M en AES.</t>
  </si>
  <si>
    <t xml:space="preserve">Morandin &amp; Kremen</t>
  </si>
  <si>
    <t xml:space="preserve">Hedgerow restoration promotes pollinator populations and exports native bees to adjacent fields</t>
  </si>
  <si>
    <t xml:space="preserve">Setos vivos (hedgerows) y campos agrícolas</t>
  </si>
  <si>
    <t xml:space="preserve">Demuestra que la restauración de setos vivos incrementa la población de abejas nativas y exporta polinizadores a campos adyacentes.</t>
  </si>
  <si>
    <t xml:space="preserve">Moyse, R. I.</t>
  </si>
  <si>
    <t xml:space="preserve">Response of broad-leaved cudweed Filago pyramidata to cultivation under Environmental Stewardship</t>
  </si>
  <si>
    <t xml:space="preserve">Oferta (Gestores de reservas), Comunidad científica</t>
  </si>
  <si>
    <t xml:space="preserve">Reino Unido (Kent)</t>
  </si>
  <si>
    <t xml:space="preserve">Plantas arables raras en reservas agrícolas</t>
  </si>
  <si>
    <t xml:space="preserve">Estudio de caso sobre la recuperación exitosa de plantas arables amenazadas mediante labranza regulada bajo AES.</t>
  </si>
  <si>
    <t xml:space="preserve">Natural England</t>
  </si>
  <si>
    <t xml:space="preserve">Annual Report and Accounts 1 April 2013 to 31 March 2014</t>
  </si>
  <si>
    <t xml:space="preserve">Paisajes protegidos e infraestructura de conservación</t>
  </si>
  <si>
    <t xml:space="preserve">Informe financiero anual del organismo público inglés mostrando que el presupuesto de AES (€375M) duplicó el gasto operativo directo (€250M).</t>
  </si>
  <si>
    <t xml:space="preserve">Padilla et al.</t>
  </si>
  <si>
    <t xml:space="preserve">Land-use changes and carbon sequestration through the twentieth century in a Mediterranean mountain ecosystem</t>
  </si>
  <si>
    <t xml:space="preserve">España (Montañas mediterráneas)</t>
  </si>
  <si>
    <t xml:space="preserve">Ecosistemas de montaña y pastizales abandonados</t>
  </si>
  <si>
    <t xml:space="preserve">Analiza los cambios de uso de suelo y el secuestro de carbono derivados del abandono agrícola y la reforestación.</t>
  </si>
  <si>
    <t xml:space="preserve">Parfitt et al.</t>
  </si>
  <si>
    <t xml:space="preserve">The earliest record of human activity in northern Europe</t>
  </si>
  <si>
    <t xml:space="preserve">Cuantitativo / Arqueológico</t>
  </si>
  <si>
    <t xml:space="preserve">Europa del Norte (Reino Unido)</t>
  </si>
  <si>
    <t xml:space="preserve">Evidencia fósil y humana antigua</t>
  </si>
  <si>
    <t xml:space="preserve">Evidencia arqueológica de la ocupación humana continua en el norte de Europa desde hace al menos 700.000 años.</t>
  </si>
  <si>
    <t xml:space="preserve">PBL (Planbureau voor de Leefomgeving)</t>
  </si>
  <si>
    <t xml:space="preserve">Natuurbalans 2009</t>
  </si>
  <si>
    <t xml:space="preserve">Aves praderas en reservas vs tierras agrícolas</t>
  </si>
  <si>
    <t xml:space="preserve">Informe oficial holandés que muestra que las reservas naturales son más costo-efectivas para aves praderas que los AES en fincas privadas.</t>
  </si>
  <si>
    <t xml:space="preserve">Pe’er et al.</t>
  </si>
  <si>
    <t xml:space="preserve">EU agricultural reform fails on biodiversity</t>
  </si>
  <si>
    <t xml:space="preserve">Tierras de cultivo bajo el Pilar 1 de la PAC</t>
  </si>
  <si>
    <t xml:space="preserve">Crítica publicada en Science señalando que las medidas de reverdecimiento obligatorio de la PAC 2014-2020 diluyeron los beneficios ecológicos.</t>
  </si>
  <si>
    <t xml:space="preserve">Power, A. G.</t>
  </si>
  <si>
    <t xml:space="preserve">Ecosystem services and agriculture: tradeoffs and synergies</t>
  </si>
  <si>
    <t xml:space="preserve">Sistemas agrícolas y servicios ecosistémicos</t>
  </si>
  <si>
    <t xml:space="preserve">Revisa los compromisos e interacciones entre la producción de alimentos y la conservación de servicios ecosistémicos (suelo, agua, polinizadores).</t>
  </si>
  <si>
    <t xml:space="preserve">Pywell et al.</t>
  </si>
  <si>
    <t xml:space="preserve">Wildlife-friendly farming benefits rare birds, bees and plants</t>
  </si>
  <si>
    <t xml:space="preserve">Campos agrícolas y hábitats focalizados</t>
  </si>
  <si>
    <t xml:space="preserve">Demuestra que los esquemas focalizados específicamente en necesidades de especies amenazadas logran aumentos significativos en aves y abejas.</t>
  </si>
  <si>
    <t xml:space="preserve">Queiroz et al.</t>
  </si>
  <si>
    <t xml:space="preserve">Farmland abandonment: Threat or opportunity for biodiversity conservation? A global review</t>
  </si>
  <si>
    <t xml:space="preserve">Tierras agrícolas abandonadas y bosques secundarios</t>
  </si>
  <si>
    <t xml:space="preserve">Revisión global sobre los efectos contrapuestos del abandono de tierras agrícolas según la historia de gestión del paisaje.</t>
  </si>
  <si>
    <t xml:space="preserve">Rackham, O.</t>
  </si>
  <si>
    <t xml:space="preserve">History of the countryside</t>
  </si>
  <si>
    <t xml:space="preserve">Cualitativo / Histórico</t>
  </si>
  <si>
    <t xml:space="preserve">Bosques, setos y paisajes tradicionales</t>
  </si>
  <si>
    <t xml:space="preserve">Obra histórica de referencia que demuestra el origen artificial y milenario de la mayoría de los hábitats rurales y de conservación en Inglaterra.</t>
  </si>
  <si>
    <t xml:space="preserve">R Development Core Team</t>
  </si>
  <si>
    <t xml:space="preserve">R version 3.0.1: A language and environment for statistical computing</t>
  </si>
  <si>
    <t xml:space="preserve">Cuantitativo / Software</t>
  </si>
  <si>
    <t xml:space="preserve">Entorno estadístico computacional R</t>
  </si>
  <si>
    <t xml:space="preserve">Software estadístico utilizado para ejecutar los modelos de meta-análisis y meta-regresión.</t>
  </si>
  <si>
    <t xml:space="preserve">Riffell, Scognamillo &amp; Burger</t>
  </si>
  <si>
    <t xml:space="preserve">Effects of the Conservation Reserve Program on northern bobwhite and grassland birds</t>
  </si>
  <si>
    <t xml:space="preserve">Pastizales bajo el Conservation Reserve Program (CRP)</t>
  </si>
  <si>
    <t xml:space="preserve">Muestra efectos positivos del programa CRP de EE. UU. en la abundancia de la codorniz 'northern bobwhite' y aves de pastizal.</t>
  </si>
  <si>
    <t xml:space="preserve">Robinson &amp; Sutherland</t>
  </si>
  <si>
    <t xml:space="preserve">Changes in arable farming and biodiversity in Great Britain</t>
  </si>
  <si>
    <t xml:space="preserve">Reino Unido (Gran Bretaña)</t>
  </si>
  <si>
    <t xml:space="preserve">Cultivos arables y remoción de setos</t>
  </si>
  <si>
    <t xml:space="preserve">Documenta los cambios en la práctica agrícola en Gran Bretaña (químicos, mecanización, cereales de otoño) y sus impactos ecológicos.</t>
  </si>
  <si>
    <t xml:space="preserve">Sattler &amp; Nagel</t>
  </si>
  <si>
    <t xml:space="preserve">Factors affecting farmers’ acceptance of conservation measures – a case study from north-eastern Germany</t>
  </si>
  <si>
    <t xml:space="preserve">Alemania (Noreste de Alemania)</t>
  </si>
  <si>
    <t xml:space="preserve">Tierras de cultivo intensivas</t>
  </si>
  <si>
    <t xml:space="preserve">Analiza cómo la compatibilidad operacional y la compensación económica influyen en la aceptación de medidas de conservación por agricultores alemanes.</t>
  </si>
  <si>
    <t xml:space="preserve">Scheper et al.</t>
  </si>
  <si>
    <t xml:space="preserve">Environmental factors driving the effectiveness of European agri-environmental measures in mitigating pollinator loss</t>
  </si>
  <si>
    <t xml:space="preserve">Polinizadores y cultivos agrícolas</t>
  </si>
  <si>
    <t xml:space="preserve">Meta-análisis europeo que demuestra que los AES para polinizadores son más efectivos en paisajes agrícolas simplificados.</t>
  </si>
  <si>
    <t xml:space="preserve">Smil, V.</t>
  </si>
  <si>
    <t xml:space="preserve">Detonator of the population explosion</t>
  </si>
  <si>
    <t xml:space="preserve">Sistemas agrícolas y fertilizantes nitrogenados</t>
  </si>
  <si>
    <t xml:space="preserve">Describe el impacto histórico de la síntesis del amonio (Haber-Bosch) en el aumento masivo de rendimientos e intensificación agrícola.</t>
  </si>
  <si>
    <t xml:space="preserve">Stoate et al.</t>
  </si>
  <si>
    <t xml:space="preserve">Ecological impacts of early 21st century agricultural change in Europe – a review</t>
  </si>
  <si>
    <t xml:space="preserve">Revisión integral de los impactos ecológicos de la intensificación y el abandono agrícola en el siglo XXI en Europa.</t>
  </si>
  <si>
    <t xml:space="preserve">Storkey et al.</t>
  </si>
  <si>
    <t xml:space="preserve">The impact of agricultural intensification and land-use change on the European arable flora</t>
  </si>
  <si>
    <t xml:space="preserve">Flora arable y malezas de cultivo</t>
  </si>
  <si>
    <t xml:space="preserve">Cuantifica el declive de la flora arable europea y resalta la diferencia entre especies adaptadas a campos de cultivo vs bordes.</t>
  </si>
  <si>
    <t xml:space="preserve">Sutcliffe et al.</t>
  </si>
  <si>
    <t xml:space="preserve">Harnessing the biodiversity value of Central and Eastern European farmland</t>
  </si>
  <si>
    <t xml:space="preserve">Europa Central y del Este</t>
  </si>
  <si>
    <t xml:space="preserve">Farmland extensivo y sistemas de mosaico</t>
  </si>
  <si>
    <t xml:space="preserve">Muestra que los AES importados de Europa Occidental a menudo fracasan en Europa Central/Oriental por no adaptarse al manejo extensivo.</t>
  </si>
  <si>
    <t xml:space="preserve">Sutherland, L.-A.</t>
  </si>
  <si>
    <t xml:space="preserve">Environmental grants and regulations in strategic farm business decision-making: a case study in Scotland</t>
  </si>
  <si>
    <t xml:space="preserve">Oferta (Agricultores de Escocia), Reguladores/legisladores</t>
  </si>
  <si>
    <t xml:space="preserve">Fincas y negocios agrícolas escoceses</t>
  </si>
  <si>
    <t xml:space="preserve">Estudio cualitativo sobre cómo las subvenciones ambientales influyen en la toma de decisiones empresariales de los agricultores.</t>
  </si>
  <si>
    <t xml:space="preserve">Sutherland, W. J.</t>
  </si>
  <si>
    <t xml:space="preserve">A blueprint for the countryside</t>
  </si>
  <si>
    <t xml:space="preserve">Paisajes rurales y agroecosistemas</t>
  </si>
  <si>
    <t xml:space="preserve">Propone una visión estratégica para integrar la conservación de la naturaleza y la agricultura a nivel de paisaje en Europa.</t>
  </si>
  <si>
    <t xml:space="preserve">Thomas, J.</t>
  </si>
  <si>
    <t xml:space="preserve">Rare species conservation: case studies of European butterflies</t>
  </si>
  <si>
    <t xml:space="preserve">Hábitats de mariposas raras y pastizales tradicionales</t>
  </si>
  <si>
    <t xml:space="preserve">Demuestra que la interrupción del manejo agrícola tradicional provoca la rápida pérdida de especies de mariposas raras.</t>
  </si>
  <si>
    <t xml:space="preserve">Tryjanowski et al.</t>
  </si>
  <si>
    <t xml:space="preserve">Conservation of farmland birds faces different challenges in Western and Central-Eastern Europe</t>
  </si>
  <si>
    <t xml:space="preserve">Europa Occidental vs Central/Oriental</t>
  </si>
  <si>
    <t xml:space="preserve">Ecosistemas agrícolas y aves de pastizal</t>
  </si>
  <si>
    <t xml:space="preserve">Discute los desafíos diferenciados para conservar aves agrícolas en Europa Occidental (intensificada) frente a Europa Oriental (extensiva).</t>
  </si>
  <si>
    <t xml:space="preserve">Tuck et al.</t>
  </si>
  <si>
    <t xml:space="preserve">Land-use intensity and the effects of organic farming on biodiversity: a hierarchical meta-analysis</t>
  </si>
  <si>
    <t xml:space="preserve">Comunidad científica, Oferta (Agricultores orgánicos)</t>
  </si>
  <si>
    <t xml:space="preserve">Campos de agricultura orgánica vs convencional</t>
  </si>
  <si>
    <t xml:space="preserve">Meta-análisis jerárquico que demuestra que la agricultura orgánica beneficia a la biodiversidad, aumentando el efecto según la intensidad.</t>
  </si>
  <si>
    <t xml:space="preserve">van Egmond &amp; de Koeijer</t>
  </si>
  <si>
    <t xml:space="preserve">Weidevogelbeheer bij agrariers en terreinbeheerders</t>
  </si>
  <si>
    <t xml:space="preserve">Aves praderas en prados gestionados</t>
  </si>
  <si>
    <t xml:space="preserve">Muestra tendencias divergentes en aves praderas: estables/positivas en reservas administradas y negativas en fincas privadas con AES.</t>
  </si>
  <si>
    <t xml:space="preserve">van Paassen &amp; Teunissen</t>
  </si>
  <si>
    <t xml:space="preserve">Weidevogelbalans 2010</t>
  </si>
  <si>
    <t xml:space="preserve">Aves praderas y pastizales holandeses</t>
  </si>
  <si>
    <t xml:space="preserve">Compara el presupuesto asignado a aves praderas (€21M en AES vs €4M en reservas) y la densidad de nidificación resultante.</t>
  </si>
  <si>
    <t xml:space="preserve">Viechtbauer, W.</t>
  </si>
  <si>
    <t xml:space="preserve">Conducting meta-analyses in R with the metafor package</t>
  </si>
  <si>
    <t xml:space="preserve">Paquete informático metafor en R</t>
  </si>
  <si>
    <t xml:space="preserve">Presentación del paquete informático 'metafor' en R utilizado para ajustar modelos de meta-regresión con efectos mixtos.</t>
  </si>
  <si>
    <t xml:space="preserve">Waddington et al.</t>
  </si>
  <si>
    <t xml:space="preserve">Farmer field schools for improving farming practices and farmer outcomes in low- and middle-income countries</t>
  </si>
  <si>
    <t xml:space="preserve">Países de ingresos bajos y medios</t>
  </si>
  <si>
    <t xml:space="preserve">Sistemas agrícolas familiares</t>
  </si>
  <si>
    <t xml:space="preserve">Revisión sistemática de las Escuelas de Campo de Agricultores mostrando mejoras directas en prácticas agrícolas sostenibles.</t>
  </si>
  <si>
    <t xml:space="preserve">Weis, J.</t>
  </si>
  <si>
    <t xml:space="preserve">Naturschutzfachliche Erfolgskontrolle des Vertragsnaturschutzes am Beispiel der nördlichen Eifel</t>
  </si>
  <si>
    <t xml:space="preserve">Oferta (Pastores, Agricultores), Reguladores/legisladores</t>
  </si>
  <si>
    <t xml:space="preserve">Alemania (Región de Eifel)</t>
  </si>
  <si>
    <t xml:space="preserve">Pastizales de montaña y orquídeas amenazadas</t>
  </si>
  <si>
    <t xml:space="preserve">Demuestra que la reintroducción del pastoreo ovino financiado por AES incrementó las poblaciones de orquídeas amenazadas entre 50-500% en 10 años.</t>
  </si>
  <si>
    <t xml:space="preserve">Wilson, Evan &amp; Grice</t>
  </si>
  <si>
    <t xml:space="preserve">Bird conservation and agriculture: the bird life of farmland, grassland and heathland</t>
  </si>
  <si>
    <t xml:space="preserve">Aves de tierras de cultivo, pastizales y brezales</t>
  </si>
  <si>
    <t xml:space="preserve">Monografía integral sobre la ecología y requerimientos de conservación de las aves agrícolas en paisajes manejados.</t>
  </si>
  <si>
    <t xml:space="preserve">A review of vegetated buffers and a meta-analysis of their mitigation efficacy in reducing nonpoint source pollution</t>
  </si>
  <si>
    <t xml:space="preserve">Mixto (Terrestre / Acuático)</t>
  </si>
  <si>
    <t xml:space="preserve">Franjas amortiguadoras vegetadas y cuencas</t>
  </si>
  <si>
    <t xml:space="preserve">Meta-análisis sobre la eficacia de las franjas amortiguadoras vegetadas para retener contaminantes agrícolas y proteger aguas.</t>
  </si>
  <si>
    <t xml:space="preserve">Bennett, Gallant &amp; ten Kate</t>
  </si>
  <si>
    <t xml:space="preserve">State of biodiversity mitigation 2017: markets and compensation for global infrastructure development</t>
  </si>
  <si>
    <t xml:space="preserve">Reguladores/legisladores, Demanda (Empresas de infraestructura, Desarrolladores), Oferta (Bancos de conservación)</t>
  </si>
  <si>
    <t xml:space="preserve">Ecosistemas terrestres y acuáticos globales sujetos a infraestructura</t>
  </si>
  <si>
    <t xml:space="preserve">Informe global de mercado sobre mitigaicón y compensación de biodiversidad, analizando el volumen de crédito e inversión.</t>
  </si>
  <si>
    <t xml:space="preserve">Bruggeman &amp; Jones</t>
  </si>
  <si>
    <t xml:space="preserve">Should habitat trading be based on mitigation ratios derived from landscape indices? A model-based analysis of compensatory restoration options for the red-cockaded woodpecker</t>
  </si>
  <si>
    <t xml:space="preserve">Comunidad científica, Reguladores/legisladores, Oferta (Gestores de hábitat)</t>
  </si>
  <si>
    <t xml:space="preserve">EE. UU. (Sudeste)</t>
  </si>
  <si>
    <t xml:space="preserve">Bosques de pino y hábitats del carpintero de cresta roja (Picoides borealis)</t>
  </si>
  <si>
    <t xml:space="preserve">Modela el intercambio de hábitat usando índices de paisaje para evaluar la equivalencia ecológica en restauración compensatoria.</t>
  </si>
  <si>
    <t xml:space="preserve">Bruggeman, Jones, Lupi &amp; Scribner</t>
  </si>
  <si>
    <t xml:space="preserve">Landscape equivalency analysis: methodology for estimating spatially explicit biodiversity credits</t>
  </si>
  <si>
    <t xml:space="preserve">Hábitats forestales y conectividad del paisaje para estimación de créditos</t>
  </si>
  <si>
    <t xml:space="preserve">Desarrolla el Análisis de Equivalencia del Paisaje (LEA) para cuantificar créditos de biodiversidad espacialmente explícitos.</t>
  </si>
  <si>
    <t xml:space="preserve">Bruggeman et al.</t>
  </si>
  <si>
    <t xml:space="preserve">Landscape Equivalency Analysis: Methodology for estimating spatially explicit biodiversity credits</t>
  </si>
  <si>
    <t xml:space="preserve">Reguladores/legisladores, Comunidad científica, Demanda, Oferta</t>
  </si>
  <si>
    <t xml:space="preserve">Hábitats forestales y conectividad del paisaje</t>
  </si>
  <si>
    <t xml:space="preserve">Desarrolla la metodología LEA para calcular créditos de biodiversidad espacialmente explícitos integrando índices de paisaje.</t>
  </si>
  <si>
    <t xml:space="preserve">Bull, Milner-Gulland, Suttle &amp; Singh</t>
  </si>
  <si>
    <t xml:space="preserve">Comparing biodiversity offset calculation methods with a case study in Uzbekistan</t>
  </si>
  <si>
    <t xml:space="preserve">Comunidad científica, Reguladores/legisladores, Demanda (Industria del gas)</t>
  </si>
  <si>
    <t xml:space="preserve">Uzbekistán</t>
  </si>
  <si>
    <t xml:space="preserve">Ecosistemas desérticos y esteparios de la meseta de Ustyurt</t>
  </si>
  <si>
    <t xml:space="preserve">Compara empíricamente distintos métodos de cálculo de compensaciones de biodiversidad en un megaproyecto de gas.</t>
  </si>
  <si>
    <t xml:space="preserve">Conservation and biodiversity banking: a guide to setting up and running biodiversity credit systems</t>
  </si>
  <si>
    <t xml:space="preserve">Demanda (Desarrolladores), Oferta (Banqueros de conservación, Propietarios), Reguladores</t>
  </si>
  <si>
    <t xml:space="preserve">Bancos de conservación y hábitats protegidos para especies amenazadas</t>
  </si>
  <si>
    <t xml:space="preserve">Guía práctica e institucional para el diseño, operación y regulación de bancos de conservación e intercambio de créditos.</t>
  </si>
  <si>
    <t xml:space="preserve">Chen, Patrick &amp; LeBlanc</t>
  </si>
  <si>
    <t xml:space="preserve">Best practices for advancing the application of habitat conservation banking in Canada</t>
  </si>
  <si>
    <t xml:space="preserve">Reguladores/legisladores, Demanda, Oferta, Comunidad científica</t>
  </si>
  <si>
    <t xml:space="preserve">Hábitats críticos y ecosistemas de especies en peligro en Canadá</t>
  </si>
  <si>
    <t xml:space="preserve">Identifica mejores prácticas internacionales para adaptar la banca de conservación de hábitats al marco regulatorio canadiense.</t>
  </si>
  <si>
    <t xml:space="preserve">Chiavacci &amp; Pindilli</t>
  </si>
  <si>
    <t xml:space="preserve">Database of biodiversity and habitat quantification tools used for market-based conservation in the United States</t>
  </si>
  <si>
    <t xml:space="preserve">EE. UU. (Contiguo)</t>
  </si>
  <si>
    <t xml:space="preserve">Base de datos con 69 herramientas, 34 especies y 39 tipos de hábitat</t>
  </si>
  <si>
    <t xml:space="preserve">Recopila y sistematiza 33 criterios técnicos sobre 69 herramientas de cuantificación de hábitat en EE. UU. (USGS Data Release).</t>
  </si>
  <si>
    <t xml:space="preserve">Cochran, Maness &amp; Alcott</t>
  </si>
  <si>
    <t xml:space="preserve">Measuring up: synchronizing biodiversity measurement systems for markets and other incentive programs</t>
  </si>
  <si>
    <t xml:space="preserve">Reguladores/legisladores (USDA OEM), Oferta (Propietarios rurales), Demanda</t>
  </si>
  <si>
    <t xml:space="preserve">Bosques, humedales y tierras agrícolas en programas de incentivos</t>
  </si>
  <si>
    <t xml:space="preserve">Marco técnico para estandarizar y sincronizar sistemas de medición de biodiversidad en mercados ambientales privados y públicos.</t>
  </si>
  <si>
    <t xml:space="preserve">DOI Office of Policy Analysis</t>
  </si>
  <si>
    <t xml:space="preserve">A preliminary analysis of the conservation banking program and results from a survey of USFWS staff</t>
  </si>
  <si>
    <t xml:space="preserve">Reguladores/legisladores (USFWS, Departamento del Interior), Demanda, Oferta</t>
  </si>
  <si>
    <t xml:space="preserve">Programas de bancos de conservación de especies a nivel federal</t>
  </si>
  <si>
    <t xml:space="preserve">Encuesta oficial al personal del USFWS sobre la eficacia, transparencia y cuellos de botella del programa de bancos de conservación.</t>
  </si>
  <si>
    <t xml:space="preserve">Evans et al.</t>
  </si>
  <si>
    <t xml:space="preserve">Biodiversity offsetting: What are the challenges, opportunities and research priorities for animal conservation?</t>
  </si>
  <si>
    <t xml:space="preserve">Hábitats terrestres y acuáticos para conservación de fauna silvestre</t>
  </si>
  <si>
    <t xml:space="preserve">Define desafíos y prioridades de investigación para asegurar que las compensaciones protejan la biodiversidad animal.</t>
  </si>
  <si>
    <t xml:space="preserve">Biodiversity offsetting: what are the challenges, opportunities and research priorities for animal conservation?</t>
  </si>
  <si>
    <t xml:space="preserve">Comunidad científica, Reguladores/legisladores, Demanda (desarrolladores)</t>
  </si>
  <si>
    <t xml:space="preserve">Hábitats de fauna silvestre y áreas de infraestructura</t>
  </si>
  <si>
    <t xml:space="preserve">Identifica los retos científicos de equivalencia y métricas en compensaciones de biodiversidad.</t>
  </si>
  <si>
    <t xml:space="preserve">Fox &amp; Nino-Murcia</t>
  </si>
  <si>
    <t xml:space="preserve">Status of species conservation banking in the United States</t>
  </si>
  <si>
    <t xml:space="preserve">Demanda (Desarrolladores), Oferta (Propietarios de bancos), Reguladores (USFWS)</t>
  </si>
  <si>
    <t xml:space="preserve">Bancos de conservación aprobados para especies amenazadas (ej. tortuga gopher)</t>
  </si>
  <si>
    <t xml:space="preserve">Primer inventario y análisis cuantitativo sobre el estado, costos, precios de créditos y hectáreas en bancos de conservación de EE. UU.</t>
  </si>
  <si>
    <t xml:space="preserve">Gardner et al.</t>
  </si>
  <si>
    <t xml:space="preserve">Biodiversity offsets and the challenge of achieving no net loss</t>
  </si>
  <si>
    <t xml:space="preserve">Ecosistemas sujetos a impactos de desarrollo e infraestructura</t>
  </si>
  <si>
    <t xml:space="preserve">Marco conceptual sobre las condiciones ecológicas y de gobernanza necesarias para lograr una Pérdida Neta Cero real.</t>
  </si>
  <si>
    <t xml:space="preserve">Analiza los retos técnicos y de diseño de divisas agrupadas para lograr el objetivo de No Net Loss sin pérdidas de calidad.</t>
  </si>
  <si>
    <t xml:space="preserve">Goncalves, Marques, Soares &amp; Pereira</t>
  </si>
  <si>
    <t xml:space="preserve">Biodiversity offsets: from current challenges to harmonized metrics</t>
  </si>
  <si>
    <t xml:space="preserve">Métricas de condición de hábitat y biodiversidad</t>
  </si>
  <si>
    <t xml:space="preserve">Revisión sobre la necesidad de métricas armonizadas y transparentes para superar la heterogeneidad de los cálculos de offset.</t>
  </si>
  <si>
    <t xml:space="preserve">Goodman, L.A.</t>
  </si>
  <si>
    <t xml:space="preserve">Snowball sampling</t>
  </si>
  <si>
    <t xml:space="preserve">Global / Teórico</t>
  </si>
  <si>
    <t xml:space="preserve">Método de muestreo estadístico en cadena</t>
  </si>
  <si>
    <t xml:space="preserve">Publicación metodológica fundamental sobre el muestreo en bola de nieve utilizado para ubicar herramientas y expertos no tabulados.</t>
  </si>
  <si>
    <t xml:space="preserve">Ives &amp; Bekessy</t>
  </si>
  <si>
    <t xml:space="preserve">The ethics of offsetting nature</t>
  </si>
  <si>
    <t xml:space="preserve">Ecosistemas naturales y debates sobre inconmensurabilidad</t>
  </si>
  <si>
    <t xml:space="preserve">Análisis ético sobre las implicaciones morales de asumir la naturaleza como reemplazable mediante esquemas de compensación.</t>
  </si>
  <si>
    <t xml:space="preserve">Cualitativo / Ética ambiental</t>
  </si>
  <si>
    <t xml:space="preserve">Dilemas éticos del intercambio e interconectividad de la naturaleza</t>
  </si>
  <si>
    <t xml:space="preserve">Analiza los dilemas éticos y filosóficos del comercio e intercambio de hábitats naturales.</t>
  </si>
  <si>
    <t xml:space="preserve">Kiesecker, Copeland, Pocewicz &amp; Mckenney</t>
  </si>
  <si>
    <t xml:space="preserve">Development by design: blending landscape-level planning with the mitigation hierarchy</t>
  </si>
  <si>
    <t xml:space="preserve">Demanda (Industrias extractivas, Energía), Reguladores, Científicos</t>
  </si>
  <si>
    <t xml:space="preserve">Ecosistemas de matorral, sabanas y áreas de desarrollo energético</t>
  </si>
  <si>
    <t xml:space="preserve">Propone la metodología 'Development by Design' de TNC para integrar planificación del paisaje con la jerarquía de mitigación.</t>
  </si>
  <si>
    <t xml:space="preserve">McKenney &amp; Wilkinson</t>
  </si>
  <si>
    <t xml:space="preserve">Achieving conservation and development: 10 principles for applying the mitigation hierarchy</t>
  </si>
  <si>
    <t xml:space="preserve">Ecosistemas terrestres y acuáticos bajo proyectos de desarrollo</t>
  </si>
  <si>
    <t xml:space="preserve">Sintetiza 10 principios institucionales y ecológicos de TNC para la aplicación efectiva de la jerarquía de mitigación.</t>
  </si>
  <si>
    <t xml:space="preserve">McKenney, B. &amp; Wilkinson, J. (TNC)</t>
  </si>
  <si>
    <t xml:space="preserve">Achieving Conservation and Development: 10 principles for applying the mitigation hierarchy</t>
  </si>
  <si>
    <t xml:space="preserve">Reguladores/legisladores, Demanda (Empresas extractivas e infraestructura), Oferta</t>
  </si>
  <si>
    <t xml:space="preserve">Establece los 10 principios fundamentales de The Nature Conservancy (TNC) para aplicar la jerarquía de mitigación.</t>
  </si>
  <si>
    <t xml:space="preserve">McShane et al.</t>
  </si>
  <si>
    <t xml:space="preserve">Hard choices: making trade-offs between biodiversity conservation and human well-being</t>
  </si>
  <si>
    <t xml:space="preserve">Bosques tropicales y áreas protegidas con poblaciones humanas</t>
  </si>
  <si>
    <t xml:space="preserve">Analiza los compromisos e ineludibles conflictos sociales entre la conservación de biodiversidad y el bienestar humano.</t>
  </si>
  <si>
    <t xml:space="preserve">Mead, D.L.</t>
  </si>
  <si>
    <t xml:space="preserve">History and theory: the origin and evolution of conservation banking</t>
  </si>
  <si>
    <t xml:space="preserve">Reguladores/legisladores (USFWS), Demanda, Oferta (Banqueros de conservación)</t>
  </si>
  <si>
    <t xml:space="preserve">Ecosistemas de California y primeros bancos de conservación</t>
  </si>
  <si>
    <t xml:space="preserve">Detalla el origen histórico y la evolución teórica de la banca de conservación en California y su adopción federal.</t>
  </si>
  <si>
    <t xml:space="preserve">Millennium Ecosystem Assessment</t>
  </si>
  <si>
    <t xml:space="preserve">Ecosystems and human well-being</t>
  </si>
  <si>
    <t xml:space="preserve">Biosfera global y servicios ecosistémicos planetarios</t>
  </si>
  <si>
    <t xml:space="preserve">Evaluación global de las Naciones Unidas que cuantificó la rápida pérdida de biodiversidad y degradación de servicios ecosistémicos.</t>
  </si>
  <si>
    <t xml:space="preserve">Pindilli &amp; Casey</t>
  </si>
  <si>
    <t xml:space="preserve">Biodiversity and habitat markets—policy, economic, and ecological implications of market-based conservation</t>
  </si>
  <si>
    <t xml:space="preserve">Bosques, humedales, hábitats de especies y tierras agrícolas</t>
  </si>
  <si>
    <t xml:space="preserve">Informe de la USGS que analiza las implicaciones políticas, económicas y ecológicas de los mercados de biodiversidad en EE. UU.</t>
  </si>
  <si>
    <t xml:space="preserve">PCAST</t>
  </si>
  <si>
    <t xml:space="preserve">Report to the president: sustaining environmental capital: protecting society and the economy</t>
  </si>
  <si>
    <t xml:space="preserve">Reguladores/legisladores (Gobierno de EE. UU.), Público general, Demanda</t>
  </si>
  <si>
    <t xml:space="preserve">Capital natural nacional y ecosistemas estratégicos de EE. UU.</t>
  </si>
  <si>
    <t xml:space="preserve">Informe asesor a la Presidencia de EE. UU. recomendando priorizar la conservación del capital natural y el desarrollo de mercados.</t>
  </si>
  <si>
    <t xml:space="preserve">Sandifer, Sutton-Grier &amp; Ward</t>
  </si>
  <si>
    <t xml:space="preserve">Exploring connections among nature, biodiversity, ecosystem services, and human health and well-being</t>
  </si>
  <si>
    <t xml:space="preserve">Público general, Reguladores/legisladores, Comunidad científica</t>
  </si>
  <si>
    <t xml:space="preserve">Espacios verdes, bosques periurbanos y zonas costeras</t>
  </si>
  <si>
    <t xml:space="preserve">Revisa los vínculos entre la biodiversidad, los servicios ecosistémicos y los beneficios para la salud mental y física humana.</t>
  </si>
  <si>
    <t xml:space="preserve">TEEB</t>
  </si>
  <si>
    <t xml:space="preserve">TEEB for local and regional policymakers report</t>
  </si>
  <si>
    <t xml:space="preserve">Reguladores/legisladores (Gobiernos locales y regionales), Público general</t>
  </si>
  <si>
    <t xml:space="preserve">Ecosistemas urbanos, rurales y naturales locales</t>
  </si>
  <si>
    <t xml:space="preserve">Guía internacional de TEEB para incorporar el valor de los servicios ecosistémicos en la toma de decisiones municipales y regionales.</t>
  </si>
  <si>
    <t xml:space="preserve">United States Congress</t>
  </si>
  <si>
    <t xml:space="preserve">Endangered Species Act of 1973 (16 U.S.C. 1531–1544, 87 Stat. 884), as amended</t>
  </si>
  <si>
    <t xml:space="preserve">Reguladores/legisladores, Demanda (Desarrolladores), Oferta, Público general</t>
  </si>
  <si>
    <t xml:space="preserve">Ecosistemas y hábitats críticos de especies en peligro en EE. UU.</t>
  </si>
  <si>
    <t xml:space="preserve">Ley federal fundamental que prohíbe el daño a especies amenazadas e impone la mitigación compensatoria en EE. UU.</t>
  </si>
  <si>
    <t xml:space="preserve">Conservation banking: incentives for stewardship</t>
  </si>
  <si>
    <t xml:space="preserve">Oferta (Propietarios rurales), Reguladores (USFWS), Demanda</t>
  </si>
  <si>
    <t xml:space="preserve">Tierras privadas conservadas para mitigación de especies</t>
  </si>
  <si>
    <t xml:space="preserve">Documento divulgativo sobre los incentivos económicos y beneficios de conservación privada a través de la banca de conservación.</t>
  </si>
  <si>
    <t xml:space="preserve">Interim guidance for implementing the Endangered Species Act compensatory mitigation policy</t>
  </si>
  <si>
    <t xml:space="preserve">Reguladores/legisladores (USFWS), Demanda (Permitantes), Oferta</t>
  </si>
  <si>
    <t xml:space="preserve">Hábitats de especies amenazadas y en peligro</t>
  </si>
  <si>
    <t xml:space="preserve">Guía de orientación técnica provisional para estandarizar la política de mitigación compensatoria bajo la ESA.</t>
  </si>
  <si>
    <t xml:space="preserve">van Teeffelen et al.</t>
  </si>
  <si>
    <t xml:space="preserve">Ecological and economic conditions and associated institutional challenges for conservation banking in dynamic landscapes</t>
  </si>
  <si>
    <t xml:space="preserve">Paisajes dinámicos y hábitats sometidos a cambio de uso de suelo</t>
  </si>
  <si>
    <t xml:space="preserve">Examina las condiciones ecológicas, económicas e institucionales para implementar la banca de conservación en paisajes dinámicos.</t>
  </si>
  <si>
    <t xml:space="preserve">Reguladores/legisladores, Oferta (Bancos de conservación), Científicos</t>
  </si>
  <si>
    <t xml:space="preserve">Paisajes dinámicos agrícolas y forestales</t>
  </si>
  <si>
    <t xml:space="preserve">Examina los retos institucionales de la banca de conservación en paisajes dinámicos expuestos a cambio de uso del suelo.</t>
  </si>
  <si>
    <t xml:space="preserve">Wiens, J.A.</t>
  </si>
  <si>
    <t xml:space="preserve">Spatial scaling in ecology</t>
  </si>
  <si>
    <t xml:space="preserve">Escalas espaciales en la teoría ecológica y de comunidades</t>
  </si>
  <si>
    <t xml:space="preserve">Artículo teórico sobre la relevancia de la escala espacial en ecología, sirviendo de base para la evaluación multiescala de hábitat.</t>
  </si>
  <si>
    <t xml:space="preserve">Akers &amp; Yasué</t>
  </si>
  <si>
    <t xml:space="preserve">Motivational Crowding in Payments for Ecosystem Service Schemes: A Global Systematic Review</t>
  </si>
  <si>
    <t xml:space="preserve">Oferta (Comunidades locales, agricultores)</t>
  </si>
  <si>
    <t xml:space="preserve">Global (Sistemático)</t>
  </si>
  <si>
    <t xml:space="preserve">Bosques</t>
  </si>
  <si>
    <t xml:space="preserve">Revisión sistemática sobre el desplazamiento motivacional de incentivos económicos en esquemas PES.</t>
  </si>
  <si>
    <t xml:space="preserve">Oferta (Comunidades locales, agricultores), Reguladores</t>
  </si>
  <si>
    <t xml:space="preserve">Bosques y tierras agrícolas bajo esquemas de incentivos</t>
  </si>
  <si>
    <t xml:space="preserve">Revisión sistemática sobre la motivación intrínseca y el desplazamiento motivacional por incentivos económicos.</t>
  </si>
  <si>
    <t xml:space="preserve">Andonova &amp; Sun</t>
  </si>
  <si>
    <t xml:space="preserve">Private Governance in Developing Countries: Drivers of Voluntary Carbon Offset Programs</t>
  </si>
  <si>
    <t xml:space="preserve">Demanda (Empresas), Intermediarios, Reguladores</t>
  </si>
  <si>
    <t xml:space="preserve">Bosques / Diversos</t>
  </si>
  <si>
    <t xml:space="preserve">Analiza la gobernanza privada en el Sur Global para programas voluntarios de carbono.</t>
  </si>
  <si>
    <t xml:space="preserve">Apostolopoulou &amp; Adams</t>
  </si>
  <si>
    <t xml:space="preserve">Cutting nature to fit: Urbanization, neoliberalism and biodiversity offsetting in England</t>
  </si>
  <si>
    <t xml:space="preserve">Demanda (Desarrolladores), Público general, Reguladores</t>
  </si>
  <si>
    <t xml:space="preserve">Urbano</t>
  </si>
  <si>
    <t xml:space="preserve">Estudio de caso crítico sobre la urbanización y la neoliberalización mediante compensaciones.</t>
  </si>
  <si>
    <t xml:space="preserve">Bader et al.</t>
  </si>
  <si>
    <t xml:space="preserve">Philanthropic Funding for Agroecology in Europe – Opening the (black) box of sustainable food system actors</t>
  </si>
  <si>
    <t xml:space="preserve">Demanda (Fundaciones), Oferta (Agricultores), Comunidad científica</t>
  </si>
  <si>
    <t xml:space="preserve">Agrícola (Agroecología)</t>
  </si>
  <si>
    <t xml:space="preserve">Mapea los fondos filantrópicos que promueven la agroecología en Europa.</t>
  </si>
  <si>
    <t xml:space="preserve">Balderas Torres et al.</t>
  </si>
  <si>
    <t xml:space="preserve">The valuation of forest carbon services by Mexican citizens: The case of Guadalajara city and La Primavera biosphere reserve</t>
  </si>
  <si>
    <t xml:space="preserve">Público general (Ciudadanos), Reguladores</t>
  </si>
  <si>
    <t xml:space="preserve">Bosques (Reserva de la Biósfera)</t>
  </si>
  <si>
    <t xml:space="preserve">Experimento de elección sobre la disposición a pagar (WTP) de ciudadanos por servicios de carbono.</t>
  </si>
  <si>
    <t xml:space="preserve">Barnes et al.</t>
  </si>
  <si>
    <t xml:space="preserve">Improving Biodiversity Offset Schemes through the Identification of Ecosystem Services at a Landscape Level</t>
  </si>
  <si>
    <t xml:space="preserve">Reguladores, Oferta (Comunidades locales), Público general</t>
  </si>
  <si>
    <t xml:space="preserve">Agrícola / Forestal</t>
  </si>
  <si>
    <t xml:space="preserve">Aborda la mejora de compensaciones identificando servicios ecosistémicos a nivel de paisaje.</t>
  </si>
  <si>
    <t xml:space="preserve">Barral et al.</t>
  </si>
  <si>
    <t xml:space="preserve">The politics of influence in biodiversity offsetting</t>
  </si>
  <si>
    <t xml:space="preserve">Demanda (Empresas extractivas/infraestructura), Reguladores, ONG</t>
  </si>
  <si>
    <t xml:space="preserve">Bosque / Diversos</t>
  </si>
  <si>
    <t xml:space="preserve">Analiza la influencia de los grupos de interés industriales en el diseño de políticas de compensación.</t>
  </si>
  <si>
    <t xml:space="preserve">Biasin et al.</t>
  </si>
  <si>
    <t xml:space="preserve">Financing urban Nature-based Solutions (NBS): A literature review from the perspective of funders</t>
  </si>
  <si>
    <t xml:space="preserve">Demanda (Sector financiero, aseguradoras), Reguladores</t>
  </si>
  <si>
    <t xml:space="preserve">Urbano (NBS)</t>
  </si>
  <si>
    <t xml:space="preserve">Revisión sobre las barreras de los financiadores para respaldar soluciones basadas en la naturaleza urbanas.</t>
  </si>
  <si>
    <t xml:space="preserve">Birchall et al.</t>
  </si>
  <si>
    <t xml:space="preserve">An investigation into the early stages of New Zealand’s voluntary carbon market</t>
  </si>
  <si>
    <t xml:space="preserve">Investiga las primeras etapas del mercado voluntario de carbono de Nueva Zelanda.</t>
  </si>
  <si>
    <t xml:space="preserve">Blasch &amp; Ohndorf</t>
  </si>
  <si>
    <t xml:space="preserve">Altruism, moral norms and social approval: Joint determinants of individual offset behavior</t>
  </si>
  <si>
    <t xml:space="preserve">Público general (Consumidores)</t>
  </si>
  <si>
    <t xml:space="preserve">Suelo / Forestal</t>
  </si>
  <si>
    <t xml:space="preserve">Experimento sobre las normas morales y el altruismo impuro en la compra de compensaciones.</t>
  </si>
  <si>
    <t xml:space="preserve">Blasch &amp; Turner</t>
  </si>
  <si>
    <t xml:space="preserve">Environmental art, prior knowledge about climate change, and carbon offsets</t>
  </si>
  <si>
    <t xml:space="preserve">Público general (Ciudadanos)</t>
  </si>
  <si>
    <t xml:space="preserve">Internacional</t>
  </si>
  <si>
    <t xml:space="preserve">Estudia cómo el arte ambiental y el conocimiento previo afectan la disposición a pagar por carbono.</t>
  </si>
  <si>
    <t xml:space="preserve">Blicharska et al.</t>
  </si>
  <si>
    <t xml:space="preserve">Operationalisation of ecological compensation – Obstacles and ways forward</t>
  </si>
  <si>
    <t xml:space="preserve">Reguladores, Oferta (Silvicultores, agricultores), Comunidad científica</t>
  </si>
  <si>
    <t xml:space="preserve">Suecia / Finlandia / Alemania</t>
  </si>
  <si>
    <t xml:space="preserve">Identifica obstáculos institucionales en la operacionalización de la compensación ecológica.</t>
  </si>
  <si>
    <t xml:space="preserve">Bormpoudakis et al.</t>
  </si>
  <si>
    <t xml:space="preserve">The rise and fall of biodiversity offsetting in the Lodge Hill large-scale housing development, South East England</t>
  </si>
  <si>
    <t xml:space="preserve">Demanda (Desarrolladores), Público general (Residentes), Reguladores</t>
  </si>
  <si>
    <t xml:space="preserve">Urbano / Bosque</t>
  </si>
  <si>
    <t xml:space="preserve">Analiza un sonado conflicto socioecológico en torno al desarrollo habitacional y las compensaciones.</t>
  </si>
  <si>
    <t xml:space="preserve">Bratu et al.</t>
  </si>
  <si>
    <t xml:space="preserve">Subsidies for Forest Environment and Climate: A Viable Solution for Forest Conservation in Romania?</t>
  </si>
  <si>
    <t xml:space="preserve">Oferta (Silvicultores, propietarios forestales), Reguladores</t>
  </si>
  <si>
    <t xml:space="preserve">Rumanía</t>
  </si>
  <si>
    <t xml:space="preserve">Bosque</t>
  </si>
  <si>
    <t xml:space="preserve">Evalúa la efectividad de subsidios forestales en el comportamiento de conservación.</t>
  </si>
  <si>
    <t xml:space="preserve">Relational values in evaluations of upstream social outcomes of watershed Payment for Ecosystem Services: A review</t>
  </si>
  <si>
    <t xml:space="preserve">Cuenca hidrográfica (Watershed)</t>
  </si>
  <si>
    <t xml:space="preserve">Muestra la importancia de los valores relacionales de las comunidades en la conservación del agua.</t>
  </si>
  <si>
    <t xml:space="preserve">Bücheler et al.</t>
  </si>
  <si>
    <t xml:space="preserve">Exploring private financing for biodiversity conservation: Stakeholder perspectives and governance in the case of wildflower strips in Germany</t>
  </si>
  <si>
    <t xml:space="preserve">Oferta (Agricultores, colectivos), Demanda (Empresas), Reguladores</t>
  </si>
  <si>
    <t xml:space="preserve">Agrícola (Wildflower strips)</t>
  </si>
  <si>
    <t xml:space="preserve">Analiza la gobernanza y aceptación de la financiación privada para franjas de flores silvestres.</t>
  </si>
  <si>
    <t xml:space="preserve">Buck &amp; Palumbo-Compton</t>
  </si>
  <si>
    <t xml:space="preserve">Soil carbon sequestration as a climate strategy: What do farmers think?</t>
  </si>
  <si>
    <t xml:space="preserve">Agrícola (Suelo)</t>
  </si>
  <si>
    <t xml:space="preserve">Investiga las percepciones de los agricultores sobre el secuestro de carbono en el suelo.</t>
  </si>
  <si>
    <t xml:space="preserve">Counterintuitive Proposals for Trans-boundary Ecological Compensation Under ‘No Net Loss’ Biodiversity Policy</t>
  </si>
  <si>
    <t xml:space="preserve">Estudia la aceptabilidad social de compensaciones transfronterizas frente a locales.</t>
  </si>
  <si>
    <t xml:space="preserve">Bull &amp; Brownlie</t>
  </si>
  <si>
    <t xml:space="preserve">The transition from No Net Loss to a Net Gain of biodiversity is far from trivial</t>
  </si>
  <si>
    <t xml:space="preserve">Plantea los desafíos teóricos y de política para transicionar del No Net Loss al Net Gain.</t>
  </si>
  <si>
    <t xml:space="preserve">Burton et al.</t>
  </si>
  <si>
    <t xml:space="preserve">Community acceptance of biodiversity offsets: Evidence from a choice experiment</t>
  </si>
  <si>
    <t xml:space="preserve">Público general, Demanda (Empresas de energía)</t>
  </si>
  <si>
    <t xml:space="preserve">Marino / Costero (Shorebirds)</t>
  </si>
  <si>
    <t xml:space="preserve">Mide la aceptación comunitaria de las compensaciones ecológicas en sectores de petróleo y gas.</t>
  </si>
  <si>
    <t xml:space="preserve">Calvet et al.</t>
  </si>
  <si>
    <t xml:space="preserve">Challenges of achieving biodiversity offset outcomes through agri-environmental schemes: Evidence from an empirical study in Southern France</t>
  </si>
  <si>
    <t xml:space="preserve">Oferta (Agricultores), Reguladores, Demanda (Desarrolladores)</t>
  </si>
  <si>
    <t xml:space="preserve">Analiza la implementación de compensaciones mediante contratos de esquemas agroambientales (AES).</t>
  </si>
  <si>
    <t xml:space="preserve">Cammarata et al.</t>
  </si>
  <si>
    <t xml:space="preserve">Factors influencing farmers’ intention to participate in the voluntary carbon market: An extended theory of planned behavior</t>
  </si>
  <si>
    <t xml:space="preserve">Aplica el modelo TPB ampliado para evaluar la intención de participar en el mercado de carbono.</t>
  </si>
  <si>
    <t xml:space="preserve">Campigotto et al.</t>
  </si>
  <si>
    <t xml:space="preserve">Salience and information avoidance in voluntary carbon offsetting decisions: Evidence from online experiments</t>
  </si>
  <si>
    <t xml:space="preserve">Público general</t>
  </si>
  <si>
    <t xml:space="preserve">Global / Diversos</t>
  </si>
  <si>
    <t xml:space="preserve">Experimento sobre cómo la saliencia y la evitación de información afectan las decisiones de compra.</t>
  </si>
  <si>
    <t xml:space="preserve">Chartier &amp; Tsayem Demaze</t>
  </si>
  <si>
    <t xml:space="preserve">Hybridizations and reconfigurations in the roles of actors in voluntary carbon offsetting</t>
  </si>
  <si>
    <t xml:space="preserve">Demanda (Empresas), Oferta (Comunidades), Intermediarios</t>
  </si>
  <si>
    <t xml:space="preserve">Global (Norte-Sur)</t>
  </si>
  <si>
    <t xml:space="preserve">Examina la evolución y el dinamismo de los roles de los intermediarios en el mercado de carbono.</t>
  </si>
  <si>
    <t xml:space="preserve">The Institutional Challenges of Payment for Ecosystem Service Program in China: A Review... Sloping Land Conversion Program</t>
  </si>
  <si>
    <t xml:space="preserve">Revisión sobre la efectividad e institucionalidad del mayor programa de reforestación en China.</t>
  </si>
  <si>
    <t xml:space="preserve">Developing regional voluntary carbon markets for peatlands: Innovation processes and influencing factors</t>
  </si>
  <si>
    <t xml:space="preserve">Demanda (Empresas), Oferta (Silvicultores), Reguladores, Científicos</t>
  </si>
  <si>
    <t xml:space="preserve">Estudio comparativo sobre mercados regionales de carbono para la restauración de turberas.</t>
  </si>
  <si>
    <t xml:space="preserve">Christiansen</t>
  </si>
  <si>
    <t xml:space="preserve">Fixing fictions through blended finance: The entrepreneurial ensemble and risk interpretation in the Blue Economy</t>
  </si>
  <si>
    <t xml:space="preserve">Demanda (Sector financiero), Oferta (Acuicultura, pescadores), Intermediarios (DFI)</t>
  </si>
  <si>
    <t xml:space="preserve">Internacional (África Austral)</t>
  </si>
  <si>
    <t xml:space="preserve">Marino (Blue Economy)</t>
  </si>
  <si>
    <t xml:space="preserve">Examina el uso de blended finance para mitigar riesgos en la restauración marina.</t>
  </si>
  <si>
    <t xml:space="preserve">Fixing fictions through blended finance: the entrepreneurial ensemble and risk interpretation in the Blue Economy</t>
  </si>
  <si>
    <t xml:space="preserve">Demanda (sector financiero/inversores), Reguladores/legisladores</t>
  </si>
  <si>
    <t xml:space="preserve">Economía azul, arrecifes de coral y zonas marinas</t>
  </si>
  <si>
    <t xml:space="preserve">Analiza la financiación mixta (blended finance), bonos azules y seguros paramétricos en arrecifes de coral.</t>
  </si>
  <si>
    <t xml:space="preserve">Clark et al.</t>
  </si>
  <si>
    <t xml:space="preserve">Bridging funding gaps for climate and sustainable development: Pitfalls, progress and potential of private finance</t>
  </si>
  <si>
    <t xml:space="preserve">Demanda (Inversores privados), Reguladores</t>
  </si>
  <si>
    <t xml:space="preserve">Analiza el rol de los bancos de desarrollo para canalizar capital privado hacia el clima.</t>
  </si>
  <si>
    <t xml:space="preserve">Clifton &amp; Mánez</t>
  </si>
  <si>
    <t xml:space="preserve">A framework based on payments for ecosystem services to support the delivery of high integrity carbon and biodiversity credits</t>
  </si>
  <si>
    <t xml:space="preserve">Oferta (IPLC / Pescadores), Reguladores, Intermediarios</t>
  </si>
  <si>
    <t xml:space="preserve">Marino / Costero / Manglares</t>
  </si>
  <si>
    <t xml:space="preserve">Créditos de Naturaleza / Pagos por Servicios Ecosistémicos (PES)</t>
  </si>
  <si>
    <t xml:space="preserve">Propone un marco para asegurar la alta integridad social y ecológica de los biocréditos.</t>
  </si>
  <si>
    <t xml:space="preserve">Cole et al.</t>
  </si>
  <si>
    <t xml:space="preserve">Expert guidance for environmental compensation is consistent with public preferences – Evidence from a choice experiment in Sweden</t>
  </si>
  <si>
    <t xml:space="preserve">Público general (Ciudadanos), Reguladores, Científicos</t>
  </si>
  <si>
    <t xml:space="preserve">Suecia</t>
  </si>
  <si>
    <t xml:space="preserve">Muestra que las directrices de los expertos en compensación ecológica se alinean con las preferencias públicas.</t>
  </si>
  <si>
    <t xml:space="preserve">Cordes et al.</t>
  </si>
  <si>
    <t xml:space="preserve">Factors influencing the willingness to pay for aviation voluntary carbon offsets: А literature review</t>
  </si>
  <si>
    <t xml:space="preserve">Público general (Viajeros aéreos), Demanda (Aerolíneas)</t>
  </si>
  <si>
    <t xml:space="preserve">Global (Revisión)</t>
  </si>
  <si>
    <t xml:space="preserve">Revisión sobre las actitudes y la disposición a pagar (WTP) de los viajeros por compensaciones de carbono.</t>
  </si>
  <si>
    <t xml:space="preserve">D’Amato et al.</t>
  </si>
  <si>
    <t xml:space="preserve">Private Governance of Biodiversity and Ecosystem Services: Findings From Nordic Forest Companies</t>
  </si>
  <si>
    <t xml:space="preserve">Demanda (Empresas silvícolas)</t>
  </si>
  <si>
    <t xml:space="preserve">Países Nórdicos</t>
  </si>
  <si>
    <t xml:space="preserve">Evalúa cómo las empresas forestales nórdicas abordan voluntariamente la gestión de biodiversidad.</t>
  </si>
  <si>
    <t xml:space="preserve">Biodiversity Offsets Between Regulation and Voluntary Commitment: A Typology of Approaches Towards Environmental Compensation and No Net Loss of Biodiversity</t>
  </si>
  <si>
    <t xml:space="preserve">Demanda (Empresas), Reguladores</t>
  </si>
  <si>
    <t xml:space="preserve">Desarrolla una tipología de enfoques sobre compensaciones regulatorias y voluntarias.</t>
  </si>
  <si>
    <t xml:space="preserve">Dargusch et al.</t>
  </si>
  <si>
    <t xml:space="preserve">A Small-Scale Forestry Perspective on Constraints to Including REDD in International Carbon Markets</t>
  </si>
  <si>
    <t xml:space="preserve">Oferta (Silvicultores pequeños), Reguladores</t>
  </si>
  <si>
    <t xml:space="preserve">Aborda las barreras de los pequeños silvicultores para ingresar a mercados de REDD.</t>
  </si>
  <si>
    <t xml:space="preserve">De Witt et al.</t>
  </si>
  <si>
    <t xml:space="preserve">Biodiversity offsets in EIA: Getting the timing right</t>
  </si>
  <si>
    <t xml:space="preserve">Demanda (Desarrolladores de infraestructura), Reguladores</t>
  </si>
  <si>
    <t xml:space="preserve">Aborda el momento óptimo para integrar las compensaciones dentro de las evaluaciones de impacto.</t>
  </si>
  <si>
    <t xml:space="preserve">Deknatel &amp; Van Der Loos</t>
  </si>
  <si>
    <t xml:space="preserve">The intangible technological innovation system: The role and influence of voluntary and compliance carbon markets on carbon dioxide removal in the European Union</t>
  </si>
  <si>
    <t xml:space="preserve">Demanda (Inversores, empresas), Reguladores</t>
  </si>
  <si>
    <t xml:space="preserve">Analiza la influencia de los mercados voluntarios frente a los de cumplimiento (como CRCF) en la UE.</t>
  </si>
  <si>
    <t xml:space="preserve">Dencer-Brown et al.</t>
  </si>
  <si>
    <t xml:space="preserve">Integrating blue: How do we make nationally determined contributions work for both blue carbon and local coastal communities?</t>
  </si>
  <si>
    <t xml:space="preserve">Oferta (Comunidades costeras), Reguladores</t>
  </si>
  <si>
    <t xml:space="preserve">Global / Internacional</t>
  </si>
  <si>
    <t xml:space="preserve">Costero / Manglares (Carbono Azul)</t>
  </si>
  <si>
    <t xml:space="preserve">Discute la integración del carbono azul en las NDCs respetando los derechos de las comunidades.</t>
  </si>
  <si>
    <t xml:space="preserve">Diedrich &amp; Clay</t>
  </si>
  <si>
    <t xml:space="preserve">Navigating Dual Enrollment: Assessing Compatibility Between Improved Management Carbon Offset Projects and Preferential Property Tax Programs Across Nine States</t>
  </si>
  <si>
    <t xml:space="preserve">Bosques / Agrícola</t>
  </si>
  <si>
    <t xml:space="preserve">Evalúa la compatibilidad de los proyectos de carbono con incentivos fiscales locales.</t>
  </si>
  <si>
    <t xml:space="preserve">Dik et al.</t>
  </si>
  <si>
    <t xml:space="preserve">What Do Farmer Collectives Need to Enhance Biodiversity, Water Quality and Climate Action in Rural Areas?</t>
  </si>
  <si>
    <t xml:space="preserve">Oferta (Colectivos de agricultores), Reguladores</t>
  </si>
  <si>
    <t xml:space="preserve">Explora la necesidad de agencia y apoyo que requieren las cooperativas de agricultores para implementar AES.</t>
  </si>
  <si>
    <t xml:space="preserve">Dixon &amp; Challies</t>
  </si>
  <si>
    <t xml:space="preserve">Making REDD + pay: Shifting rationales and tactics of private finance and the governance of avoided deforestation in Indonesia</t>
  </si>
  <si>
    <t xml:space="preserve">Demanda (Sector financiero, corporativos), Intermediarios</t>
  </si>
  <si>
    <t xml:space="preserve">Analiza el cambio de tácticas financieras privadas y de gobernanza en la deforestación evitada.</t>
  </si>
  <si>
    <t xml:space="preserve">Dunklin et al.</t>
  </si>
  <si>
    <t xml:space="preserve">Should nature restoration projects be able to stack multiple revenue streams from ecosystem services? Full impact accounting as a clear way forward</t>
  </si>
  <si>
    <t xml:space="preserve">Examina el debate en torno al apilamiento (stacking) y acumulación de créditos de diversos servicios.</t>
  </si>
  <si>
    <t xml:space="preserve">Egusquiza et al.</t>
  </si>
  <si>
    <t xml:space="preserve">Mapping of innovative governance models to overcome barriers for nature based urban regeneration</t>
  </si>
  <si>
    <t xml:space="preserve">Mapea modelos de gobernanza en red para la regeneración urbana mediante soluciones naturales.</t>
  </si>
  <si>
    <t xml:space="preserve">Favero &amp; Hinkel</t>
  </si>
  <si>
    <t xml:space="preserve">Key Innovations in Financing Nature-Based Solutions for Coastal Adaptation</t>
  </si>
  <si>
    <t xml:space="preserve">Demanda (Sector financiero, inversores), Reguladores</t>
  </si>
  <si>
    <t xml:space="preserve">Costero (NBS)</t>
  </si>
  <si>
    <t xml:space="preserve">Identifica innovaciones financieras clave para respaldar NBS en la adaptación costera.</t>
  </si>
  <si>
    <t xml:space="preserve">Feeney</t>
  </si>
  <si>
    <t xml:space="preserve">A dam, a park, and offsets: Analyzing socio-ecological conflict in Santander, Colombia, through political ecology and Galtung’s conflict triangle</t>
  </si>
  <si>
    <t xml:space="preserve">Oferta (Comunidades locales desplazadas), Reguladores</t>
  </si>
  <si>
    <t xml:space="preserve">Colombia</t>
  </si>
  <si>
    <t xml:space="preserve">Analiza críticamente el conflicto socioecológico asociado con un proyecto de compensación local.</t>
  </si>
  <si>
    <t xml:space="preserve">Flammer et al.</t>
  </si>
  <si>
    <t xml:space="preserve">Biodiversity finance</t>
  </si>
  <si>
    <t xml:space="preserve">Demanda (Sector financiero / Inversores de impacto)</t>
  </si>
  <si>
    <t xml:space="preserve">Diversos / Marinos</t>
  </si>
  <si>
    <t xml:space="preserve">Analiza transacciones reales de inversión privada y muestra el rol del blended finance en proyectos grandes.</t>
  </si>
  <si>
    <t xml:space="preserve">Frings et al.</t>
  </si>
  <si>
    <t xml:space="preserve">Do individual PES buyers care about additionality and free-riding? A choice experiment</t>
  </si>
  <si>
    <t xml:space="preserve">Público general (Compradores individuales de PES)</t>
  </si>
  <si>
    <t xml:space="preserve">Francia / Europa</t>
  </si>
  <si>
    <t xml:space="preserve">Experimento sobre las preferencias de los ciudadanos al comprar de manera voluntaria PES forestales.</t>
  </si>
  <si>
    <t xml:space="preserve">García &amp; Moros</t>
  </si>
  <si>
    <t xml:space="preserve">Key issues in carbon markets and lessons for biodiversity conservation and financing</t>
  </si>
  <si>
    <t xml:space="preserve">Resume lecciones críticas del mercado de carbono para el desarrollo de mercados de biodiversidad.</t>
  </si>
  <si>
    <t xml:space="preserve">Ghosh &amp; Barral</t>
  </si>
  <si>
    <t xml:space="preserve">Buying nature to save it? From neoliberal failure to markets-at-hand</t>
  </si>
  <si>
    <t xml:space="preserve">Reflexiona críticamente sobre la adopción práctica de mercados ambientales y el rol corporativo.</t>
  </si>
  <si>
    <t xml:space="preserve">Goldstein et al.</t>
  </si>
  <si>
    <t xml:space="preserve">Business strategies for conservation on private lands: Koa forestry as a case study</t>
  </si>
  <si>
    <t xml:space="preserve">Oferta (Propietarios privados), Demanda</t>
  </si>
  <si>
    <t xml:space="preserve">EE. UU. (Hawái)</t>
  </si>
  <si>
    <t xml:space="preserve">Bosque de Koa (Silvicultura)</t>
  </si>
  <si>
    <t xml:space="preserve">Examina el balance entre la producción de madera y la conservación voluntaria en tierras privadas.</t>
  </si>
  <si>
    <t xml:space="preserve">Gordon et al.</t>
  </si>
  <si>
    <t xml:space="preserve">Perverse incentives risk undermining biodiversity offset policies</t>
  </si>
  <si>
    <t xml:space="preserve">Demuestra mediante modelización cómo los malos diseños de offsets fomentan incentivos perversos.</t>
  </si>
  <si>
    <t xml:space="preserve">Greiner</t>
  </si>
  <si>
    <t xml:space="preserve">Motivations and attitudes influence farmers’ willingness to participate in biodiversity conservation contracts</t>
  </si>
  <si>
    <t xml:space="preserve">Oferta (Agricultores, ganaderos)</t>
  </si>
  <si>
    <t xml:space="preserve">Evalúa el peso de las motivaciones de custodia frente a las financieras en contratos de conservación.</t>
  </si>
  <si>
    <t xml:space="preserve">Local people’s preferences for biodiversity offsets to achieve ‘no net loss’ for economic developments</t>
  </si>
  <si>
    <t xml:space="preserve">Público general (Comunidades locales / Residentes)</t>
  </si>
  <si>
    <t xml:space="preserve">Uganda</t>
  </si>
  <si>
    <t xml:space="preserve">Experimento de elección que destaca la preferencia de comunidades pobres por compensaciones de uso comunitario.</t>
  </si>
  <si>
    <t xml:space="preserve">Grimm</t>
  </si>
  <si>
    <t xml:space="preserve">Conserving biodiversity through offsets? Findings from an empirical study on conservation banking</t>
  </si>
  <si>
    <t xml:space="preserve">Intermediarios (Bancos de conservación), Demanda, Reguladores</t>
  </si>
  <si>
    <t xml:space="preserve">EE. UU. / Alemania</t>
  </si>
  <si>
    <t xml:space="preserve">Bosque / Humedal</t>
  </si>
  <si>
    <t xml:space="preserve">Estudio empírico de campo sobre el funcionamiento real y riesgos de la banca de conservación.</t>
  </si>
  <si>
    <t xml:space="preserve">Hagger et al.</t>
  </si>
  <si>
    <t xml:space="preserve">What motivates ecological restoration?</t>
  </si>
  <si>
    <t xml:space="preserve">Oferta (Organizaciones de restauración), Público general</t>
  </si>
  <si>
    <t xml:space="preserve">Aborda las motivaciones sociales y ecológicas detrás de las actividades de restauración.</t>
  </si>
  <si>
    <t xml:space="preserve">Helmcke et al.</t>
  </si>
  <si>
    <t xml:space="preserve">Net Zero and the peatland carbon frontier: Contesting incentives for ecosystem restoration in Scotland’s Western Isles</t>
  </si>
  <si>
    <t xml:space="preserve">Oferta (Comunidades locales / Crofters), Reguladores</t>
  </si>
  <si>
    <t xml:space="preserve">Explora los conflictos en torno a la restauración de turberas promovida por incentivos de Net Zero.</t>
  </si>
  <si>
    <t xml:space="preserve">Hernandez et al.</t>
  </si>
  <si>
    <t xml:space="preserve">Application and attitudes: Active restoration in the context of biodiversity offsetting</t>
  </si>
  <si>
    <t xml:space="preserve">Examina el rol y la viabilidad percibida de la restauración activa en contratos de compensación.</t>
  </si>
  <si>
    <t xml:space="preserve">Herronen &amp; Jenkins</t>
  </si>
  <si>
    <t xml:space="preserve">Feasibility of implementing ecological compensation for offshore wind power in the Finnish Baltic Sea area</t>
  </si>
  <si>
    <t xml:space="preserve">Demanda (Empresas de energía eólica), Reguladores, Científicos</t>
  </si>
  <si>
    <t xml:space="preserve">Marino (Eólica Marina)</t>
  </si>
  <si>
    <t xml:space="preserve">Estudia la factibilidad técnica y aceptación de compensaciones marinas para parques eólicos.</t>
  </si>
  <si>
    <t xml:space="preserve">Higashida et al.</t>
  </si>
  <si>
    <t xml:space="preserve">Who pays and who should pay for the uncertain conservation cost in biodiversity banking programs: Evidence from a laboratory experiment</t>
  </si>
  <si>
    <t xml:space="preserve">Global (Experimento)</t>
  </si>
  <si>
    <t xml:space="preserve">Experimento de laboratorio que aboga por que el Estado comparta riesgos de costos de conservación imprevistos.</t>
  </si>
  <si>
    <t xml:space="preserve">Hilburn &amp; Ronish</t>
  </si>
  <si>
    <t xml:space="preserve">What is preventing private capital from reaching local climate action?</t>
  </si>
  <si>
    <t xml:space="preserve">Demanda (Sector financiero), Reguladores (Municipios)</t>
  </si>
  <si>
    <t xml:space="preserve">Analiza las barreras contractuales y de gobernanza que limitan el flujo de inversión privada.</t>
  </si>
  <si>
    <t xml:space="preserve">Holmes et al.</t>
  </si>
  <si>
    <t xml:space="preserve">Agroforestry within REDD+: Experiences of an indigenous Emberá community in Panama</t>
  </si>
  <si>
    <t xml:space="preserve">Oferta (IPLC / Comunidad Emberá)</t>
  </si>
  <si>
    <t xml:space="preserve">Panamá</t>
  </si>
  <si>
    <t xml:space="preserve">Agroforestería / Selva</t>
  </si>
  <si>
    <t xml:space="preserve">Detalla la experiencia de una comunidad indígena integrando agroforestería en esquemas REDD+.</t>
  </si>
  <si>
    <t xml:space="preserve">Hüsken et al.</t>
  </si>
  <si>
    <t xml:space="preserve">Money talks. A systems perspective on funding and financing barriers to nature-based solutions</t>
  </si>
  <si>
    <t xml:space="preserve">Demanda (Sector financiero), Reguladores</t>
  </si>
  <si>
    <t xml:space="preserve">NBS / Diversos</t>
  </si>
  <si>
    <t xml:space="preserve">Identifica las desconexiones entre las expectativas de inversores y los requerimientos de proyectos NBS.</t>
  </si>
  <si>
    <t xml:space="preserve">Ibrahim et al.</t>
  </si>
  <si>
    <t xml:space="preserve">Risk barriers and sustainability in payment for ecosystem service implementation in smallholder forestry</t>
  </si>
  <si>
    <t xml:space="preserve">Oferta (Silvicultores pequeños, comunidades)</t>
  </si>
  <si>
    <t xml:space="preserve">Aborda las barreras de riesgo financiero y técnico en la implementación de PES con pequeños productores.</t>
  </si>
  <si>
    <t xml:space="preserve">Jellinek et al.</t>
  </si>
  <si>
    <t xml:space="preserve">Integrating diverse social and ecological motivations to achieve landscape restoration</t>
  </si>
  <si>
    <t xml:space="preserve">Oferta (Silvicultores, propietarios), Reguladores</t>
  </si>
  <si>
    <t xml:space="preserve">Evalúa cómo integrar las motivaciones sociales de los propietarios para lograr restauración forestal a escala.</t>
  </si>
  <si>
    <t xml:space="preserve">Participation in payments for ecosystem services programs in the Global South: A systematic review</t>
  </si>
  <si>
    <t xml:space="preserve">Oferta (Agricultores, comunidades locales)</t>
  </si>
  <si>
    <t xml:space="preserve">Revisión sistemática de los factores de capital de activos que determinan la participación en PES.</t>
  </si>
  <si>
    <t xml:space="preserve">Kaiser et al.</t>
  </si>
  <si>
    <t xml:space="preserve">Investigating conservation performance payments alongside human–wildlife conflicts: The Swedish lynx and wolverine protection policies</t>
  </si>
  <si>
    <t xml:space="preserve">Oferta (Comunidad Sámi), Reguladores</t>
  </si>
  <si>
    <t xml:space="preserve">Boreal (Pastoreo de renos)</t>
  </si>
  <si>
    <t xml:space="preserve">Evalúa un sistema de pagos por desempeño de conservación de carnívoros silvestres.</t>
  </si>
  <si>
    <t xml:space="preserve">Kangas &amp; Ollikainen</t>
  </si>
  <si>
    <t xml:space="preserve">Behavioural and Welfare Analysis of an Intermediary in Biodiversity Offset Markets</t>
  </si>
  <si>
    <t xml:space="preserve">Intermediarios (Brokers, bancos de hábitat), Demanda, Oferta</t>
  </si>
  <si>
    <t xml:space="preserve">Modelación económica sobre los intermediarios en mercados de offsets y la fijación de precios.</t>
  </si>
  <si>
    <t xml:space="preserve">Karhunmaa et al.</t>
  </si>
  <si>
    <t xml:space="preserve">Settling an unsettled phenomenon: Citizens’ views and understandings of voluntary carbon offsetting in Finland</t>
  </si>
  <si>
    <t xml:space="preserve">Investiga la percepción ciudadana sobre el carbono voluntario como una opción 'mejor que nada'.</t>
  </si>
  <si>
    <t xml:space="preserve">Karlsson</t>
  </si>
  <si>
    <t xml:space="preserve">Biodiversity Offsetting: Ethical Views within Environmental Organisations in the European Union</t>
  </si>
  <si>
    <t xml:space="preserve">ONG, Público general, Reguladores</t>
  </si>
  <si>
    <t xml:space="preserve">Analiza las posturas éticas de las ONGs europeas frente al concepto de compensación.</t>
  </si>
  <si>
    <t xml:space="preserve">Karlsson &amp; Karhunmaa</t>
  </si>
  <si>
    <t xml:space="preserve">‘Better than Doing Nothing’ – constructing support for biodiversity offsetting in Finland</t>
  </si>
  <si>
    <t xml:space="preserve">Reguladores, Demanda (Gremio industrial), ONG, Científicos</t>
  </si>
  <si>
    <t xml:space="preserve">Estudia cómo los actores construyen el apoyo social a las compensaciones mediante la gobernanza experimental.</t>
  </si>
  <si>
    <t xml:space="preserve">Kigonya</t>
  </si>
  <si>
    <t xml:space="preserve">‘Old wine in a new bottle’: Conceptualization of biodiversity offsets among environmental practitioners in Uganda</t>
  </si>
  <si>
    <t xml:space="preserve">Reguladores, Comunidad científica, ONG</t>
  </si>
  <si>
    <t xml:space="preserve">Analiza las reservas y escepticismo de los profesionales locales ante la importación del modelo de offsets.</t>
  </si>
  <si>
    <t xml:space="preserve">Kochar et al.</t>
  </si>
  <si>
    <t xml:space="preserve">Voluntary Carbon Markets (VCMs) in a nutshell: A systematic review based on the empirical evidence from across the globe</t>
  </si>
  <si>
    <t xml:space="preserve">Demanda (Empresas), Oferta (Silvicultores/Proyectos)</t>
  </si>
  <si>
    <t xml:space="preserve">Bosques / Suelos</t>
  </si>
  <si>
    <t xml:space="preserve">Revisión sobre las dinámicas de oferta y demanda del mercado voluntario de carbono.</t>
  </si>
  <si>
    <t xml:space="preserve">Kölle et al.</t>
  </si>
  <si>
    <t xml:space="preserve">Impartial policymakers prefer to impose carbon pricing to capping, especially when combined with offsets</t>
  </si>
  <si>
    <t xml:space="preserve">Reguladores (Imparciales), Demanda</t>
  </si>
  <si>
    <t xml:space="preserve">Experimento de laboratorio que demuestra la preferencia política de precios de carbono con offsets sobre cuotas rígidas.</t>
  </si>
  <si>
    <t xml:space="preserve">Kuhn &amp; Uler</t>
  </si>
  <si>
    <t xml:space="preserve">Behavioral sources of the demand for carbon offsets: An experimental study</t>
  </si>
  <si>
    <t xml:space="preserve">Público general (Consumidores / Ciudadanos)</t>
  </si>
  <si>
    <t xml:space="preserve">Experimento que muestra la ineficiencia económica del mercado de offsets por incentivos de free-riding.</t>
  </si>
  <si>
    <t xml:space="preserve">Lambooy &amp; Levashova</t>
  </si>
  <si>
    <t xml:space="preserve">Opportunities and challenges for private sector entrepreneurship and investment in biodiversity, ecosystem services and nature conservation</t>
  </si>
  <si>
    <t xml:space="preserve">Demanda (Empresas, inversores), Reguladores</t>
  </si>
  <si>
    <t xml:space="preserve">Discute las condiciones de seguridad jurídica para que el capital privado invierta en conservación.</t>
  </si>
  <si>
    <t xml:space="preserve">Lang et al.</t>
  </si>
  <si>
    <t xml:space="preserve">What future for the voluntary carbon offset market after Paris? An explorative study based on the Discursive Agency Approach</t>
  </si>
  <si>
    <t xml:space="preserve">Reguladores, Demanda (Empresas), Intermediarios</t>
  </si>
  <si>
    <t xml:space="preserve">Global (Acuerdo de París)</t>
  </si>
  <si>
    <t xml:space="preserve">Muestra cómo el mercado voluntario de carbono depende inherentemente de la estabilidad regulatoria estatal.</t>
  </si>
  <si>
    <t xml:space="preserve">Le Coent et al.</t>
  </si>
  <si>
    <t xml:space="preserve">Compensating Environmental Losses Versus Creating Environmental Gains: Implications for Biodiversity Offsets</t>
  </si>
  <si>
    <t xml:space="preserve">Experimento que muestra que los agricultores exigen mayores pagos por compensar daños que por conservación estándar.</t>
  </si>
  <si>
    <t xml:space="preserve">Le</t>
  </si>
  <si>
    <t xml:space="preserve">Voluntary carbon offsets in sustainable aviation research: A bibliometric analysis</t>
  </si>
  <si>
    <t xml:space="preserve">Público general (Pasajeros), Demanda (Aerolíneas)</t>
  </si>
  <si>
    <t xml:space="preserve">Mapeo bibliométrico sobre la investigación en compensación voluntaria en el sector de la aviación.</t>
  </si>
  <si>
    <t xml:space="preserve">Lee et al.</t>
  </si>
  <si>
    <t xml:space="preserve">Characteristics of forest carbon credit transactions in the voluntary carbon market</t>
  </si>
  <si>
    <t xml:space="preserve">Demanda (Compradores de créditos), Oferta (Proyectos)</t>
  </si>
  <si>
    <t xml:space="preserve">Muestra que los compradores prefieren créditos de carbono con co-beneficios biodiversos demostrados.</t>
  </si>
  <si>
    <t xml:space="preserve">Lehtimäki et al.</t>
  </si>
  <si>
    <t xml:space="preserve">Climate Moralities Offset: A Case of Formative Voluntary Carbon Markets</t>
  </si>
  <si>
    <t xml:space="preserve">Público general, Demanda, Reguladores</t>
  </si>
  <si>
    <t xml:space="preserve">Analiza las dimensiones morales asociadas con el auge de mercados formativos de carbono.</t>
  </si>
  <si>
    <t xml:space="preserve">Lehtiniemi et al.</t>
  </si>
  <si>
    <t xml:space="preserve">Pulling biodiversity offsetting in different directions – Stakeholder frames in the preparation of the Finnish nature conservation act</t>
  </si>
  <si>
    <t xml:space="preserve">Reguladores, Oferta (Propietarios), Demanda (Gremios industriales), ONG</t>
  </si>
  <si>
    <t xml:space="preserve">Bosque / Agrícola / Diversos</t>
  </si>
  <si>
    <t xml:space="preserve">Identifica discursos opuestos ('malo para el negocio' vs 'inmoral para la naturaleza') en la legislación finlandesa.</t>
  </si>
  <si>
    <t xml:space="preserve">Li et al.</t>
  </si>
  <si>
    <t xml:space="preserve">Research on the Influencing Factors of College Students’ Willingness-to-Pay for Carbon Offsets in the Context of Climate Change</t>
  </si>
  <si>
    <t xml:space="preserve">Público general (Estudiantes)</t>
  </si>
  <si>
    <t xml:space="preserve">Usa modelos normativos para evaluar qué impulsa la disposición a pagar por carbono voluntario en jóvenes.</t>
  </si>
  <si>
    <t xml:space="preserve">Liu et al.</t>
  </si>
  <si>
    <t xml:space="preserve">Corporate Preferences for Biodiversity Investment: Evidence From a Discrete Choice Experiment Among Medium and Large European Firms</t>
  </si>
  <si>
    <t xml:space="preserve">Demanda (Empresas Medianas y Grandes)</t>
  </si>
  <si>
    <t xml:space="preserve">Experimento de elección discreta sobre los atributos de conservación favoritos de las empresas europeas.</t>
  </si>
  <si>
    <t xml:space="preserve">Lukey et al.</t>
  </si>
  <si>
    <t xml:space="preserve">Making biodiversity offsets work in South Africa – A governance perspective</t>
  </si>
  <si>
    <t xml:space="preserve">Reguladores, Demanda (Desarrolladores), ONG</t>
  </si>
  <si>
    <t xml:space="preserve">Destaca la escasez de recursos y fiscalización como el principal freno al éxito de los offsets.</t>
  </si>
  <si>
    <t xml:space="preserve">Maestre-Andrés et al.</t>
  </si>
  <si>
    <t xml:space="preserve">Habitat banking at a standstill: The case of Spain</t>
  </si>
  <si>
    <t xml:space="preserve">Reguladores, Oferta (Propietarios), ONG, Científicos</t>
  </si>
  <si>
    <t xml:space="preserve">Hábitats forestales / arbolados</t>
  </si>
  <si>
    <t xml:space="preserve">Muestra por qué la banca de hábitat en España se estancó debido a la oposición social y debilidad institucional.</t>
  </si>
  <si>
    <t xml:space="preserve">Mann</t>
  </si>
  <si>
    <t xml:space="preserve">Strategies for sustainable policy design: Constructive assessment of biodiversity offsets and banking</t>
  </si>
  <si>
    <t xml:space="preserve">Global / Alemania</t>
  </si>
  <si>
    <t xml:space="preserve">Aborda los desafíos políticos y técnicos inherentes a la banca de compensación ecológica.</t>
  </si>
  <si>
    <t xml:space="preserve">Mayr et al.</t>
  </si>
  <si>
    <t xml:space="preserve">Scaling agroforestry through payments for ecosystem services: A scoping review</t>
  </si>
  <si>
    <t xml:space="preserve">Oferta (Agricultores, agroforestería), Intermediarios</t>
  </si>
  <si>
    <t xml:space="preserve">Agroforestería</t>
  </si>
  <si>
    <t xml:space="preserve">Revisión sobre cómo los pagos simplificados y flexibles aceleran la agroforestería.</t>
  </si>
  <si>
    <t xml:space="preserve">Meißner</t>
  </si>
  <si>
    <t xml:space="preserve">The incentives of private companies to invest in protected area certificates: How coalitions can improve ecosystem sustainability</t>
  </si>
  <si>
    <t xml:space="preserve">Propone los Certificados de Áreas Protegidas como vehículo de inversión corporativa voluntaria.</t>
  </si>
  <si>
    <t xml:space="preserve">Meißner &amp; Grote</t>
  </si>
  <si>
    <t xml:space="preserve">Motives, opportunities, and risks for private sector investment in protected areas with international importance: Evidence from German companies</t>
  </si>
  <si>
    <t xml:space="preserve">Demanda (Empresas alemanas)</t>
  </si>
  <si>
    <t xml:space="preserve">Aborda cómo las marcas usan inversiones en áreas protegidas para ganar distinción y reputación.</t>
  </si>
  <si>
    <t xml:space="preserve">Meißner &amp; Winter</t>
  </si>
  <si>
    <t xml:space="preserve">Design principles for protected area certificates: A case study on strategic investor groups</t>
  </si>
  <si>
    <t xml:space="preserve">Alemania / Internacional</t>
  </si>
  <si>
    <t xml:space="preserve">Establece los principios de diseño que buscan los inversores (flexibilidad, simplificación, credibilidad).</t>
  </si>
  <si>
    <t xml:space="preserve">Miah &amp; Aturo</t>
  </si>
  <si>
    <t xml:space="preserve">Perspectives on REDD+ finances from donor to the developing countries: Experience from Japan</t>
  </si>
  <si>
    <t xml:space="preserve">Demanda (Donantes corporativos/públicos de Japón), Intermediarios</t>
  </si>
  <si>
    <t xml:space="preserve">Japón / Países en desarrollo</t>
  </si>
  <si>
    <t xml:space="preserve">Analiza qué buscan los inversores japoneses antes de financiar proyectos forestales de REDD+ en el extranjero.</t>
  </si>
  <si>
    <t xml:space="preserve">Miller et al.</t>
  </si>
  <si>
    <t xml:space="preserve">An assessment of forest landowner interest in selling forest carbon credits in the Lake States, USA</t>
  </si>
  <si>
    <t xml:space="preserve">Oferta (Propietarios de bosques privados)</t>
  </si>
  <si>
    <t xml:space="preserve">EE. UU. (Lake States)</t>
  </si>
  <si>
    <t xml:space="preserve">Mide el interés y las barreras de los silvicultores para ingresar a contratos de carbono.</t>
  </si>
  <si>
    <t xml:space="preserve">Family Forest Landowners’ Interest in Forest Carbon Offset Programs: Focus Group Findings from the Lake States, USA</t>
  </si>
  <si>
    <t xml:space="preserve">Oferta (Propietarios de bosques familiares)</t>
  </si>
  <si>
    <t xml:space="preserve">Revela que los silvicultores prefieren contratos flexibles y asistencia técnica antes que pagos simples.</t>
  </si>
  <si>
    <t xml:space="preserve">Montero-de-Oliveira et al.</t>
  </si>
  <si>
    <t xml:space="preserve">Under what conditions do payments for environmental services enable forest conservation in the Amazon? A realist synthesis</t>
  </si>
  <si>
    <t xml:space="preserve">Oferta (Comunidades costeras/locales, agricultores), Reguladores</t>
  </si>
  <si>
    <t xml:space="preserve">Aborda la necesidad de combinar pagos monetarios con beneficios comunitarios e institucionales en el Amazonas.</t>
  </si>
  <si>
    <t xml:space="preserve">Morita &amp; Matsumoto</t>
  </si>
  <si>
    <t xml:space="preserve">Challenges and lessons learned for REDD+ finance and its governance</t>
  </si>
  <si>
    <t xml:space="preserve">Reguladores, Demanda (Donantes)</t>
  </si>
  <si>
    <t xml:space="preserve">Sintetiza los desafíos de gobernanza y la inestabilidad de precios en proyectos REDD+.</t>
  </si>
  <si>
    <t xml:space="preserve">Mueller et al.</t>
  </si>
  <si>
    <t xml:space="preserve">Portfolio allocation and optimization with carbon offsets: Is it worth the while?</t>
  </si>
  <si>
    <t xml:space="preserve">Demanda (Inversores institucionales, sector financiero)</t>
  </si>
  <si>
    <t xml:space="preserve">Estudio cuantitativo sobre cómo los activos de carbono se integran en carteras corporativas tradicionales.</t>
  </si>
  <si>
    <t xml:space="preserve">Nakamura &amp; Kato</t>
  </si>
  <si>
    <t xml:space="preserve">Japanese citizens’ preferences regarding voluntary carbon offsets: An experimental social survey of Yokohama and Kitakyushu</t>
  </si>
  <si>
    <t xml:space="preserve">Japón</t>
  </si>
  <si>
    <t xml:space="preserve">Muestra que los ciudadanos prefieren reducir emisiones en lugar de pagar para compensarlas.</t>
  </si>
  <si>
    <t xml:space="preserve">Neudert et al.</t>
  </si>
  <si>
    <t xml:space="preserve">Global benefits and local costs – The dilemma of tropical forest conservation: A review of the situation in Madagascar</t>
  </si>
  <si>
    <t xml:space="preserve">Oferta (Comunidades locales), Reguladores, Demanda (Donantes)</t>
  </si>
  <si>
    <t xml:space="preserve">Expone el dilema donde las comunidades locales asumen costos de conservación de beneficios globales.</t>
  </si>
  <si>
    <t xml:space="preserve">Nimlos et al.</t>
  </si>
  <si>
    <t xml:space="preserve">Rancher opportunities in grazing land carbon markets in the United States</t>
  </si>
  <si>
    <t xml:space="preserve">Oferta (Rancheros, ganaderos), Demanda (Compañías)</t>
  </si>
  <si>
    <t xml:space="preserve">Pastizales</t>
  </si>
  <si>
    <t xml:space="preserve">Explora la disposición y barreras de los rancheros para vender créditos de carbono de pastoreo.</t>
  </si>
  <si>
    <t xml:space="preserve">Niner et al.</t>
  </si>
  <si>
    <t xml:space="preserve">A global snapshot of marine biodiversity offsetting policy</t>
  </si>
  <si>
    <t xml:space="preserve">Reguladores, Demanda (Desarrolladores industriales marinos)</t>
  </si>
  <si>
    <t xml:space="preserve">Marino (Ecosistemas costero-marinos)</t>
  </si>
  <si>
    <t xml:space="preserve">Revela la gran complejidad de gobernar compensaciones marinas dada la falta de historias de éxito.</t>
  </si>
  <si>
    <t xml:space="preserve">Exploring the practical implementation of marine biodiversity offsetting in Australia</t>
  </si>
  <si>
    <t xml:space="preserve">Reguladores, Demanda, Científicos, ONG</t>
  </si>
  <si>
    <t xml:space="preserve">Marino (Arrecifes / Praderas)</t>
  </si>
  <si>
    <t xml:space="preserve">Analiza el uso problemático de compensaciones financieras en el mar por falta de equivalencia ecológica.</t>
  </si>
  <si>
    <t xml:space="preserve">Niner &amp; Randalls</t>
  </si>
  <si>
    <t xml:space="preserve">Good enough for governance? Audit and marine biodiversity offsetting in Australia</t>
  </si>
  <si>
    <t xml:space="preserve">Reguladores, Auditores, Demanda</t>
  </si>
  <si>
    <t xml:space="preserve">Marino (Arrecifes / Costero)</t>
  </si>
  <si>
    <t xml:space="preserve">Muestra debilidades de fiscalización en el cumplimiento de los contratos de compensación marina.</t>
  </si>
  <si>
    <t xml:space="preserve">Oinonen et al.</t>
  </si>
  <si>
    <t xml:space="preserve">“Nature cannot always win” – A Q study on stakeholder perceptions on biodiversity offsetting</t>
  </si>
  <si>
    <t xml:space="preserve">Reguladores, Demanda (Industria), ONG, Científicos</t>
  </si>
  <si>
    <t xml:space="preserve">Estudio Q que muestra el abismo entre quienes exigen integridad estricta y quienes buscan flexibilidad de negocios.</t>
  </si>
  <si>
    <t xml:space="preserve">Pasgaard et al.</t>
  </si>
  <si>
    <t xml:space="preserve">Challenges and opportunities for REDD+: A reality check from perspectives of effectiveness, efficiency and equity</t>
  </si>
  <si>
    <t xml:space="preserve">Oferta (IPLC / Comunidades locales), Reguladores</t>
  </si>
  <si>
    <t xml:space="preserve">Revisión crítica de proyectos REDD+ bajo la perspectiva del triple dividendo (efectividad, equidad, eficiencia).</t>
  </si>
  <si>
    <t xml:space="preserve">Phelan et al.</t>
  </si>
  <si>
    <t xml:space="preserve">The emerging global agricultural soil carbon market: The case for reconciling farmers’ expectations with the demands of the market</t>
  </si>
  <si>
    <t xml:space="preserve">Oferta (Agricultores), Demanda</t>
  </si>
  <si>
    <t xml:space="preserve">Suelo agrícola</t>
  </si>
  <si>
    <t xml:space="preserve">Aborda la necesidad de ajustar las expectativas de ingresos de los agricultores con las realidades de precios de carbono.</t>
  </si>
  <si>
    <t xml:space="preserve">Pietilä et al.</t>
  </si>
  <si>
    <t xml:space="preserve">Biodiversity offsetting as a form of depoliticised nature: Social aspects of a pilot project in Lahti, Finland</t>
  </si>
  <si>
    <t xml:space="preserve">Público general, Reguladores, ONG</t>
  </si>
  <si>
    <t xml:space="preserve">Finlandia (Lahti)</t>
  </si>
  <si>
    <t xml:space="preserve">Urbano / Periurbano</t>
  </si>
  <si>
    <t xml:space="preserve">Estudia la percepción pública de un piloto urbano, mostrando un apoyo condicionado a la jerarquía de mitigación.</t>
  </si>
  <si>
    <t xml:space="preserve">Piffer Salles et al.</t>
  </si>
  <si>
    <t xml:space="preserve">How Funding Source Influences the Form of REDD + Initiatives: The Case of Market Versus Public Funds in Brazil</t>
  </si>
  <si>
    <t xml:space="preserve">Oferta (Comunidades), Reguladores, Demanda</t>
  </si>
  <si>
    <t xml:space="preserve">Muestra que el financiamiento de mercado impone un monitoreo mucho más rígido que el público.</t>
  </si>
  <si>
    <t xml:space="preserve">Plant &amp; Ruoso</t>
  </si>
  <si>
    <t xml:space="preserve">Landholder perceptions of biodiversity offsetting rights and responsibilities: Implications for policy reform in New South Wales, Australia</t>
  </si>
  <si>
    <t xml:space="preserve">Oferta (Propietarios agrícolas, forestales, congregaciones religiosas)</t>
  </si>
  <si>
    <t xml:space="preserve">Aborda el sentido de injusticia cuando se recompensa la restauración de tierras degradadas antes que la conservación.</t>
  </si>
  <si>
    <t xml:space="preserve">Pulhin et al.</t>
  </si>
  <si>
    <t xml:space="preserve">Catalysts and barriers in the development and implementation of payment for water ecosystem services in the Philippines: Retrospects and prospects</t>
  </si>
  <si>
    <t xml:space="preserve">Oferta (Comunidades de cuenca, pescadores), Reguladores</t>
  </si>
  <si>
    <t xml:space="preserve">Filipinas</t>
  </si>
  <si>
    <t xml:space="preserve">Cuencas (Water Ecosystem Services)</t>
  </si>
  <si>
    <t xml:space="preserve">Aborda las barreras de baja capacidad técnica y el rol catalítico del gobierno en la gestión del agua.</t>
  </si>
  <si>
    <t xml:space="preserve">Puupponen et al.</t>
  </si>
  <si>
    <t xml:space="preserve">Finnish dairy farmers’ perceptions of justice in the transition to carbon-neutral farming</t>
  </si>
  <si>
    <t xml:space="preserve">Oferta (Agricultores de leche)</t>
  </si>
  <si>
    <t xml:space="preserve">Analiza la percepción de justicia de los productores lácteos ante las crecientes demandas ambientales.</t>
  </si>
  <si>
    <t xml:space="preserve">Qiao et al.</t>
  </si>
  <si>
    <t xml:space="preserve">Evolutionary game analysis of forest carbon note system in China</t>
  </si>
  <si>
    <t xml:space="preserve">Oferta (Silvicultores), Reguladores, Demanda (Empresas)</t>
  </si>
  <si>
    <t xml:space="preserve">Aplica teoría de juegos para modelar cómo el gobierno puede impulsar transacciones de bonos de carbono forestal.</t>
  </si>
  <si>
    <t xml:space="preserve">Raina et al.</t>
  </si>
  <si>
    <t xml:space="preserve">Incentive mechanisms of carbon farming contracts: A systematic mapping study</t>
  </si>
  <si>
    <t xml:space="preserve">Oferta (Agricultores), Reguladores, Demanda</t>
  </si>
  <si>
    <t xml:space="preserve">Suelo / Agrícola</t>
  </si>
  <si>
    <t xml:space="preserve">Mapea los incentivos de contratos agrícolas de carbono, recomendando formatos híbridos.</t>
  </si>
  <si>
    <t xml:space="preserve">Rajão &amp; Marcolino</t>
  </si>
  <si>
    <t xml:space="preserve">Between Indians and “Cowboys”: The Role of ICT in the Management of Contradictory Self-images and the Production of Carbon Credits in the Brazilian Amazon</t>
  </si>
  <si>
    <t xml:space="preserve">Oferta (IPLC / Comunidad Acapú), Demanda (Compradores)</t>
  </si>
  <si>
    <t xml:space="preserve">Muestra cómo una comunidad indígena gestiona su identidad corporativa y de custodia para captar fondos.</t>
  </si>
  <si>
    <t xml:space="preserve">Ranjan</t>
  </si>
  <si>
    <t xml:space="preserve">Balancing greenwashing risks and forest carbon sequestration benefits: A simulation model linking formal and voluntary carbon markets</t>
  </si>
  <si>
    <t xml:space="preserve">Global (Simulación)</t>
  </si>
  <si>
    <t xml:space="preserve">Modelación matemática que analiza cómo mitigar el riesgo de lavado verde corporativo.</t>
  </si>
  <si>
    <t xml:space="preserve">Reed et al.</t>
  </si>
  <si>
    <t xml:space="preserve">Integrating ecosystem markets to co-ordinate landscape-scale public benefits from nature</t>
  </si>
  <si>
    <t xml:space="preserve">Oferta (Agricultores, silvicultores), Demanda (Inversores corporativos), Intermediarios</t>
  </si>
  <si>
    <t xml:space="preserve">Agrícola / Forestal / Turberas</t>
  </si>
  <si>
    <t xml:space="preserve">Destaca el rol indispensable de los intermediarios para unificar mercados de carbono, agua y biodiversidad.</t>
  </si>
  <si>
    <t xml:space="preserve">Reichl et al.</t>
  </si>
  <si>
    <t xml:space="preserve">The drivers of individual climate actions in Europe</t>
  </si>
  <si>
    <t xml:space="preserve">Público general (Ciudadanos europeos)</t>
  </si>
  <si>
    <t xml:space="preserve">Analiza qué motiva a los ciudadanos de diversos países europeos a comprar voluntariamente compensaciones de carbono.</t>
  </si>
  <si>
    <t xml:space="preserve">Ribaudo et al.</t>
  </si>
  <si>
    <t xml:space="preserve">Ecosystem services from agriculture: Steps for expanding markets</t>
  </si>
  <si>
    <t xml:space="preserve">Oferta (Agricultores), Intermediarios, Reguladores</t>
  </si>
  <si>
    <t xml:space="preserve">Aborda los pasos institucionales y de gobernanza requeridos para expandir los mercados de servicios ecosistémicos agrícolas.</t>
  </si>
  <si>
    <t xml:space="preserve">Richert et al.</t>
  </si>
  <si>
    <t xml:space="preserve">Measuring the extent of a Social License to Operate: The influence of marine biodiversity offsets in the oil and gas sector in Western Australia</t>
  </si>
  <si>
    <t xml:space="preserve">Público general, Demanda (Empresas de gas/petróleo)</t>
  </si>
  <si>
    <t xml:space="preserve">Marino (Petróleo y Gas)</t>
  </si>
  <si>
    <t xml:space="preserve">Muestra que la inversión voluntaria en offsets marinos ayuda a ganar licencia social (SLO).</t>
  </si>
  <si>
    <t xml:space="preserve">Rode et al.</t>
  </si>
  <si>
    <t xml:space="preserve">Motivation crowding by economic incentives in conservation policy: A review of the empirical evidence</t>
  </si>
  <si>
    <t xml:space="preserve">Oferta (Agricultores, propietarios), Reguladores</t>
  </si>
  <si>
    <t xml:space="preserve">Revisión sobre si los incentivos de PES fortalecen o debilitan los valores de custodia intrínsecos.</t>
  </si>
  <si>
    <t xml:space="preserve">Rogers &amp; Burton</t>
  </si>
  <si>
    <t xml:space="preserve">Social preferences for the design of biodiversity offsets for shorebirds in Australia</t>
  </si>
  <si>
    <t xml:space="preserve">Público general, Reguladores</t>
  </si>
  <si>
    <t xml:space="preserve">Costero / Praderas (Aves costeras)</t>
  </si>
  <si>
    <t xml:space="preserve">Muestra que el público prefiere compensaciones operadas por entes experimentados y cercanas a sus hogares.</t>
  </si>
  <si>
    <t xml:space="preserve">Rong &amp; Hou</t>
  </si>
  <si>
    <t xml:space="preserve">Farmers’ Willingness to Participate in Voluntary Field Water Management Greenhouse Gas Emission Reduction Projects Based on a Context–Attitude–Behavior Framework</t>
  </si>
  <si>
    <t xml:space="preserve">Agrícola (Gestión del agua)</t>
  </si>
  <si>
    <t xml:space="preserve">Estudia cómo el apego al contexto influye en las decisiones de los agricultores chinos para proyectos de reducción de metano.</t>
  </si>
  <si>
    <t xml:space="preserve">Ruoso et al.</t>
  </si>
  <si>
    <t xml:space="preserve">‘Should’ and ‘can’ active restoration be used in biodiversity offsets? Stakeholder perspectives from New South Wales, Australia</t>
  </si>
  <si>
    <t xml:space="preserve">Ecosistemas terrestres diversos</t>
  </si>
  <si>
    <t xml:space="preserve">Analiza la factibilidad y visiones contrapuestas de implementar restauración activa obligatoria.</t>
  </si>
  <si>
    <t xml:space="preserve">Ruoso &amp; Plant</t>
  </si>
  <si>
    <t xml:space="preserve">Distributive and contextual equity in landholder participation in biodiversity offsets: A case study of biodiversity offsets in New South Wales, Australia</t>
  </si>
  <si>
    <t xml:space="preserve">Oferta (Propietarios agrícolas, ganaderos), Intermediarios, Reguladores</t>
  </si>
  <si>
    <t xml:space="preserve">Examina la equidad en el acceso y cómo los requisitos favorecen desproporcionadamente a los propietarios grandes.</t>
  </si>
  <si>
    <t xml:space="preserve">Sangha et al.</t>
  </si>
  <si>
    <t xml:space="preserve">Payments for Ecosystem Services opportunities for emerging Nature-based Solutions: Integrating Indigenous perspectives from Australia</t>
  </si>
  <si>
    <t xml:space="preserve">Oferta (IPLC / Comunidades indígenas de Australia), Intermediarios</t>
  </si>
  <si>
    <t xml:space="preserve">Bosques / Zonas áridas</t>
  </si>
  <si>
    <t xml:space="preserve">Destaca la importancia de alinear los incentivos con las aspiraciones socioculturales y el co-diseño indígena.</t>
  </si>
  <si>
    <t xml:space="preserve">Schorn &amp; Wirth</t>
  </si>
  <si>
    <t xml:space="preserve">They approve but they don’t act: Promoting sustainable minority behavior with (conflicting) social norm appeals</t>
  </si>
  <si>
    <t xml:space="preserve">Experimento que muestra que resaltar la aprobación de la mayoría impulsa el comportamiento ecológico.</t>
  </si>
  <si>
    <t xml:space="preserve">Schulz &amp; Ohmura</t>
  </si>
  <si>
    <t xml:space="preserve">Balancing forest area preservation and biodiversity offsets in the forest: Forest owners’ policy preferences</t>
  </si>
  <si>
    <t xml:space="preserve">Oferta (Propietarios forestales privados)</t>
  </si>
  <si>
    <t xml:space="preserve">Bosques (Boreal)</t>
  </si>
  <si>
    <t xml:space="preserve">Experimento que muestra que silvicultores jóvenes y mejor educados prefieren compensaciones con menor pérdida de autonomía.</t>
  </si>
  <si>
    <t xml:space="preserve">Selinske et al.</t>
  </si>
  <si>
    <t xml:space="preserve">“Splitting the bill” for conservation: Perceptions and uptake of financial incentives by landholders managing privately protected areas</t>
  </si>
  <si>
    <t xml:space="preserve">Oferta (Propietarios de áreas protegidas privadas)</t>
  </si>
  <si>
    <t xml:space="preserve">Muestra que propietarios muy motivados éticamente a veces rechazan pagos por percibirlos como mercantilización.</t>
  </si>
  <si>
    <t xml:space="preserve">Sharma et al.</t>
  </si>
  <si>
    <t xml:space="preserve">Glocal woodlands – The rescaling of forest governance in Scotland</t>
  </si>
  <si>
    <t xml:space="preserve">Reguladores, Oferta (Comunidades locales, silvicultores)</t>
  </si>
  <si>
    <t xml:space="preserve">Bosques (Woodlands)</t>
  </si>
  <si>
    <t xml:space="preserve">Analiza el reescalamiento y la descentralización de la gobernanza forestal comunitaria.</t>
  </si>
  <si>
    <t xml:space="preserve">Singh-Peterson et al.</t>
  </si>
  <si>
    <t xml:space="preserve">Diversifying Rural Economies: Identifying Factors That Discourage Primary Producers from Engaging in Emerging Carbon and Environmental Offsetting Markets in Queensland, Australia</t>
  </si>
  <si>
    <t xml:space="preserve">Oferta (Productores primarios, ganaderos), Reguladores</t>
  </si>
  <si>
    <t xml:space="preserve">Identifica el escepticismo, la aversión al riesgo y la pérdida de autonomía como barreras de entrada para los productores.</t>
  </si>
  <si>
    <t xml:space="preserve">Getting Blended Finance to Where It’s Needed: The Case of CBNRM Enterprises in Southern Africa</t>
  </si>
  <si>
    <t xml:space="preserve">Demanda (Sector financiero / Inversores), Intermediarios (DFI), Oferta (Comunidades locales)</t>
  </si>
  <si>
    <t xml:space="preserve">África Austral</t>
  </si>
  <si>
    <t xml:space="preserve">Tierras comunitarias / Áreas de conservación</t>
  </si>
  <si>
    <t xml:space="preserve">Aborda los desafíos de blended finance para canalizar recursos a empresas comunitarias de conservación.</t>
  </si>
  <si>
    <t xml:space="preserve">Sponagel et al.</t>
  </si>
  <si>
    <t xml:space="preserve">Farmers’ preferences for nature conservation compensation measures with a focus on eco-accounts according to the German Nature Conservation Act</t>
  </si>
  <si>
    <t xml:space="preserve">Tierra arable</t>
  </si>
  <si>
    <t xml:space="preserve">Experimento que analiza qué medidas de ecocuentas prefieren los agricultores arables alemanes.</t>
  </si>
  <si>
    <t xml:space="preserve">Taherzadeh &amp; Howley</t>
  </si>
  <si>
    <t xml:space="preserve">No net loss of what, for whom?: Stakeholder perspectives to Biodiversity Offsetting in England</t>
  </si>
  <si>
    <t xml:space="preserve">Reguladores, Oferta (Agricultores), ONG, Científicos</t>
  </si>
  <si>
    <t xml:space="preserve">Humedales / Praderas</t>
  </si>
  <si>
    <t xml:space="preserve">Discute las percepciones críticas sobre qué valores ecológicos y sociales se pierden en los offsets ingleses.</t>
  </si>
  <si>
    <t xml:space="preserve">Tarruella et al.</t>
  </si>
  <si>
    <t xml:space="preserve">Understanding Farmer Behaviour for Successful Climate Change Mitigation in Voluntary Initiatives</t>
  </si>
  <si>
    <t xml:space="preserve">Modela mediante agentes cómo los factores de redes sociales reducen la resistencia de los agricultores al cambio.</t>
  </si>
  <si>
    <t xml:space="preserve">Tedesco et al.</t>
  </si>
  <si>
    <t xml:space="preserve">The role of incentive mechanisms in promoting forest restoration</t>
  </si>
  <si>
    <t xml:space="preserve">Evalúa qué tipos de incentivos (monetarios y no monetarios) funcionan mejor para promover la restauración forestal.</t>
  </si>
  <si>
    <t xml:space="preserve">Theis</t>
  </si>
  <si>
    <t xml:space="preserve">Sentiment and attitudes toward offsetting and the biodiversity market in online media articles</t>
  </si>
  <si>
    <t xml:space="preserve">Público general (Análisis de medios en línea), Científicos</t>
  </si>
  <si>
    <t xml:space="preserve">Analiza el sentimiento público mediático, revelando interés pero demanda por mayor claridad y acceso.</t>
  </si>
  <si>
    <t xml:space="preserve">Thompson &amp; Hansen</t>
  </si>
  <si>
    <t xml:space="preserve">Factors Affecting the Attitudes of Nonindustrial Private Forest Landowners Regarding Carbon Sequestration and Trading</t>
  </si>
  <si>
    <t xml:space="preserve">Aplica el modelo TPB para identificar qué factores predisponen a los propietarios forestales a vender carbono.</t>
  </si>
  <si>
    <t xml:space="preserve">Toxopeus &amp; Polzin</t>
  </si>
  <si>
    <t xml:space="preserve">Reviewing financing barriers and strategies for urban nature-based solutions</t>
  </si>
  <si>
    <t xml:space="preserve">Demanda (Sector financiero / Inversores), Reguladores</t>
  </si>
  <si>
    <t xml:space="preserve">Resume las estrategias para solventar la falta de modelos de negocio en soluciones naturales urbanas.</t>
  </si>
  <si>
    <t xml:space="preserve">Tregidga</t>
  </si>
  <si>
    <t xml:space="preserve">Biodiversity offsetting: Problematisation of an emerging governance regime</t>
  </si>
  <si>
    <t xml:space="preserve">Demanda (Empresas mineras / extractivas), Reguladores, ONG</t>
  </si>
  <si>
    <t xml:space="preserve">Analiza el discurso corporativo que busca legitimidad y licencia social a través de los offsets.</t>
  </si>
  <si>
    <t xml:space="preserve">Trouwloon et al.</t>
  </si>
  <si>
    <t xml:space="preserve">Understanding the Use of Carbon Credits by Companies: A Review of the Defining Elements of Corporate Climate Claims</t>
  </si>
  <si>
    <t xml:space="preserve">Aborda los vacíos regulatorios que permiten reclamaciones corporativas engañosas basadas en offsets.</t>
  </si>
  <si>
    <t xml:space="preserve">Vanclay</t>
  </si>
  <si>
    <t xml:space="preserve">Principles to gain a social licence to operate for green initiatives and biodiversity projects</t>
  </si>
  <si>
    <t xml:space="preserve">Demanda (Inversores de proyectos verdes), Público general (Comunidades costeras/locales)</t>
  </si>
  <si>
    <t xml:space="preserve">Establece principios prácticos para que los proyectos verdes logren licencia social (SLO).</t>
  </si>
  <si>
    <t xml:space="preserve">Varumo et al.</t>
  </si>
  <si>
    <t xml:space="preserve">Social acceptance of biodiversity offsetting: Motivations and practices in the designing of an emerging mechanism</t>
  </si>
  <si>
    <t xml:space="preserve">Reguladores, Demanda (Desarrolladores), Oferta (Propietarios), ONG</t>
  </si>
  <si>
    <t xml:space="preserve">Bosque / Agrícola</t>
  </si>
  <si>
    <t xml:space="preserve">Examina el diseño finlandés de compensaciones, buscando conciliar el desarrollo con la conservación.</t>
  </si>
  <si>
    <t xml:space="preserve">Vorlaufer et al.</t>
  </si>
  <si>
    <t xml:space="preserve">Payments for ecosystem services did not crowd out pro-environmental behavior: Long-term experimental evidence from Uganda</t>
  </si>
  <si>
    <t xml:space="preserve">Experimento de largo plazo que demuestra que el PES no desplaza el comportamiento proambiental intrínseco.</t>
  </si>
  <si>
    <t xml:space="preserve">Payment for ecosystem services and crowding of conservation behavior: A meta-analysis of lab-in-the-field experiments</t>
  </si>
  <si>
    <t xml:space="preserve">Oferta (Comunidades / Propietarios de tierras)</t>
  </si>
  <si>
    <t xml:space="preserve">Global (Meta-análisis)</t>
  </si>
  <si>
    <t xml:space="preserve">Meta-análisis sobre el efecto de desplazamiento motivacional, desmitificando un crowding-out generalizado.</t>
  </si>
  <si>
    <t xml:space="preserve">Wendt</t>
  </si>
  <si>
    <t xml:space="preserve">From ESG to Impact Investing, Taxonomies, and Sustainable Development Goals</t>
  </si>
  <si>
    <t xml:space="preserve">Aborda la evolución del sector financiero desde un enfoque pasivo (ESG) hacia el impacto proactivo.</t>
  </si>
  <si>
    <t xml:space="preserve">Wolfe et al.</t>
  </si>
  <si>
    <t xml:space="preserve">Regional credit market for species conservation: Developing the Fort Hood Recovery Credit System</t>
  </si>
  <si>
    <t xml:space="preserve">Oferta (Propietarios de ranchos), Demanda (Base militar de Fort Hood), Reguladores</t>
  </si>
  <si>
    <t xml:space="preserve">EE. UU. (Texas)</t>
  </si>
  <si>
    <t xml:space="preserve">Pastizales (Aves en peligro)</t>
  </si>
  <si>
    <t xml:space="preserve">Detalla la implementación exitosa de un mercado de créditos para la recuperación de especies en Texas.</t>
  </si>
  <si>
    <t xml:space="preserve">Payments for environmental services: Some nuts and bolts. CIFOR Occasional Paper, 42.</t>
  </si>
  <si>
    <t xml:space="preserve">Establece la definición fundacional de los Pagos por Servicios Ecosistémicos (PES).</t>
  </si>
  <si>
    <t xml:space="preserve">Revisiting the concept of payments for environmental services</t>
  </si>
  <si>
    <t xml:space="preserve">Actualiza la definición de PES introduciendo mayor realismo y flexibilidad.</t>
  </si>
  <si>
    <t xml:space="preserve">Xie &amp; Chen</t>
  </si>
  <si>
    <t xml:space="preserve">Private Governance in Climate Mitigation: A Global Comparison of Corporate Participation in Voluntary Carbon Markets</t>
  </si>
  <si>
    <t xml:space="preserve">Demanda (Empresas multinacionales), Reguladores, ONG</t>
  </si>
  <si>
    <t xml:space="preserve">Regresiones que muestran que las empresas en países bajo presión social de ONGs compran más offsets de carbono.</t>
  </si>
  <si>
    <t xml:space="preserve">Yasué et al.</t>
  </si>
  <si>
    <t xml:space="preserve">Landowner Perceptions of Payments for Nature Conservation on Private Land</t>
  </si>
  <si>
    <t xml:space="preserve">Oferta (Propietarios agrícolas privados), Intermediarios</t>
  </si>
  <si>
    <t xml:space="preserve">Australia (Tasmania)</t>
  </si>
  <si>
    <t xml:space="preserve">Bosques / Tierras agrícolas</t>
  </si>
  <si>
    <t xml:space="preserve">Evalúa cómo los valores intrínsecos de los ganaderos influyen en su aceptación de contratos de conservación.</t>
  </si>
  <si>
    <t xml:space="preserve">Zhou et al.</t>
  </si>
  <si>
    <t xml:space="preserve">Influence of Air Travelers’ Willingness to Pay for Carbon Offset Based on Partial Least Squares Structural Equation Modeling</t>
  </si>
  <si>
    <t xml:space="preserve">Público general (Pasajeros aéreos)</t>
  </si>
  <si>
    <t xml:space="preserve">Modela el comportamiento de los viajeros, mostrando que las motivaciones morales impulsan la WTP por carbono.</t>
  </si>
  <si>
    <t xml:space="preserve">Zu Ermgassen &amp; Löfqvist</t>
  </si>
  <si>
    <t xml:space="preserve">Financing ecosystem restoration</t>
  </si>
  <si>
    <t xml:space="preserve">Reguladores, Demanda (Inversores, sector público)</t>
  </si>
  <si>
    <t xml:space="preserve">Analiza la brecha de financiamiento y modelos financieros mixtos para la restauración ecológica.</t>
  </si>
  <si>
    <t xml:space="preserve">Five rules for scientifically credible nature markets</t>
  </si>
  <si>
    <t xml:space="preserve">Establece las 5 Reglas de Oro científicas indispensables para que los mercados de naturaleza funcionen de verdad.</t>
  </si>
  <si>
    <t xml:space="preserve">Allan et al.</t>
  </si>
  <si>
    <t xml:space="preserve">The minimum land area requiring conservation attention to safeguard biodiversity</t>
  </si>
  <si>
    <t xml:space="preserve">Áreas terrestres prioritarias de conservación global</t>
  </si>
  <si>
    <t xml:space="preserve">Modelo espacial global que calcula la superficie terrestre mínima requerida para frenar la pérdida de biodiversidad.</t>
  </si>
  <si>
    <t xml:space="preserve">Anyango-van Zwieten</t>
  </si>
  <si>
    <t xml:space="preserve">Topical themes in biodiversity financing</t>
  </si>
  <si>
    <t xml:space="preserve">Reguladores/legisladores, Demanda (sector financiero), Oferta (comunidades)</t>
  </si>
  <si>
    <t xml:space="preserve">Ecosistemas terrestres y acuáticos diversos</t>
  </si>
  <si>
    <t xml:space="preserve">Revisión de temas clave en financiación de biodiversidad, déficit de fondos e instrumentos como PES.</t>
  </si>
  <si>
    <t xml:space="preserve">The size, concentration, and growth of biodiversity-conservation nonprofits</t>
  </si>
  <si>
    <t xml:space="preserve">Clasificación de Actores (ONGs / Organizaciones sin fines de lucro)</t>
  </si>
  <si>
    <t xml:space="preserve">Tierras protegidas y conservación privada</t>
  </si>
  <si>
    <t xml:space="preserve">Análisis cuantitativo de la concentración económica y crecimiento de ONGs de conservación de biodiversidad.</t>
  </si>
  <si>
    <t xml:space="preserve">Allocating resources for land protection using continuous optimization: biodiversity conservation in the United States</t>
  </si>
  <si>
    <t xml:space="preserve">Reguladores/legisladores, Oferta (propietarios de tierras)</t>
  </si>
  <si>
    <t xml:space="preserve">Reservas naturales terrestres y bosques</t>
  </si>
  <si>
    <t xml:space="preserve">Modelo de optimización continua espacial para maximizar la eficiencia en la asignación de recursos de protección de tierras.</t>
  </si>
  <si>
    <t xml:space="preserve">Bose et al.</t>
  </si>
  <si>
    <t xml:space="preserve">Conservation Finance and Payment for Ecosystem Services</t>
  </si>
  <si>
    <t xml:space="preserve">Oferta (comunidades/propietarios), Demanda (pagadores)</t>
  </si>
  <si>
    <t xml:space="preserve">Cuencas hidrográficas y bosques</t>
  </si>
  <si>
    <t xml:space="preserve">Establece marcos conceptuales de finanzas de conservación basados en esquemas PES.</t>
  </si>
  <si>
    <t xml:space="preserve">Callon et al.</t>
  </si>
  <si>
    <t xml:space="preserve">From translations to problematic networks: an introduction to co-word analysis</t>
  </si>
  <si>
    <t xml:space="preserve">Metodología bibliométrica</t>
  </si>
  <si>
    <t xml:space="preserve">Desarrolla el método cientométrico de análisis de co-ocurrencia de palabras clave.</t>
  </si>
  <si>
    <t xml:space="preserve">Calvo et al.</t>
  </si>
  <si>
    <t xml:space="preserve">Determining global trends in syngas fermentation research through a bibliometric analysis</t>
  </si>
  <si>
    <t xml:space="preserve">Metodología bibliométrica tecnológica</t>
  </si>
  <si>
    <t xml:space="preserve">Análisis bibliométrico sobre tendencias globales en bioprocesos e investigación ambiental.</t>
  </si>
  <si>
    <t xml:space="preserve">Caputo et al.</t>
  </si>
  <si>
    <t xml:space="preserve">Ten years of conflict management research 2007-2017</t>
  </si>
  <si>
    <t xml:space="preserve">Metodología de mapeo científico</t>
  </si>
  <si>
    <t xml:space="preserve">Mapeo bibliométrico de literatura sobre gestión de conflictos y modelos organizacionales.</t>
  </si>
  <si>
    <t xml:space="preserve">Digitalization and business models: where are we going? A science map of the field</t>
  </si>
  <si>
    <t xml:space="preserve">Comunidad científica, Demanda (empresas)</t>
  </si>
  <si>
    <t xml:space="preserve">Revisa bibliométricamente la literatura sobre digitalización y transformación de modelos de negocio.</t>
  </si>
  <si>
    <t xml:space="preserve">Sustaining Life on Earth: How the Convention on Biological Diversity Promotes Nature and Human Well-Being</t>
  </si>
  <si>
    <t xml:space="preserve">Reguladores/legisladores, Público general, Oferta (comunidades)</t>
  </si>
  <si>
    <t xml:space="preserve">Todos los ecosistemas terrestres y acuáticos</t>
  </si>
  <si>
    <t xml:space="preserve">Documento del CDB sobre conservación, uso sostenible y distribución justa de beneficios derivados de la biodiversidad.</t>
  </si>
  <si>
    <t xml:space="preserve">A New Global Framework for Managing Nature through 2030: First Detailed Draft Agreement Debuts</t>
  </si>
  <si>
    <t xml:space="preserve">Reguladores/legisladores, Demanda (financieros), Oferta (IPLC)</t>
  </si>
  <si>
    <t xml:space="preserve">Marco global de biodiversidad con 21 metas al 2030 y movilización de al menos $200.000M anuales.</t>
  </si>
  <si>
    <t xml:space="preserve">CFA</t>
  </si>
  <si>
    <t xml:space="preserve">Conservation Finance: A Framework</t>
  </si>
  <si>
    <t xml:space="preserve">Demanda (financieros/inversores), Reguladores/legisladores, Clasificación de Actores</t>
  </si>
  <si>
    <t xml:space="preserve">Bosques, zonas costeras y cuencas</t>
  </si>
  <si>
    <t xml:space="preserve">Define el marco de 4 pilares: reducir costos, gestionar riesgos, desincentivar daños e incentivar conservación.</t>
  </si>
  <si>
    <t xml:space="preserve">Conservation Finance Alliance (CFA)</t>
  </si>
  <si>
    <t xml:space="preserve">Taxonomía general de mecanismos de finanzas de conservación</t>
  </si>
  <si>
    <t xml:space="preserve">Establece la taxonomía y el marco de referencia de 4 pilares para categorizar todos los mecanismos de financiamiento para la conservación.</t>
  </si>
  <si>
    <t xml:space="preserve">Meyers et al. (CFA)</t>
  </si>
  <si>
    <t xml:space="preserve">Conservation finance: a framework</t>
  </si>
  <si>
    <t xml:space="preserve">Demanda (Sector financiero), Reguladores/legisladores, Comunidad científica (CFA)</t>
  </si>
  <si>
    <t xml:space="preserve">Mecanismos financieros para ecosistemas terrestres y marinos</t>
  </si>
  <si>
    <t xml:space="preserve">Establece la taxonomía oficial de la Conservation Finance Alliance (CFA) en 4 elementos: generar, gestionar, desplegar y alinear.</t>
  </si>
  <si>
    <t xml:space="preserve">Chape et al.</t>
  </si>
  <si>
    <t xml:space="preserve">United Nations list of protected areas</t>
  </si>
  <si>
    <t xml:space="preserve">Red global de áreas protegidas terrestres y marinas</t>
  </si>
  <si>
    <t xml:space="preserve">Compendio global de áreas protegidas registradas por la ONU y la UICN.</t>
  </si>
  <si>
    <t xml:space="preserve">Clark</t>
  </si>
  <si>
    <t xml:space="preserve">A Field Guide to Conservation Finance</t>
  </si>
  <si>
    <t xml:space="preserve">Demanda (inversores privados), Oferta (propietarios de tierras), Clasificación de Actores</t>
  </si>
  <si>
    <t xml:space="preserve">Terrenos privados, bosques y servidumbres ecológicas</t>
  </si>
  <si>
    <t xml:space="preserve">Guía sobre movilización de capital privado de capital y deuda para la conservación de tierras.</t>
  </si>
  <si>
    <t xml:space="preserve">CPIC Conservation Finance Report 2021</t>
  </si>
  <si>
    <t xml:space="preserve">Demanda (inversores privados/bancos), Clasificación de Actores</t>
  </si>
  <si>
    <t xml:space="preserve">Proyectos de inversión de impacto con retorno ecológico</t>
  </si>
  <si>
    <t xml:space="preserve">Informe sobre inversiones privadas estructuradas para generar retornos financieros y de conservación.</t>
  </si>
  <si>
    <t xml:space="preserve">Conservation Finance Network</t>
  </si>
  <si>
    <t xml:space="preserve">Conservation Finance Network: where Conservation Meets Capital</t>
  </si>
  <si>
    <t xml:space="preserve">Demanda (inversores), Oferta (desarrolladores), Clasificación de Actores</t>
  </si>
  <si>
    <t xml:space="preserve">Redes de capital para conservación de tierra y agua</t>
  </si>
  <si>
    <t xml:space="preserve">Define la práctica de captar y gestionar capital para respaldar la conservación de recursos naturales.</t>
  </si>
  <si>
    <t xml:space="preserve">Council of the European Union</t>
  </si>
  <si>
    <t xml:space="preserve">Biodiversity: How the EU Protects Nature</t>
  </si>
  <si>
    <t xml:space="preserve">Áreas protegidas europeas (30% superficie) y programa LIFE</t>
  </si>
  <si>
    <t xml:space="preserve">Estrategia de la UE para proteger el 30% del territorio y movilizar €20.000M anuales para naturaleza.</t>
  </si>
  <si>
    <t xml:space="preserve">Dabić et al.</t>
  </si>
  <si>
    <t xml:space="preserve">Pathways of SME internationalization: a bibliometric and systematic review</t>
  </si>
  <si>
    <t xml:space="preserve">Metodología de revisión sistemática</t>
  </si>
  <si>
    <t xml:space="preserve">Revisión bibliométrica estructurada de literatura de negocios y pymes.</t>
  </si>
  <si>
    <t xml:space="preserve">De Bellis</t>
  </si>
  <si>
    <t xml:space="preserve">La citazione bibliografica nell'epoca della sua riproducibilità tecnica: bibliometria e analisi delle citazioni</t>
  </si>
  <si>
    <t xml:space="preserve">Italia / Global</t>
  </si>
  <si>
    <t xml:space="preserve">Teoría del análisis de cocitación y bibliometría</t>
  </si>
  <si>
    <t xml:space="preserve">Obra de referencia metodológica sobre métricas de citación y estructura de la ciencia.</t>
  </si>
  <si>
    <t xml:space="preserve">Dempsey &amp; Suarez</t>
  </si>
  <si>
    <t xml:space="preserve">Arrested development? The promises and paradoxes of 'selling nature to save it'</t>
  </si>
  <si>
    <t xml:space="preserve">Demanda (inversores/empresas), Reguladores/legisladores, Oferta (comunidades)</t>
  </si>
  <si>
    <t xml:space="preserve">Bosques y ecosistemas en esquemas de mercado</t>
  </si>
  <si>
    <t xml:space="preserve">Crítica a la 'conservación basada en mercado', mostrando la escasez y lentitud de los retornos financieros reales.</t>
  </si>
  <si>
    <t xml:space="preserve">Demanda, Reguladores/legisladores, Oferta (Comunidades), Científicos</t>
  </si>
  <si>
    <t xml:space="preserve">Mercados ambientales de carbono y biodiversidad</t>
  </si>
  <si>
    <t xml:space="preserve">Analiza las promesas no cumplidas y paradojas del lema 'vender la naturaleza para salvarla' en políticas globales.</t>
  </si>
  <si>
    <t xml:space="preserve">Cualitativo / Geografía crítica</t>
  </si>
  <si>
    <t xml:space="preserve">Paradojas de 'vender la naturaleza para salvarla'</t>
  </si>
  <si>
    <t xml:space="preserve">Examina la falta de rentabilidad del mercado de conservar vendiendo la naturaleza frente a promesas teóricas.</t>
  </si>
  <si>
    <t xml:space="preserve">Fuller</t>
  </si>
  <si>
    <t xml:space="preserve">Debt-for-nature swaps</t>
  </si>
  <si>
    <t xml:space="preserve">Reguladores/legisladores, Demanda (bancos/ONGs), Oferta (gobiernos deudores)</t>
  </si>
  <si>
    <t xml:space="preserve">Bosques tropicales y reservas biológicas</t>
  </si>
  <si>
    <t xml:space="preserve">Primer artículo que analiza los mecanismos de canje de deuda soberana por conservación.</t>
  </si>
  <si>
    <t xml:space="preserve">Gallo-Cajiao et al.</t>
  </si>
  <si>
    <t xml:space="preserve">Crowdfunding biodiversity conservation</t>
  </si>
  <si>
    <t xml:space="preserve">Público general, Oferta (proyectos locales), Clasificación de Actores</t>
  </si>
  <si>
    <t xml:space="preserve">Proyectos de conservación de especies y hábitats</t>
  </si>
  <si>
    <t xml:space="preserve">Estudio empírico sobre microfinanciación colectiva (crowdfunding) como herramienta de movilización de fondos.</t>
  </si>
  <si>
    <t xml:space="preserve">Global Canopy Programme</t>
  </si>
  <si>
    <t xml:space="preserve">The Little Biodiversity Finance Book: a guide to proactive investment in natural capital (PINC)</t>
  </si>
  <si>
    <t xml:space="preserve">Ecosistemas globales y mecanismos de capital natural</t>
  </si>
  <si>
    <t xml:space="preserve">Guía completa de mecanismos financieros para la conservación del capital natural a escala global.</t>
  </si>
  <si>
    <t xml:space="preserve">ISC - International Science Council</t>
  </si>
  <si>
    <t xml:space="preserve">Global Biodiversity Continues to Decline according to new reports from IPBES</t>
  </si>
  <si>
    <t xml:space="preserve">Tendencias globales de degradación ecológica</t>
  </si>
  <si>
    <t xml:space="preserve">Resumen del declive global de especies y servicios ecosistémicos basado en evaluaciones de IPBES.</t>
  </si>
  <si>
    <t xml:space="preserve">Johnson et al.</t>
  </si>
  <si>
    <t xml:space="preserve">Global Futures: Modelling the Global Economic Impacts of Environmental Change to Support Policy-Making</t>
  </si>
  <si>
    <t xml:space="preserve">Reguladores/legisladores, Demanda (sector económico), Comunidad científica</t>
  </si>
  <si>
    <t xml:space="preserve">Global (140 países)</t>
  </si>
  <si>
    <t xml:space="preserve">Polinización, protección costera y bosques</t>
  </si>
  <si>
    <t xml:space="preserve">Modelo que calcula pérdidas del PIB global de hasta 4% anual al 2050 por deterioro de servicios ecosistémicos.</t>
  </si>
  <si>
    <t xml:space="preserve">Kessler</t>
  </si>
  <si>
    <t xml:space="preserve">Bibliographic coupling between scientific papers</t>
  </si>
  <si>
    <t xml:space="preserve">Metodología scientométrica</t>
  </si>
  <si>
    <t xml:space="preserve">Introduce el acoplamiento bibliográfico para medir similitud conceptual entre publicaciones.</t>
  </si>
  <si>
    <t xml:space="preserve">Khan et al.</t>
  </si>
  <si>
    <t xml:space="preserve">A bibliometric review of takaful literature</t>
  </si>
  <si>
    <t xml:space="preserve">Comunidad científica, Demanda (sector financiero)</t>
  </si>
  <si>
    <t xml:space="preserve">Metodología bibliométrica aplicada</t>
  </si>
  <si>
    <t xml:space="preserve">Estudio bibliométrico de referencia en el ámbito del sector financiero e instrumentos de cobertura.</t>
  </si>
  <si>
    <t xml:space="preserve">Levitt &amp; Bergen</t>
  </si>
  <si>
    <t xml:space="preserve">From Walden to Wall Street: Frontiers of Conservation Finance</t>
  </si>
  <si>
    <t xml:space="preserve">Demanda (inversores/filántropos), Oferta (propietarios de tierras), Clasificación de Actores</t>
  </si>
  <si>
    <t xml:space="preserve">Bosques privados y conservación comunitaria</t>
  </si>
  <si>
    <t xml:space="preserve">Compilación sobre fronteras de financiación pública y privada para conservación de tierras.</t>
  </si>
  <si>
    <t xml:space="preserve">Littlefield</t>
  </si>
  <si>
    <t xml:space="preserve">Impact investing: roots &amp; branches</t>
  </si>
  <si>
    <t xml:space="preserve">Demanda (inversores de impacto/bancos), Clasificación de Actores</t>
  </si>
  <si>
    <t xml:space="preserve">Proyectos sociales y ambientales</t>
  </si>
  <si>
    <t xml:space="preserve">Analiza la evolución del concepto del triple resultado (triple bottom line) y la inversión de impacto.</t>
  </si>
  <si>
    <t xml:space="preserve">Margules &amp; Pressey</t>
  </si>
  <si>
    <t xml:space="preserve">Systematic conservation planning</t>
  </si>
  <si>
    <t xml:space="preserve">Planificación sistemática de reservas terrestres y marínas</t>
  </si>
  <si>
    <t xml:space="preserve">Artículo pionero que sienta las bases para la selección y diseño eficiente de reservas de conservación.</t>
  </si>
  <si>
    <t xml:space="preserve">Redes de reservas y algoritmos de optimización espacial</t>
  </si>
  <si>
    <t xml:space="preserve">Artículo seminal en Nature sobre la Planificación Sistemática de la Conservación basada en representación y complementariedad.</t>
  </si>
  <si>
    <t xml:space="preserve">Financial costs of meeting global biodiversity conservation targets: current spending and unmet needs</t>
  </si>
  <si>
    <t xml:space="preserve">Reguladores/legisladores, Demanda (donantes internacionales), Comunidad científica</t>
  </si>
  <si>
    <t xml:space="preserve">Aves amenazadas y Sitios Clave de Biodiversidad (KBAs)</t>
  </si>
  <si>
    <t xml:space="preserve">Calcula en $76.000M anuales el costo de proteger las especies amenazadas y los sitios clave del planeta.</t>
  </si>
  <si>
    <t xml:space="preserve">Reguladores/legisladores, Comunidad científica, Demanda (Donantes)</t>
  </si>
  <si>
    <t xml:space="preserve">Áreas clave de biodiversidad y conservación de especies</t>
  </si>
  <si>
    <t xml:space="preserve">Calcula en Science el costo global de cumplir las Metas de Aichi para salvar especies amenazadas ($76.100 millones anuales).</t>
  </si>
  <si>
    <t xml:space="preserve">McFarland</t>
  </si>
  <si>
    <t xml:space="preserve">International finance for REDD+ within the context of conservation financing instruments</t>
  </si>
  <si>
    <t xml:space="preserve">Reguladores/legisladores, Oferta (comunidades/propietarios), Demanda (mercados de carbono)</t>
  </si>
  <si>
    <t xml:space="preserve">Bosques tropicales y mitigación de deforestación</t>
  </si>
  <si>
    <t xml:space="preserve">Analiza REDD+ como un mecanismo basado en el modelo PES para compensar la reducción de emisiones por deforestación.</t>
  </si>
  <si>
    <t xml:space="preserve">The origins and history of conservation finance</t>
  </si>
  <si>
    <t xml:space="preserve">Comunidad científica, Clasificación de Actores</t>
  </si>
  <si>
    <t xml:space="preserve">Historia de la financiación de la conservación</t>
  </si>
  <si>
    <t xml:space="preserve">Revisa los antecedentes históricos del campo de las finanzas de conservación desde el siglo XVII.</t>
  </si>
  <si>
    <t xml:space="preserve">McGowan et al.</t>
  </si>
  <si>
    <t xml:space="preserve">Prioritizing debt conversion opportunities for marine conservation</t>
  </si>
  <si>
    <t xml:space="preserve">Reguladores/legisladores, Demanda (acreedores/inversores), Oferta (comunidades costeras)</t>
  </si>
  <si>
    <t xml:space="preserve">Global (países costeros/insulares)</t>
  </si>
  <si>
    <t xml:space="preserve">Áreas marinas protegidas y zonas costeras</t>
  </si>
  <si>
    <t xml:space="preserve">Desarrolla un modelo de priorización espacial para conversiones de deuda soberana orientadas a conservación marina.</t>
  </si>
  <si>
    <t xml:space="preserve">Miller</t>
  </si>
  <si>
    <t xml:space="preserve">Explaining global patterns of international aid for linked biodiversity conservation and development</t>
  </si>
  <si>
    <t xml:space="preserve">Reguladores/legisladores, Demanda (donantes bilaterales/multilaterales), Oferta (países receptores)</t>
  </si>
  <si>
    <t xml:space="preserve">Bosques y ecosistemas biodiversos en el Sur Global</t>
  </si>
  <si>
    <t xml:space="preserve">Modela los determinantes de la ayuda internacional, mostrando la influencia de factores geopolíticos y de gobernanza.</t>
  </si>
  <si>
    <t xml:space="preserve">Mingers &amp; Leydesdorff</t>
  </si>
  <si>
    <t xml:space="preserve">A review of theory and practice in scientometrics</t>
  </si>
  <si>
    <t xml:space="preserve">Metodología cientométrica</t>
  </si>
  <si>
    <t xml:space="preserve">Revisión integral de teorizaciones y métodos cuantitativos en el análisis cientométrico.</t>
  </si>
  <si>
    <t xml:space="preserve">Mitchell et al.</t>
  </si>
  <si>
    <t xml:space="preserve">Scenario analysis for biodiversity conservation: a social-ecological system approach in the Australian Alps</t>
  </si>
  <si>
    <t xml:space="preserve">Reguladores/legisladores, Público general, Oferta (comunidades locales)</t>
  </si>
  <si>
    <t xml:space="preserve">Australia (Alpes)</t>
  </si>
  <si>
    <t xml:space="preserve">Ecosistemas alpinos y subalpinos</t>
  </si>
  <si>
    <t xml:space="preserve">Aplica análisis de escenarios socioecológicos para guiar decisiones en conservación frente al cambio climático.</t>
  </si>
  <si>
    <t xml:space="preserve">Biodiversity: Finance and the Economic and Business Case for Action</t>
  </si>
  <si>
    <t xml:space="preserve">Reguladores/legisladores, Demanda (empresas/sector financiero), Clasificación de Actores</t>
  </si>
  <si>
    <t xml:space="preserve">Global / G7</t>
  </si>
  <si>
    <t xml:space="preserve">Capital natural terrestre y marino global</t>
  </si>
  <si>
    <t xml:space="preserve">Documento estratégico para el G7 sobre el argumento económico y empresarial para financiar la biodiversidad.</t>
  </si>
  <si>
    <t xml:space="preserve">Servicios ecosistémicos globales</t>
  </si>
  <si>
    <t xml:space="preserve">Informe presentado al G7 que fundamenta la necesidad económica de canalizar capital privado hacia la protección de la biodiversidad.</t>
  </si>
  <si>
    <t xml:space="preserve">Pascal et al.</t>
  </si>
  <si>
    <t xml:space="preserve">Impact investment in marine conservation</t>
  </si>
  <si>
    <t xml:space="preserve">Demanda (inversores de impacto), Oferta (comunidades costeras), Reguladores</t>
  </si>
  <si>
    <t xml:space="preserve">República Dominicana</t>
  </si>
  <si>
    <t xml:space="preserve">Áreas Marinas Protegidas y arrecifes de coral</t>
  </si>
  <si>
    <t xml:space="preserve">Analiza el modelo de inversión de impacto y cogestión para la restauración de la biodiversidad marina en el Caribe.</t>
  </si>
  <si>
    <t xml:space="preserve">Phelps et al.</t>
  </si>
  <si>
    <t xml:space="preserve">Risky business: an uncertain future for biodiversity conservation finance through REDD+</t>
  </si>
  <si>
    <t xml:space="preserve">Demanda (compradores de carbono), Oferta (propietarios de bosques), Reguladores</t>
  </si>
  <si>
    <t xml:space="preserve">Global (países tropicales)</t>
  </si>
  <si>
    <t xml:space="preserve">Bosques tropicales y proyectos de carbono</t>
  </si>
  <si>
    <t xml:space="preserve">Alerta sobre la volatilidad de los mercados de carbono REDD+ y los riesgos de usarlos para financiar biodiversidad.</t>
  </si>
  <si>
    <t xml:space="preserve">Pilgrim &amp; Bennun</t>
  </si>
  <si>
    <t xml:space="preserve">Will biodiversity offsets save or sink protected areas?</t>
  </si>
  <si>
    <t xml:space="preserve">Reguladores/legisladores, Demanda (desarrolladores de proyectos), Oferta (gestores de AP)</t>
  </si>
  <si>
    <t xml:space="preserve">Áreas protegidas afectadas por desarrollo</t>
  </si>
  <si>
    <t xml:space="preserve">Evalúa si el uso de compensaciones ecológicas dentro o alrededor de Áreas Protegidas fortalece o debilita su gobernanza.</t>
  </si>
  <si>
    <t xml:space="preserve">Pizzi et al.</t>
  </si>
  <si>
    <t xml:space="preserve">Assessing the impacts of digital transformation on internal auditing: a bibliometric analysis</t>
  </si>
  <si>
    <t xml:space="preserve">Metodología de revisión bibliométrica</t>
  </si>
  <si>
    <t xml:space="preserve">Aplicación de mapeo bibliométrico para evaluar transformaciones organizacionales.</t>
  </si>
  <si>
    <t xml:space="preserve">Purba et al.</t>
  </si>
  <si>
    <t xml:space="preserve">Discovering future research trends of aerobic granular sludge using bibliometric approach</t>
  </si>
  <si>
    <t xml:space="preserve">Sistemas de tratamiento de agua y lodos</t>
  </si>
  <si>
    <t xml:space="preserve">Estudio cientométrico sobre tendencias en tratamiento y conservación de recursos hídricos.</t>
  </si>
  <si>
    <t xml:space="preserve">Rylance et al.</t>
  </si>
  <si>
    <t xml:space="preserve">The contribution of tourism revenue to financing protected area management in Southern Africa</t>
  </si>
  <si>
    <t xml:space="preserve">Oferta (autoridades de APs), Público general (turistas), Reguladores</t>
  </si>
  <si>
    <t xml:space="preserve">Áreas protegidas y parajes de vida silvestre</t>
  </si>
  <si>
    <t xml:space="preserve">Analiza la aportación de ingresos por ecoturismo al presupuesto de las agencias de áreas protegidas en el sur de África.</t>
  </si>
  <si>
    <t xml:space="preserve">Satizábal et al.</t>
  </si>
  <si>
    <t xml:space="preserve">Blue economy discourses and practices: reconfiguring ocean spaces in the Philippines</t>
  </si>
  <si>
    <t xml:space="preserve">Oferta (pescadores/comunidades costeras), Reguladores/legisladores, Demanda (inversores)</t>
  </si>
  <si>
    <t xml:space="preserve">Zonas costeras y recursos pesqueros marinos</t>
  </si>
  <si>
    <t xml:space="preserve">Critica la reconfiguración territorial del espacio marino derivada de discursos de 'economía azul'.</t>
  </si>
  <si>
    <t xml:space="preserve">Finance for nature: a global estimate of public biodiversity investments</t>
  </si>
  <si>
    <t xml:space="preserve">Presupuestos públicos nacionales de biodiversidad</t>
  </si>
  <si>
    <t xml:space="preserve">Proporciona una estimación global del gasto público directo asignado a la biodiversidad basada en datos de BIOFIN.</t>
  </si>
  <si>
    <t xml:space="preserve">Spenceley et al.</t>
  </si>
  <si>
    <t xml:space="preserve">Tourism in protected and conserved areas amid the covid-19 pandemic</t>
  </si>
  <si>
    <t xml:space="preserve">Oferta (administradores de APs/comunidades), Público general (turistas), Reguladores</t>
  </si>
  <si>
    <t xml:space="preserve">Áreas protegidas continentales y marinas</t>
  </si>
  <si>
    <t xml:space="preserve">Examina los devastadores impactos económicos y operativos de la pérdida de turismo en áreas protegidas durante la pandemia.</t>
  </si>
  <si>
    <t xml:space="preserve">Stubbs</t>
  </si>
  <si>
    <t xml:space="preserve">Sustainable entrepreneurship and B corps</t>
  </si>
  <si>
    <t xml:space="preserve">Demanda (empresas / B Corps), Clasificación de Actores</t>
  </si>
  <si>
    <t xml:space="preserve">Global / Australia</t>
  </si>
  <si>
    <t xml:space="preserve">Modelos de negocio sostenibles</t>
  </si>
  <si>
    <t xml:space="preserve">Investiga cómo las Empresas B integran la creación de valor ambiental y social en su modelo corporativo.</t>
  </si>
  <si>
    <t xml:space="preserve">Sullivan &amp; Hannis</t>
  </si>
  <si>
    <t xml:space="preserve">Nets and frames, losses and gains: value struggles in engagements with biodiversity offsetting policy in England</t>
  </si>
  <si>
    <t xml:space="preserve">Reguladores/legisladores, Demanda (promotores inmobiliarios), Oferta (comunidades)</t>
  </si>
  <si>
    <t xml:space="preserve">Paisajes periurbanos y hábitats protegidos</t>
  </si>
  <si>
    <t xml:space="preserve">Análisis crítico de los encuadres de valor y conflictos de mercantilización en las políticas de compensación de biodiversidad.</t>
  </si>
  <si>
    <t xml:space="preserve">Tan et al.</t>
  </si>
  <si>
    <t xml:space="preserve">Global evolution of research on green energy and environmental technologies: A bibliometric study</t>
  </si>
  <si>
    <t xml:space="preserve">Estudio cientométrico sobre la evolución de publicaciones de tecnologías de energía verde y protección ambiental.</t>
  </si>
  <si>
    <t xml:space="preserve">Tauli-Corpuz et al.</t>
  </si>
  <si>
    <t xml:space="preserve">Cornered by PAs: adopting rights-based approaches to enable cost-effective conservation and climate action</t>
  </si>
  <si>
    <t xml:space="preserve">Oferta (pueblos indígenas y comunidades locales - IPLC), Reguladores/legisladores</t>
  </si>
  <si>
    <t xml:space="preserve">Áreas protegidas estatales y tierras comunitarias</t>
  </si>
  <si>
    <t xml:space="preserve">Demuestra los costos humanos y conflictos causados por áreas protegidas estatales y defiende la conservación gestionada por IPLC.</t>
  </si>
  <si>
    <t xml:space="preserve">Cornered by PAs: Adopting rights-based approaches to enable cost-effective conservation and climate action</t>
  </si>
  <si>
    <t xml:space="preserve">Oferta (IPLC, Pueblos Indígenas), Reguladores, ONGs</t>
  </si>
  <si>
    <t xml:space="preserve">Áreas protegidas en conflicto con comunidades</t>
  </si>
  <si>
    <t xml:space="preserve">Demuestra que la adopción de enfoques de derechos indígenas es más eficiente y costo-efectiva para la conservación que las reservas.</t>
  </si>
  <si>
    <t xml:space="preserve">Tisdell &amp; Wilson</t>
  </si>
  <si>
    <t xml:space="preserve">Wildlife-based Tourism and Increased Support for Nature Conservation Financially and Otherwise</t>
  </si>
  <si>
    <t xml:space="preserve">Público general (ecoturistas), Oferta (gestores de parques)</t>
  </si>
  <si>
    <t xml:space="preserve">Australia (Mon Repos)</t>
  </si>
  <si>
    <t xml:space="preserve">Zonas costeras de anidación de tortugas marinas</t>
  </si>
  <si>
    <t xml:space="preserve">Mide mediante encuestas la disposición a pagar de ecoturistas y el incremento del apoyo financiero a la conservación.</t>
  </si>
  <si>
    <t xml:space="preserve">Tranfield et al.</t>
  </si>
  <si>
    <t xml:space="preserve">Towards a methodology for developing evidence-informed management knowledge by means of systematic review</t>
  </si>
  <si>
    <t xml:space="preserve">Establece los pasos para la conducción de revisiones sistemáticas de literatura basadas en evidencia.</t>
  </si>
  <si>
    <t xml:space="preserve">UNDP</t>
  </si>
  <si>
    <t xml:space="preserve">The BIOFIN Workbook 2018: Finance for Nature. The Biodiversity Finance Initiative</t>
  </si>
  <si>
    <t xml:space="preserve">Reguladores/legisladores, Demanda (financieros públicos/privados), Clasificación de Actores</t>
  </si>
  <si>
    <t xml:space="preserve">Global (40+ países)</t>
  </si>
  <si>
    <t xml:space="preserve">Planes nacionales de financiación de biodiversidad</t>
  </si>
  <si>
    <t xml:space="preserve">Manual práctico de BIOFIN para realizar diagnósticos de gasto, brechas y planes de financiación sostenible a nivel país.</t>
  </si>
  <si>
    <t xml:space="preserve">US Mission Geneva</t>
  </si>
  <si>
    <t xml:space="preserve">The importance of biodiversity for development</t>
  </si>
  <si>
    <t xml:space="preserve">Recursos biológicos y servicios ecosistémicos</t>
  </si>
  <si>
    <t xml:space="preserve">Documento estratégico sobre el papel fundamental de la biodiversidad en la sostenibilidad y reducción de la pobreza.</t>
  </si>
  <si>
    <t xml:space="preserve">Vijayaraghavan et al.</t>
  </si>
  <si>
    <t xml:space="preserve">Bioretention systems for stormwater management: recent advances and future prospects</t>
  </si>
  <si>
    <t xml:space="preserve">Sistemas de biorretención y aguas urbanas</t>
  </si>
  <si>
    <t xml:space="preserve">Revisión de tecnologías de biorretención para gestión sostenible del agua y ecosistemas urbanos.</t>
  </si>
  <si>
    <t xml:space="preserve">Waldron et al.</t>
  </si>
  <si>
    <t xml:space="preserve">Targeting global conservation funding to limit immediate biodiversity declines</t>
  </si>
  <si>
    <t xml:space="preserve">Global (109 países)</t>
  </si>
  <si>
    <t xml:space="preserve">Mammalia, Aves e hiperbiodiversidad amenazada</t>
  </si>
  <si>
    <t xml:space="preserve">Modelo estadístico clave que demuestra que los fondos de conservación reducen significativamente el declive de especies.</t>
  </si>
  <si>
    <t xml:space="preserve">Reguladores/legisladores, Comunidad científica, Demanda (Sector financiero, Donantes)</t>
  </si>
  <si>
    <t xml:space="preserve">Sitios prioritarios de conservación de mamíferos y aves</t>
  </si>
  <si>
    <t xml:space="preserve">Identifica los países altamente subfinanciados que concentran la mayor amenaza inminente de pérdida de biodiversidad en PNAS.</t>
  </si>
  <si>
    <t xml:space="preserve">Reductions in global biodiversity loss predicted from conservation spending</t>
  </si>
  <si>
    <t xml:space="preserve">Reguladores/legisladores, Demanda (financiadores internacionales), Comunidad científica</t>
  </si>
  <si>
    <t xml:space="preserve">Especies terrestres amenazadas e inversiones nacionales</t>
  </si>
  <si>
    <t xml:space="preserve">Demuestra en Nature que el gasto en conservación entre 1996 y 2008 redujo la pérdida de biodiversidad en un 29% promedio.</t>
  </si>
  <si>
    <t xml:space="preserve">Waldron, A., Miller, D.C., Redding, D., et al.</t>
  </si>
  <si>
    <t xml:space="preserve">Biodiversidad global y gasto en conservación</t>
  </si>
  <si>
    <t xml:space="preserve">Modela cuantitativamente cómo el gasto en conservación reduce las tasas de pérdida de biodiversidad en más de 100 países.</t>
  </si>
  <si>
    <t xml:space="preserve">Ecosistemas con gasto en conservación y modelos de pérdida</t>
  </si>
  <si>
    <t xml:space="preserve">Demuestra en Nature que el gasto en conservación reduce estadísticamente la pérdida de biodiversidad a escala planetaria.</t>
  </si>
  <si>
    <t xml:space="preserve">World Bank Group</t>
  </si>
  <si>
    <t xml:space="preserve">Mobilizing private finance for nature</t>
  </si>
  <si>
    <t xml:space="preserve">Demanda (bancos/inversores institucionales), Reguladores/legisladores, Clasificación de Actores</t>
  </si>
  <si>
    <t xml:space="preserve">Activos de capital natural y servicios de ecosistemas</t>
  </si>
  <si>
    <t xml:space="preserve">Marco estratégico del Banco Mundial para movilizar inversión privada en conservación a gran escala.</t>
  </si>
  <si>
    <t xml:space="preserve">WEF - World Economic Forum</t>
  </si>
  <si>
    <t xml:space="preserve">What is 'nature positive' and why is it the key to our future?</t>
  </si>
  <si>
    <t xml:space="preserve">Demanda (empresas / sector privado), Reguladores, Público general</t>
  </si>
  <si>
    <t xml:space="preserve">Capital natural y metas de restauración ecológica</t>
  </si>
  <si>
    <t xml:space="preserve">Define el paradigma 'Nature-Positive' para revertir la pérdida de biodiversidad y reorientar el capital global al 2030.</t>
  </si>
  <si>
    <t xml:space="preserve">Putting Nature at the Heart of the Global Financial System</t>
  </si>
  <si>
    <t xml:space="preserve">Demanda (bancos, aseguradoras, inversores), Reguladores/legisladores</t>
  </si>
  <si>
    <t xml:space="preserve">Sistema financiero global e integración del capital natural</t>
  </si>
  <si>
    <t xml:space="preserve">Propuesta para integrar la biodiversidad y la dependencia de la naturaleza en el centro del sistema financiero internacional.</t>
  </si>
  <si>
    <t xml:space="preserve">Zupic &amp; Čater</t>
  </si>
  <si>
    <t xml:space="preserve">Bibliometric methods in management and organization</t>
  </si>
  <si>
    <t xml:space="preserve">Metodología bibliométrica en gestión</t>
  </si>
  <si>
    <t xml:space="preserve">Guía metodológica sobre análisis de cocitación, acoplamiento bibliográfico y mapeo cientométrico.</t>
  </si>
  <si>
    <t xml:space="preserve">UNEP &amp; ISC</t>
  </si>
  <si>
    <t xml:space="preserve">Navigating New Horizons: A global foresight report on planetary health and human wellbeing</t>
  </si>
  <si>
    <t xml:space="preserve">Ecosistemas planetarios globales y biosfera</t>
  </si>
  <si>
    <t xml:space="preserve">Informe de prospectiva global sobre la triple crisis planetaria (cambio climático, pérdida de biodiversidad y contaminación) y riesgos emergentes.</t>
  </si>
  <si>
    <t xml:space="preserve">Living Planet Report 2024 – A System in Peril</t>
  </si>
  <si>
    <t xml:space="preserve">Poblaciones de vertebrados silvestres (terrestres, dulceacuícolas y marinos)</t>
  </si>
  <si>
    <t xml:space="preserve">Documenta un declive medio del 73% en las poblaciones de especies silvestres monitoreadas entre 1970 y 2020 a nivel mundial.</t>
  </si>
  <si>
    <t xml:space="preserve">Summary for policymakers of the global assessment report on biodiversity and ecosystem services</t>
  </si>
  <si>
    <t xml:space="preserve">Ecosistemas terrestres, marinos y de agua dulce globales</t>
  </si>
  <si>
    <t xml:space="preserve">Evaluación global de referencia que demuestra que 1 millón de especies están en peligro de extinción por actividades humanas.</t>
  </si>
  <si>
    <t xml:space="preserve">Informe global de IPBES que demuestra que 1 millón de especies están amenazadas de extinción por cambio de uso de suelo.</t>
  </si>
  <si>
    <t xml:space="preserve">Watson et al. (IPBES)</t>
  </si>
  <si>
    <t xml:space="preserve">Evaluación global de IPBES que demuestra que 1 millón de especies están amenazadas de extinción.</t>
  </si>
  <si>
    <t xml:space="preserve">IPCC</t>
  </si>
  <si>
    <t xml:space="preserve">Climate Change 2022: Impacts, Adaptation and Vulnerability (WGII AR6)</t>
  </si>
  <si>
    <t xml:space="preserve">Sistemas ecológicos y climáticos globales</t>
  </si>
  <si>
    <t xml:space="preserve">Evidencia la velocidad del cambio climático y la urgencia de proteger la integridad del 30-50% de los ecosistemas de la Tierra.</t>
  </si>
  <si>
    <t xml:space="preserve">CBD Secretariat</t>
  </si>
  <si>
    <t xml:space="preserve">Target 14 Guidance Notes: Integrate Biodiversity in Decision-Making at Every Level</t>
  </si>
  <si>
    <t xml:space="preserve">Políticas públicas y cadenas de valor económicas</t>
  </si>
  <si>
    <t xml:space="preserve">Guía técnica para la integración transversal de la biodiversidad en políticas públicas, presupuestos y estrategias de inversión privada.</t>
  </si>
  <si>
    <t xml:space="preserve">Finance for Biodiversity Foundation</t>
  </si>
  <si>
    <t xml:space="preserve">Assessment of the biodiversity impacts and dependencies of globally listed companies</t>
  </si>
  <si>
    <t xml:space="preserve">Demanda (Sector financiero, Inversores), Empresas corporativas</t>
  </si>
  <si>
    <t xml:space="preserve">Carteras de renta variable y deuda de empresas cotizadas</t>
  </si>
  <si>
    <t xml:space="preserve">Evaluación multi-herramienta del footprint de biodiversidad de empresas cotizadas a nivel mundial para orientar decisiones de inversión.</t>
  </si>
  <si>
    <t xml:space="preserve">Johnson et al. / World Bank</t>
  </si>
  <si>
    <t xml:space="preserve">The Economic Case for Nature: A Global Earth-Economy Model to Assess Development Policy Pathways</t>
  </si>
  <si>
    <t xml:space="preserve">Servicios de polinizadores, madera y pesca marina</t>
  </si>
  <si>
    <t xml:space="preserve">Modela el colapso de servicios ecosistémicos clave, estimando pérdidas de $2,7 billones del PIB mundial para 2030.</t>
  </si>
  <si>
    <t xml:space="preserve">Global / Europa y Asia Central</t>
  </si>
  <si>
    <t xml:space="preserve">Polinización silvestre, pesquerías marinas y madera de bosques nativos</t>
  </si>
  <si>
    <t xml:space="preserve">Modela el colapso de servicios ecosistémicos clave, estimando caídas del PIB mundial de $2,7 billones para 2030 ($255B en escenario directo).</t>
  </si>
  <si>
    <t xml:space="preserve">Johnson, R., Baldos, U., et al. (Banco Mundial)</t>
  </si>
  <si>
    <t xml:space="preserve">The economic case for nature: A global earth-economy model to assess development policy pathways</t>
  </si>
  <si>
    <t xml:space="preserve">Cuantitativo / Modelación Económica</t>
  </si>
  <si>
    <t xml:space="preserve">Servicios de polinizadores silvestres, provisión de madera de bosques naturales y pesquerías marítimas</t>
  </si>
  <si>
    <t xml:space="preserve">Modela el impacto del colapso de servicios ecosistémicos clave, estimando pérdidas de $2,7 billones anuales del PIB mundial para 2030, afectando desproporcionadamente a países de ingresos bajos.</t>
  </si>
  <si>
    <t xml:space="preserve">Cambridge Conservation Initiative</t>
  </si>
  <si>
    <t xml:space="preserve">Biodiversity at the heart of accounting for natural capital: the key to credibility</t>
  </si>
  <si>
    <t xml:space="preserve">Contabilidad de capital natural y activos ecológicos</t>
  </si>
  <si>
    <t xml:space="preserve">Demuestra la necesidad metodológica de situar la biodiversidad en el núcleo de los sistemas de contabilidad de capital natural.</t>
  </si>
  <si>
    <t xml:space="preserve">NGFS</t>
  </si>
  <si>
    <t xml:space="preserve">Nature-related Financial Risks: a Conceptual Framework to guide Action by Central Banks and Supervisors</t>
  </si>
  <si>
    <t xml:space="preserve">Demanda (Bancos centrales, Reguladores financieros), Sector financiero</t>
  </si>
  <si>
    <t xml:space="preserve">Estabilidad macrofinanciera y carteras bancarias</t>
  </si>
  <si>
    <t xml:space="preserve">Marco conceptual para que los bancos centrales y supervisores financieros integren los riesgos físicos y de transición de la naturaleza.</t>
  </si>
  <si>
    <t xml:space="preserve">De Nederlandsche Bank (DNB)</t>
  </si>
  <si>
    <t xml:space="preserve">Indebted to nature: Exploring biodiversity risks for the Dutch financial sector</t>
  </si>
  <si>
    <t xml:space="preserve">Demanda (Sector financiero de Países Bajos), Reguladores</t>
  </si>
  <si>
    <t xml:space="preserve">Países Bajos / Global</t>
  </si>
  <si>
    <t xml:space="preserve">Carteras de inversión del sector financiero neerlandés</t>
  </si>
  <si>
    <t xml:space="preserve">Muestra que el 36% de las inversiones de las instituciones financieras neerlandesas dependen críticamente de servicios ecosistémicos.</t>
  </si>
  <si>
    <t xml:space="preserve">Svartzman et al. / Banque de France</t>
  </si>
  <si>
    <t xml:space="preserve">A 'Silent Spring' for the Financial System? Exploring Biodiversity-Related Financial Risks in France</t>
  </si>
  <si>
    <t xml:space="preserve">Demanda (Sector financiero de Francia), Reguladores</t>
  </si>
  <si>
    <t xml:space="preserve">Activos y carteras crediticias de bancos franceses</t>
  </si>
  <si>
    <t xml:space="preserve">Calcula que el 42% del valor de los valores emitidos por empresas financiadas por bancos franceses depende de la naturaleza.</t>
  </si>
  <si>
    <t xml:space="preserve">European Central Bank (ECB)</t>
  </si>
  <si>
    <t xml:space="preserve">The economy and banks need nature to survive</t>
  </si>
  <si>
    <t xml:space="preserve">Demanda (Bancos de la Eurozona), Reguladores/legisladores</t>
  </si>
  <si>
    <t xml:space="preserve">Unión Europea (Eurozona)</t>
  </si>
  <si>
    <t xml:space="preserve">Empresas no financieras y bancos comerciales de la Eurozona</t>
  </si>
  <si>
    <t xml:space="preserve">Revela que el 72% de las empresas no financieras de la Eurozona dependen de al menos un servicio ecosistémico.</t>
  </si>
  <si>
    <t xml:space="preserve">The 'nature-positive' journey for business: A conceptual research agenda to guide contributions</t>
  </si>
  <si>
    <t xml:space="preserve">Estrategias de transición corporativa 'Nature-Positive'</t>
  </si>
  <si>
    <t xml:space="preserve">Desarrolla una agenda conceptual de investigación para guiar los compromisos y contribuciones corporativas hacia la meta Nature Positive.</t>
  </si>
  <si>
    <t xml:space="preserve">State of Finance for Nature: The Big Nature Turnaround – Repurposing $7 trillion to combat nature loss</t>
  </si>
  <si>
    <t xml:space="preserve">Flujos financieros públicos y privados que dañan o conservan la naturaleza</t>
  </si>
  <si>
    <t xml:space="preserve">Cuantifica en $7 billones los flujos financieros anuales con impacto negativo directo en la naturaleza frente a solo $200.000M en conservación.</t>
  </si>
  <si>
    <t xml:space="preserve">Business for Nature</t>
  </si>
  <si>
    <t xml:space="preserve">Financing our survival: building a nature-positive economy through subsidy reform</t>
  </si>
  <si>
    <t xml:space="preserve">Reguladores/legisladores, Demanda (Sectores subvencionados - Agricultura, Energía, Agua)</t>
  </si>
  <si>
    <t xml:space="preserve">Subsidios gubernamentales perjudiciales para el medio ambiente</t>
  </si>
  <si>
    <t xml:space="preserve">Analiza la necesidad de reformar $2,6 billones anuales en subsidios gubernamentales perjudiciales para la naturaleza.</t>
  </si>
  <si>
    <t xml:space="preserve">PwC</t>
  </si>
  <si>
    <t xml:space="preserve">Accelerating Finance for Nature: Barriers and recommendations for scaling private sector investment</t>
  </si>
  <si>
    <t xml:space="preserve">Demanda (Sector financiero, Inversores privados), Reguladores</t>
  </si>
  <si>
    <t xml:space="preserve">Instrumentos de capital privado para soluciones basadas en la naturaleza</t>
  </si>
  <si>
    <t xml:space="preserve">Identifica barreras de mercado e institucionales para el escalamiento de la inversión privada en proyectos de naturaleza.</t>
  </si>
  <si>
    <t xml:space="preserve">Obura et al.</t>
  </si>
  <si>
    <t xml:space="preserve">Achieving a nature- and people-positive future</t>
  </si>
  <si>
    <t xml:space="preserve">Comunidad científica, Reguladores/legisladores, Oferta (IPLC)</t>
  </si>
  <si>
    <t xml:space="preserve">Límites seguros y justos de la Tierra (Earth Commission)</t>
  </si>
  <si>
    <t xml:space="preserve">Define el marco operativo para alcanzar un futuro 'nature and people positive' respetando los límites planetarios y la equidad.</t>
  </si>
  <si>
    <t xml:space="preserve">Metas Nature Positive y bienestar humano</t>
  </si>
  <si>
    <t xml:space="preserve">Analiza las dimensiones para lograr un futuro 'Nature Positive' que beneficie a la sociedad y la biodiversidad.</t>
  </si>
  <si>
    <t xml:space="preserve">Climate Change Committee (UK)</t>
  </si>
  <si>
    <t xml:space="preserve">Voluntary Carbon Markets and Offsetting</t>
  </si>
  <si>
    <t xml:space="preserve">Reguladores/legisladores, Demanda (Empresas del Reino Unido)</t>
  </si>
  <si>
    <t xml:space="preserve">Bosques y turberas del Reino Unido</t>
  </si>
  <si>
    <t xml:space="preserve">Informe del comité independiente del Reino Unido recomendando regulaciones estrictas para evitar el uso inadecuado de compensaciones de carbono.</t>
  </si>
  <si>
    <t xml:space="preserve">Mori &amp; Isbell</t>
  </si>
  <si>
    <t xml:space="preserve">Untangling the threads of conservation: A closer look at restoration and preservation</t>
  </si>
  <si>
    <t xml:space="preserve">Estrategias de preservación de ecosistemas prístinos vs. restauración</t>
  </si>
  <si>
    <t xml:space="preserve">Diferencia conceptualmente los impactos ecológicos de preservar hábitats prístinos intactos frente a restaurar ecosistemas degradados.</t>
  </si>
  <si>
    <t xml:space="preserve">State of the Voluntary Carbon Market 2024</t>
  </si>
  <si>
    <t xml:space="preserve">Demanda (Empresas, Inversores), Oferta (Desarrolladores), Certificadores</t>
  </si>
  <si>
    <t xml:space="preserve">Transacciones del Mercado Voluntario de Carbono (VCM)</t>
  </si>
  <si>
    <t xml:space="preserve">Informe anual sobre el volumen ($723M en 2023) y precios de créditos de carbono, destacando la prima pagada por proyectos con cobeneficios de biodiversidad.</t>
  </si>
  <si>
    <t xml:space="preserve">Dyck, Streck &amp; Trouwloon / Climate Focus</t>
  </si>
  <si>
    <t xml:space="preserve">The Voluntary Carbon Market Explained (VCM Primer)</t>
  </si>
  <si>
    <t xml:space="preserve">Demanda, Oferta, Reguladores/legisladores, Certificadores</t>
  </si>
  <si>
    <t xml:space="preserve">Arquitectura y estándares del Mercado Voluntario de Carbono</t>
  </si>
  <si>
    <t xml:space="preserve">Guía integral que explica el funcionamiento, contabilidad y tipos de créditos en el Mercado Voluntario de Carbono.</t>
  </si>
  <si>
    <t xml:space="preserve">UNEP-WCMC, RSPB &amp; Fauna &amp; Flora</t>
  </si>
  <si>
    <t xml:space="preserve">Accessing Carbon Finance for Nature Restoration in Europe: Guidance for ecosystem restoration practitioners</t>
  </si>
  <si>
    <t xml:space="preserve">Oferta (Prácticos de restauración, ONGs, Propietarios), Demanda</t>
  </si>
  <si>
    <t xml:space="preserve">Restauración de bosques, turberas y humedales en Europa</t>
  </si>
  <si>
    <t xml:space="preserve">Guía práctica para acceder a financiamiento de carbono en proyectos de restauración ecológica en Europa garantizando integridad ambiental.</t>
  </si>
  <si>
    <t xml:space="preserve">Sinclair et al.</t>
  </si>
  <si>
    <t xml:space="preserve">The Conservation hierarchy: Underpinning the Post-2020 Biodiversity Framework</t>
  </si>
  <si>
    <t xml:space="preserve">Marco unificado de Jerarquía de Conservación (AR3T)</t>
  </si>
  <si>
    <t xml:space="preserve">Presenta el marco de Jerarquía de Conservación para coordinar acciones de Evitación, Reducción, Restauración y Compensación.</t>
  </si>
  <si>
    <t xml:space="preserve">Cross Sector Biodiversity Initiative (CSBI)</t>
  </si>
  <si>
    <t xml:space="preserve">A cross-sector guide for implementing the mitigation hierarchy</t>
  </si>
  <si>
    <t xml:space="preserve">Demanda (Industria extractiva, Energía, Infraestructura), Reguladores</t>
  </si>
  <si>
    <t xml:space="preserve">Proyectos de desarrollo industrial y biodiversidad</t>
  </si>
  <si>
    <t xml:space="preserve">Guía técnica intersectorial para aplicar la jerarquía de mitigación en proyectos de inversión extractiva e infraestructura.</t>
  </si>
  <si>
    <t xml:space="preserve">IUCN Policy on Biodiversity Offsets</t>
  </si>
  <si>
    <t xml:space="preserve">Políticas de compensación de biodiversidad y equivalencia ecológica</t>
  </si>
  <si>
    <t xml:space="preserve">Política oficial de la UICN que fija límites estrictos para las compensaciones (prohibición en sitios de alto valor de conservación).</t>
  </si>
  <si>
    <t xml:space="preserve">Droste et al.</t>
  </si>
  <si>
    <t xml:space="preserve">A global overview of biodiversity offsetting governance</t>
  </si>
  <si>
    <t xml:space="preserve">Gobernanza de políticas nacionales de compensación</t>
  </si>
  <si>
    <t xml:space="preserve">Mapeo global de la gobernanza de compensaciones de biodiversidad, mostrando disparidades institucionales en su aplicación.</t>
  </si>
  <si>
    <t xml:space="preserve">TNC View: Biodiversity credits</t>
  </si>
  <si>
    <t xml:space="preserve">Reguladores/legisladores, Demanda, Oferta (IPLC), ONGs</t>
  </si>
  <si>
    <t xml:space="preserve">Posicionamiento institucional sobre créditos de biodiversidad</t>
  </si>
  <si>
    <t xml:space="preserve">Posicionamiento de TNC sobre los biocréditos, enfatizando que no deben debilitar la jerarquía de mitigación ni reemplazar la regulación.</t>
  </si>
  <si>
    <t xml:space="preserve">Reise et al. / Öko-Institut</t>
  </si>
  <si>
    <t xml:space="preserve">Nature-based solutions and global climate protection</t>
  </si>
  <si>
    <t xml:space="preserve">Soluciones basadas en la naturaleza y mitigación climática</t>
  </si>
  <si>
    <t xml:space="preserve">Evaluación de la contribución de las SbN a la protección climática global sin comprometer la integridad ecológica.</t>
  </si>
  <si>
    <t xml:space="preserve">UNEA</t>
  </si>
  <si>
    <t xml:space="preserve">Resolution 5/5: Nature-based solutions for supporting sustainable development</t>
  </si>
  <si>
    <t xml:space="preserve">Definición multilateral multilateral de SbN</t>
  </si>
  <si>
    <t xml:space="preserve">Resolución de la Asamblea de la ONU que fija la definición multilateral oficial de Soluciones basadas en la Naturaleza (SbN).</t>
  </si>
  <si>
    <t xml:space="preserve">United Nations et al.</t>
  </si>
  <si>
    <t xml:space="preserve">System of Environmental-Economic Accounting – Ecosystem Accounting (SEEA-EA)</t>
  </si>
  <si>
    <t xml:space="preserve">Reguladores/legisladores, Institutos de estadística, Científicos</t>
  </si>
  <si>
    <t xml:space="preserve">Contabilidad nacional de ecosistemas y servicios ecosistémicos</t>
  </si>
  <si>
    <t xml:space="preserve">Estándar estadístico de la ONU para contabilizar la extensión, condición y servicios de los ecosistemas en las cuentas nacionales.</t>
  </si>
  <si>
    <t xml:space="preserve">Biodiversity credits versus carbon credits</t>
  </si>
  <si>
    <t xml:space="preserve">Diferencias técnicas entre métricas de CO2e y biodiversidad</t>
  </si>
  <si>
    <t xml:space="preserve">Diferencia las características de negociabilidad, espacialidad y fungibilidad entre créditos de carbono y créditos de biodiversidad.</t>
  </si>
  <si>
    <t xml:space="preserve">Plan Vivo, Fauna &amp; Flora &amp; Carbon Tanzania</t>
  </si>
  <si>
    <t xml:space="preserve">High level integrity principles for biodiversity markets</t>
  </si>
  <si>
    <t xml:space="preserve">Oferta (Comunidades locales, IPLC), Certificadores, Demanda</t>
  </si>
  <si>
    <t xml:space="preserve">Global / África (Tanzania)</t>
  </si>
  <si>
    <t xml:space="preserve">Bosques comunitarios y custodia ambiental</t>
  </si>
  <si>
    <t xml:space="preserve">Principios de integridad comunitaria para la emisión de créditos de biodiversidad que priorizan el reparto justo de beneficios.</t>
  </si>
  <si>
    <t xml:space="preserve">Campaign for Nature</t>
  </si>
  <si>
    <t xml:space="preserve">Funding Nature: The Essential Role of Governments and the Illusion of Biodiversity Credits</t>
  </si>
  <si>
    <t xml:space="preserve">Reguladores/legisladores, ONGs, Público general, Científicos</t>
  </si>
  <si>
    <t xml:space="preserve">Financiamiento público directo vs. soluciones de mercado</t>
  </si>
  <si>
    <t xml:space="preserve">Crítica a los mercados de biocréditos, argumentando que no reemplazan el deber de los gobiernos de financiar la naturaleza mediante impuestos y regulación.</t>
  </si>
  <si>
    <t xml:space="preserve">Funding Nature: The essential role of governments and the illusion of biodiversity credits</t>
  </si>
  <si>
    <t xml:space="preserve">Ecosistemas globales y presupuestos de conservación</t>
  </si>
  <si>
    <t xml:space="preserve">Crítica sobre los límites de los mercados voluntarios de biocréditos, reafirmando el rol insustituible del financiamiento público.</t>
  </si>
  <si>
    <t xml:space="preserve">WWF &amp; UNEP-WCMC</t>
  </si>
  <si>
    <t xml:space="preserve">The State of Indigenous Peoples’ and Local Communities’ Lands and Territories</t>
  </si>
  <si>
    <t xml:space="preserve">Oferta (Comunidades indígenas / IPLC), Reguladores, Científicos</t>
  </si>
  <si>
    <t xml:space="preserve">Global (32 millones km2)</t>
  </si>
  <si>
    <t xml:space="preserve">Territorios indígenas que abarcan el 32% de la tierra global</t>
  </si>
  <si>
    <t xml:space="preserve">Mapeo global que demuestra que los territorios de pueblos indígenas y comunidades locales albergan el 80% de la biodiversidad remanente.</t>
  </si>
  <si>
    <t xml:space="preserve">Fa et al.</t>
  </si>
  <si>
    <t xml:space="preserve">Importance of Indigenous Peoples’ lands for the conservation of Intact Forest Landscapes</t>
  </si>
  <si>
    <t xml:space="preserve">Oferta (Pueblos Indígenas), Comunidad científica, Reguladores</t>
  </si>
  <si>
    <t xml:space="preserve">Global (Pan-tropical)</t>
  </si>
  <si>
    <t xml:space="preserve">Paisajes Forestales Intactos (IFL)</t>
  </si>
  <si>
    <t xml:space="preserve">Demuestra cuantitativamente que los territorios indígenas cubren más del 36% de los Paisajes Forestales Intactos del planeta.</t>
  </si>
  <si>
    <t xml:space="preserve">Human Rights Watch</t>
  </si>
  <si>
    <t xml:space="preserve">Carbon Offsetting’s Casualties: Violations of Chong Indigenous People’s Rights in Cambodia’s Southern Cardamom REDD+ Project</t>
  </si>
  <si>
    <t xml:space="preserve">Oferta (Pueblo Indígena Chong), Certificadores (Verra), Demanda</t>
  </si>
  <si>
    <t xml:space="preserve">Camboya (Southern Cardamom)</t>
  </si>
  <si>
    <t xml:space="preserve">Selvas tropicales y derechos territoriales indígenas</t>
  </si>
  <si>
    <t xml:space="preserve">Denuncia violaciones de derechos humanos y falta de FPIC en el proyecto REDD+ Southern Cardamom en Camboya.</t>
  </si>
  <si>
    <t xml:space="preserve">Greenfield / The Guardian</t>
  </si>
  <si>
    <t xml:space="preserve">Revealed: more than 90% of rainforest carbon offsets by biggest certifier are worthless, analysis shows</t>
  </si>
  <si>
    <t xml:space="preserve">Certificadores (Verra), Demanda (Corporaciones), Público general</t>
  </si>
  <si>
    <t xml:space="preserve">Global (Bosques tropicales)</t>
  </si>
  <si>
    <t xml:space="preserve">Créditos REDD+ de deforestación evitada</t>
  </si>
  <si>
    <t xml:space="preserve">Investigación periodística y científica que reveló que más del 90% de los créditos forestales de Verra eran 'créditos fantasma'.</t>
  </si>
  <si>
    <t xml:space="preserve">Greenfield, P.</t>
  </si>
  <si>
    <t xml:space="preserve">Revealed: More than 90% of rainforest carbon offsets by biggest certifier are worthless, analysis shows</t>
  </si>
  <si>
    <t xml:space="preserve">Demanda (Empresas corporativas), Reguladores, Público general</t>
  </si>
  <si>
    <t xml:space="preserve">Global (Amazonía)</t>
  </si>
  <si>
    <t xml:space="preserve">Investigación que reveló que más del 90% de los créditos de deforestación evitada de Verra carecían de aditividad real.</t>
  </si>
  <si>
    <t xml:space="preserve">Biodiversity credit calculation overview (Version 2)</t>
  </si>
  <si>
    <t xml:space="preserve">Metodologías y fórmulas numéricas de cálculo de biocréditos</t>
  </si>
  <si>
    <t xml:space="preserve">Revisión comparativa de las metodologías cuantitativas y canastas de indicadores utilizadas para calcular unidades de biocréditos.</t>
  </si>
  <si>
    <t xml:space="preserve">Wyburd / Carbon Market Watch</t>
  </si>
  <si>
    <t xml:space="preserve">Pricing the priceless: Lessons for biodiversity credits from carbon markets</t>
  </si>
  <si>
    <t xml:space="preserve">Fijación de precios y prevención de monetización destructiva</t>
  </si>
  <si>
    <t xml:space="preserve">Advierte sobre los riesgos de replicar los errores de precios y mercantilización del carbono en los nuevos mercados de biodiversidad.</t>
  </si>
  <si>
    <t xml:space="preserve">VCMI Claims Code of Practice</t>
  </si>
  <si>
    <t xml:space="preserve">Declaraciones corporativas de uso de créditos (Silver, Gold, Platinum)</t>
  </si>
  <si>
    <t xml:space="preserve">Código de práctica para regular los reclamos corporativos sobre el uso de créditos de carbono asegurando integridad en la demanda.</t>
  </si>
  <si>
    <t xml:space="preserve">PRI &amp; IPR</t>
  </si>
  <si>
    <t xml:space="preserve">Forecast Policy Scenario + Nature (FPS + Nature)</t>
  </si>
  <si>
    <t xml:space="preserve">Demanda (Inversores institucionales, Sector financiero), Reguladores</t>
  </si>
  <si>
    <t xml:space="preserve">Modelación de escenarios regulatorios y de mercado a 2030-2050</t>
  </si>
  <si>
    <t xml:space="preserve">Proyecta que los ingresos de los mercados de biodiversidad alcanzarán entre $18B y $43B anuales para 2050 impulsados por regulación.</t>
  </si>
  <si>
    <t xml:space="preserve">SBTN</t>
  </si>
  <si>
    <t xml:space="preserve">Setting science-based targets for nature: a step-by-step guide</t>
  </si>
  <si>
    <t xml:space="preserve">Demanda (Empresas corporativas), Reguladores, Científicos</t>
  </si>
  <si>
    <t xml:space="preserve">Marco AR3T (Avoid, Reduce, Regenerate, Restore, Transform)</t>
  </si>
  <si>
    <t xml:space="preserve">Guía paso a paso para que las empresas fijen objetivos científicos de biodiversidad, agua, suelos y océanos.</t>
  </si>
  <si>
    <t xml:space="preserve">CSRD Delegated Regulation / ESRS E4 (Biodiversity and Ecosystems)</t>
  </si>
  <si>
    <t xml:space="preserve">Demanda (Empresas obligadas en la UE), Reguladores, Financieros</t>
  </si>
  <si>
    <t xml:space="preserve">Reportes obligatorios de sostenibilidad corporativa</t>
  </si>
  <si>
    <t xml:space="preserve">Norma europea que exige a miles de empresas divulgar de forma obligatoria sus impactos, dependencias y uso de compensaciones de biodiversidad.</t>
  </si>
  <si>
    <t xml:space="preserve">Savimbo</t>
  </si>
  <si>
    <t xml:space="preserve">Savimbo Biodiversity Credit Methodology</t>
  </si>
  <si>
    <t xml:space="preserve">Oferta (Pueblos Indígenas, Comunidades locales), Demanda</t>
  </si>
  <si>
    <t xml:space="preserve">Colombia (Amazonía)</t>
  </si>
  <si>
    <t xml:space="preserve">Selva tropical y monitoreo por comunidades locales</t>
  </si>
  <si>
    <t xml:space="preserve">Metodología co-diseñada con comunidades indígenas amazónicas para remunerar directamente la observación de especies indicadoras.</t>
  </si>
  <si>
    <t xml:space="preserve">Terrasos</t>
  </si>
  <si>
    <t xml:space="preserve">Protocol for issuing voluntary biodiversity credits</t>
  </si>
  <si>
    <t xml:space="preserve">Oferta (Bancos de Hábitat, Propietarios), Demanda, Reguladores</t>
  </si>
  <si>
    <t xml:space="preserve">Bosque seco tropical y bosques de niebla</t>
  </si>
  <si>
    <t xml:space="preserve">Protocolo pionero en América Latina para la emisión de créditos de biodiversidad voluntarios basados en Bancos de Hábitat por 30 años.</t>
  </si>
  <si>
    <t xml:space="preserve">NaturePlus</t>
  </si>
  <si>
    <t xml:space="preserve">NaturePlus Standard v1.1</t>
  </si>
  <si>
    <t xml:space="preserve">Certificadores, Demanda, Oferta (Propietarios)</t>
  </si>
  <si>
    <t xml:space="preserve">Unidades de condición ambiental duradera</t>
  </si>
  <si>
    <t xml:space="preserve">Estándar independiente para la emisión de certificados de ganancia ecológica permanente con deducción por riesgo de reversión.</t>
  </si>
  <si>
    <t xml:space="preserve">SD VISta Nature Framework Draft v0.1</t>
  </si>
  <si>
    <t xml:space="preserve">Certificadores, Demanda, Oferta (Desarrolladores, IPLC)</t>
  </si>
  <si>
    <t xml:space="preserve">Unidades medidas en Hectáreas de Calidad (Quality Hectares - Qha)</t>
  </si>
  <si>
    <t xml:space="preserve">Borrador de marco metodológico de Verra para cuantificar créditos de biodiversidad medidos en Hectáreas de Calidad (Qha).</t>
  </si>
  <si>
    <t xml:space="preserve">BSI</t>
  </si>
  <si>
    <t xml:space="preserve">BSI Flex 701 &amp; 702 Nature Markets Specifications</t>
  </si>
  <si>
    <t xml:space="preserve">Reguladores/legisladores, Demanda, Oferta, Certificadores</t>
  </si>
  <si>
    <t xml:space="preserve">Estándares técnicos nacionales para mercados de naturaleza</t>
  </si>
  <si>
    <t xml:space="preserve">Estándar nacional del British Standards Institution que define los principios marco y la oferta de beneficios en mercados de naturaleza.</t>
  </si>
  <si>
    <t xml:space="preserve">Australian Government</t>
  </si>
  <si>
    <t xml:space="preserve">Nature Repair Act 2023</t>
  </si>
  <si>
    <t xml:space="preserve">Reguladores/legisladores, Oferta (Agricultores, Propietarios), Demanda</t>
  </si>
  <si>
    <t xml:space="preserve">Certificados de Biodiversidad para restauración de hábitats</t>
  </si>
  <si>
    <t xml:space="preserve">Ley pionera del gobierno australiano que crea un mercado nacional regulado para la compraventa de Certificados de Biodiversidad.</t>
  </si>
  <si>
    <t xml:space="preserve">UK Government / DEFRA</t>
  </si>
  <si>
    <t xml:space="preserve">Nature Markets Framework &amp; Mandatory Biodiversity Net Gain</t>
  </si>
  <si>
    <t xml:space="preserve">Ganancia Neta de Biodiversidad (BNG) obligatoria por 30 años</t>
  </si>
  <si>
    <t xml:space="preserve">Marco de política pública del Reino Unido que integra el mercado obligatorio BNG con mercados voluntarios de restauración.</t>
  </si>
  <si>
    <t xml:space="preserve">French Republic</t>
  </si>
  <si>
    <t xml:space="preserve">Sites for Nature Compensation, Restoration, and Rewilding (SNCRR) / Green Industry Law</t>
  </si>
  <si>
    <t xml:space="preserve">Sitios naturales de compensación y restauración ecológica</t>
  </si>
  <si>
    <t xml:space="preserve">Ley de Industria Verde de Francia que aprueba sitios naturales públicos/privados para generar unidades de compensación y restauración.</t>
  </si>
  <si>
    <t xml:space="preserve">Carbon Removals and Carbon Farming Certification (CRCF) Regulation &amp; EU Roadmap towards Nature Credits</t>
  </si>
  <si>
    <t xml:space="preserve">Agricultura de carbono y créditos de naturaleza con cobeneficios</t>
  </si>
  <si>
    <t xml:space="preserve">Reglamento europeo que establece la certificación de la agricultura de carbono e impulsa la Hoja de Ruta hacia Créditos de Naturaleza.</t>
  </si>
  <si>
    <t xml:space="preserve">Ocean Conservation Commitment (OCC) Scheme</t>
  </si>
  <si>
    <t xml:space="preserve">Reguladores/legisladores, Demanda (Inversores de impacto), Oferta</t>
  </si>
  <si>
    <t xml:space="preserve">Área Marina Protegida Moana Mahu (40% de su ZEE)</t>
  </si>
  <si>
    <t xml:space="preserve">Iniciativa pública que emite patrocinio 'Ocean Conservation Commitments' ($148 por km2) para financiar la protección marina por 20 años.</t>
  </si>
  <si>
    <t xml:space="preserve">Abbott et al.</t>
  </si>
  <si>
    <t xml:space="preserve">Logging and burning impacts on cockroaches, crickets and grasshoppers, and spiders in Jarrah forest, Western Australia</t>
  </si>
  <si>
    <t xml:space="preserve">Australia (Western Australia)</t>
  </si>
  <si>
    <t xml:space="preserve">Bosque de Jarrah (Eucalyptus marginata)</t>
  </si>
  <si>
    <t xml:space="preserve">Estudio empírico sobre los impactos de la tala y quema en la diversidad de invertebrados terrestres.</t>
  </si>
  <si>
    <t xml:space="preserve">Aerts et al.</t>
  </si>
  <si>
    <t xml:space="preserve">Land rehabilitation and the conservation of birds in a degraded Afromontane landscape in northern Ethiopia</t>
  </si>
  <si>
    <t xml:space="preserve">Comunidad científica, Oferta (Comunidades locales), Reguladores/legisladores</t>
  </si>
  <si>
    <t xml:space="preserve">Etiopía (Norte de Etiopía)</t>
  </si>
  <si>
    <t xml:space="preserve">Paisaje afromontano degradado y parches forestales</t>
  </si>
  <si>
    <t xml:space="preserve">Evalúa cuantitativamente la rehabilitación de tierras y la recuperación de la avifauna en paisajes afromontanos.</t>
  </si>
  <si>
    <t xml:space="preserve">Biodiversity offset design handbook—updated (J. Treweek &amp; K. ten Kate, eds.)</t>
  </si>
  <si>
    <t xml:space="preserve">Reguladores/legisladores, Demanda (Empresas corporativas, Sector financiero), Comunidad científica</t>
  </si>
  <si>
    <t xml:space="preserve">Ecosistemas terrestres y acuáticos bajo desarrollo</t>
  </si>
  <si>
    <t xml:space="preserve">Guía metodológica e institucional estándar para el diseño e implementación de compensaciones de biodiversidad.</t>
  </si>
  <si>
    <t xml:space="preserve">Beck et al.</t>
  </si>
  <si>
    <t xml:space="preserve">Under-sampling and the measurement of beta diversity</t>
  </si>
  <si>
    <t xml:space="preserve">Comunidades de polillas y bosques tropicales</t>
  </si>
  <si>
    <t xml:space="preserve">Análisis metodológico y simulaciones sobre cómo el submuestreo distorsiona las mediciones de diversidad beta.</t>
  </si>
  <si>
    <t xml:space="preserve">Beck &amp; Schwanghart</t>
  </si>
  <si>
    <t xml:space="preserve">Comparing measures of species diversity from incomplete inventories: an update</t>
  </si>
  <si>
    <t xml:space="preserve">Muestreo biológico e inventarios incompletos</t>
  </si>
  <si>
    <t xml:space="preserve">Evalúa estadísticamente el desempeño de estimadores de riqueza (Chao, Jackknife, Fisher) ante muestreos incompletos.</t>
  </si>
  <si>
    <t xml:space="preserve">Bekessy et al.</t>
  </si>
  <si>
    <t xml:space="preserve">The biodiversity bank cannot be a lending bank</t>
  </si>
  <si>
    <t xml:space="preserve">Reguladores/legisladores, Comunidad científica, Demanda (Desarrolladores), Oferta</t>
  </si>
  <si>
    <t xml:space="preserve">Hábitats naturales y bancos de conservación</t>
  </si>
  <si>
    <t xml:space="preserve">Análisis crítico de los bancos de biodiversidad advirtiendo sobre el riesgo de autorizar pérdidas inmediatas ante ganancias inciertas.</t>
  </si>
  <si>
    <t xml:space="preserve">Advierte sobre el riesgo de autorizar pérdidas inmediatas de hábitat ante ganancias de restauración inciertas o tardías.</t>
  </si>
  <si>
    <t xml:space="preserve">Benayas et al.</t>
  </si>
  <si>
    <t xml:space="preserve">Enhancement of biodiversity and ecosystem services by ecological restoration: a meta-analysis</t>
  </si>
  <si>
    <t xml:space="preserve">Bosques, humedales, agroecosistemas y pastizales</t>
  </si>
  <si>
    <t xml:space="preserve">Meta-análisis global de 89 estudios demostrando que la restauración ecológica incrementa la biodiversidad y servicios ecosistémicos.</t>
  </si>
  <si>
    <t xml:space="preserve">Rey Benayas et al.</t>
  </si>
  <si>
    <t xml:space="preserve">Global (89 estudios)</t>
  </si>
  <si>
    <t xml:space="preserve">Bosques, humedales y agroecosistemas</t>
  </si>
  <si>
    <t xml:space="preserve">Meta-análisis en Science demostrando que la restauración incrementa la biodiversidad en 44% y servicios en 25%.</t>
  </si>
  <si>
    <t xml:space="preserve">Bihn et al.</t>
  </si>
  <si>
    <t xml:space="preserve">Do secondary forests act as refuges for old growth forest animals? Recovery of ant diversity in the Atlantic forest of Brazil</t>
  </si>
  <si>
    <t xml:space="preserve">Comunidad científica, Oferta (Silvicultores, Comunidades locales)</t>
  </si>
  <si>
    <t xml:space="preserve">Brasil (Mata Atlántica)</t>
  </si>
  <si>
    <t xml:space="preserve">Mata Atlántica (Bosque tropical secundario y primario)</t>
  </si>
  <si>
    <t xml:space="preserve">Evaluación empírica de la diversidad de hormigas en bosques secundarios comparados con bosques primarios.</t>
  </si>
  <si>
    <t xml:space="preserve">Borenstein et al.</t>
  </si>
  <si>
    <t xml:space="preserve">Introduction to meta-analysis</t>
  </si>
  <si>
    <t xml:space="preserve">Metodología estadística general</t>
  </si>
  <si>
    <t xml:space="preserve">Manual de referencia sobre la teoría y aplicaciones de los modelos de meta-análisis y tamaños de efecto.</t>
  </si>
  <si>
    <t xml:space="preserve">Bowen et al.</t>
  </si>
  <si>
    <t xml:space="preserve">Regrowth forests on abandoned agricultural land: A review of their habitat values for recovering forest fauna</t>
  </si>
  <si>
    <t xml:space="preserve">Comunidad científica, Oferta (Agricultores, Silvicultores), Reguladores</t>
  </si>
  <si>
    <t xml:space="preserve">Bosques regenerados en tierras agrícolas abandonadas</t>
  </si>
  <si>
    <t xml:space="preserve">Revisión sobre el valor de hábitat de los bosques secundarios para la fauna forestal en tierras agrícolas abandonadas.</t>
  </si>
  <si>
    <t xml:space="preserve">The age and amount of regrowth forest in fragmented brigalow landscapes are both important for woodland dependent birds</t>
  </si>
  <si>
    <t xml:space="preserve">Comunidad científica, Oferta (Propietarios rurales, Agricultores)</t>
  </si>
  <si>
    <t xml:space="preserve">Australia (Queensland)</t>
  </si>
  <si>
    <t xml:space="preserve">Bosques y matorrales fragmentados de Brigalow (Acacia harpophylla)</t>
  </si>
  <si>
    <t xml:space="preserve">Estudio empírico que demuestra la importancia de la edad y área de parches secundarios para aves dependientes del bosque.</t>
  </si>
  <si>
    <t xml:space="preserve">Brose &amp; Martinez</t>
  </si>
  <si>
    <t xml:space="preserve">Estimating the richness of species with variable mobility</t>
  </si>
  <si>
    <t xml:space="preserve">Metodologías de estimación de riqueza de especies</t>
  </si>
  <si>
    <t xml:space="preserve">Evaluación cuantitativa del desempeño de estimadores de riqueza en especies con diferente movilidad.</t>
  </si>
  <si>
    <t xml:space="preserve">Brown &amp; Lugo</t>
  </si>
  <si>
    <t xml:space="preserve">Tropical secondary forests</t>
  </si>
  <si>
    <t xml:space="preserve">Bosques secundarios tropicales húmedos y secos</t>
  </si>
  <si>
    <t xml:space="preserve">Revisión ecológica pionera sobre las tasas de biomasa, nutrientes y dinamismo de los bosques secundarios tropicales.</t>
  </si>
  <si>
    <t xml:space="preserve">Reguladores/legisladores, Demanda (Empresas, Minería, Infraestructura), Comunidad científica</t>
  </si>
  <si>
    <t xml:space="preserve">Ecosistemas terrestres y marinos bajo políticas No Net Loss</t>
  </si>
  <si>
    <t xml:space="preserve">Revisión sistemática de la literatura sobre compensaciones de biodiversidad, definiendo el principio estricto de No Net Loss.</t>
  </si>
  <si>
    <t xml:space="preserve">Burnham &amp; Anderson</t>
  </si>
  <si>
    <t xml:space="preserve">Model selection and multi-model inference: a practical information-theoretic approach</t>
  </si>
  <si>
    <t xml:space="preserve">Modelación estadística de ecología y poblaciones</t>
  </si>
  <si>
    <t xml:space="preserve">Texto fundamental sobre el enfoque de teoría de la información y promediado de modelos basado en AIC.</t>
  </si>
  <si>
    <t xml:space="preserve">Burnham et al.</t>
  </si>
  <si>
    <t xml:space="preserve">AIC model selection and multimodel inference in behavioral ecology: some background, observations, and comparisons</t>
  </si>
  <si>
    <t xml:space="preserve">Métodos estadísticos aplicados a ecología</t>
  </si>
  <si>
    <t xml:space="preserve">Guía sobre la aplicación práctica e interpretación del criterio de información de Akaike en estudios ecológicos.</t>
  </si>
  <si>
    <t xml:space="preserve">Calcagno &amp; de Mazancourt</t>
  </si>
  <si>
    <t xml:space="preserve">glmulti: an R package for easy automated model selection with (generalized) linear models</t>
  </si>
  <si>
    <t xml:space="preserve">Software estadístico R</t>
  </si>
  <si>
    <t xml:space="preserve">Presentación del paquete glmulti para la selección automatizada y promediado de modelos lineales generalizados.</t>
  </si>
  <si>
    <t xml:space="preserve">Carpenter et al.</t>
  </si>
  <si>
    <t xml:space="preserve">Appropriate discounting leads to forward-looking ecosystem management</t>
  </si>
  <si>
    <t xml:space="preserve">Reguladores/legisladores, Comunidad científica, Demanda (Inversores)</t>
  </si>
  <si>
    <t xml:space="preserve">Descuento intertemporal de servicios ecosistémicos</t>
  </si>
  <si>
    <t xml:space="preserve">Análisis matemático sobre el uso apropiado de tasas de descuento en la gestión y conservación prospectiva de ecosistemas.</t>
  </si>
  <si>
    <t xml:space="preserve">The potential for species conservation in tropical secondary forests</t>
  </si>
  <si>
    <t xml:space="preserve">Comunidad científica, Reguladores/legisladores, Oferta (Comunidades locales)</t>
  </si>
  <si>
    <t xml:space="preserve">Bosques secundarios tropicales</t>
  </si>
  <si>
    <t xml:space="preserve">Síntesis sobre el potencial y limitaciones de los bosques secundarios para la conservación de la biodiversidad tropical.</t>
  </si>
  <si>
    <t xml:space="preserve">Costa et al.</t>
  </si>
  <si>
    <t xml:space="preserve">Ants as bioindicators of natural succession in savanna and riparian vegetation impacted by dredging in the Jequitinhonha River Basin, Brazil</t>
  </si>
  <si>
    <t xml:space="preserve">Comunidad científica, Reguladores, Oferta (Comunidades)</t>
  </si>
  <si>
    <t xml:space="preserve">Brasil (Cuenca del Río Jequitinhonha)</t>
  </si>
  <si>
    <t xml:space="preserve">Sabana (Cerrado) y vegetación ribereña impactada por dragado</t>
  </si>
  <si>
    <t xml:space="preserve">Estudio empírico sobre la sucesión de ensamblajes de hormigas como bioindicadores en vegetación de sabana y ribereña.</t>
  </si>
  <si>
    <t xml:space="preserve">Curran et al.</t>
  </si>
  <si>
    <t xml:space="preserve">Is there any empirical support for biodiversity offset policy?</t>
  </si>
  <si>
    <t xml:space="preserve">Reguladores/legisladores, Comunidad científica, Demanda (Empresas, Minería, Infraestructura), Oferta</t>
  </si>
  <si>
    <t xml:space="preserve">Bosques templados y tropicales, matorrales y pastizales secundarios vs primarios</t>
  </si>
  <si>
    <t xml:space="preserve">Meta-análisis global de 108 estudios demostrando que los retrasos temporales e incertidumbres exigen ratios de compensación muy elevados.</t>
  </si>
  <si>
    <t xml:space="preserve">Curran, Hellweg &amp; Beck</t>
  </si>
  <si>
    <t xml:space="preserve">Bosques y hábitats bajo políticas de offset</t>
  </si>
  <si>
    <t xml:space="preserve">Meta-análisis mostrando la falta de soporte empírico y las altas pérdidas temporales en la compensación de biodiversidad.</t>
  </si>
  <si>
    <t xml:space="preserve">Dent &amp; Wright</t>
  </si>
  <si>
    <t xml:space="preserve">The future of tropical species in secondary forests: a quantitative review</t>
  </si>
  <si>
    <t xml:space="preserve">Bosques tropicales secundarios</t>
  </si>
  <si>
    <t xml:space="preserve">Meta-análisis sobre la similitud de especies entre bosques primarios y secundarios tropicales según la intensidad del uso previo.</t>
  </si>
  <si>
    <t xml:space="preserve">Dunn, R. R.</t>
  </si>
  <si>
    <t xml:space="preserve">Recovery of faunal communities during tropical forest regeneration</t>
  </si>
  <si>
    <t xml:space="preserve">Bosques secundarios tropicales y fauna asociada</t>
  </si>
  <si>
    <t xml:space="preserve">Revisión cuantitativa de las tasas de recuperación de comunidades faunísticas durante la regeneración forestal tropical.</t>
  </si>
  <si>
    <t xml:space="preserve">Fisher et al.</t>
  </si>
  <si>
    <t xml:space="preserve">The relation between the number of species and the number of individuals in a random sample of an animal population</t>
  </si>
  <si>
    <t xml:space="preserve">Muestreo de lepidópteros y diversidad biológica</t>
  </si>
  <si>
    <t xml:space="preserve">Trabajo matemático clásico que estableció la distribución log-series y la métrica de alfa de Fisher.</t>
  </si>
  <si>
    <t xml:space="preserve">Predicting the uncertain future of tropical forest species in a data vacuum</t>
  </si>
  <si>
    <t xml:space="preserve">Brasil (Amazonía) / Global</t>
  </si>
  <si>
    <t xml:space="preserve">Bosques tropicales primarios y secundarios</t>
  </si>
  <si>
    <t xml:space="preserve">Análisis metodológico sobre los sesgos de submuestreo e inventarios incompletos en estudios de biodiversidad tropical.</t>
  </si>
  <si>
    <t xml:space="preserve">Gibbons &amp; Lindenmayer</t>
  </si>
  <si>
    <t xml:space="preserve">Offsets for land clearing: No net loss or the tail wagging the dog?</t>
  </si>
  <si>
    <t xml:space="preserve">Vegetación nativa remanente y desmonte</t>
  </si>
  <si>
    <t xml:space="preserve">Análisis crítico sobre los esquemas de compensación por desmonte nativo y el riesgo de justificar pérdidas netas de hábitat.</t>
  </si>
  <si>
    <t xml:space="preserve">Gotelli &amp; Colwell</t>
  </si>
  <si>
    <t xml:space="preserve">Quantifying biodiversity: procedures and pitfalls in the measurement and comparison of species richness</t>
  </si>
  <si>
    <t xml:space="preserve">Métodos de estimación de biodiversidad</t>
  </si>
  <si>
    <t xml:space="preserve">Revisión metodológica fundamental sobre curvas de rarefacción basadas en individuos y muestras para comparar riqueza.</t>
  </si>
  <si>
    <t xml:space="preserve">Haggar et al.</t>
  </si>
  <si>
    <t xml:space="preserve">The potential of plantations to foster woody regeneration within a deforested landscape in lowland Costa Rica</t>
  </si>
  <si>
    <t xml:space="preserve">Oferta (Silvicultores, Propietarios), Comunidad científica</t>
  </si>
  <si>
    <t xml:space="preserve">Costa Rica (Tierras bajas)</t>
  </si>
  <si>
    <t xml:space="preserve">Plantaciones forestales y bosque tropical húmedo</t>
  </si>
  <si>
    <t xml:space="preserve">Estudio empírico que demuestra que las plantaciones aceleran la regeneración de especies leñosas nativas (foster ecosystem).</t>
  </si>
  <si>
    <t xml:space="preserve">Hedges et al.</t>
  </si>
  <si>
    <t xml:space="preserve">The meta-analysis of response ratios in experimental ecology</t>
  </si>
  <si>
    <t xml:space="preserve">Estadística aplicada a meta-análisis ecológicos</t>
  </si>
  <si>
    <t xml:space="preserve">Desarrollo metodológico sobre el uso del logaritmo de la razón de respuesta (response ratio) en meta-análisis ecológicos.</t>
  </si>
  <si>
    <t xml:space="preserve">Hilderbrand et al.</t>
  </si>
  <si>
    <t xml:space="preserve">The myths of restoration ecology</t>
  </si>
  <si>
    <t xml:space="preserve">Ríos, humedales y ecosistemas terrestres restaurados</t>
  </si>
  <si>
    <t xml:space="preserve">Análisis crítico de los cinco mitos comunes en la ecología de la restauración que comprometen el éxito ambiental.</t>
  </si>
  <si>
    <t xml:space="preserve">Houerou, H. N. L.</t>
  </si>
  <si>
    <t xml:space="preserve">Restoration and rehabilitation of arid and semiarid Mediterranean ecosystems in North Africa and West Asia: a review</t>
  </si>
  <si>
    <t xml:space="preserve">Reguladores/legisladores, Oferta (Pastores, Comunidades locales), Científicos</t>
  </si>
  <si>
    <t xml:space="preserve">Norte de África y Asia Occidental</t>
  </si>
  <si>
    <t xml:space="preserve">Ecosistemas áridos y semiáridos mediterráneos</t>
  </si>
  <si>
    <t xml:space="preserve">Revisión sobre las técnicas y resultados de restauración de ecosistemas áridos y mediterráneos degradados.</t>
  </si>
  <si>
    <t xml:space="preserve">Jones &amp; Schmitz</t>
  </si>
  <si>
    <t xml:space="preserve">Rapid Recovery of Damaged Ecosystems</t>
  </si>
  <si>
    <t xml:space="preserve">Ecosistemas marinos, de agua dulce y terrestres dañados</t>
  </si>
  <si>
    <t xml:space="preserve">Meta-análisis global de 240 estudios evaluando los tiempos de recuperación de la composición de especies tras perturbaciones.</t>
  </si>
  <si>
    <t xml:space="preserve">Liebsch et al.</t>
  </si>
  <si>
    <t xml:space="preserve">How long does the Atlantic Rain Forest take to recover after a disturbance? Changes in species composition and ecological features during secondary succession</t>
  </si>
  <si>
    <t xml:space="preserve">Comunidad científica, Oferta, Reguladores</t>
  </si>
  <si>
    <t xml:space="preserve">Selva pluvial atlántica (Mata Atlántica)</t>
  </si>
  <si>
    <t xml:space="preserve">Estudio empírico sobre las tasas de recuperación de la riqueza y composición vegetal en la Mata Atlántica tras perturbaciones.</t>
  </si>
  <si>
    <t xml:space="preserve">Lockwood &amp; Pimm</t>
  </si>
  <si>
    <t xml:space="preserve">When does restoration succeed?</t>
  </si>
  <si>
    <t xml:space="preserve">Comunidades vegetales y de fauna restauradas</t>
  </si>
  <si>
    <t xml:space="preserve">Revisión de 87 proyectos de restauración activa concluyendo que solo un 6% logró una recuperación completa de la comunidad.</t>
  </si>
  <si>
    <t xml:space="preserve">Lukacs et al.</t>
  </si>
  <si>
    <t xml:space="preserve">Model selection bias and Freedman’s paradox</t>
  </si>
  <si>
    <t xml:space="preserve">Estadística ecológica</t>
  </si>
  <si>
    <t xml:space="preserve">Análisis sobre los sesgos en la selección de modelos estadísticos y el fenómeno de la paradoja de Freedman.</t>
  </si>
  <si>
    <t xml:space="preserve">Can offsets really compensate for habitat removal? The case of the endangered red-tailed black-cockatoo</t>
  </si>
  <si>
    <t xml:space="preserve">Australia (Victoria/South Australia)</t>
  </si>
  <si>
    <t xml:space="preserve">Bosques de eucalipto y hábitat del cacatúa negra de cola roja</t>
  </si>
  <si>
    <t xml:space="preserve">Modela la pérdida de árboles maduros y demuestra que la restauración tarda más de un siglo en sustituir los recursos de alimentación.</t>
  </si>
  <si>
    <t xml:space="preserve">Policy development for biodiversity offsets: a review of offset frameworks</t>
  </si>
  <si>
    <t xml:space="preserve">Reguladores/legisladores, Demanda (Minería, Petróleo, Infraestructura), Comunidad científica</t>
  </si>
  <si>
    <t xml:space="preserve">Humedales, bosques y hábitats protegidos</t>
  </si>
  <si>
    <t xml:space="preserve">Revisión de 33 marcos institucionales de compensación de biodiversidad en el mundo y sus componentes clave.</t>
  </si>
  <si>
    <t xml:space="preserve">Policy development for biodiversity offsets: A review of offset frameworks</t>
  </si>
  <si>
    <t xml:space="preserve">Reguladores/legisladores, Demanda (Minería, Energía, Infraestructura), Científicos</t>
  </si>
  <si>
    <t xml:space="preserve">Revisión comparativa de 33 marcos de políticas de compensación de biodiversidad en el mundo.</t>
  </si>
  <si>
    <t xml:space="preserve">MEA</t>
  </si>
  <si>
    <t xml:space="preserve">Current state and trends. Global Assessment Reports. Volume 1</t>
  </si>
  <si>
    <t xml:space="preserve">Reguladores/legisladores, Comunidad científica, Público general, Demanda, Oferta</t>
  </si>
  <si>
    <t xml:space="preserve">Todos los ecosistemas globales (terrestres, de agua dulce, marinos)</t>
  </si>
  <si>
    <t xml:space="preserve">Evaluación de los Ecosistemas del Milenio de la ONU que identificó la pérdida de hábitat como la mayor amenaza a la biodiversidad.</t>
  </si>
  <si>
    <t xml:space="preserve">Michael et al.</t>
  </si>
  <si>
    <t xml:space="preserve">Regrowth and revegetation in temperate Australia presents a conservation challenge for reptile fauna in agricultural landscapes</t>
  </si>
  <si>
    <t xml:space="preserve">Comunidad científica, Oferta (Agricultores, Ganaderos), Reguladores</t>
  </si>
  <si>
    <t xml:space="preserve">Australia (Región Templada)</t>
  </si>
  <si>
    <t xml:space="preserve">Paisajes agrícolas, parches de regeneración y reptiles</t>
  </si>
  <si>
    <t xml:space="preserve">Muestreo empírico de reptiles en vegetación secundaria agrícola señalando barreras de colonización en hábitats restaurados.</t>
  </si>
  <si>
    <t xml:space="preserve">How much compensation is enough? A framework for incorporating uncertainty and time discounting when calculating offset ratios for impacted habitat</t>
  </si>
  <si>
    <t xml:space="preserve">Reguladores/legisladores, Demanda (Empresas, Desarrolladores), Comunidad científica</t>
  </si>
  <si>
    <t xml:space="preserve">Hábitats naturales sujetos a compensación</t>
  </si>
  <si>
    <t xml:space="preserve">Desarrolla el marco matemático de 'offsets robustamente justos' incorporando descuento temporal e incertidumbre en ratios.</t>
  </si>
  <si>
    <t xml:space="preserve">Munro et al.</t>
  </si>
  <si>
    <t xml:space="preserve">Bird’s response to revegetation of different structure and floristics—are ‘‘restoration plantings’’ restoring bird communities?</t>
  </si>
  <si>
    <t xml:space="preserve">Comunidad científica, Oferta (Agricultores, Propietarios), Reguladores</t>
  </si>
  <si>
    <t xml:space="preserve">Australia (Sudeste)</t>
  </si>
  <si>
    <t xml:space="preserve">Plantaciones de restauración y comunidades de aves</t>
  </si>
  <si>
    <t xml:space="preserve">Estudio empírico que compara las respuestas de las aves a la revegetación activa vs regeneración natural en zonas agrícolas.</t>
  </si>
  <si>
    <t xml:space="preserve">Revegetation in agricultural areas: the development of structural complexity and floristic diversity</t>
  </si>
  <si>
    <t xml:space="preserve">Zonas agrícolas con revegetación</t>
  </si>
  <si>
    <t xml:space="preserve">Evaluación de la complejidad estructural y riqueza florística en plantaciones de restauración agrícola a lo largo del tiempo.</t>
  </si>
  <si>
    <t xml:space="preserve">O’Dea &amp; Whittaker</t>
  </si>
  <si>
    <t xml:space="preserve">How resilient are Andean montane forest bird communities to habitat degradation?</t>
  </si>
  <si>
    <t xml:space="preserve">Comunidad científica, Oferta (Comunidades locales)</t>
  </si>
  <si>
    <t xml:space="preserve">Ecuador (Andes)</t>
  </si>
  <si>
    <t xml:space="preserve">Bosques montanos andinos</t>
  </si>
  <si>
    <t xml:space="preserve">Muestreo de avifauna en gradientes de perturbación en bosques montanos andinos y resiliencia comunitaria.</t>
  </si>
  <si>
    <t xml:space="preserve">Olson et al.</t>
  </si>
  <si>
    <t xml:space="preserve">Terrestrial ecoregions of the world: a new map of life on earth</t>
  </si>
  <si>
    <t xml:space="preserve">Ecorregiones terrestres mundiales y biomas</t>
  </si>
  <si>
    <t xml:space="preserve">Mapeo global estandarizado de 867 ecorregiones terrestres y 14 biomas utilizado como base biogeográfica.</t>
  </si>
  <si>
    <t xml:space="preserve">Overton et al.</t>
  </si>
  <si>
    <t xml:space="preserve">Net present biodiversity value and the design of biodiversity offsets</t>
  </si>
  <si>
    <t xml:space="preserve">Bosques nativos y compensaciones</t>
  </si>
  <si>
    <t xml:space="preserve">Desarrolla el concepto de 'valor presente neto de biodiversidad' para incorporar explícitamente el descuento en offsets.</t>
  </si>
  <si>
    <t xml:space="preserve">Parrotta &amp; Knowles</t>
  </si>
  <si>
    <t xml:space="preserve">Restoring tropical forests on lands mined for bauxite: examples from the Brazilian Amazon</t>
  </si>
  <si>
    <t xml:space="preserve">Demanda (Minería), Oferta (Silvicultores), Reguladores, Científicos</t>
  </si>
  <si>
    <t xml:space="preserve">Bosque pluvial amazónico en terrenos minados</t>
  </si>
  <si>
    <t xml:space="preserve">Evaluación empírica a largo plazo de la reforestación activa tras minería de bauxita en la Amazonía brasilera.</t>
  </si>
  <si>
    <t xml:space="preserve">R: a language and environment for statistical computing</t>
  </si>
  <si>
    <t xml:space="preserve">Software de computación estadística</t>
  </si>
  <si>
    <t xml:space="preserve">Entorno y lenguaje de programación estadístico R utilizado para el procesamiento y modelación de datos.</t>
  </si>
  <si>
    <t xml:space="preserve">Ramage et al.</t>
  </si>
  <si>
    <t xml:space="preserve">Pseudoreplication in tropical forests and the resulting effects on biodiversity conservation</t>
  </si>
  <si>
    <t xml:space="preserve">Estudios de campo en bosques tropicales</t>
  </si>
  <si>
    <t xml:space="preserve">Análisis metodológico sobre los riesgos de pseudorreplicación en estudios comparativos de bosques tropicales.</t>
  </si>
  <si>
    <t xml:space="preserve">Soininen et al.</t>
  </si>
  <si>
    <t xml:space="preserve">The distance decay of similarity in ecological communities</t>
  </si>
  <si>
    <t xml:space="preserve">Comunidades de plantas, animales y microorganismos</t>
  </si>
  <si>
    <t xml:space="preserve">Meta-análisis global sobre la tasa de decaimiento de la similitud comunitaria con la distancia geográfica.</t>
  </si>
  <si>
    <t xml:space="preserve">Strange et al.</t>
  </si>
  <si>
    <t xml:space="preserve">Determining ecological equivalence in service-to-service scaling of salt marsh restoration</t>
  </si>
  <si>
    <t xml:space="preserve">Marismas saladas costeras y estuarios</t>
  </si>
  <si>
    <t xml:space="preserve">Modelación de equivalencia ecológica y escalado de servicios ecosistémicos en restauración compensatoria de marismas.</t>
  </si>
  <si>
    <t xml:space="preserve">Suding, K. N.</t>
  </si>
  <si>
    <t xml:space="preserve">Toward an era of restoration in ecology: successes, failures, and opportunities ahead</t>
  </si>
  <si>
    <t xml:space="preserve">Todos los biomas terrestres y acuáticos</t>
  </si>
  <si>
    <t xml:space="preserve">Síntesis sobre la ecología de la restauración identificando barreras bióticas y abióticas que impiden la recuperación.</t>
  </si>
  <si>
    <t xml:space="preserve">Suding et al.</t>
  </si>
  <si>
    <t xml:space="preserve">Alternative states and positive feedbacks in restoration ecology</t>
  </si>
  <si>
    <t xml:space="preserve">Comunidad científica, Oferta (Practicantes de restauración)</t>
  </si>
  <si>
    <t xml:space="preserve">Pastizales y bosques degradados</t>
  </si>
  <si>
    <t xml:space="preserve">Análisis teórico sobre estados alternativos estables y retroalimentaciones positivas que bloquean la sucesión natural.</t>
  </si>
  <si>
    <t xml:space="preserve">Symonds &amp; Moussalli</t>
  </si>
  <si>
    <t xml:space="preserve">A brief guide to model selection, multimodel inference and model averaging in behavioural ecology using Akaike’s information criterion</t>
  </si>
  <si>
    <t xml:space="preserve">Métodos estadísticos</t>
  </si>
  <si>
    <t xml:space="preserve">Guía metodológica sobre el uso de AIC, promediado de modelos e inferencia multimodelo en ecología.</t>
  </si>
  <si>
    <t xml:space="preserve">ten Kate et al.</t>
  </si>
  <si>
    <t xml:space="preserve">Biodiversity offsets: views, experience, and the business case</t>
  </si>
  <si>
    <t xml:space="preserve">Demanda (Empresas, Sector financiero, Inversores), Reguladores/legisladores, Científicos</t>
  </si>
  <si>
    <t xml:space="preserve">Ecosistemas afectados por minería, petróleo e infraestructura</t>
  </si>
  <si>
    <t xml:space="preserve">Informe hito de la UICN e Insight Investment sobre el caso de negocio y experiencias iniciales de compensación de biodiversidad.</t>
  </si>
  <si>
    <t xml:space="preserve">ten Kate, Bishop &amp; Bayon</t>
  </si>
  <si>
    <t xml:space="preserve">Biodiversity offsets: Views, experience, and the business case</t>
  </si>
  <si>
    <t xml:space="preserve">Demanda (Empresas, Sector financiero), Reguladores, Científicos</t>
  </si>
  <si>
    <t xml:space="preserve">Ecosistemas afectados por proyectos corporativos</t>
  </si>
  <si>
    <t xml:space="preserve">Informe hito de UICN / Insight Investment sobre el caso de negocio y experiencia inicial en compensación de biodiversidad.</t>
  </si>
  <si>
    <t xml:space="preserve">Trimble &amp; van Aarde</t>
  </si>
  <si>
    <t xml:space="preserve">Decline of birds in a human modified coastal dune forest landscape in South Africa</t>
  </si>
  <si>
    <t xml:space="preserve">Comunidad científica, Demanda (Minería Richards Bay Minerals), Reguladores</t>
  </si>
  <si>
    <t xml:space="preserve">Sudáfrica (KwaZulu-Natal)</t>
  </si>
  <si>
    <t xml:space="preserve">Bosques dunares costeros restaurados tras minería de titanio</t>
  </si>
  <si>
    <t xml:space="preserve">Muestreo empírico de aves en bosques dunares costeros mostrando declives comunitarios tras la restauración minera.</t>
  </si>
  <si>
    <t xml:space="preserve">Western Cape DEADP</t>
  </si>
  <si>
    <t xml:space="preserve">Provincial guidelines on biodiversity offsets</t>
  </si>
  <si>
    <t xml:space="preserve">Reguladores/legisladores, Demanda (Desarrolladores), Oferta, Científicos</t>
  </si>
  <si>
    <t xml:space="preserve">Sudáfrica (Provincia del Cabo Occidental)</t>
  </si>
  <si>
    <t xml:space="preserve">Vegetación Fynbos y ecosistemas amenazados</t>
  </si>
  <si>
    <t xml:space="preserve">Guía regulatoria oficial del Cabo Occidental sobre offsets exigiendo ratios de hasta 30:1 en ecosistemas amenazados.</t>
  </si>
  <si>
    <t xml:space="preserve">Whittaker, R. H.</t>
  </si>
  <si>
    <t xml:space="preserve">Evolution and measurement of species diversity</t>
  </si>
  <si>
    <t xml:space="preserve">Teoría ecológica y diversidad de especies</t>
  </si>
  <si>
    <t xml:space="preserve">Trabajo clásico que conceptualizó y formalizó las métricas de alfa, beta y gamma diversidad ecológica.</t>
  </si>
  <si>
    <t xml:space="preserve">Woodcock et al.</t>
  </si>
  <si>
    <t xml:space="preserve">Can long-term floodplain meadow recreation replicate species composition and functional characteristics of target grasslands?</t>
  </si>
  <si>
    <t xml:space="preserve">Prados de llanura aluvial y pastizales húmedos</t>
  </si>
  <si>
    <t xml:space="preserve">Evaluación de 20 años de recreación de prados aluviales concluyendo que no se replican completamente las características funcionales.</t>
  </si>
  <si>
    <t xml:space="preserve">Zedler &amp; Callaway</t>
  </si>
  <si>
    <t xml:space="preserve">Tracking wetland restoration: Do mitigation sites follow desired trajectories?</t>
  </si>
  <si>
    <t xml:space="preserve">Reguladores/legisladores, Demanda (Desarrolladores), Comunidad científica, Oferta</t>
  </si>
  <si>
    <t xml:space="preserve">Humedales costeros e intermareales restaurados por mitigación</t>
  </si>
  <si>
    <t xml:space="preserve">Análisis a largo plazo de proyectos de mitigación de humedales demostrando divergencias respecto a las trayectorias deseadas.</t>
  </si>
  <si>
    <t xml:space="preserve">Pörtner, H.O., Scholes, R.J., Arneth, A., et al.</t>
  </si>
  <si>
    <t xml:space="preserve">Overcoming the coupled climate and biodiversity crises and their societal impacts</t>
  </si>
  <si>
    <t xml:space="preserve">Informe conjunto IPBES-IPCC sobre las sinergias entre mitigar el cambio climático y conservar la biodiversidad planetaria.</t>
  </si>
  <si>
    <t xml:space="preserve">Wei, F.</t>
  </si>
  <si>
    <t xml:space="preserve">Toward post-2020 global biodiversity conservation: Footprint and direction in China</t>
  </si>
  <si>
    <t xml:space="preserve">Ecosistemas estratégicos y reservas naturales de China</t>
  </si>
  <si>
    <t xml:space="preserve">Analiza la huella ecológica y las directrices estratégicas de China para el Marco Mundial de Biodiversidad posterior a 2020.</t>
  </si>
  <si>
    <t xml:space="preserve">COP 15: Nations Adopt Four Goals, 23 Targets for 2030 In Landmark UN Biodiversity Agreement</t>
  </si>
  <si>
    <t xml:space="preserve">Ecosistemas globales terrestres, marinos y continentales</t>
  </si>
  <si>
    <t xml:space="preserve">Acuerdo internacional hito que adopta el Marco Mundial de Biodiversidad Kunming-Montreal e impulsa esquemas de biocréditos.</t>
  </si>
  <si>
    <t xml:space="preserve">Kunming-Montreal Global Biodiversity Framework: Target 2 (30% Restoration)</t>
  </si>
  <si>
    <t xml:space="preserve">Reguladores/legisladores, Oferta (Comunidades, Agricultores)</t>
  </si>
  <si>
    <t xml:space="preserve">Ecosistemas degradados terrestres, de agua dulce y marinos</t>
  </si>
  <si>
    <t xml:space="preserve">Establece la meta global de garantizar que al menos el 30% de los ecosistemas degradados estén bajo restauración efectiva hacia 2030.</t>
  </si>
  <si>
    <t xml:space="preserve">Perino, A., Pereira, H.M., Felipe‐Lucia, M., et al.</t>
  </si>
  <si>
    <t xml:space="preserve">Biodiversity post-2020: Closing the gap between global targets and national-level implementation</t>
  </si>
  <si>
    <t xml:space="preserve">Múltiples biomas y escalas nacionales</t>
  </si>
  <si>
    <t xml:space="preserve">Analiza las brechas entre las metas globales de biodiversidad e indicadores operacionales a nivel nacional.</t>
  </si>
  <si>
    <t xml:space="preserve">UNEP (United Nations Environment Programme)</t>
  </si>
  <si>
    <t xml:space="preserve">Kunming-Montreal Global Biodiversity Framework press announcement</t>
  </si>
  <si>
    <t xml:space="preserve">Comunicado oficial del PNUMA destacando el financiamiento necesario para cumplir con el Marco de Biodiversidad.</t>
  </si>
  <si>
    <t xml:space="preserve">Kunming-Montreal Global Biodiversity Framework: Target 19 (Financial Resources)</t>
  </si>
  <si>
    <t xml:space="preserve">Flujos financieros para biodiversidad</t>
  </si>
  <si>
    <t xml:space="preserve">Mandata la movilización de al menos $200.000M anuales para biodiversidad promoviendo instrumentos de mercado innovadores.</t>
  </si>
  <si>
    <t xml:space="preserve">Gatiso, T.T., Kulik, L., Bachmann, M., et al.</t>
  </si>
  <si>
    <t xml:space="preserve">Effectiveness of protected areas influenced by socio-economic context</t>
  </si>
  <si>
    <t xml:space="preserve">Reguladores/legisladores, Oferta (Comunidades locales), Científicos</t>
  </si>
  <si>
    <t xml:space="preserve">Áreas protegidas en países en desarrollo</t>
  </si>
  <si>
    <t xml:space="preserve">Demuestra empíricamente que la efectividad de las áreas protegidas para frenar la deforestación depende del contexto socioeconómico local.</t>
  </si>
  <si>
    <t xml:space="preserve">World needs USD 8.1 trillion investment in nature by 2050 to tackle triple planetary crisis</t>
  </si>
  <si>
    <t xml:space="preserve">Ecosistemas planetarios</t>
  </si>
  <si>
    <t xml:space="preserve">Proyecta la necesidad de triplicar la inversión en la naturaleza alcanzando $8,1 billones hacia 2050.</t>
  </si>
  <si>
    <t xml:space="preserve">Ring, I., Hansjürgens, B., Elmqvist, T., et al.</t>
  </si>
  <si>
    <t xml:space="preserve">Challenges in framing the economics of ecosystems and biodiversity: The TEEB initiative</t>
  </si>
  <si>
    <t xml:space="preserve">Servicios ecosistémicos y economía de la naturaleza</t>
  </si>
  <si>
    <t xml:space="preserve">Analiza el marco económico de la iniciativa TEEB para visibilizar los valores de los ecosistemas en las decisiones políticas.</t>
  </si>
  <si>
    <t xml:space="preserve">Bullock, J.M., Aronson, J., Newton, A.C., et al.</t>
  </si>
  <si>
    <t xml:space="preserve">Restoration of ecosystem services and biodiversity: conflicts and opportunities</t>
  </si>
  <si>
    <t xml:space="preserve">Ecosistemas degradados en restauración</t>
  </si>
  <si>
    <t xml:space="preserve">Examina las sinergias y conflictos entre la recuperación de servicios ecosistémicos y la conservación de la biodiversidad.</t>
  </si>
  <si>
    <t xml:space="preserve">Pascual, U., Balvanera, P., Anderson, C.B., et al.</t>
  </si>
  <si>
    <t xml:space="preserve">Diverse values of nature for sustainability</t>
  </si>
  <si>
    <t xml:space="preserve">Sistemas socioecológicos y valoración pluridimensional</t>
  </si>
  <si>
    <t xml:space="preserve">Evaluación de la IPBES sobre la pluralidad de valores de la naturaleza (intrínsecos, relacionales e instrumentales) en la toma de decisiones.</t>
  </si>
  <si>
    <t xml:space="preserve">Pascual et al. (IPBES)</t>
  </si>
  <si>
    <t xml:space="preserve">Reguladores/legisladores, Comunidad científica, Público general, IPLC</t>
  </si>
  <si>
    <t xml:space="preserve">Valoración diversa de la naturaleza</t>
  </si>
  <si>
    <t xml:space="preserve">Resumen de la Evaluación de IPBES sobre los Múltiples Valores de la Naturaleza para decisiones sostenibles.</t>
  </si>
  <si>
    <t xml:space="preserve">Odum, H.T. &amp; Odum, E.P.</t>
  </si>
  <si>
    <t xml:space="preserve">The Energetic Basis for Valuation of Ecosystem Services</t>
  </si>
  <si>
    <t xml:space="preserve">Biosfera y termodinámica ecológica</t>
  </si>
  <si>
    <t xml:space="preserve">Fundamenta el uso del análisis de emergía (emergy) como base termodinámica objetiva para la valoración de los servicios ecosistémicos.</t>
  </si>
  <si>
    <t xml:space="preserve">Luo, L., Wang, H., Chen, Z., et al.</t>
  </si>
  <si>
    <t xml:space="preserve">Biodiversity co-benefits of World Heritage protection</t>
  </si>
  <si>
    <t xml:space="preserve">Sitios de Patrimonio Mundial Natural</t>
  </si>
  <si>
    <t xml:space="preserve">Evalúa cuantitativamente los cobeneficios de conservación de la biodiversidad aportados por la red de Sitios de Patrimonio Mundial.</t>
  </si>
  <si>
    <t xml:space="preserve">Shah, A.M., Liu, G., Chen, Y., et al.</t>
  </si>
  <si>
    <t xml:space="preserve">Urban constructed wetlands: Assessing ecosystem services and disservices for safe, resilient, and sustainable cities</t>
  </si>
  <si>
    <t xml:space="preserve">Reguladores/legisladores (Planificación urbana), Público general</t>
  </si>
  <si>
    <t xml:space="preserve">Humedales artificiales urbanos</t>
  </si>
  <si>
    <t xml:space="preserve">Evalúa mediante emergía los servicios y disservicios ecosistémicos de humedales construidos en áreas urbanas.</t>
  </si>
  <si>
    <t xml:space="preserve">The Environmental and Social Framework (ESF)</t>
  </si>
  <si>
    <t xml:space="preserve">Reguladores/legisladores, Demanda (Bancos multilaterales, Empresas)</t>
  </si>
  <si>
    <t xml:space="preserve">Proyectos de desarrollo e infraestructura</t>
  </si>
  <si>
    <t xml:space="preserve">Marco de estándares ambientales y sociales del Banco Mundial que exige la jerarquía de mitigación y compensación de biodiversidad.</t>
  </si>
  <si>
    <t xml:space="preserve">Koh, N.S., Hahn, T., Boonstra, W.J.</t>
  </si>
  <si>
    <t xml:space="preserve">How much of a market is involved in a biodiversity offset. A typology of biodiversity offset policies</t>
  </si>
  <si>
    <t xml:space="preserve">Reguladores/legisladores, Demanda (Empresas), Oferta</t>
  </si>
  <si>
    <t xml:space="preserve">Políticas e intercambios de compensación</t>
  </si>
  <si>
    <t xml:space="preserve">Desarrolla una tipología de políticas de compensación de biodiversidad evaluando el grado de regulación pública vs. mercado.</t>
  </si>
  <si>
    <t xml:space="preserve">Mace, G.M., Barrett, M., Burgess, N.D., et al.</t>
  </si>
  <si>
    <t xml:space="preserve">Aiming higher to bend the curve of biodiversity loss</t>
  </si>
  <si>
    <t xml:space="preserve">Tendencias globales de biodiversidad</t>
  </si>
  <si>
    <t xml:space="preserve">Concepto hito sobre revertir la curva de pérdida de biodiversidad mediante restauración proactiva y producción sostenible.</t>
  </si>
  <si>
    <t xml:space="preserve">Mace et al.</t>
  </si>
  <si>
    <t xml:space="preserve">Metas globales para revertir la pérdida de biodiversidad</t>
  </si>
  <si>
    <t xml:space="preserve">Publica en Nature Sustainability el concepto 'bending the curve' para pasar de frenar el declive a la recuperación.</t>
  </si>
  <si>
    <t xml:space="preserve">Strassburg, B.B., Iribarrem, A., Beyer, H.L., et al.</t>
  </si>
  <si>
    <t xml:space="preserve">Global priority areas for ecosystem restoration</t>
  </si>
  <si>
    <t xml:space="preserve">Zonas prioritarias de rereservas y bosques</t>
  </si>
  <si>
    <t xml:space="preserve">Mapeo de optimización espacial que identifica áreas prioritarias globales para la restauración de ecosistemas terrestres.</t>
  </si>
  <si>
    <t xml:space="preserve">Strassburg et al.</t>
  </si>
  <si>
    <t xml:space="preserve">Ecosistemas agrícolas convertidos</t>
  </si>
  <si>
    <t xml:space="preserve">Modela la priorización espacial global para restaurar el 15% de tierras convertidas, evitando 60% de extinciones.</t>
  </si>
  <si>
    <t xml:space="preserve">Leclère, D., Obersteiner, M., Barrett, M., et al.</t>
  </si>
  <si>
    <t xml:space="preserve">Bending the curve of terrestrial biodiversity needs an integrated strategy</t>
  </si>
  <si>
    <t xml:space="preserve">Bosques y tierras agrícolas globales</t>
  </si>
  <si>
    <t xml:space="preserve">Modela cuantitativamente que revertir el declive de la biodiversidad requiere integrar conservación con cambios en consumo.</t>
  </si>
  <si>
    <t xml:space="preserve">Leclère et al.</t>
  </si>
  <si>
    <t xml:space="preserve">Modela que revertir la curva de pérdida de biodiversidad requiere conservación masiva combinada con producción sostenible.</t>
  </si>
  <si>
    <t xml:space="preserve">Bosques y paisajes agrícolas</t>
  </si>
  <si>
    <t xml:space="preserve">Modela que revertir el declive de biodiversidad requiere combinar la conservación masiva con el consumo sostenible.</t>
  </si>
  <si>
    <t xml:space="preserve">Reguladores/legisladores, Comunidad científica, Oferta (Agropecuaria)</t>
  </si>
  <si>
    <t xml:space="preserve">Bosques y tierras agrícolas a nivel planetario</t>
  </si>
  <si>
    <t xml:space="preserve">Modela en Nature que revertir la curva de pérdida requiere combinar conservación con reforma de producción.</t>
  </si>
  <si>
    <t xml:space="preserve">Leclère, D. et al.</t>
  </si>
  <si>
    <t xml:space="preserve">Modela en Nature que revertir la curva de pérdida de biodiversidad exige combinar conservación con producción sostenible.</t>
  </si>
  <si>
    <t xml:space="preserve">Hua, F., Bruijnzeel, L.A., Meli, P., et al.</t>
  </si>
  <si>
    <t xml:space="preserve">The biodiversity and ecosystem service contributions and trade-offs of forest restoration approaches</t>
  </si>
  <si>
    <t xml:space="preserve">Comunidad científica, Oferta (Silvicultores), Reguladores</t>
  </si>
  <si>
    <t xml:space="preserve">Bosques nativos vs. plantaciones monocultivo</t>
  </si>
  <si>
    <t xml:space="preserve">Demuestra que la restauración de bosques nativos genera mayores beneficios de biodiversidad y agua que las monocultivos.</t>
  </si>
  <si>
    <t xml:space="preserve">Brown, M.A.</t>
  </si>
  <si>
    <t xml:space="preserve">Banking on biodiversity: the feasibility of biodiversity banking in New Zealand</t>
  </si>
  <si>
    <t xml:space="preserve">Reguladores/legisladores, Oferta (Propietarios rurales), Demanda</t>
  </si>
  <si>
    <t xml:space="preserve">Hábitats nativos y biodiversidad privada</t>
  </si>
  <si>
    <t xml:space="preserve">Evalúa la factibilidad técnica y regulatoria de implementar la banca de biodiversidad en Nueva Zelanda.</t>
  </si>
  <si>
    <t xml:space="preserve">St George, G., Wang, X.M., Linton, J., et al.</t>
  </si>
  <si>
    <t xml:space="preserve">Toward a synergistic operating model for westmead research hub biobanks: a questionnaire study</t>
  </si>
  <si>
    <t xml:space="preserve">Comunidad científica, Sector salud</t>
  </si>
  <si>
    <t xml:space="preserve">Biobancos de investigación médica</t>
  </si>
  <si>
    <t xml:space="preserve">Estudio de cuestionario sobre modelos operativos sinérgicos para repositorios de biobancos.</t>
  </si>
  <si>
    <t xml:space="preserve">Comte, L. &amp; Olden, J.D.</t>
  </si>
  <si>
    <t xml:space="preserve">Climatic vulnerability of the world’s freshwater and marine fishes</t>
  </si>
  <si>
    <t xml:space="preserve">Peces de agua dulce y marinos</t>
  </si>
  <si>
    <t xml:space="preserve">Evalúa la vulnerabilidad climática de miles de especies de peces dulceacuícolas y marinos a escala global.</t>
  </si>
  <si>
    <t xml:space="preserve">Jarić, I., Lennox, R.J., Kalinkat, G., et al.</t>
  </si>
  <si>
    <t xml:space="preserve">Susceptibility of European freshwater fish to climate change: Species profiling based on life-history and environmental characteristics</t>
  </si>
  <si>
    <t xml:space="preserve">Peces de agua dulce europeos</t>
  </si>
  <si>
    <t xml:space="preserve">Profiling de susceptibilidad climática de peces de agua dulce europeos basado en rasgos de historia de vida.</t>
  </si>
  <si>
    <t xml:space="preserve">Yan, N., Liu, G., Xu, L., et al.</t>
  </si>
  <si>
    <t xml:space="preserve">Emergy-based eco-credit accounting method for wetland mitigation banking</t>
  </si>
  <si>
    <t xml:space="preserve">Bancos de mitigación de humedales</t>
  </si>
  <si>
    <t xml:space="preserve">Desarrolla una metodología basada en emergía para calcular eco-créditos en la banca de mitigación de humedales.</t>
  </si>
  <si>
    <t xml:space="preserve">Yan et al.</t>
  </si>
  <si>
    <t xml:space="preserve">Humedales y bancos de mitigación</t>
  </si>
  <si>
    <t xml:space="preserve">Desarrolla el método de contabilidad de eco-créditos basado en emergía para la banca de mitigación de humedales.</t>
  </si>
  <si>
    <t xml:space="preserve">Heal, G.</t>
  </si>
  <si>
    <t xml:space="preserve">Reflections — Defining and Measuring Sustainability</t>
  </si>
  <si>
    <t xml:space="preserve">Teoría económica de la sostenibilidad</t>
  </si>
  <si>
    <t xml:space="preserve">Reflexión económica sobre los desafíos metodológicos de definir y medir la sostenibilidad del capital natural.</t>
  </si>
  <si>
    <t xml:space="preserve">Turner, B.L., Kasperson, R.E., Matson, P.A., et al.</t>
  </si>
  <si>
    <t xml:space="preserve">A framework for vulnerability analysis in sustainability science</t>
  </si>
  <si>
    <t xml:space="preserve">Sistemas socioecológicos vulnerables</t>
  </si>
  <si>
    <t xml:space="preserve">Establece el marco conceptual de análisis de vulnerabilidad socioecológica para la ciencia de la sostenibilidad.</t>
  </si>
  <si>
    <t xml:space="preserve">Yan, N., Liu, G., Ripa, M., et al.</t>
  </si>
  <si>
    <t xml:space="preserve">From local to national metabolism: A review and a scale-up framework</t>
  </si>
  <si>
    <t xml:space="preserve">Metabolismo socioeconómico e insumo-producto</t>
  </si>
  <si>
    <t xml:space="preserve">Revisión sobre el análisis de metabolismo socioeconómico y marcos para escalar de nivel local a nacional.</t>
  </si>
  <si>
    <t xml:space="preserve">Zhu, L., Hughes, A.C., Zhao, X.Q., et al.</t>
  </si>
  <si>
    <t xml:space="preserve">Regional scalable priorities for national biodiversity and carbon conservation planning in Asia</t>
  </si>
  <si>
    <t xml:space="preserve">Asia</t>
  </si>
  <si>
    <t xml:space="preserve">Bosques y reservas de carbono en Asia</t>
  </si>
  <si>
    <t xml:space="preserve">Identifica prioridades de conservación integradas de carbono y biodiversidad a escala regional en Asia.</t>
  </si>
  <si>
    <t xml:space="preserve">Schmidt-Traub, G.</t>
  </si>
  <si>
    <t xml:space="preserve">National climate and biodiversity strategies are hamstrung by a lack of maps</t>
  </si>
  <si>
    <t xml:space="preserve">Mapeo espacial de biodiversidad y clima</t>
  </si>
  <si>
    <t xml:space="preserve">Argumenta que las estrategias nacionales de biodiversidad y clima fallan por falta de mapas espaciales de alta resolución.</t>
  </si>
  <si>
    <t xml:space="preserve">Dupont, V.</t>
  </si>
  <si>
    <t xml:space="preserve">Biodiversity offsets in NSW Australia: The biobanking scheme versus negotiated offsets in urban areas</t>
  </si>
  <si>
    <t xml:space="preserve">Zonas urbanas y periurbanas</t>
  </si>
  <si>
    <t xml:space="preserve">Analiza el esquema 'BioBanking' de NSW frente a compensaciones negociadas en desarrollos urbanos.</t>
  </si>
  <si>
    <t xml:space="preserve">Maseyk, F.J.F., Barea, L.P., Stephens, R.T.T., et al.</t>
  </si>
  <si>
    <t xml:space="preserve">A disaggregated biodiversity offset accounting model to improve estimation of ecological equivalency and no net loss</t>
  </si>
  <si>
    <t xml:space="preserve">Hábitats nativos y modelos de equivalencia</t>
  </si>
  <si>
    <t xml:space="preserve">Desarrolla un modelo desagregado de contabilidad para estimar con mayor precisión la equivalencia ecológica y el No Net Loss.</t>
  </si>
  <si>
    <t xml:space="preserve">Pereira, H.M. &amp; Cooper, H.D.</t>
  </si>
  <si>
    <t xml:space="preserve">Towards the global monitoring of biodiversity change</t>
  </si>
  <si>
    <t xml:space="preserve">Variables esenciales de biodiversidad (EBVs)</t>
  </si>
  <si>
    <t xml:space="preserve">Propone una red global de monitoreo y las Variables Esenciales de Biodiversidad para el seguimiento del cambio global.</t>
  </si>
  <si>
    <t xml:space="preserve">Pereira &amp; Cooper</t>
  </si>
  <si>
    <t xml:space="preserve">Monitoreo global de biodiversidad (EBVs)</t>
  </si>
  <si>
    <t xml:space="preserve">Propone el desarrollo de Variables Esenciales de Biodiversidad (EBVs) para el seguimiento planetario.</t>
  </si>
  <si>
    <t xml:space="preserve">Odum, H.T.</t>
  </si>
  <si>
    <t xml:space="preserve">Environmental accounting: EMERGY and environmental decision making</t>
  </si>
  <si>
    <t xml:space="preserve">Termodinámica del medio ambiente y emergía</t>
  </si>
  <si>
    <t xml:space="preserve">Obra cumbre de Howard T. Odum que fundamenta la contabilidad ambiental basada en emergía (sej) para la toma de decisiones.</t>
  </si>
  <si>
    <t xml:space="preserve">Haberl, H., Wiedenhofer, D., Pauliuk, S., et al.</t>
  </si>
  <si>
    <t xml:space="preserve">Contributions of sociometabolic research to sustainability science</t>
  </si>
  <si>
    <t xml:space="preserve">Flujos de materia y energía en la sociedad</t>
  </si>
  <si>
    <t xml:space="preserve">Analiza las contribuciones del análisis sociometabólico a la sostenibilidad de los recursos biofísicos.</t>
  </si>
  <si>
    <t xml:space="preserve">Haberl et al.</t>
  </si>
  <si>
    <t xml:space="preserve">Sistemas socioecológicos</t>
  </si>
  <si>
    <t xml:space="preserve">Analiza la relación entre el uso humano de biomasa y materiales (sociometabolismo) y la sostenibilidad biológica.</t>
  </si>
  <si>
    <t xml:space="preserve">Geng, Y., Sarkis, J., and Mitchell, B.</t>
  </si>
  <si>
    <t xml:space="preserve">Rescue China’s highland lakes and their ecosystem services</t>
  </si>
  <si>
    <t xml:space="preserve">Reguladores/legisladores, Comunidad científica, Público local</t>
  </si>
  <si>
    <t xml:space="preserve">Lagos de meseta y altas montañas</t>
  </si>
  <si>
    <t xml:space="preserve">Llamado a la acción en Nature para proteger los lagos de meseta en China y sus servicios ecosistémicos frágiles.</t>
  </si>
  <si>
    <t xml:space="preserve">Geng et al.</t>
  </si>
  <si>
    <t xml:space="preserve">Reguladores/legisladores, Oferta (Comunidades locales)</t>
  </si>
  <si>
    <t xml:space="preserve">Lagos de alta montaña</t>
  </si>
  <si>
    <t xml:space="preserve">Analiza la urgencia de rescatar los lagos de alta montaña de China mediante servicios ecosistémicos.</t>
  </si>
  <si>
    <t xml:space="preserve">Brown, M.T., Cohen, M.J., Bardi, E., et al.</t>
  </si>
  <si>
    <t xml:space="preserve">Species diversity in the Florida Everglades, USA: A systems approach to calculating biodiversity</t>
  </si>
  <si>
    <t xml:space="preserve">EE. UU. (Florida)</t>
  </si>
  <si>
    <t xml:space="preserve">Humedales de los Everglades</t>
  </si>
  <si>
    <t xml:space="preserve">Aplica por primera vez la emergía a la red trófica de los Everglades para cuantificar la biodiversidad a nivel de ecosistema.</t>
  </si>
  <si>
    <t xml:space="preserve">Brown et al.</t>
  </si>
  <si>
    <t xml:space="preserve">Species diversity in the Florida everglades, USA: A systems approach to calculating biodiversity</t>
  </si>
  <si>
    <t xml:space="preserve">Humedales Everglades</t>
  </si>
  <si>
    <t xml:space="preserve">Aplica el enfoque de sistemas de emergía para cuantificar la diversidad de especies en los Everglades.</t>
  </si>
  <si>
    <t xml:space="preserve">The Intergovernmental Science-Policy Platform on Biodiversity and Ecosystem Services establishment</t>
  </si>
  <si>
    <t xml:space="preserve">Plataforma de interfaz ciencia-política</t>
  </si>
  <si>
    <t xml:space="preserve">Documento fundacional de la IPBES como órgano intergubernamental de evaluación científica de la biodiversidad.</t>
  </si>
  <si>
    <t xml:space="preserve">Puurtinen, M., Elo, M., and Kotiaho, J.S.</t>
  </si>
  <si>
    <t xml:space="preserve">The Living Planet Index does not measure abundance</t>
  </si>
  <si>
    <t xml:space="preserve">Métricas del LPI</t>
  </si>
  <si>
    <t xml:space="preserve">Debate técnico en Nature demostrando los sesgos del Living Planet Index al promediar porcentajes de cambio en lugar de abundancia.</t>
  </si>
  <si>
    <t xml:space="preserve">Loreau, M., Cardinale, B.J., Isbell, F., et al.</t>
  </si>
  <si>
    <t xml:space="preserve">Do not downplay biodiversity loss</t>
  </si>
  <si>
    <t xml:space="preserve">Biodiversidad global</t>
  </si>
  <si>
    <t xml:space="preserve">Respuesta en Nature advirtiendo que no se debe minimizar la gravedad de la crisis de pérdida de biodiversidad.</t>
  </si>
  <si>
    <t xml:space="preserve">Loreau et al.</t>
  </si>
  <si>
    <t xml:space="preserve">Respuesta en *Nature* advirtiendo contra la subestimación de la gravedad de la pérdida de biodiversidad.</t>
  </si>
  <si>
    <t xml:space="preserve">Sonter, L.J., Simmonds, J.S., Watson, J.E., et al.</t>
  </si>
  <si>
    <t xml:space="preserve">Local conditions and policy design determine whether ecological compensation can achieve No Net Loss goals</t>
  </si>
  <si>
    <t xml:space="preserve">Modelos de simulación de compensación</t>
  </si>
  <si>
    <t xml:space="preserve">Modela que las condiciones locales y el diseño de la política determinan si las compensaciones logran la meta No Net Loss.</t>
  </si>
  <si>
    <t xml:space="preserve">Sonter et al.</t>
  </si>
  <si>
    <t xml:space="preserve">Local conditions and policy design determine whether ecological compensation can achieve no net loss goals</t>
  </si>
  <si>
    <t xml:space="preserve">Global (4 países)</t>
  </si>
  <si>
    <t xml:space="preserve">Bosques y matorrales bajo offset</t>
  </si>
  <si>
    <t xml:space="preserve">Evalúa empíricamente mediante simulación si las políticas de compensación logran No Net Loss bajo condiciones locales.</t>
  </si>
  <si>
    <t xml:space="preserve">Denny, J.</t>
  </si>
  <si>
    <t xml:space="preserve">NSW biobanking review: The method and the market</t>
  </si>
  <si>
    <t xml:space="preserve">Reguladores/legisladores, Demanda, Oferta (Banqueros)</t>
  </si>
  <si>
    <t xml:space="preserve">Mercado de BioBanking de NSW</t>
  </si>
  <si>
    <t xml:space="preserve">Revisión práctica sobre el método de evaluación (BAM) y la liquidez del mercado de créditos de biodiversidad en NSW.</t>
  </si>
  <si>
    <t xml:space="preserve">NSW Department of Planning, Industry and Environment</t>
  </si>
  <si>
    <t xml:space="preserve">Biodiversity Assessment Method 2020 (BAM 2020)</t>
  </si>
  <si>
    <t xml:space="preserve">Reguladores/legisladores (NSW DPIE), Demanda, Oferta</t>
  </si>
  <si>
    <t xml:space="preserve">Zonas de vegetación y hábitats amenazados</t>
  </si>
  <si>
    <t xml:space="preserve">Manual técnico oficial de NSW que establece la metodología de puntuación e integridad de vegetación para generar créditos.</t>
  </si>
  <si>
    <t xml:space="preserve">Fluet-Chouinard, E., Stocker, B.D., Zhang, Z., et al.</t>
  </si>
  <si>
    <t xml:space="preserve">Extensive global wetland loss over the past three centuries</t>
  </si>
  <si>
    <t xml:space="preserve">Humedales continentales y costeros</t>
  </si>
  <si>
    <t xml:space="preserve">Cuantifica en Nature la pérdida del 21% de los humedales del mundo desde el año 1700 hasta el presente.</t>
  </si>
  <si>
    <t xml:space="preserve">Campbell, E.T. &amp; Tilley, D.R.</t>
  </si>
  <si>
    <t xml:space="preserve">Relationships between renewable emergy storage or flow and biodiversity: A modeling investigation</t>
  </si>
  <si>
    <t xml:space="preserve">Modelado termodinámico de ecosistemas</t>
  </si>
  <si>
    <t xml:space="preserve">Modela las relaciones entre los flujos y almacenamiento de emergía renovable y la riqueza de biodiversidad.</t>
  </si>
  <si>
    <t xml:space="preserve">Campbell &amp; Tilley</t>
  </si>
  <si>
    <t xml:space="preserve">Modelos de redes tróficas</t>
  </si>
  <si>
    <t xml:space="preserve">Investiga mediante modelación la relación entre flujos de emergía renovable y la riqueza de biodiversidad.</t>
  </si>
  <si>
    <t xml:space="preserve">Yang, Q., Liu, G., Casazza, M., et al.</t>
  </si>
  <si>
    <t xml:space="preserve">Three dimensions of biodiversity: New perspectives and methods</t>
  </si>
  <si>
    <t xml:space="preserve">Múltiples dimensiones de biodiversidad</t>
  </si>
  <si>
    <t xml:space="preserve">Propone tres dimensiones biofísicas de biodiversidad para integrar la emergía en la medición de créditos ambientales.</t>
  </si>
  <si>
    <t xml:space="preserve">Yang et al.</t>
  </si>
  <si>
    <t xml:space="preserve">Diversidad biofísica de ecosistemas</t>
  </si>
  <si>
    <t xml:space="preserve">Propone las tres dimensiones de biodiversidad biofísica integrando la emergía para la medición de créditos.</t>
  </si>
  <si>
    <t xml:space="preserve">Liu, G., Yang, Z., Giannetti, B.F., et al.</t>
  </si>
  <si>
    <t xml:space="preserve">Energy constrains to increasing complexity in the biosphere</t>
  </si>
  <si>
    <t xml:space="preserve">Biosfera e información termodinámica</t>
  </si>
  <si>
    <t xml:space="preserve">Estudia en The Innovation las restricciones energéticas que limitan la complejidad y diversidad biológica en la biosfera.</t>
  </si>
  <si>
    <t xml:space="preserve">Liu, Yang et al.</t>
  </si>
  <si>
    <t xml:space="preserve">Biosfera y complejidad biológica</t>
  </si>
  <si>
    <t xml:space="preserve">Analiza en *The Innovation* las restricciones energéticas que condicionan el aumento de complejidad biológica en la biosfera.</t>
  </si>
  <si>
    <t xml:space="preserve">Lee, D.J. &amp; Brown, M.T.</t>
  </si>
  <si>
    <t xml:space="preserve">Estimating the value of global ecosystem structure and productivity: A geographic information system and emergy based approach</t>
  </si>
  <si>
    <t xml:space="preserve">Estructura ecosistémica global en SIG</t>
  </si>
  <si>
    <t xml:space="preserve">Estima mediante SIG y emergía la productividad biofísica y valor estructural de los ecosistemas globales.</t>
  </si>
  <si>
    <t xml:space="preserve">Brun, P., Zimmermann, N.E., Graham, C.H., et al.</t>
  </si>
  <si>
    <t xml:space="preserve">The productivity-biodiversity relationship varies across diversity dimensions</t>
  </si>
  <si>
    <t xml:space="preserve">Bosques y plantas terrestres</t>
  </si>
  <si>
    <t xml:space="preserve">Demuestra en Nature Communications que la relación entre productividad y biodiversidad varía según la dimensión analizada.</t>
  </si>
  <si>
    <t xml:space="preserve">Brown, M.T. &amp; Ulgiati, S.</t>
  </si>
  <si>
    <t xml:space="preserve">Emergy assessment of global renewable sources</t>
  </si>
  <si>
    <t xml:space="preserve">Línea de base de energía solar y renovable</t>
  </si>
  <si>
    <t xml:space="preserve">Actualiza la línea de base de emergía de fuentes renovables globales (sol, viento, lluvia, mareas, geotermia) a 12.0E+24 sej/año.</t>
  </si>
  <si>
    <t xml:space="preserve">Brown &amp; Ulgiati</t>
  </si>
  <si>
    <t xml:space="preserve">Fuentes renovables globales (Sol, Viento, Lluvia)</t>
  </si>
  <si>
    <t xml:space="preserve">Evalúa el valor de emergía de las fuentes renovables globales para la contabilidad ambiental estandarizada.</t>
  </si>
  <si>
    <t xml:space="preserve">Bardi, E., Cohen, M.J. &amp; Brown, M.T.</t>
  </si>
  <si>
    <t xml:space="preserve">A linear optimization method for computing transformities from ecosystem energy webs</t>
  </si>
  <si>
    <t xml:space="preserve">Redes tróficas y transformidades</t>
  </si>
  <si>
    <t xml:space="preserve">Desarrolla un método de optimización lineal para calcular la transformidad (emergy/J) de especies en redes tróficas.</t>
  </si>
  <si>
    <t xml:space="preserve">Meyer, R.S., DuVal, A.E. &amp; Jensen, H.R.</t>
  </si>
  <si>
    <t xml:space="preserve">Patterns and processes in crop domestication: an historical review and quantitative analysis of 203 global food crops</t>
  </si>
  <si>
    <t xml:space="preserve">203 cultivos agrícolas globales</t>
  </si>
  <si>
    <t xml:space="preserve">Análisis cuantitativo de la domesticación histórica de 203 cultivos alimentarios y su contribución agrobiodiversa.</t>
  </si>
  <si>
    <t xml:space="preserve">Stetter, M.G., Gates, D.J., Mei, W., et al.</t>
  </si>
  <si>
    <t xml:space="preserve">How to make a domesticate</t>
  </si>
  <si>
    <t xml:space="preserve">Genómica de especies domesticadas</t>
  </si>
  <si>
    <t xml:space="preserve">Revisa los mecanismos genéticos e intervenciones humanas involucradas en el proceso de domesticación de especies.</t>
  </si>
  <si>
    <t xml:space="preserve">Stetter et al.</t>
  </si>
  <si>
    <t xml:space="preserve">Especies domesticadas</t>
  </si>
  <si>
    <t xml:space="preserve">Revisa los mecanismos genéticos y la selección humana en el proceso de domesticación de especies.</t>
  </si>
  <si>
    <t xml:space="preserve">NEAD (National Environmental Accounting Database)</t>
  </si>
  <si>
    <t xml:space="preserve">National Environmental Accounting Database V2.0</t>
  </si>
  <si>
    <t xml:space="preserve">Base de datos de intensidades de emergía (UEVs)</t>
  </si>
  <si>
    <t xml:space="preserve">Base de datos pública con valores unitarios de emergía (UEVs) e intensidades para recursos naturales e insumos económicos.</t>
  </si>
  <si>
    <t xml:space="preserve">Food and Agriculture Organization (FAO)</t>
  </si>
  <si>
    <t xml:space="preserve">Agriculture, forestry, and fishing, value added (% of GDP)</t>
  </si>
  <si>
    <t xml:space="preserve">Reguladores/legisladores, Oferta (Agricultores, Silvicultores)</t>
  </si>
  <si>
    <t xml:space="preserve">Sectores primarios agrícolas y pesqueros</t>
  </si>
  <si>
    <t xml:space="preserve">Datos estadísticos de la FAO sobre el valor añadido del sector agrícola y pesquero en el PIB mundial (4,8%).</t>
  </si>
  <si>
    <t xml:space="preserve">Antonelli, A., Smith, R.J. &amp; Simmonds, M.S.J.</t>
  </si>
  <si>
    <t xml:space="preserve">Unlocking the properties of plants and fungi for sustainable development</t>
  </si>
  <si>
    <t xml:space="preserve">391.000 especies de plantas y hongos</t>
  </si>
  <si>
    <t xml:space="preserve">Estudio en Nature Plants sobre la riqueza de 391.000 especies de plantas globales y su potencial para el desarrollo sostenible.</t>
  </si>
  <si>
    <t xml:space="preserve">Antonelli, Smith &amp; Simmonds</t>
  </si>
  <si>
    <t xml:space="preserve">Plantas y hongos silvestres</t>
  </si>
  <si>
    <t xml:space="preserve">Analiza el potencial de la diversidad de plantas y hongos para el desarrollo sostenible y la bioprospección.</t>
  </si>
  <si>
    <t xml:space="preserve">Offsets payment calculator and market data</t>
  </si>
  <si>
    <t xml:space="preserve">Demanda (Desarrolladores), Oferta (Banqueros de biodiversidad), Reguladores</t>
  </si>
  <si>
    <t xml:space="preserve">Mercado de créditos de ecosistema de NSW</t>
  </si>
  <si>
    <t xml:space="preserve">Base de datos y calculadora oficial con precios de venta reales de créditos de biodiversidad en NSW (A$2.390 / crédito).</t>
  </si>
  <si>
    <t xml:space="preserve">Antunes, A.C., Berti, E., Brose, U., et al.</t>
  </si>
  <si>
    <t xml:space="preserve">Linking biodiversity, ecosystem function, and Nature’s contributions to people: A macroecological energy flux perspective</t>
  </si>
  <si>
    <t xml:space="preserve">Flujos de energía macroecológicos</t>
  </si>
  <si>
    <t xml:space="preserve">Propone vincular la biodiversidad y las contribuciones de la naturaleza a las personas mediante la teoría macroecológica de flujos energéticos.</t>
  </si>
  <si>
    <t xml:space="preserve">Leadley, P., Gonzalez, A., Obura, D., et al.</t>
  </si>
  <si>
    <t xml:space="preserve">Achieving global biodiversity goals by 2050 requires urgent and integrated actions</t>
  </si>
  <si>
    <t xml:space="preserve">Metas de biodiversidad al 2050</t>
  </si>
  <si>
    <t xml:space="preserve">Analiza las acciones integradas necesarias para alcanzar los objetivos mundiales de biodiversidad al 2050.</t>
  </si>
  <si>
    <t xml:space="preserve">Leadley et al.</t>
  </si>
  <si>
    <t xml:space="preserve">Argumenta que alcanzar las metas de biodiversidad a 2050 exige acciones integradas de conservación y consumo.</t>
  </si>
  <si>
    <t xml:space="preserve">Kinzig, A.P., Perrings, C., Chapin, F.S., et al.</t>
  </si>
  <si>
    <t xml:space="preserve">Response—Ecosystem services: Free lunch no more</t>
  </si>
  <si>
    <t xml:space="preserve">Servicios ecosistémicos y costos de conservación</t>
  </si>
  <si>
    <t xml:space="preserve">Argumenta en Science que la provisión de servicios ecosistémicos no es gratuita y requiere inversiones continuas de gestión.</t>
  </si>
  <si>
    <t xml:space="preserve">Adams, B.</t>
  </si>
  <si>
    <t xml:space="preserve">Green Development: Environment and Sustainability in a Developing World (4th ed.)</t>
  </si>
  <si>
    <t xml:space="preserve">Ecosistemas terrestres y acuáticos rurales</t>
  </si>
  <si>
    <t xml:space="preserve">Análisis crítico sobre las teorías de desarrollo sostenible, economía verde y gobernanza ambiental en el Sur Global.</t>
  </si>
  <si>
    <t xml:space="preserve">Adams, Kewell &amp; Parry</t>
  </si>
  <si>
    <t xml:space="preserve">Blockchain for good? Digital ledger technology and sustainable development goals</t>
  </si>
  <si>
    <t xml:space="preserve">Demanda (Fintech, Inversores), Reguladores, Comunidad científica</t>
  </si>
  <si>
    <t xml:space="preserve">Ecosistemas digitales e infraestructura de conservación</t>
  </si>
  <si>
    <t xml:space="preserve">Evalúa el potencial de la tecnología blockchain y libros contables distribuidos para la financiación de los ODS.</t>
  </si>
  <si>
    <t xml:space="preserve">Adams, W. M.</t>
  </si>
  <si>
    <t xml:space="preserve">Geographies of conservation II: technology, surveillance and conservation by algorithm</t>
  </si>
  <si>
    <t xml:space="preserve">Áreas protegidas y hábitats monitoreados digitalmente</t>
  </si>
  <si>
    <t xml:space="preserve">Examina la conservación algorítmica, vigilancia tecnológica y la automatización de la gobernanza ambiental.</t>
  </si>
  <si>
    <t xml:space="preserve">Agrawal et al.</t>
  </si>
  <si>
    <t xml:space="preserve">An open letter to the lead authors of 'Protecting 30% of the planet for nature: costs, benefits and implications'</t>
  </si>
  <si>
    <t xml:space="preserve">Oferta (IPLC, Comunidades locales), Comunidad científica, Reguladores</t>
  </si>
  <si>
    <t xml:space="preserve">Territorios indígenas y áreas protegidas propuestas (30x30)</t>
  </si>
  <si>
    <t xml:space="preserve">Carta abierta denunciando que la meta del 30x30 sin salvaguardas territoriales indígenas constituye neocolonialismo de conservación.</t>
  </si>
  <si>
    <t xml:space="preserve">Attwell &amp; Cotterill</t>
  </si>
  <si>
    <t xml:space="preserve">Postmodernism and African conservation science</t>
  </si>
  <si>
    <t xml:space="preserve">Parques nacionales y reservas de vida silvestre africanas</t>
  </si>
  <si>
    <t xml:space="preserve">Critica los paradigmas científicos posmodernos y su aplicación en la conservación de la biodiversidad en África.</t>
  </si>
  <si>
    <t xml:space="preserve">Bakker &amp; Ritts</t>
  </si>
  <si>
    <t xml:space="preserve">Smart earth: A meta-review and implications for environmental governance</t>
  </si>
  <si>
    <t xml:space="preserve">Comunidad científica, Reguladores/legisladores, Demanda (Empresas tech)</t>
  </si>
  <si>
    <t xml:space="preserve">Sistemas de monitoreo ambiental e infraestructura digital</t>
  </si>
  <si>
    <t xml:space="preserve">Meta-revisión de la literatura sobre 'Smart Earth', analizando sensores, big data e implicaciones en la gobernanza.</t>
  </si>
  <si>
    <t xml:space="preserve">Barbier, E. B.</t>
  </si>
  <si>
    <t xml:space="preserve">Rethinking the economic recovery: A global green new deal</t>
  </si>
  <si>
    <t xml:space="preserve">Propone un Nuevo Pacto Verde Global para reorientar el estímulo económico poscrisis hacia la sostenibilidad y el capital natural.</t>
  </si>
  <si>
    <t xml:space="preserve">Barinaga, E.</t>
  </si>
  <si>
    <t xml:space="preserve">A route to commons-based democratic monies? Embedding the governance of money in traditional communal institutions</t>
  </si>
  <si>
    <t xml:space="preserve">Monedas comunitarias y bienes comunes locales</t>
  </si>
  <si>
    <t xml:space="preserve">Analiza cómo la tecnología blockchain puede estructurar monedas comunitarias democráticas basadas en bienes comunes.</t>
  </si>
  <si>
    <t xml:space="preserve">Borrini-Feyerabend &amp; Kothari</t>
  </si>
  <si>
    <t xml:space="preserve">Recognising and supporting Indigenous and community conservation: Ideas and experiences from the grassroots</t>
  </si>
  <si>
    <t xml:space="preserve">Oferta (IPLC, Comunidades locales), Reguladores, Científicos</t>
  </si>
  <si>
    <t xml:space="preserve">Territorios y Áreas Conservadas por Pueblos Indígenas y Comunidades (ICCA)</t>
  </si>
  <si>
    <t xml:space="preserve">Breviario sobre el reconocimiento y apoyo institucional a las iniciativas comunitarias de conservación (ICCA).</t>
  </si>
  <si>
    <t xml:space="preserve">Boucquey et al.</t>
  </si>
  <si>
    <t xml:space="preserve">Ocean data portals: Performing a new infrastructure for ocean governance</t>
  </si>
  <si>
    <t xml:space="preserve">Global / Océanos</t>
  </si>
  <si>
    <t xml:space="preserve">Ecosistemas marinos y alta mar</t>
  </si>
  <si>
    <t xml:space="preserve">Analiza los portales de datos oceánicos como nueva infraestructura técnica que reconfigura la gobernanza marina.</t>
  </si>
  <si>
    <t xml:space="preserve">Brosius, Tsing &amp; Zerner</t>
  </si>
  <si>
    <t xml:space="preserve">Communities and Conservation: Histories and Politics of Community-Based Natural Resource Management</t>
  </si>
  <si>
    <t xml:space="preserve">Bosques comunitarios y recursos naturales locales</t>
  </si>
  <si>
    <t xml:space="preserve">Examen histórico y político del manejo comunitario de recursos naturales (CBNRM) y sus contradicciones políticas.</t>
  </si>
  <si>
    <t xml:space="preserve">Büscher &amp; Fletcher</t>
  </si>
  <si>
    <t xml:space="preserve">Accumulation by conservation</t>
  </si>
  <si>
    <t xml:space="preserve">Mecanismos de conservación neoliberal y activos verdes</t>
  </si>
  <si>
    <t xml:space="preserve">Conceptualiza la 'acumulación por conservación' como modo de reproducción capitalista a través de la mercantilización de la naturaleza.</t>
  </si>
  <si>
    <t xml:space="preserve">Under pressure: Conceptualising political ecologies of green wars</t>
  </si>
  <si>
    <t xml:space="preserve">Reguladores/legisladores, Oferta (Comunidades locales), Público</t>
  </si>
  <si>
    <t xml:space="preserve">Global / África Subsahariana</t>
  </si>
  <si>
    <t xml:space="preserve">Parques nacionales y zonas de conservación militarizada</t>
  </si>
  <si>
    <t xml:space="preserve">Conceptualiza la ecología política de las 'guerras verdes' y la militarización de la conservación contra el cazamiento furtivo.</t>
  </si>
  <si>
    <t xml:space="preserve">The Conservation Revolution: Radical Ideas for Saving Nature Beyond the Anthropocene</t>
  </si>
  <si>
    <t xml:space="preserve">Comunidad científica, Reguladores/legisladores, Público general, Oferta</t>
  </si>
  <si>
    <t xml:space="preserve">Biosfera y paisajes conviviales</t>
  </si>
  <si>
    <t xml:space="preserve">Propone la 'conservación convivial' como paradigma radical fuera de las lógicas del capitalismo financiero y la exclusión.</t>
  </si>
  <si>
    <t xml:space="preserve">Büscher et al.</t>
  </si>
  <si>
    <t xml:space="preserve">Doing Whole Earth justice: Reply to Cafaro et al.</t>
  </si>
  <si>
    <t xml:space="preserve">Comunidad científica, Reguladores, Oferta (IPLC)</t>
  </si>
  <si>
    <t xml:space="preserve">Ecosistemas globales y tierras habitadas</t>
  </si>
  <si>
    <t xml:space="preserve">Respuesta teórica que aboga por la justicia social en el debate 'Whole Earth' frente a enfoques ecocéntricos no habitados.</t>
  </si>
  <si>
    <t xml:space="preserve">Half-Earth or Whole Earth? Radical ideas for conservation and their implications</t>
  </si>
  <si>
    <t xml:space="preserve">Ecosistemas terrestres y marinos planetarios</t>
  </si>
  <si>
    <t xml:space="preserve">Evalúa críticamente las propuestas de 'Half-Earth' frente a 'Whole Earth' y sus implicaciones para los derechos humanos.</t>
  </si>
  <si>
    <t xml:space="preserve">Butchart, Di Marco &amp; Watson</t>
  </si>
  <si>
    <t xml:space="preserve">Formulating smart commitments on biodiversity: Lessons from the Aichi targets</t>
  </si>
  <si>
    <t xml:space="preserve">Metas globales Aichi y biodiversidad</t>
  </si>
  <si>
    <t xml:space="preserve">Analiza las lecciones de las Metas de Aichi e impulsa el diseño de compromisos SMART cuantitativos para el marco post-2020.</t>
  </si>
  <si>
    <t xml:space="preserve">Butchart et al.</t>
  </si>
  <si>
    <t xml:space="preserve">Formulating smart commitments on biodiversity: Lessons from the Aichi Targets</t>
  </si>
  <si>
    <t xml:space="preserve">Analiza las lecciones de las Metas de Aichi para formular compromisos SMART cuantificables hacia 2030.</t>
  </si>
  <si>
    <t xml:space="preserve">Campbell et al.</t>
  </si>
  <si>
    <t xml:space="preserve">Studying global environmental meetings to understand global environmental governance: Collaborative Event Ethnography of CBD COP10</t>
  </si>
  <si>
    <t xml:space="preserve">Global / Japón (Nagoya)</t>
  </si>
  <si>
    <t xml:space="preserve">Cumbre internacional del CDB</t>
  </si>
  <si>
    <t xml:space="preserve">Aplica la etnografía colaborativa de eventos (CEE) para analizar las luchas discursivas y relaciones de poder en cumbres de la ONU.</t>
  </si>
  <si>
    <t xml:space="preserve">Campbell, Hagerman &amp; Gray</t>
  </si>
  <si>
    <t xml:space="preserve">Producing targets for conservation: Science and politics at the tenth Conference of the Parties to the Convention on Biological Diversity</t>
  </si>
  <si>
    <t xml:space="preserve">Metas cuantitativas de conservación</t>
  </si>
  <si>
    <t xml:space="preserve">Demuestra cómo la ciencia y la política se co-producen en la definición de metas cuantitativas de áreas protegidas.</t>
  </si>
  <si>
    <t xml:space="preserve">Chapron, G.</t>
  </si>
  <si>
    <t xml:space="preserve">The environment needs cryptogovernance</t>
  </si>
  <si>
    <t xml:space="preserve">Demanda (Tech/Fintech), Reguladores, Científicos</t>
  </si>
  <si>
    <t xml:space="preserve">Gobernanza ambiental distribuida</t>
  </si>
  <si>
    <t xml:space="preserve">Propone en Nature el uso de contratos inteligentes y criptogobernanza para hacer cumplir normas ambientales de forma autónoma.</t>
  </si>
  <si>
    <t xml:space="preserve">Conservation International</t>
  </si>
  <si>
    <t xml:space="preserve">Respecting Human Rights: Institutional Policy and Commitments</t>
  </si>
  <si>
    <t xml:space="preserve">Reguladores/legisladores, Oferta (IPLC, Comunidades locales), ONGs</t>
  </si>
  <si>
    <t xml:space="preserve">Proyectos de conservación de grandes ONGs</t>
  </si>
  <si>
    <t xml:space="preserve">Política institucional de CI que reconoce los derechos humanos y el legado colonial de la conservación.</t>
  </si>
  <si>
    <t xml:space="preserve">Corson, C.</t>
  </si>
  <si>
    <t xml:space="preserve">Corridors of Power: The Politics of Environmental Aid to Madagascar</t>
  </si>
  <si>
    <t xml:space="preserve">Reguladores/legisladores, Oferta (Comunidades locales), ONGs internacionales</t>
  </si>
  <si>
    <t xml:space="preserve">Bosques tropicales y corredores biológicos</t>
  </si>
  <si>
    <t xml:space="preserve">Análisis político de la ayuda ambiental internacional en Madagascar y la reconfiguración de la soberanía estatal por ONGs.</t>
  </si>
  <si>
    <t xml:space="preserve">Corson et al.</t>
  </si>
  <si>
    <t xml:space="preserve">Assembling global conservation governance</t>
  </si>
  <si>
    <t xml:space="preserve">Ensamblajes de gobernanza global de biodiversidad</t>
  </si>
  <si>
    <t xml:space="preserve">Teoriza la gobernanza global de la conservación como un ensamblaje dinámico de lógicas, prácticas y redes técnicas.</t>
  </si>
  <si>
    <t xml:space="preserve">Everyone’s solution? Defining and re-defining protected areas in the Convention on Biological Diversity</t>
  </si>
  <si>
    <t xml:space="preserve">Reguladores/legisladores, Oferta (IPLC), Científicos</t>
  </si>
  <si>
    <t xml:space="preserve">Áreas protegidas y OMEC</t>
  </si>
  <si>
    <t xml:space="preserve">Examina las disputas conceptuales en el CDB para definir qué cuenta como área protegida y la inclusión de territorios indígenas.</t>
  </si>
  <si>
    <t xml:space="preserve">Corson, MacDonald &amp; Neimark</t>
  </si>
  <si>
    <t xml:space="preserve">Grabbing 'green' markets: Environmental governance and the materialization of natural capital</t>
  </si>
  <si>
    <t xml:space="preserve">Demanda (Inversores, Empresas), Reguladores, Oferta (Comunidades)</t>
  </si>
  <si>
    <t xml:space="preserve">Mercados de capital natural y carbono/biodiversidad</t>
  </si>
  <si>
    <t xml:space="preserve">Analiza el acaparamiento verde ('green grabbing') resultante de la creación de mercados financieros de capital natural.</t>
  </si>
  <si>
    <t xml:space="preserve">From paper to practice? Assembling a rights-based conservation approach</t>
  </si>
  <si>
    <t xml:space="preserve">Oferta (IPLC, Comunidades locales), Reguladores, ONGs</t>
  </si>
  <si>
    <t xml:space="preserve">Global / Costa Rica / Madagascar</t>
  </si>
  <si>
    <t xml:space="preserve">Bosques comunitarios y áreas protegidas</t>
  </si>
  <si>
    <t xml:space="preserve">Examina la brecha entre el discurso formal de derechos en el CDB y la práctica sobre el terreno en comunidades afectadas.</t>
  </si>
  <si>
    <t xml:space="preserve">Cronon, W.</t>
  </si>
  <si>
    <t xml:space="preserve">The trouble with wilderness; or, getting back to the wrong nature</t>
  </si>
  <si>
    <t xml:space="preserve">Comunidad científica, Público general, Reguladores</t>
  </si>
  <si>
    <t xml:space="preserve">Parques nacionales y áreas silvestres ('wilderness')</t>
  </si>
  <si>
    <t xml:space="preserve">Ensayo hito que deconstruye la noción cultural de 'prístino/wilderness' como una construcción social exclusionary.</t>
  </si>
  <si>
    <t xml:space="preserve">da Fonseca et al.</t>
  </si>
  <si>
    <t xml:space="preserve">On defying nature’s end: The case for landscape-scale conservation</t>
  </si>
  <si>
    <t xml:space="preserve">Comunidad científica, Reguladores, ONGs</t>
  </si>
  <si>
    <t xml:space="preserve">Puntos calientes de biodiversidad (*hotspots*)</t>
  </si>
  <si>
    <t xml:space="preserve">Argumenta a favor de escalar la conservación hacia planificación a escala de paisaje y ecorregiones científicas.</t>
  </si>
  <si>
    <t xml:space="preserve">Dallyn, S.</t>
  </si>
  <si>
    <t xml:space="preserve">Cryptocurrencies as market singularities: The strange case of Bitcoin</t>
  </si>
  <si>
    <t xml:space="preserve">Demanda (Sector financiero, Tech), Público general</t>
  </si>
  <si>
    <t xml:space="preserve">Redes financieras digitales</t>
  </si>
  <si>
    <t xml:space="preserve">Análisis sociológico del surgimiento de las criptomonedas y su impacto en las instituciones de mercado tradicionales.</t>
  </si>
  <si>
    <t xml:space="preserve">de Vries, A.</t>
  </si>
  <si>
    <t xml:space="preserve">Bitcoin's growing energy problem</t>
  </si>
  <si>
    <t xml:space="preserve">Huella de carbono de redes de minado</t>
  </si>
  <si>
    <t xml:space="preserve">Cuantifica el consumo masivo de energía eléctrica y las emisiones de CO2 asociadas al minado de Bitcoin.</t>
  </si>
  <si>
    <t xml:space="preserve">Dempsey, J.</t>
  </si>
  <si>
    <t xml:space="preserve">Enterprising Nature: Economics, Markets, and Finance in Global Biodiversity Politics</t>
  </si>
  <si>
    <t xml:space="preserve">Demanda (Sector financiero, Empresas), Reguladores, Científicos</t>
  </si>
  <si>
    <t xml:space="preserve">Servicios ecosistémicos y capital natural</t>
  </si>
  <si>
    <t xml:space="preserve">Estudio crítico sobre la economía del negocio de la naturaleza, finanzas de conservación y mercantilización de la biodiversidad.</t>
  </si>
  <si>
    <t xml:space="preserve">Dempsey &amp; Bigger</t>
  </si>
  <si>
    <t xml:space="preserve">Intimate mediations of for-profit conservation finance: Waste, improvement, and accumulation</t>
  </si>
  <si>
    <t xml:space="preserve">Demanda (Inversores privados, Fondos), Reguladores, Oferta</t>
  </si>
  <si>
    <t xml:space="preserve">Proyectos de inversión privada con retorno de capital</t>
  </si>
  <si>
    <t xml:space="preserve">Examina las contradicciones y mecanismos de acumulación de los fondos de inversión privada en conservación.</t>
  </si>
  <si>
    <t xml:space="preserve">Doherty et al.</t>
  </si>
  <si>
    <t xml:space="preserve">Expanding the role of targets in conservation policy</t>
  </si>
  <si>
    <t xml:space="preserve">Indicadores y metas políticas de conservación</t>
  </si>
  <si>
    <t xml:space="preserve">Propone expandir el rol de las metas cuantitativas en las políticas de conservación para incluir procesos ecosistémicos.</t>
  </si>
  <si>
    <t xml:space="preserve">Domínguez &amp; Luoma</t>
  </si>
  <si>
    <t xml:space="preserve">Decolonising conservation policy: How colonial land and conservation ideologies persist and perpetuate Indigenous injustices</t>
  </si>
  <si>
    <t xml:space="preserve">Oferta (IPLC, Comunidades indígenas), Reguladores, Científicos</t>
  </si>
  <si>
    <t xml:space="preserve">Global / África / América Latina</t>
  </si>
  <si>
    <t xml:space="preserve">Parques nacionales en tierras indígenas ancestrales</t>
  </si>
  <si>
    <t xml:space="preserve">Analiza la persistencia de ideologías coloniales de la tierra en las políticas de conservación y propone su descolonización.</t>
  </si>
  <si>
    <t xml:space="preserve">Doolittle, A. A.</t>
  </si>
  <si>
    <t xml:space="preserve">The politics of Indigeneity: Indigenous strategies for inclusion in climate change negotiations</t>
  </si>
  <si>
    <t xml:space="preserve">Oferta (Pueblos Indígenas / IPLC), Reguladores/legisladores</t>
  </si>
  <si>
    <t xml:space="preserve">Territorios autóctonos en negociaciones climáticas</t>
  </si>
  <si>
    <t xml:space="preserve">Examina las estrategias políticas de los pueblos indígenas para incidir en las negociaciones climáticas internacionales.</t>
  </si>
  <si>
    <t xml:space="preserve">Dressler &amp; Büscher</t>
  </si>
  <si>
    <t xml:space="preserve">Market triumphalism and the CBNRM 'crises' at the South African section of the Great Limpopo Transfrontier Park</t>
  </si>
  <si>
    <t xml:space="preserve">Oferta (Comunidades locales), Reguladores, Sector privado</t>
  </si>
  <si>
    <t xml:space="preserve">Parques transfronterizos y vida silvestre</t>
  </si>
  <si>
    <t xml:space="preserve">Critica el triunfalismo de mercado en el manejo comunitario de recursos naturales en el Parque Transfronterizo Limpopo.</t>
  </si>
  <si>
    <t xml:space="preserve">Duffy, R.</t>
  </si>
  <si>
    <t xml:space="preserve">Waging a war to save biodiversity: The rise of militarized conservation</t>
  </si>
  <si>
    <t xml:space="preserve">Reguladores/legisladores, Oferta (Comunidades locales), Fuerza pública</t>
  </si>
  <si>
    <t xml:space="preserve">Áreas protegidas y zonas de caza furtiva</t>
  </si>
  <si>
    <t xml:space="preserve">Analiza el auge de la 'militarización de la conservación', el uso de fuerzas armadas y drones para proteger la biodiversidad.</t>
  </si>
  <si>
    <t xml:space="preserve">Eichler &amp; Baumeister</t>
  </si>
  <si>
    <t xml:space="preserve">Hunting for justice: An Indigenous critique of the North American model of wildlife conservation</t>
  </si>
  <si>
    <t xml:space="preserve">Oferta (Pueblos Indígenas), Reguladores/legisladores, Público</t>
  </si>
  <si>
    <t xml:space="preserve">Estados Unidos / Canadá</t>
  </si>
  <si>
    <t xml:space="preserve">Vida silvestre y tierras de caza comunitaria</t>
  </si>
  <si>
    <t xml:space="preserve">Crítica indígena al 'Modelo Norteamericano de Conservación de Vida Silvestre' por excluir los derechos de subsistencia ancestrales.</t>
  </si>
  <si>
    <t xml:space="preserve">Eyholzer et al.</t>
  </si>
  <si>
    <t xml:space="preserve">Fair finances for effective conservation: A global Green List of fairly and effectively managed protected areas</t>
  </si>
  <si>
    <t xml:space="preserve">Reguladores/legisladores, Demanda (Fintech), Oferta (Gestores)</t>
  </si>
  <si>
    <t xml:space="preserve">Áreas Protegidas de la Lista Verde de UICN</t>
  </si>
  <si>
    <t xml:space="preserve">Presenta la propuesta de 'Green List Token (GLS)' para financiar transparentemente áreas protegidas mediante blockchain.</t>
  </si>
  <si>
    <t xml:space="preserve">Fairhead, Leach &amp; Scoones</t>
  </si>
  <si>
    <t xml:space="preserve">Green grabbing: A new appropriation of nature?</t>
  </si>
  <si>
    <t xml:space="preserve">Oferta (Comunidades rurales, IPLC), Demanda (Inversores), Reguladores</t>
  </si>
  <si>
    <t xml:space="preserve">Tierras agrícolas, bosques y reservas de carbono</t>
  </si>
  <si>
    <t xml:space="preserve">Estudio hito sobre el 'green grabbing' o la apropiación de tierras y recursos bajo el pretexto de fines ambientales.</t>
  </si>
  <si>
    <t xml:space="preserve">Fletcher &amp; Büscher</t>
  </si>
  <si>
    <t xml:space="preserve">The PES conceit: Revisiting the relationship between payments for environmental services and neoliberal conservation</t>
  </si>
  <si>
    <t xml:space="preserve">Servicios ecosistémicos forestales y hídricos</t>
  </si>
  <si>
    <t xml:space="preserve">Revisa la relación teórica entre los Pagos por Servicios Ambientales (PES) y la conservación neoliberal.</t>
  </si>
  <si>
    <t xml:space="preserve">Gagnon &amp; Ravindran</t>
  </si>
  <si>
    <t xml:space="preserve">Restoring human and more-than-human relations in toxic riskscapes: 'In perpetuity' within Keweenaw Bay Indian Community</t>
  </si>
  <si>
    <t xml:space="preserve">Oferta (Pueblo Indígena Keweenaw Bay), Reguladores, Científicos</t>
  </si>
  <si>
    <t xml:space="preserve">Estados Unidos (Lago Superior)</t>
  </si>
  <si>
    <t xml:space="preserve">Ecosistemas costeros y zonas industriales tóxicas</t>
  </si>
  <si>
    <t xml:space="preserve">Examina la restauración socioecológica liderada por comunidades indígenas en zonas afectadas por contaminación tóxica.</t>
  </si>
  <si>
    <t xml:space="preserve">Gardner, J. E.</t>
  </si>
  <si>
    <t xml:space="preserve">Peer-to-peer energy trading and blockchain: The future of distributed energy resources</t>
  </si>
  <si>
    <t xml:space="preserve">Demanda (Empresas energéticas), Público general, Reguladores</t>
  </si>
  <si>
    <t xml:space="preserve">Redes eléctricas distribuidas</t>
  </si>
  <si>
    <t xml:space="preserve">Analiza el comercio de energía entre pares (P2P) mediante blockchain para la transición hacia energías renovables.</t>
  </si>
  <si>
    <t xml:space="preserve">Gray, N. J.</t>
  </si>
  <si>
    <t xml:space="preserve">Charted waters? Tracking the production of conservation territories on the high seas</t>
  </si>
  <si>
    <t xml:space="preserve">Reguladores/legisladores, Comunidad científica, ONGs</t>
  </si>
  <si>
    <t xml:space="preserve">Global / Alta Mar</t>
  </si>
  <si>
    <t xml:space="preserve">Áreas marinas protegidas en aguas internacionales</t>
  </si>
  <si>
    <t xml:space="preserve">Analiza la delimitación de Áreas Ecológica y Biológicamente Significativas (EBSA) y la creación de territorio en alta mar.</t>
  </si>
  <si>
    <t xml:space="preserve">Gray et al.</t>
  </si>
  <si>
    <t xml:space="preserve">Doing strong collaborative fieldwork in human geography</t>
  </si>
  <si>
    <t xml:space="preserve">Metodologías de campo en etnografía colaborativa</t>
  </si>
  <si>
    <t xml:space="preserve">Discute los desafíos y prácticas metodológicas del trabajo de campo colaborativo riguroso en geografía humana.</t>
  </si>
  <si>
    <t xml:space="preserve">Greenwald, Dellasala &amp; Terborgh</t>
  </si>
  <si>
    <t xml:space="preserve">Nothing new in Kareiva and Marvier</t>
  </si>
  <si>
    <t xml:space="preserve">Ecosistemas amenazados y reservas biológicas</t>
  </si>
  <si>
    <t xml:space="preserve">Crítica a la propuesta de 'nueva conservación' de Kareiva y Marvier por subordinar la protección estricta al desarrollo económico.</t>
  </si>
  <si>
    <t xml:space="preserve">Hagerman et al.</t>
  </si>
  <si>
    <t xml:space="preserve">Knowledge production for target-based biodiversity governance</t>
  </si>
  <si>
    <t xml:space="preserve">Producción de conocimiento e indicadores de biodiversidad</t>
  </si>
  <si>
    <t xml:space="preserve">Examina la producción de conocimiento experto para la gobernanza basada en metas y la selección de indicadores.</t>
  </si>
  <si>
    <t xml:space="preserve">Hendlin, Y. H.</t>
  </si>
  <si>
    <t xml:space="preserve">From terra nullius to terra communis: Reconsidering wild land in an era of conservation and Indigenous rights</t>
  </si>
  <si>
    <t xml:space="preserve">Oferta (IPLC, Pueblos Indígenas), Reguladores, Científicos</t>
  </si>
  <si>
    <t xml:space="preserve">Tierras silvestres y territorios autóctonos</t>
  </si>
  <si>
    <t xml:space="preserve">Propone pasar de la doctrina colonial de *terra nullius* al concepto de *terra communis* reconociendo los derechos autóctonos.</t>
  </si>
  <si>
    <t xml:space="preserve">Holmes, G.</t>
  </si>
  <si>
    <t xml:space="preserve">Conservation’s friends in high places: Neoliberalism, networks, and the transnational conservation elite</t>
  </si>
  <si>
    <t xml:space="preserve">Demanda (Élites transnacionales, Filántropos), Reguladores, ONGs</t>
  </si>
  <si>
    <t xml:space="preserve">Redes globales de toma de decisiones ambientales</t>
  </si>
  <si>
    <t xml:space="preserve">Demuestra la concentración de poder en la 'élite transnacional de la conservación' compuesta por filántropos y corporaciones.</t>
  </si>
  <si>
    <t xml:space="preserve">Biodiversity for billionaires: Capitalism, conservation and the role of philanthropy in saving/selling nature</t>
  </si>
  <si>
    <t xml:space="preserve">Demanda (Filántropos multimillonarios, Inversores), ONGs</t>
  </si>
  <si>
    <t xml:space="preserve">Reservas privadas de conservación</t>
  </si>
  <si>
    <t xml:space="preserve">Examina el rol del capitalismo filantrópico de multimillonarios en la adquisición de tierras y venta de créditos de naturaleza.</t>
  </si>
  <si>
    <t xml:space="preserve">Holmes &amp; Cavanagh</t>
  </si>
  <si>
    <t xml:space="preserve">A review of the social impacts of neoliberal conservation: Formations, inequalities, contestations</t>
  </si>
  <si>
    <t xml:space="preserve">Oferta (Comunidades locales, IPLC), Demanda, Científicos</t>
  </si>
  <si>
    <t xml:space="preserve">Mecanismos de mercado de conservación</t>
  </si>
  <si>
    <t xml:space="preserve">Revisión sistemática de los impactos sociales, desigualdades y resistencias generadas por la conservación neoliberal.</t>
  </si>
  <si>
    <t xml:space="preserve">Howson, P.</t>
  </si>
  <si>
    <t xml:space="preserve">Crypto-giving and surveillance philanthropy: Exploring the trade-offs in blockchain innovation for nonprofits</t>
  </si>
  <si>
    <t xml:space="preserve">Demanda (Inversores crypto, Donantes), ONGs, Oferta (Comunidades)</t>
  </si>
  <si>
    <t xml:space="preserve">Criptofilantropía y vigilancia digital</t>
  </si>
  <si>
    <t xml:space="preserve">Analiza los dilemas éticos y el surgimiento de la 'filantropía de vigilancia' a través de donaciones cripto en ONGs.</t>
  </si>
  <si>
    <t xml:space="preserve">Distributed degrowth technology: Challenges for blockchain beyond the green economy</t>
  </si>
  <si>
    <t xml:space="preserve">Comunidad científica, Demanda (Tech), Reguladores/legisladores</t>
  </si>
  <si>
    <t xml:space="preserve">Tecnologías de decrecimiento distribuido</t>
  </si>
  <si>
    <t xml:space="preserve">Examina el potencial de la tecnología blockchain para servir a modelos de decrecimiento más allá de la economía verde.</t>
  </si>
  <si>
    <t xml:space="preserve">Human Rights in Biodiversity Working Group</t>
  </si>
  <si>
    <t xml:space="preserve">Implementing a Human Rights-Based Approach in the Post-2020 Global Biodiversity Framework</t>
  </si>
  <si>
    <t xml:space="preserve">Oferta (IPLC, Comunidades locales), Reguladores/legisladores</t>
  </si>
  <si>
    <t xml:space="preserve">Derechos territoriales y de subsistencia en el CDB</t>
  </si>
  <si>
    <t xml:space="preserve">Documento de posición que exige un enfoque estricto basado en derechos humanos en el Marco Mundial de Biodiversidad.</t>
  </si>
  <si>
    <t xml:space="preserve">IIFB</t>
  </si>
  <si>
    <t xml:space="preserve">IIFB Participation at Resumed Sessions of SBSTTA 24, SBI 3 and WG2020-3 (Geneva)</t>
  </si>
  <si>
    <t xml:space="preserve">Global / Suiza (Ginebra)</t>
  </si>
  <si>
    <t xml:space="preserve">Negociaciones internacionales de biodiversidad</t>
  </si>
  <si>
    <t xml:space="preserve">Reporte de la incidencia del Foro Internacional Indígena sobre Biodiversidad en las negociaciones del Marco de Kunming-Montreal.</t>
  </si>
  <si>
    <t xml:space="preserve">Closing Statement on Behalf of the International Indigenous Forum on Biodiversity</t>
  </si>
  <si>
    <t xml:space="preserve">Declaración oficial en las sesiones del CDB</t>
  </si>
  <si>
    <t xml:space="preserve">Declaración de cierre exigiendo la inclusión de los territorios tradicionales indígenas como categoría de conservación protegida.</t>
  </si>
  <si>
    <t xml:space="preserve">Welcome to the IUCN Green List Marketplace</t>
  </si>
  <si>
    <t xml:space="preserve">Reguladores/legisladores, Demanda (Financieros), Oferta (Gestores)</t>
  </si>
  <si>
    <t xml:space="preserve">Áreas Protegidas y Conservadas de la Lista Verde</t>
  </si>
  <si>
    <t xml:space="preserve">Plataforma de la UICN para conectar proyectos de la Lista Verde con inversores privados de impacto ambiental.</t>
  </si>
  <si>
    <t xml:space="preserve">IUCN News</t>
  </si>
  <si>
    <t xml:space="preserve">Tech4Nature: Supporting better conservation outcomes in protected and conserved areas</t>
  </si>
  <si>
    <t xml:space="preserve">Demanda (Huawei, Tech), Reguladores, Oferta (Gestores)</t>
  </si>
  <si>
    <t xml:space="preserve">Global / China / España / Mauricio</t>
  </si>
  <si>
    <t xml:space="preserve">Áreas protegidas monitoreadas con IA y sensores</t>
  </si>
  <si>
    <t xml:space="preserve">Presenta la alianza Tech4Nature entre UICN y Huawei para aplicar IA y conectividad en el monitoreo de conservación.</t>
  </si>
  <si>
    <t xml:space="preserve">Jacob, A.</t>
  </si>
  <si>
    <t xml:space="preserve">Mind the gap: Analyzing the impact of data gap in Millennium Development Goals’ indicators</t>
  </si>
  <si>
    <t xml:space="preserve">Indicadores de desarrollo sostenible (ODS/ODM)</t>
  </si>
  <si>
    <t xml:space="preserve">Demuestra empíricamente cómo las brechas de datos en los indicadores distorsionan la evaluación del progreso de las metas públicas.</t>
  </si>
  <si>
    <t xml:space="preserve">Jacoby, K.</t>
  </si>
  <si>
    <t xml:space="preserve">Crimes Against Nature: Squatters, Poachers, Thieves, and the Hidden History of American Conservation</t>
  </si>
  <si>
    <t xml:space="preserve">Oferta (Comunidades rurales locales), Reguladores/legisladores, Público</t>
  </si>
  <si>
    <t xml:space="preserve">Estados Unidos (Adirondacks, Yellowstone, Grand Canyon)</t>
  </si>
  <si>
    <t xml:space="preserve">Bosques y parques nacionales históricos de EE. UU.</t>
  </si>
  <si>
    <t xml:space="preserve">Análisis histórico sobre cómo la creación de los primeros parques nacionales criminalizó las prácticas de subsistencia locales.</t>
  </si>
  <si>
    <t xml:space="preserve">Kanie &amp; Biermann (eds.)</t>
  </si>
  <si>
    <t xml:space="preserve">Governing Through Goals: Sustainable Development Goals as Governance Innovation</t>
  </si>
  <si>
    <t xml:space="preserve">Gobernanza global por objetivos (ODS)</t>
  </si>
  <si>
    <t xml:space="preserve">Obra colectiva que conceptualiza la 'gobernanza por metas' como una innovación institucional en el sistema de la ONU.</t>
  </si>
  <si>
    <t xml:space="preserve">Kareiva &amp; Marvier</t>
  </si>
  <si>
    <t xml:space="preserve">What is conservation science?</t>
  </si>
  <si>
    <t xml:space="preserve">Paisajes habitados y gestionados</t>
  </si>
  <si>
    <t xml:space="preserve">Manifiesto de la 'nueva ciencia de la conservación' abogando por integrar el desarrollo económico, el bienestar humano y las corporaciones.</t>
  </si>
  <si>
    <t xml:space="preserve">Kashwan, P.</t>
  </si>
  <si>
    <t xml:space="preserve">The politics of rights-based approaches in conservation</t>
  </si>
  <si>
    <t xml:space="preserve">Global / India</t>
  </si>
  <si>
    <t xml:space="preserve">Bosques comunitarios y reservas de tigres</t>
  </si>
  <si>
    <t xml:space="preserve">Examina las dinámicas políticas y contradicciones en la implementación de enfoques basados en derechos en la conservación.</t>
  </si>
  <si>
    <t xml:space="preserve">Kashwan et al.</t>
  </si>
  <si>
    <t xml:space="preserve">From racialized neocolonial global conservation to an inclusive and regenerative conservation</t>
  </si>
  <si>
    <t xml:space="preserve">Ecosistemas bajo regímenes de conservación</t>
  </si>
  <si>
    <t xml:space="preserve">Critica las estructuras raciales y neocoloniales de la conservación global y propone modelos inclusivos y regenerativos.</t>
  </si>
  <si>
    <t xml:space="preserve">Kelly &amp; Ybarra</t>
  </si>
  <si>
    <t xml:space="preserve">Introduction to themed issue: Green security in protected areas</t>
  </si>
  <si>
    <t xml:space="preserve">Reguladores/legisladores, Oferta (Comunidades locales), Fuerzas de seguridad</t>
  </si>
  <si>
    <t xml:space="preserve">Global / América Central / África</t>
  </si>
  <si>
    <t xml:space="preserve">Áreas protegidas en zonas de conflicto armando o patrulladas</t>
  </si>
  <si>
    <t xml:space="preserve">Introducción al análisis de la 'seguridad verde', la militarización y el control territorial en áreas protegidas.</t>
  </si>
  <si>
    <t xml:space="preserve">Kothari, A.</t>
  </si>
  <si>
    <t xml:space="preserve">Politics of biodiversity conservation</t>
  </si>
  <si>
    <t xml:space="preserve">Reguladores/legisladores, Oferta (Comunidades locales del Sur Global)</t>
  </si>
  <si>
    <t xml:space="preserve">Negociaciones iniciales del CDB</t>
  </si>
  <si>
    <t xml:space="preserve">Artículo histórico que advierte que el CDB corría el riesgo de convertirse en un arma de las élites ricas si no incluía justicia social.</t>
  </si>
  <si>
    <t xml:space="preserve">Radical Ecological Democracy: A path forward for India and beyond</t>
  </si>
  <si>
    <t xml:space="preserve">Oferta (Comunidades locales, IPLC), Público general, Reguladores</t>
  </si>
  <si>
    <t xml:space="preserve">India / Sur Global</t>
  </si>
  <si>
    <t xml:space="preserve">Ecosistemas locales y sustentabilidad comunitaria</t>
  </si>
  <si>
    <t xml:space="preserve">Desarrolla el paradigma de la 'Democracia Ecológica Radical' basada en autogobierno directo, equidad e integridad de la biosfera.</t>
  </si>
  <si>
    <t xml:space="preserve">Lohmann, L.</t>
  </si>
  <si>
    <t xml:space="preserve">Interpretation machines: Contradictions of 'artificial intelligence' in 21st-century capitalism</t>
  </si>
  <si>
    <t xml:space="preserve">Demanda (Empresas tech, Capital financiero), Científicos</t>
  </si>
  <si>
    <t xml:space="preserve">Capitalismo digital e IA en la naturaleza</t>
  </si>
  <si>
    <t xml:space="preserve">Analiza las contradicciones de la Inteligencia Artificial y la automatización en el capitalismo financiero contemporáneo.</t>
  </si>
  <si>
    <t xml:space="preserve">Lunstrum, E.</t>
  </si>
  <si>
    <t xml:space="preserve">Green militarization: Anti-poaching efforts and the spatial contours of Kruger National Park</t>
  </si>
  <si>
    <t xml:space="preserve">Reguladores/legisladores, Oferta (Comunidades fronterizas), Parques</t>
  </si>
  <si>
    <t xml:space="preserve">Sudáfrica (Parque Nacional Kruger) / Mozambique</t>
  </si>
  <si>
    <t xml:space="preserve">Sabana y zonas fronterizas de rinocerontes</t>
  </si>
  <si>
    <t xml:space="preserve">Estudio de caso sobre la 'militarización verde' en el Parque Kruger y la frontera con Mozambique en la lucha contra el furtivismo.</t>
  </si>
  <si>
    <t xml:space="preserve">MacDonald &amp; Corson</t>
  </si>
  <si>
    <t xml:space="preserve">'TEEB begins now': A virtual moment in the production of natural capital</t>
  </si>
  <si>
    <t xml:space="preserve">Global / Japón (CDB COP10)</t>
  </si>
  <si>
    <t xml:space="preserve">Capital natural y servicios ecosistémicos</t>
  </si>
  <si>
    <t xml:space="preserve">Analiza la producción discursiva e institucional del 'Capital Natural' durante el lanzamiento del reporte TEEB en el CDB.</t>
  </si>
  <si>
    <t xml:space="preserve">Masood, E.</t>
  </si>
  <si>
    <t xml:space="preserve">The battle for the soul of biodiversity</t>
  </si>
  <si>
    <t xml:space="preserve">Comunidad científica, Reguladores/legisladores, IPLC</t>
  </si>
  <si>
    <t xml:space="preserve">Evaluaciones globales de IPBES</t>
  </si>
  <si>
    <t xml:space="preserve">Reportaje en Nature sobre las tensiones políticas entre la ciencia occidental y los conocimientos tradicionales en el IPBES.</t>
  </si>
  <si>
    <t xml:space="preserve">Maxwell et al.</t>
  </si>
  <si>
    <t xml:space="preserve">Being smart about SMART environmental targets</t>
  </si>
  <si>
    <t xml:space="preserve">Indicadores y metas de la política ambiental</t>
  </si>
  <si>
    <t xml:space="preserve">Advierte sobre los riesgos de simplificación e incentivos perversos en el diseño de metas ambientales SMART.</t>
  </si>
  <si>
    <t xml:space="preserve">Neimark et al.</t>
  </si>
  <si>
    <t xml:space="preserve">Not just participation: The rise of the eco-precariat in the green economy</t>
  </si>
  <si>
    <t xml:space="preserve">Oferta (Trabajadores locales, Recolectores, Guías), Demanda</t>
  </si>
  <si>
    <t xml:space="preserve">Global / Madagascar / Australia</t>
  </si>
  <si>
    <t xml:space="preserve">Proyectos de economía verde y ecoturismo</t>
  </si>
  <si>
    <t xml:space="preserve">Conceptualiza el surgimiento del 'eco-precariado': el trabajo informal y no remunerado de comunidades rurales en la economía verde.</t>
  </si>
  <si>
    <t xml:space="preserve">Our Land, Our Nature Congress</t>
  </si>
  <si>
    <t xml:space="preserve">Manifesto for Decolonizing Conservation</t>
  </si>
  <si>
    <t xml:space="preserve">Oferta (IPLC, Pueblos Indígenas), Reguladores, Público general</t>
  </si>
  <si>
    <t xml:space="preserve">Global / Francia (Marsella)</t>
  </si>
  <si>
    <t xml:space="preserve">Territorios autóctonos amenazados por la meta 30x30</t>
  </si>
  <si>
    <t xml:space="preserve">Manifiesto del Congreso 'Our Land, Our Nature' exigiendo detener la meta 30x30 por ser colonial e imponer la custodia indígena.</t>
  </si>
  <si>
    <t xml:space="preserve">Perrings et al.</t>
  </si>
  <si>
    <t xml:space="preserve">Ecosystem services, targets, and indicators for the conservation and sustainable use of biodiversity</t>
  </si>
  <si>
    <t xml:space="preserve">Servicios ecosistémicos y metas Aichi</t>
  </si>
  <si>
    <t xml:space="preserve">Examina la vinculación entre servicios ecosistémicos, indicadores biofísicos y metas cuantitativas del CDB.</t>
  </si>
  <si>
    <t xml:space="preserve">Plumptre et al.</t>
  </si>
  <si>
    <t xml:space="preserve">We need to protect and conserve 30% of the planet: But it has to be the right 30%</t>
  </si>
  <si>
    <t xml:space="preserve">Áreas clave para la biodiversidad (KBA)</t>
  </si>
  <si>
    <t xml:space="preserve">Sostiene que la meta del 30% debe priorizar Áreas Clave para la Biodiversidad y ecosistemas intactos, no solo superficie total.</t>
  </si>
  <si>
    <t xml:space="preserve">Rights and Resources Initiative</t>
  </si>
  <si>
    <t xml:space="preserve">Rights-Based Conservation: The Path to Preserving Earth’s Biological and Cultural Diversity?</t>
  </si>
  <si>
    <t xml:space="preserve">Oferta (Pueblos Indígenas, IPLC), Reguladores/legisladores</t>
  </si>
  <si>
    <t xml:space="preserve">Global (269 áreas protegidas)</t>
  </si>
  <si>
    <t xml:space="preserve">Territorios indígenas habitados</t>
  </si>
  <si>
    <t xml:space="preserve">Calcula que la conservación basada en derechos indígenas es exponencialmente más rentable y equitativa que la exclusión.</t>
  </si>
  <si>
    <t xml:space="preserve">Stevens, S.</t>
  </si>
  <si>
    <t xml:space="preserve">A New Protected Area Paradigm</t>
  </si>
  <si>
    <t xml:space="preserve">Parques nacionales y territorios indígenas</t>
  </si>
  <si>
    <t xml:space="preserve">Propone un 'nuevo paradigma de áreas protegidas' basado en derechos, cogobernanza y soberanía de los pueblos indígenas.</t>
  </si>
  <si>
    <t xml:space="preserve">Stuit, Brockington &amp; Corbera</t>
  </si>
  <si>
    <t xml:space="preserve">Smart, commodified and encoded: Blockchain technology for environmental sustainability and nature conservation</t>
  </si>
  <si>
    <t xml:space="preserve">Demanda (Tech, Financieros), Oferta (Comunidades), Científicos</t>
  </si>
  <si>
    <t xml:space="preserve">Codificación digital de activos de naturaleza</t>
  </si>
  <si>
    <t xml:space="preserve">Revisión crítica sobre la codificación y mercantilización de la naturaleza a través de tecnologías de blockchain y tokens.</t>
  </si>
  <si>
    <t xml:space="preserve">Sullivan, S.</t>
  </si>
  <si>
    <t xml:space="preserve">Financialisation, biodiversity conservation, and equity: Some currents and concerns</t>
  </si>
  <si>
    <t xml:space="preserve">Demanda (Mercados financieros), Reguladores, Oferta (Comunidades)</t>
  </si>
  <si>
    <t xml:space="preserve">Activos financieros sintéticos de biodiversidad</t>
  </si>
  <si>
    <t xml:space="preserve">Analiza los riesgos de inequidad y abstracción ecológica derivados de la financiarización de la conservación de la biodiversidad.</t>
  </si>
  <si>
    <t xml:space="preserve">Banking nature? The spectacular financialisation of environmental conservation</t>
  </si>
  <si>
    <t xml:space="preserve">Demanda (Bancos, Inversores corporativos), Reguladores, Científicos</t>
  </si>
  <si>
    <t xml:space="preserve">Bancos de biodiversidad y derivados de naturaleza</t>
  </si>
  <si>
    <t xml:space="preserve">Análisis teórico sobre la creación de derivados financieros de naturaleza y la transformación de la ecología en activos líquidos.</t>
  </si>
  <si>
    <t xml:space="preserve">Sultana, F.</t>
  </si>
  <si>
    <t xml:space="preserve">Decolonizing development education and the pursuit of social justice</t>
  </si>
  <si>
    <t xml:space="preserve">Justicia climática y social</t>
  </si>
  <si>
    <t xml:space="preserve">Examina las prácticas pedagógicas y teóricas necesarias para descolonizar los estudios de desarrollo y gobernanza ambiental.</t>
  </si>
  <si>
    <t xml:space="preserve">Sundberg, J.</t>
  </si>
  <si>
    <t xml:space="preserve">Decolonizing posthumanist geographies</t>
  </si>
  <si>
    <t xml:space="preserve">Global / América del Norte</t>
  </si>
  <si>
    <t xml:space="preserve">Epistemologías de relación humano-naturaleza</t>
  </si>
  <si>
    <t xml:space="preserve">Critica las geografías poshumanistas por invisibilizar las ontologías indígenas y perpetuar el eurocentrismo académico.</t>
  </si>
  <si>
    <t xml:space="preserve">Survival International</t>
  </si>
  <si>
    <t xml:space="preserve">Decolonize conservation: Indigenous people are the best conservationists</t>
  </si>
  <si>
    <t xml:space="preserve">Oferta (Pueblos Indígenas / IPLC), Reguladores, Público general</t>
  </si>
  <si>
    <t xml:space="preserve">Territorios autóctonos en la Amazonía, África y Asia</t>
  </si>
  <si>
    <t xml:space="preserve">Campaña global que demuestra que los pueblos indígenas son los custodios más efectivos de la biodiversidad planetaria.</t>
  </si>
  <si>
    <t xml:space="preserve">Sutherland et al.</t>
  </si>
  <si>
    <t xml:space="preserve">A 2017 horizon scan of emerging issues for global conservation and biological diversity</t>
  </si>
  <si>
    <t xml:space="preserve">Tecnologías emergentes y riesgos de la biosfera</t>
  </si>
  <si>
    <t xml:space="preserve">Identifica 15 temas emergentes clave para la conservación global, incluyendo blockchain, biología sintética y geoingeniería.</t>
  </si>
  <si>
    <t xml:space="preserve">Sze et al.</t>
  </si>
  <si>
    <t xml:space="preserve">Reduced deforestation and degradation in Indigenous lands pantropically</t>
  </si>
  <si>
    <t xml:space="preserve">Oferta (Pueblos Indígenas / IPLC), Reguladores, Científicos</t>
  </si>
  <si>
    <t xml:space="preserve">Global (Zona Pantropical: América, África, Asia)</t>
  </si>
  <si>
    <t xml:space="preserve">Selvas y bosques tropicales en territorios indígenas</t>
  </si>
  <si>
    <t xml:space="preserve">Demuestra empíricamente en Nature Sustainability que los territorios indígenas reducen significativamente la deforestación.</t>
  </si>
  <si>
    <t xml:space="preserve">Thakholi, L.</t>
  </si>
  <si>
    <t xml:space="preserve">Conserving inequality: Subjugating black labour by accumulating and defending property in South Africa’s private nature reserves</t>
  </si>
  <si>
    <t xml:space="preserve">Oferta (Trabajadores negros locales), Demanda (Propietarios privados)</t>
  </si>
  <si>
    <t xml:space="preserve">Reservas privadas de caza y conservación</t>
  </si>
  <si>
    <t xml:space="preserve">Tesis doctoral que analiza cómo la conservación privada en Sudáfrica perpetúa desigualdades raciales y acumulación de tierras.</t>
  </si>
  <si>
    <t xml:space="preserve">Third World Network</t>
  </si>
  <si>
    <t xml:space="preserve">Africa calls out inequitable virtual negotiations on biodiversity</t>
  </si>
  <si>
    <t xml:space="preserve">Reguladores/legisladores (Bloque Africano), Público general</t>
  </si>
  <si>
    <t xml:space="preserve">Negociaciones virtuales del CDB durante la pandemia</t>
  </si>
  <si>
    <t xml:space="preserve">Denuncia las profundas inequidades técnicas y de conectividad que afectaron a los países africanos en las cumbres virtuales.</t>
  </si>
  <si>
    <t xml:space="preserve">Virtual negotiations at the CBD pose challenges and widens inequities</t>
  </si>
  <si>
    <t xml:space="preserve">Reguladores/legisladores (Países en desarrollo), ONGs</t>
  </si>
  <si>
    <t xml:space="preserve">Sesiones virtuales preparatorias del CDB</t>
  </si>
  <si>
    <t xml:space="preserve">Analiza cómo la brecha digital en las reuniones virtuales del CDB consolidó el poder en manos de las potencias del Norte Global.</t>
  </si>
  <si>
    <t xml:space="preserve">Tuck &amp; Yang</t>
  </si>
  <si>
    <t xml:space="preserve">Decolonization is not a metaphor</t>
  </si>
  <si>
    <t xml:space="preserve">Comunidad científica, Oferta (Pueblos Indígenas), Público</t>
  </si>
  <si>
    <t xml:space="preserve">Soberanía sobre la tierra y justicia indígena</t>
  </si>
  <si>
    <t xml:space="preserve">Artículo seminal que argumenta que la descolonización no es una metáfora teórica, sino la restitución real de la tierra a los indígenas.</t>
  </si>
  <si>
    <t xml:space="preserve">Synthesis of the workshop on the financial sector and the post-2020 global biodiversity framework</t>
  </si>
  <si>
    <t xml:space="preserve">Demanda (Bancos, Fondos, Aseguradoras), Reguladores</t>
  </si>
  <si>
    <t xml:space="preserve">Integración del sector financiero en el Marco Global</t>
  </si>
  <si>
    <t xml:space="preserve">Síntesis del taller del CDB para movilizar al sector financiero e integrar riesgos de biodiversidad en carteras corporativas.</t>
  </si>
  <si>
    <t xml:space="preserve">Protecting 30% of the planet for nature: Costs, benefits and economic implications</t>
  </si>
  <si>
    <t xml:space="preserve">Propuesta de red global de áreas protegidas al 30%</t>
  </si>
  <si>
    <t xml:space="preserve">Modela económicamente los costos y beneficios de expandir las áreas protegidas al 30%, estimando ingresos netos de $250B/año.</t>
  </si>
  <si>
    <t xml:space="preserve">Wang &amp; Corson</t>
  </si>
  <si>
    <t xml:space="preserve">The making of a 'charismatic' carbon credit: Clean cookstoves and 'uncooperative' women in Western Kenya</t>
  </si>
  <si>
    <t xml:space="preserve">Oferta (Mujeres rurales locales), Demanda (Compradores de créditos)</t>
  </si>
  <si>
    <t xml:space="preserve">Kenia (Kenia Occidental)</t>
  </si>
  <si>
    <t xml:space="preserve">Bosques comunitarios y uso doméstico de leña</t>
  </si>
  <si>
    <t xml:space="preserve">Estudio etnográfico sobre la creación de créditos de carbono 'carismáticos' por estufas limpias y los conflictos con las mujeres locales.</t>
  </si>
  <si>
    <t xml:space="preserve">Western, Wright &amp; Strum</t>
  </si>
  <si>
    <t xml:space="preserve">Natural Connections: Perspectives in Community-Based Conservation</t>
  </si>
  <si>
    <t xml:space="preserve">Oferta (Comunidades locales), Reguladores, Científicos</t>
  </si>
  <si>
    <t xml:space="preserve">Global / África / Asia / América Latina</t>
  </si>
  <si>
    <t xml:space="preserve">Ecosistemas gestionados por comunidades rurales</t>
  </si>
  <si>
    <t xml:space="preserve">Libro de referencia pionero sobre los enfoques de conservación basada en la comunidad (CBC) frente a las reservas excluyentes.</t>
  </si>
  <si>
    <t xml:space="preserve">Whitt, L.</t>
  </si>
  <si>
    <t xml:space="preserve">Science, Colonialism, and Indigenous Peoples: The Cultural Politics of Law and Knowledge</t>
  </si>
  <si>
    <t xml:space="preserve">Sistemas de conocimiento tradicional y recursos biológicos</t>
  </si>
  <si>
    <t xml:space="preserve">Análisis histórico-jurídico sobre la biopiratería, el colonialismo científico y la apropiación legal del conocimiento indígena.</t>
  </si>
  <si>
    <t xml:space="preserve">Wilshusen &amp; MacDonald</t>
  </si>
  <si>
    <t xml:space="preserve">Fields of green: Corporate sustainability and the production of economistic environmental governance</t>
  </si>
  <si>
    <t xml:space="preserve">Gobernanza ambiental econométrica corporativa</t>
  </si>
  <si>
    <t xml:space="preserve">Analiza la producción de discursos corporativos de sostenibilidad y la gobernanza ambiental econométrica.</t>
  </si>
  <si>
    <t xml:space="preserve">Wilshusen, P. R.</t>
  </si>
  <si>
    <t xml:space="preserve">Environmental governance in motion: Practices of assemblage and the political performativity of economistic conservation</t>
  </si>
  <si>
    <t xml:space="preserve">Demanda (Inversores, Fondos), Reguladores, Científicos</t>
  </si>
  <si>
    <t xml:space="preserve">Ensamblajes de financiamiento de conservación</t>
  </si>
  <si>
    <t xml:space="preserve">Examina la performatividad política de la conservación econométrica y los ensamblajes institucionales del financiamiento verde.</t>
  </si>
  <si>
    <t xml:space="preserve">Wilson, E. O.</t>
  </si>
  <si>
    <t xml:space="preserve">Half-Earth: Our Planet's Fight for Life</t>
  </si>
  <si>
    <t xml:space="preserve">Biosfera y reserva global protegida al 50%</t>
  </si>
  <si>
    <t xml:space="preserve">Obra de E.O. Wilson que propone destinar formalmente la mitad de la superficie de la Tierra a la conservación estricta de especies.</t>
  </si>
  <si>
    <t xml:space="preserve">World Wide Fund for Nature</t>
  </si>
  <si>
    <t xml:space="preserve">Testing 'Digital Collectibles' to Incentivise Community-Led Conservation in the Carpathians</t>
  </si>
  <si>
    <t xml:space="preserve">Oferta (Comunidades locales de los Cárpatos), Demanda, WWF</t>
  </si>
  <si>
    <t xml:space="preserve">Europa Central y Oriental (Cárpatos)</t>
  </si>
  <si>
    <t xml:space="preserve">Bosques montanos y grandes carnívoros</t>
  </si>
  <si>
    <t xml:space="preserve">Proyecto piloto de WWF probando coleccionables digitales (NFTs) para financiar directamente la conservación liderada por comunidades.</t>
  </si>
  <si>
    <t xml:space="preserve">Ager, D. V.</t>
  </si>
  <si>
    <t xml:space="preserve">Principles of paleoecology: An introduction to the study of how and where animals and plants lives in the past</t>
  </si>
  <si>
    <t xml:space="preserve">Registro fósil y paleoecología</t>
  </si>
  <si>
    <t xml:space="preserve">Texto clásico de principios de paleoecología para comprender la distribución histórica de especies.</t>
  </si>
  <si>
    <t xml:space="preserve">Arbault et al.</t>
  </si>
  <si>
    <t xml:space="preserve">Emergy evaluation using the calculation software SCALE: Case study, added value and potential improvements</t>
  </si>
  <si>
    <t xml:space="preserve">Sistemas industriales y ecológicos</t>
  </si>
  <si>
    <t xml:space="preserve">Desarrolla el software SCALE para la evaluación de emergía en sistemas ecológicos e industriales.</t>
  </si>
  <si>
    <t xml:space="preserve">Arlidge et al.</t>
  </si>
  <si>
    <t xml:space="preserve">A global mitigation hierarchy for nature conservation</t>
  </si>
  <si>
    <t xml:space="preserve">Propone una jerarquía de mitigación global unificada (Evitar, Reducir, Restaurar, Compensar).</t>
  </si>
  <si>
    <t xml:space="preserve">Arlidge, W.N. et al.</t>
  </si>
  <si>
    <t xml:space="preserve">Reguladores/legisladores, Demanda (Empresas extractivas/infraestructura), Comunidad científica</t>
  </si>
  <si>
    <t xml:space="preserve">Propone un marco global unificado para la jerarquía de mitigación (Evitar, Reducir, Restaurar, Compensar).</t>
  </si>
  <si>
    <t xml:space="preserve">Demand–side sources and motivation for biodiversity credits</t>
  </si>
  <si>
    <t xml:space="preserve">Define el crédito de biodiversidad como unidad cuantificable y analiza las motivaciones de la demanda corporativa.</t>
  </si>
  <si>
    <t xml:space="preserve">Blowes et al.</t>
  </si>
  <si>
    <t xml:space="preserve">Mediterranean marine protected areas have higher biodiversity via increased evenness, not abundance</t>
  </si>
  <si>
    <t xml:space="preserve">Mediterráneo</t>
  </si>
  <si>
    <t xml:space="preserve">Áreas marinas protegidas</t>
  </si>
  <si>
    <t xml:space="preserve">Demuestra que las reservas marinas mediterráneas mejoran la equitatividad de las comunidades más que la abundancia.</t>
  </si>
  <si>
    <t xml:space="preserve">The geobiosphere emergy baseline: A synthesis</t>
  </si>
  <si>
    <t xml:space="preserve">Geobiosfera global</t>
  </si>
  <si>
    <t xml:space="preserve">Establece la línea de base del flujo de emergía renovable de la geobiosfera global (12.0E+24 sej/año).</t>
  </si>
  <si>
    <t xml:space="preserve">Importance of baseline specification in evaluating conservation interventions and achieving no net loss of biodiversity</t>
  </si>
  <si>
    <t xml:space="preserve">Ecosistemas bajo compensación</t>
  </si>
  <si>
    <t xml:space="preserve">Demuestra la importancia crítica de la especificación de líneas de base dinámicas y contrafácticas en No Net Loss.</t>
  </si>
  <si>
    <t xml:space="preserve">Creating a frame of reference for conservation interventions</t>
  </si>
  <si>
    <t xml:space="preserve">Ecosistemas intervenidos</t>
  </si>
  <si>
    <t xml:space="preserve">Establece marcos de referencia contrafácticos para evaluar el impacto real de las intervenciones de conservación.</t>
  </si>
  <si>
    <t xml:space="preserve">Campbell &amp; Brown</t>
  </si>
  <si>
    <t xml:space="preserve">Environmental accounting of natural capital and ecosystem services for the US National Forest System</t>
  </si>
  <si>
    <t xml:space="preserve">Reguladores/legisladores, Oferta (Silvicultores), Científicos</t>
  </si>
  <si>
    <t xml:space="preserve">Bosques Nacionales de EE. UU.</t>
  </si>
  <si>
    <t xml:space="preserve">Aplica contabilidad ambiental de emergía al capital natural y servicios ecosistémicos de bosques nacionales.</t>
  </si>
  <si>
    <t xml:space="preserve">National reports under the Convention on Biological Diversity</t>
  </si>
  <si>
    <t xml:space="preserve">Informes nacionales de biodiversidad</t>
  </si>
  <si>
    <t xml:space="preserve">Mandato de reporte nacional (7º y 8º informes) para evaluar avances en las metas del GBF Kunming-Montreal.</t>
  </si>
  <si>
    <t xml:space="preserve">DECCW NSW</t>
  </si>
  <si>
    <t xml:space="preserve">Biodiversity certification assessment methodology, Sydney, NSW</t>
  </si>
  <si>
    <t xml:space="preserve">Bosques y matorrales nativos</t>
  </si>
  <si>
    <t xml:space="preserve">Metodología oficial BAM de Nueva Gales del Sur para la evaluación y certificación de créditos BioBanking.</t>
  </si>
  <si>
    <t xml:space="preserve">Dee et al.</t>
  </si>
  <si>
    <t xml:space="preserve">When do ecosystem services depend on rare species?</t>
  </si>
  <si>
    <t xml:space="preserve">Ecosistemas con especies raras</t>
  </si>
  <si>
    <t xml:space="preserve">Demuestra el papel desproporcionado de las especies raras en la provisión de servicios ecosistémicos clave.</t>
  </si>
  <si>
    <t xml:space="preserve">Environmental improvement plan 2023</t>
  </si>
  <si>
    <t xml:space="preserve">Hábitats urbanos y rurales</t>
  </si>
  <si>
    <t xml:space="preserve">Establece el mandato obligatorio de Ganancia Neta de Biodiversidad (BNG) del 10% en Inglaterra.</t>
  </si>
  <si>
    <t xml:space="preserve">On track to achieve no net loss of forest at Madagascar’s biggest mine</t>
  </si>
  <si>
    <t xml:space="preserve">Demanda (Minería Ambatovy), Reguladores/legisladores, Oferta</t>
  </si>
  <si>
    <t xml:space="preserve">Evaluación empírica que demuestra el logro de No Net Loss de bosque en la mina Ambatovy de Madagascar.</t>
  </si>
  <si>
    <t xml:space="preserve">Cuantitativo / Teledetección</t>
  </si>
  <si>
    <t xml:space="preserve">Evaluación de No Net Loss de bosque en la mina Ambatovy</t>
  </si>
  <si>
    <t xml:space="preserve">Evaluación que logró demostrar el logro de No Net Loss gracias a datos satelitales detallados.</t>
  </si>
  <si>
    <t xml:space="preserve">Set ambitious goals for biodiversity and sustainability</t>
  </si>
  <si>
    <t xml:space="preserve">Biosfera planetaria</t>
  </si>
  <si>
    <t xml:space="preserve">Propone metas interconectadas e ambiciosas para la biodiversidad, servicios ecosistémicos y clima.</t>
  </si>
  <si>
    <t xml:space="preserve">Eckert et al.</t>
  </si>
  <si>
    <t xml:space="preserve">30×30 biodiversity gains rely on national coordination</t>
  </si>
  <si>
    <t xml:space="preserve">Red global de áreas protegidas</t>
  </si>
  <si>
    <t xml:space="preserve">Modela cómo la coordinación nacional optimiza las ganancias de biodiversidad bajo la meta 30x30.</t>
  </si>
  <si>
    <t xml:space="preserve">Elofsson et al.</t>
  </si>
  <si>
    <t xml:space="preserve">Ecological compensation of stochastic wetland biodiversity: National or regional policy schemes?</t>
  </si>
  <si>
    <t xml:space="preserve">Suecia / Europa</t>
  </si>
  <si>
    <t xml:space="preserve">Humedales y cuencas</t>
  </si>
  <si>
    <t xml:space="preserve">Compara esquemas nacionales vs. regionales de compensación de biodiversidad estocástica en humedales.</t>
  </si>
  <si>
    <t xml:space="preserve">Enquist et al.</t>
  </si>
  <si>
    <t xml:space="preserve">The commonness of rarity: Global and future distribution of rarity across land plants</t>
  </si>
  <si>
    <t xml:space="preserve">Plantas vasculares terrestres</t>
  </si>
  <si>
    <t xml:space="preserve">Demuestra que la mayoría de las especies de plantas terrestres son raras y vulnerables al cambio climático.</t>
  </si>
  <si>
    <t xml:space="preserve">Gastineau et al.</t>
  </si>
  <si>
    <t xml:space="preserve">Ecological compensation: How much and where?</t>
  </si>
  <si>
    <t xml:space="preserve">Hábitats en desarrollo urbano</t>
  </si>
  <si>
    <t xml:space="preserve">Modela la localización y escala óptima de las compensaciones ecológicas considerando valores socioeconómicos.</t>
  </si>
  <si>
    <t xml:space="preserve">Guan et al.</t>
  </si>
  <si>
    <t xml:space="preserve">Emergy benefit and radiation effect of multi-dimensional service function of vegetation ecosystem</t>
  </si>
  <si>
    <t xml:space="preserve">Ecosistemas de vegetación</t>
  </si>
  <si>
    <t xml:space="preserve">Cuantifica los beneficios de emergía multidimensionales de las funciones de servicio de los ecosistemas de vegetación.</t>
  </si>
  <si>
    <t xml:space="preserve">Haddad et al.</t>
  </si>
  <si>
    <t xml:space="preserve">Habitat fragmentation and its lasting impact on Earth’s ecosystems</t>
  </si>
  <si>
    <t xml:space="preserve">Bosques fragmentados</t>
  </si>
  <si>
    <t xml:space="preserve">Demuestra que la fragmentación del hábitat reduce la biodiversidad hasta en un 75% a largo plazo.</t>
  </si>
  <si>
    <t xml:space="preserve">Keith et al.</t>
  </si>
  <si>
    <t xml:space="preserve">A function-based typology for Earth’s ecosystems</t>
  </si>
  <si>
    <t xml:space="preserve">Tipología global de ecosistemas de la UICN</t>
  </si>
  <si>
    <t xml:space="preserve">Establece la tipología funcional de ecosistemas de la UICN como marco estándar de clasificación.</t>
  </si>
  <si>
    <t xml:space="preserve">Lee &amp; Brown</t>
  </si>
  <si>
    <t xml:space="preserve">Renewable empower distribution of the world</t>
  </si>
  <si>
    <t xml:space="preserve">Distribución mundial de emergía renovable</t>
  </si>
  <si>
    <t xml:space="preserve">Mapea la distribución mundial de densidad de flujo de emergía renovable a nivel global.</t>
  </si>
  <si>
    <t xml:space="preserve">Ecosistemas globales por GIS</t>
  </si>
  <si>
    <t xml:space="preserve">Estima mediante GIS y emergía el valor biofísico de la estructura y productividad de todos los ecosistemas globales.</t>
  </si>
  <si>
    <t xml:space="preserve">Liu, Liu et al.</t>
  </si>
  <si>
    <t xml:space="preserve">Emergy-based evaluation of world coastal ecosystem services</t>
  </si>
  <si>
    <t xml:space="preserve">Ecosistemas costeros y marinos</t>
  </si>
  <si>
    <t xml:space="preserve">Aplica la contabilidad de emergía para evaluar los servicios ecosistémicos de las zonas costeras del mundo.</t>
  </si>
  <si>
    <t xml:space="preserve">Lu et al.</t>
  </si>
  <si>
    <t xml:space="preserve">Biofuel VS. Biodiversity? Integrated emergy and economic cost-benefit evaluation of rice-ethanol production in Japan</t>
  </si>
  <si>
    <t xml:space="preserve">Agroecosistemas de arroz</t>
  </si>
  <si>
    <t xml:space="preserve">Evaluación integrada de costo-beneficio económico y emergía comparando producción de bioetanol y biodiversidad.</t>
  </si>
  <si>
    <t xml:space="preserve">Lyu et al.</t>
  </si>
  <si>
    <t xml:space="preserve">Environmental cost and impacts of chemicals used in agriculture: An integration of emergy and Life Cycle Assessment</t>
  </si>
  <si>
    <t xml:space="preserve">Integra análisis de emergía y evaluación de ciclo de vida (LCA) para medir los impactos ambientales de agroquímicos.</t>
  </si>
  <si>
    <t xml:space="preserve">Marques et al.</t>
  </si>
  <si>
    <t xml:space="preserve">A framework to identify enabling and urgent actions for the 2020 Aichi Targets</t>
  </si>
  <si>
    <t xml:space="preserve">Marco operativo para priorizar acciones habilitantes e inmediatas bajo las Metas de Aichi.</t>
  </si>
  <si>
    <t xml:space="preserve">Area-based conservation in the twenty-first century</t>
  </si>
  <si>
    <t xml:space="preserve">Reguladores/legisladores, Comunidad científica, Oferta (IPLC)</t>
  </si>
  <si>
    <t xml:space="preserve">Áreas protegidas y OECM</t>
  </si>
  <si>
    <t xml:space="preserve">Revisa la evolución de la conservación basada en áreas, destacando la necesidad de efectividad e inclusión de IPLC.</t>
  </si>
  <si>
    <t xml:space="preserve">Montandon &amp; Small</t>
  </si>
  <si>
    <t xml:space="preserve">The impact of soil reflectance on the quantification of the green vegetation fraction from NDVI</t>
  </si>
  <si>
    <t xml:space="preserve">Cobertura vegetal y suelos</t>
  </si>
  <si>
    <t xml:space="preserve">Evalúa técnicamente el impacto de la reflectancia del suelo en la cuantificación de vegetación verde mediante NDVI.</t>
  </si>
  <si>
    <t xml:space="preserve">Nicholson et al.</t>
  </si>
  <si>
    <t xml:space="preserve">Scientific foundations for an ecosystem goal, milestones and indicators for the post-2020 global biodiversity framework</t>
  </si>
  <si>
    <t xml:space="preserve">Sienta las bases científicas para los objetivos, hitos e indicadores de ecosistemas en el GBF Kunming-Montreal.</t>
  </si>
  <si>
    <t xml:space="preserve">Niu, Squires &amp; Jentsch</t>
  </si>
  <si>
    <t xml:space="preserve">Risks of China’s increased forest area</t>
  </si>
  <si>
    <t xml:space="preserve">Reguladores/legisladores, Comunidad científica, Oferta (Silvicultores)</t>
  </si>
  <si>
    <t xml:space="preserve">Bosques y plantaciones forestales</t>
  </si>
  <si>
    <t xml:space="preserve">Advierte en *Science* sobre los riesgos ecológicos (monocultivos, agua) de la rápida expansión de área forestal en China.</t>
  </si>
  <si>
    <t xml:space="preserve">National Research Council (NRC)</t>
  </si>
  <si>
    <t xml:space="preserve">Compensating for wetland losses under the clean water act</t>
  </si>
  <si>
    <t xml:space="preserve">Reguladores/legisladores (US ACE), Demanda, Oferta</t>
  </si>
  <si>
    <t xml:space="preserve">Humedales bajo banca de mitigación</t>
  </si>
  <si>
    <t xml:space="preserve">Estudio histórico del NRC que demostró los fallos funcionales de la banca de mitigación de humedales en EE. UU.</t>
  </si>
  <si>
    <t xml:space="preserve">NSWDEPE</t>
  </si>
  <si>
    <t xml:space="preserve">Biodiversity credit pricing guide</t>
  </si>
  <si>
    <t xml:space="preserve">Créditos de biodiversidad de NSW</t>
  </si>
  <si>
    <t xml:space="preserve">Guía oficial de precios de créditos de biodiversidad en Nueva Gales del Sur basada en oferta y demanda.</t>
  </si>
  <si>
    <t xml:space="preserve">Odum, H. T.</t>
  </si>
  <si>
    <t xml:space="preserve">Environmental accounting, emergy and environmental decision making</t>
  </si>
  <si>
    <t xml:space="preserve">Todos los ecosistemas y economía</t>
  </si>
  <si>
    <t xml:space="preserve">Libro fundamental de Howard T. Odum sobre la teoría de contabilidad de emergía para la toma de decisiones ambientales.</t>
  </si>
  <si>
    <t xml:space="preserve">Palmer &amp; Filoso</t>
  </si>
  <si>
    <t xml:space="preserve">Restoration of ecosystem services for environmental markets</t>
  </si>
  <si>
    <t xml:space="preserve">Ríos, arroyos y humedales</t>
  </si>
  <si>
    <t xml:space="preserve">Evalúa si la restauración de ríos y humedales para mercados de compensación entrega servicios ecosistémicos reales.</t>
  </si>
  <si>
    <t xml:space="preserve">Biodiversity and the challenge of pluralism</t>
  </si>
  <si>
    <t xml:space="preserve">Pluralismo de valores de la naturaleza</t>
  </si>
  <si>
    <t xml:space="preserve">Aborda la necesidad de integrar múltiples sistemas de valores (ecológicos, culturales, espirituales) en la conservación.</t>
  </si>
  <si>
    <t xml:space="preserve">Quétier &amp; Lavorel</t>
  </si>
  <si>
    <t xml:space="preserve">Assessing ecological equivalence in biodiversity offset schemes: Key issues and solutions</t>
  </si>
  <si>
    <t xml:space="preserve">Analiza los métodos para evaluar la equivalencia ecológica entre pérdidas por desarrollo y ganancias por offset.</t>
  </si>
  <si>
    <t xml:space="preserve">Resource and Environmental Science Data Platform</t>
  </si>
  <si>
    <t xml:space="preserve">Dataset of China's Digital Elevation Model (DEM)</t>
  </si>
  <si>
    <t xml:space="preserve">Topografía y elevación digital</t>
  </si>
  <si>
    <t xml:space="preserve">Base de datos espacial del Modelo de Elevación Digital (DEM) de China a resolución fina.</t>
  </si>
  <si>
    <t xml:space="preserve">Rybicki, Abrego &amp; Ovaskainen</t>
  </si>
  <si>
    <t xml:space="preserve">Habitat fragmentation and species diversity in competitive communities</t>
  </si>
  <si>
    <t xml:space="preserve">Comunidades competitivas fragmentadas</t>
  </si>
  <si>
    <t xml:space="preserve">Modela los efectos de la fragmentación del hábitat sobre la coexistencia y diversidad de especies.</t>
  </si>
  <si>
    <t xml:space="preserve">Shen et al.</t>
  </si>
  <si>
    <t xml:space="preserve">Countries’ differentiated responsibilities to fulfill area-based conservation targets of the Kunming-Montreal Global Biodiversity Framework</t>
  </si>
  <si>
    <t xml:space="preserve">Global (190+ países)</t>
  </si>
  <si>
    <t xml:space="preserve">Áreas protegidas bajo GBF</t>
  </si>
  <si>
    <t xml:space="preserve">Modela las responsabilidades diferenciadas de los países para cumplir la meta 30x30 según su biodiversidad remanente.</t>
  </si>
  <si>
    <t xml:space="preserve">Aligning ecological compensation policies with the Post-2020 Global Biodiversity Framework to achieve real net gain in biodiversity</t>
  </si>
  <si>
    <t xml:space="preserve">Políticas de compensación ecológica</t>
  </si>
  <si>
    <t xml:space="preserve">Propone alinear las políticas de compensación con el Marco Global de Biodiversidad para lograr ganancias netas reales.</t>
  </si>
  <si>
    <t xml:space="preserve">Soto-Navarro et al.</t>
  </si>
  <si>
    <t xml:space="preserve">Towards a multidimensional biodiversity index for national application</t>
  </si>
  <si>
    <t xml:space="preserve">Global / Nacional</t>
  </si>
  <si>
    <t xml:space="preserve">Índice Multidimensional de Biodiversidad</t>
  </si>
  <si>
    <t xml:space="preserve">Desarrolla un Índice Multidimensional de Biodiversidad para guiar políticas públicas nacionales.</t>
  </si>
  <si>
    <t xml:space="preserve">Stange, Barrett &amp; Hendry</t>
  </si>
  <si>
    <t xml:space="preserve">The importance of genomic variation for biodiversity, ecosystems and people</t>
  </si>
  <si>
    <t xml:space="preserve">Variación genómica de especies</t>
  </si>
  <si>
    <t xml:space="preserve">Analiza la importancia de la diversidad genética para la resiliencia de los ecosistemas y el bienestar humano.</t>
  </si>
  <si>
    <t xml:space="preserve">U.S. Washington State Dept. of Ecology</t>
  </si>
  <si>
    <t xml:space="preserve">Credit guide for wetland mitigation banks</t>
  </si>
  <si>
    <t xml:space="preserve">Reguladores/legisladores, Oferta (Banqueros de humedales), Demanda</t>
  </si>
  <si>
    <t xml:space="preserve">EE. UU. (Washington)</t>
  </si>
  <si>
    <t xml:space="preserve">Guía normativa de créditos de humedad para determinar oferta, demanda y valoración de créditos en bancos de mitigación.</t>
  </si>
  <si>
    <t xml:space="preserve">Xu et al. (CNLUCC)</t>
  </si>
  <si>
    <t xml:space="preserve">China's multi-period land use land cover change remote sensing monitoring data set</t>
  </si>
  <si>
    <t xml:space="preserve">Uso del suelo y cobertura vegetal (30m)</t>
  </si>
  <si>
    <t xml:space="preserve">Conjunto de datos teledetectados de cambio de cobertura y uso del suelo en China (2000-2020).</t>
  </si>
  <si>
    <t xml:space="preserve">Development of a new framework for non-monetary accounting on ecosystem services valuation</t>
  </si>
  <si>
    <t xml:space="preserve">Servicios ecosistémicos</t>
  </si>
  <si>
    <t xml:space="preserve">Desarrolla un marco no monetario basado en emergía para la valoración y gestión de servicios ecosistémicos.</t>
  </si>
  <si>
    <t xml:space="preserve">Emergy-based ecosystem services valuation and classification management applied to China’s grasslands</t>
  </si>
  <si>
    <t xml:space="preserve">Comunidad científica, Oferta (Pastores), Reguladores</t>
  </si>
  <si>
    <t xml:space="preserve">Aplica la valoración de emergía a los pastizales de China para su clasificación y gestión ecológica.</t>
  </si>
  <si>
    <t xml:space="preserve">Zhan, Zhao &amp; Hu</t>
  </si>
  <si>
    <t xml:space="preserve">Emergy-based sustainability assessment of forest ecosystem with the aid of mountain eco-hydrological model</t>
  </si>
  <si>
    <t xml:space="preserve">China (Guangxi)</t>
  </si>
  <si>
    <t xml:space="preserve">Bosques de montaña y cuencas</t>
  </si>
  <si>
    <t xml:space="preserve">Evaluación de sostenibilidad basada en emergía para ecosistemas forestales montañosos.</t>
  </si>
  <si>
    <t xml:space="preserve">Emergy-based evaluation of ecosystem services: Progress and perspectives</t>
  </si>
  <si>
    <t xml:space="preserve">Servicios ecosistémicos y emergía</t>
  </si>
  <si>
    <t xml:space="preserve">Revisión sobre los avances y perspectivas de la evaluación de servicios ecosistémicos basada en emergía.</t>
  </si>
  <si>
    <t xml:space="preserve">Zhang, Srinivasan &amp; Peng</t>
  </si>
  <si>
    <t xml:space="preserve">A systematic approach to calculate unit emergy values of cement manufacturing in China</t>
  </si>
  <si>
    <t xml:space="preserve">Comunidad científica, Demanda (Industria)</t>
  </si>
  <si>
    <t xml:space="preserve">Materiales industriales</t>
  </si>
  <si>
    <t xml:space="preserve">Calcula los valores unitarios de emergía (UEVs) de la fabricación de cemento e insumos en China.</t>
  </si>
  <si>
    <t xml:space="preserve">Zhao et al.</t>
  </si>
  <si>
    <t xml:space="preserve">Ecological restoration impact on total terrestrial water storage</t>
  </si>
  <si>
    <t xml:space="preserve">Almacenamiento de agua terrestre y bosques</t>
  </si>
  <si>
    <t xml:space="preserve">Evalúa el impacto de los proyectos masivos de restauración ecológica de China en el almacenamiento de agua terrestre.</t>
  </si>
  <si>
    <t xml:space="preserve">Archer &amp; Jacobson</t>
  </si>
  <si>
    <t xml:space="preserve">Evaluation of global wind power</t>
  </si>
  <si>
    <t xml:space="preserve">Energía eólica global</t>
  </si>
  <si>
    <t xml:space="preserve">Evaluación cuantitativa del potencial eólico global para la conversión a valores de emergía.</t>
  </si>
  <si>
    <t xml:space="preserve">Bengtsson, L.</t>
  </si>
  <si>
    <t xml:space="preserve">The global atmospheric water cycle</t>
  </si>
  <si>
    <t xml:space="preserve">Atmósfera / Acuático</t>
  </si>
  <si>
    <t xml:space="preserve">Ciclo del agua atmosférico</t>
  </si>
  <si>
    <t xml:space="preserve">Analiza el ciclo del agua atmosférico global utilizado en los cálculos de energía potencial de la lluvia.</t>
  </si>
  <si>
    <t xml:space="preserve">Garratt, J. R.</t>
  </si>
  <si>
    <t xml:space="preserve">The atmospheric boundary layer</t>
  </si>
  <si>
    <t xml:space="preserve">Atmósfera</t>
  </si>
  <si>
    <t xml:space="preserve">Capa límite atmosférica</t>
  </si>
  <si>
    <t xml:space="preserve">Texto clásico sobre la capa límite atmosférica y la transferencia de energía eólica e hídrica.</t>
  </si>
  <si>
    <t xml:space="preserve">IHFC</t>
  </si>
  <si>
    <t xml:space="preserve">The global heat flow database</t>
  </si>
  <si>
    <t xml:space="preserve">Geosfera</t>
  </si>
  <si>
    <t xml:space="preserve">Flujo de calor geotérmico global</t>
  </si>
  <si>
    <t xml:space="preserve">Base de datos del flujo de calor geotérmico mundial utilizada en la línea de base de emergía geobiosférica.</t>
  </si>
  <si>
    <t xml:space="preserve">Meyer, DuVal &amp; Jensen</t>
  </si>
  <si>
    <t xml:space="preserve">Patterns and processes in crop domestication: An historical review and quantitative analysis</t>
  </si>
  <si>
    <t xml:space="preserve">Global (203 cultivos)</t>
  </si>
  <si>
    <t xml:space="preserve">Cultivos agrícolas domesticados</t>
  </si>
  <si>
    <t xml:space="preserve">Análisis cuantitativo de la domesticación de 203 cultivos globales y su inversión de emergía en domesticación (ESH).</t>
  </si>
  <si>
    <t xml:space="preserve">NEAD</t>
  </si>
  <si>
    <t xml:space="preserve">National environmental accounting database V2.0</t>
  </si>
  <si>
    <t xml:space="preserve">Base de datos de contabilidad ambiental</t>
  </si>
  <si>
    <t xml:space="preserve">Base de datos nacional de contabilidad ambiental con intensidades de emergía y UEVs por país.</t>
  </si>
  <si>
    <t xml:space="preserve">NOAA National Centers for Environmental Information</t>
  </si>
  <si>
    <t xml:space="preserve">State of the climate: global climate report—Annual 2017</t>
  </si>
  <si>
    <t xml:space="preserve">Atmósfera global, temperaturas terrestres y oceánicas</t>
  </si>
  <si>
    <t xml:space="preserve">Reporte climático de referencia que demuestra que los cuatro años más cálidos registrados ocurrieron consecutivamente entre 2014 y 2017.</t>
  </si>
  <si>
    <t xml:space="preserve">Scheffers et al.</t>
  </si>
  <si>
    <t xml:space="preserve">The broad footprint of climate change from genes to biomes to people</t>
  </si>
  <si>
    <t xml:space="preserve">Síntesis global en Science que demuestra los impactos generalizados del cambio climático en genes, especies, ecosistemas y bienestar humano.</t>
  </si>
  <si>
    <t xml:space="preserve">Heller &amp; Zavaleta</t>
  </si>
  <si>
    <t xml:space="preserve">Biodiversity management in the face of climate change: a review of 22 years of recommendations</t>
  </si>
  <si>
    <t xml:space="preserve">Comunidad científica, Reguladores/legisladores, Oferta (Gestores de conservación)</t>
  </si>
  <si>
    <t xml:space="preserve">Múltiples ecosistemas terrestres y acuáticos</t>
  </si>
  <si>
    <t xml:space="preserve">Revisión sistemática hito que sintetizó 22 años de literatura proponiendo estructurar el mar de ideas sobre adaptación climática.</t>
  </si>
  <si>
    <t xml:space="preserve">A decision framework for considering climate change adaptation in biodiversity conservation planning</t>
  </si>
  <si>
    <t xml:space="preserve">Reguladores/legisladores, Oferta (Planificadores de conservación), Científicos</t>
  </si>
  <si>
    <t xml:space="preserve">Paisajes protegidos y hábitats terrestres</t>
  </si>
  <si>
    <t xml:space="preserve">Propone un marco de toma de decisiones para guiar la integración práctica de la adaptación al clima en la planificación de la conservación.</t>
  </si>
  <si>
    <t xml:space="preserve">Stein et al.</t>
  </si>
  <si>
    <t xml:space="preserve">Preparing for and managing change: climate adaptation for biodiversity and ecosystems</t>
  </si>
  <si>
    <t xml:space="preserve">Reguladores/legisladores, Oferta (Gestores de recursos naturales), Científicos</t>
  </si>
  <si>
    <t xml:space="preserve">Ecosistemas terrestres, ríos y lagos</t>
  </si>
  <si>
    <t xml:space="preserve">Establece los principios inteligentes ante el clima (climate-smart adaptation) para la gestión adaptativa de biodiversidad.</t>
  </si>
  <si>
    <t xml:space="preserve">Hagerman &amp; Satterfield</t>
  </si>
  <si>
    <t xml:space="preserve">Agreed but not preferred: expert views on taboo options for biodiversity conservation, given climate change</t>
  </si>
  <si>
    <t xml:space="preserve">Canadá / América del Norte</t>
  </si>
  <si>
    <t xml:space="preserve">Ecosistemas forestales</t>
  </si>
  <si>
    <t xml:space="preserve">Evalúa las percepciones de expertos sobre opciones de conservación consideradas tabú o controversiales (como la migración asistida).</t>
  </si>
  <si>
    <t xml:space="preserve">Prober et al.</t>
  </si>
  <si>
    <t xml:space="preserve">Informing climate adaptation pathways in multi-use woodland landscapes using the values-rules-knowledge framework</t>
  </si>
  <si>
    <t xml:space="preserve">Oferta (Propietarios rurales, Agricultores), Reguladores/legisladores, Científicos</t>
  </si>
  <si>
    <t xml:space="preserve">Bosques abiertos y tierras arboladas agrícolas (woodlands)</t>
  </si>
  <si>
    <t xml:space="preserve">Utiliza el marco VRK (Valores-Reglas-Conocimiento) para orientar rutas de adaptación climática en paisajes arbolados de uso múltiple.</t>
  </si>
  <si>
    <t xml:space="preserve">Pecl et al.</t>
  </si>
  <si>
    <t xml:space="preserve">Biodiversity redistribution under climate change: Impacts on ecosystems and human well-being</t>
  </si>
  <si>
    <t xml:space="preserve">Ecosistemas marinos, terrestres y continentales</t>
  </si>
  <si>
    <t xml:space="preserve">Demuestra en Science cómo la redistribución de especies por calentamiento global afecta la dinámica ecosistémica y las actividades humanas.</t>
  </si>
  <si>
    <t xml:space="preserve">Colloff et al.</t>
  </si>
  <si>
    <t xml:space="preserve">Adaptation services and pathways for the management of temperate montane forests under transformational climate change</t>
  </si>
  <si>
    <t xml:space="preserve">Reguladores/legisladores, Oferta (Silvicultores, Parques), Científicos</t>
  </si>
  <si>
    <t xml:space="preserve">Bosques montanos templados de Eucalyptus ash</t>
  </si>
  <si>
    <t xml:space="preserve">Conceptualiza los servicios de adaptación que brindan los ecosistemas para respaldar la transformación social bajo cambio climático.</t>
  </si>
  <si>
    <t xml:space="preserve">Aitken &amp; Whitlock</t>
  </si>
  <si>
    <t xml:space="preserve">Assisted gene flow to facilitate local adaptation to climate change</t>
  </si>
  <si>
    <t xml:space="preserve">Comunidad científica, Oferta (Silvicultores, Viveristas)</t>
  </si>
  <si>
    <t xml:space="preserve">América del Norte</t>
  </si>
  <si>
    <t xml:space="preserve">Bosques templados y especies forestales de coníferas</t>
  </si>
  <si>
    <t xml:space="preserve">Fundamenta el flujo génico asistido como mecanismo para acelerar la adaptación genética local de árboles al cambio climático.</t>
  </si>
  <si>
    <t xml:space="preserve">Schwartz &amp; Martin</t>
  </si>
  <si>
    <t xml:space="preserve">Translocation of imperiled species under changing climates</t>
  </si>
  <si>
    <t xml:space="preserve">Hábitats de especies en peligro de extinción</t>
  </si>
  <si>
    <t xml:space="preserve">Analiza las dimensiones metodológicas, éticas y normativas del uso de la traslocación y migración asistida de especies en riesgo.</t>
  </si>
  <si>
    <t xml:space="preserve">Greenwood et al.</t>
  </si>
  <si>
    <t xml:space="preserve">Using in situ management to conserve biodiversity under climate change</t>
  </si>
  <si>
    <t xml:space="preserve">Comunidad científica, Oferta (Gestores de áreas protegidas), Reguladores</t>
  </si>
  <si>
    <t xml:space="preserve">Hábitats terrestres y acuáticos continentales</t>
  </si>
  <si>
    <t xml:space="preserve">Revisa la evidencia empírica sobre cómo el manejo in situ amortigua las variaciones microclimáticas y protege la biodiversidad.</t>
  </si>
  <si>
    <t xml:space="preserve">Peterson, Halofsky &amp; Johnson</t>
  </si>
  <si>
    <t xml:space="preserve">Managing and adapting to changing fire regimes in a warmer climate</t>
  </si>
  <si>
    <t xml:space="preserve">Reguladores/legisladores, Oferta (Silvicultores, Servicios de incendios)</t>
  </si>
  <si>
    <t xml:space="preserve">Bosques de coníferas y paisajes propensos al fuego</t>
  </si>
  <si>
    <t xml:space="preserve">Propone estrategias de manejo de combustibles y quemas prescritas para adaptar la silvicultura a regímenes de fuego alterados.</t>
  </si>
  <si>
    <t xml:space="preserve">Beier &amp; Brost</t>
  </si>
  <si>
    <t xml:space="preserve">Use of land facets to plan for climate change: conserving the arenas, not the actors</t>
  </si>
  <si>
    <t xml:space="preserve">Reguladores/legisladores, Oferta (Planificadores de conservación)</t>
  </si>
  <si>
    <t xml:space="preserve">Paisajes con alta diversidad geofísica</t>
  </si>
  <si>
    <t xml:space="preserve">Desarrolla el enfoque de conservación de facetas del terreno para proteger la diversidad geofísica que albergará especies futuras.</t>
  </si>
  <si>
    <t xml:space="preserve">Facetas del terreno y gradientes topográficos</t>
  </si>
  <si>
    <t xml:space="preserve">Propone incorporar la variabilidad de inclinación, aspecto y altitud para garantizar que el diseño de reservas capture microclimas.</t>
  </si>
  <si>
    <t xml:space="preserve">Corlett, R. T.</t>
  </si>
  <si>
    <t xml:space="preserve">Restoration, reintroduction, and rewilding in a changing world</t>
  </si>
  <si>
    <t xml:space="preserve">Ecosistemas terrestres en transformación</t>
  </si>
  <si>
    <t xml:space="preserve">Discute la necesidad de actualizar el vocabulario de conservación adaptando los conceptos de restauración, reintroducción y rewilding.</t>
  </si>
  <si>
    <t xml:space="preserve">Rohwer &amp; Marris</t>
  </si>
  <si>
    <t xml:space="preserve">Renaming restoration: conceptualizing and justifying the activity as a restoration of lost moral value rather than a return to a previous state</t>
  </si>
  <si>
    <t xml:space="preserve">Sistemas ecológicos degradados</t>
  </si>
  <si>
    <t xml:space="preserve">Plantea la reconceptualización de la restauración como la recuperación del valor moral perdido en lugar de la imitación del pasado.</t>
  </si>
  <si>
    <t xml:space="preserve">International standards for the practice of ecological restoration—including principles and key concepts</t>
  </si>
  <si>
    <t xml:space="preserve">Oferta (Practicantes de restauración, SER), Reguladores, Científicos</t>
  </si>
  <si>
    <t xml:space="preserve">Publicación oficial de los estándares internacionales de la SER para guiar la restauración adaptada a dinámicas de cambio global.</t>
  </si>
  <si>
    <t xml:space="preserve">The Free Dictionary / Cambridge Dictionary</t>
  </si>
  <si>
    <t xml:space="preserve">Lexicographical definitions of restoration, conservation, and renovation</t>
  </si>
  <si>
    <t xml:space="preserve">Público general, Comunidad científica</t>
  </si>
  <si>
    <t xml:space="preserve">Análisis léxico y terminológico</t>
  </si>
  <si>
    <t xml:space="preserve">Proporciona las definiciones semánticas oficiales para fundamentar conceptualmente la distinción entre restauración y 'renovación ecológica'.</t>
  </si>
  <si>
    <t xml:space="preserve">Nature conservation and ecological restoration in a changing climate: what are we aiming for?</t>
  </si>
  <si>
    <t xml:space="preserve">Reguladores/legisladores, Oferta (Gestores), Comunidad científica</t>
  </si>
  <si>
    <t xml:space="preserve">Ecosistemas terrestres y continentales</t>
  </si>
  <si>
    <t xml:space="preserve">Establece cinco principios rectores para definir metas de conservación adaptadas al cambio climático sin depender del referente histórico.</t>
  </si>
  <si>
    <t xml:space="preserve">Higgs et al.</t>
  </si>
  <si>
    <t xml:space="preserve">The changing role of history in restoration ecology</t>
  </si>
  <si>
    <t xml:space="preserve">Comunidad científica, Oferta (Restauradores), Reguladores</t>
  </si>
  <si>
    <t xml:space="preserve">Ecosistemas terrestres degradados</t>
  </si>
  <si>
    <t xml:space="preserve">Examina el papel cambiante de la fidelidad histórica en la ecología de la restauración ante la inevitabilidad del cambio climático.</t>
  </si>
  <si>
    <t xml:space="preserve">Committing to ecological restoration</t>
  </si>
  <si>
    <t xml:space="preserve">Reguladores/legisladores, Oferta (Practicantes), Científicos</t>
  </si>
  <si>
    <t xml:space="preserve">Bosques, humedales y pastizales</t>
  </si>
  <si>
    <t xml:space="preserve">Publica en Science cuatro principios fundamentales para garantizar que los compromisos de restauración global sean efectivos y sostenibles.</t>
  </si>
  <si>
    <t xml:space="preserve">Heller &amp; Hobbs</t>
  </si>
  <si>
    <t xml:space="preserve">Development of a natural practice to adapt conservation goals to global change</t>
  </si>
  <si>
    <t xml:space="preserve">Oferta (Gestores de conservación), Reguladores, Científicos</t>
  </si>
  <si>
    <t xml:space="preserve">América del Norte / Global</t>
  </si>
  <si>
    <t xml:space="preserve">Áreas protegidas y reservas naturales</t>
  </si>
  <si>
    <t xml:space="preserve">Propone el concepto de 'Práctica Natural' recomendando priorizar medidas de bajo arrepentimiento frente a intervenciones altamente intrusivas.</t>
  </si>
  <si>
    <t xml:space="preserve">Ausden, M.</t>
  </si>
  <si>
    <t xml:space="preserve">Climate change adaptation: putting principles into practice</t>
  </si>
  <si>
    <t xml:space="preserve">Oferta (Gestores de reservas RSPB), Reguladores, Científicos</t>
  </si>
  <si>
    <t xml:space="preserve">Turberas y humedales de tierras bajas</t>
  </si>
  <si>
    <t xml:space="preserve">Demuestra la eliminación de drenajes artificiales y la creación de embalses de agua de lluvia para evitar el secado de turberas británicas.</t>
  </si>
  <si>
    <t xml:space="preserve">Burrows et al.</t>
  </si>
  <si>
    <t xml:space="preserve">Geographical limits to species range shifts are suggested by climate velocity</t>
  </si>
  <si>
    <t xml:space="preserve">Demuestra en Nature que la velocidad del cambio climático supera la capacidad de desplazamiento geográfico de numerosas especies.</t>
  </si>
  <si>
    <t xml:space="preserve">Millar &amp; Stephenson</t>
  </si>
  <si>
    <t xml:space="preserve">Temperate forest health in an era of emerging megadisturbance</t>
  </si>
  <si>
    <t xml:space="preserve">Estados Unidos / América del Norte</t>
  </si>
  <si>
    <t xml:space="preserve">Bosques templados de coníferas y frondosas</t>
  </si>
  <si>
    <t xml:space="preserve">Analiza las megaperturbaciones forestales emergentes en Science y la necesidad de pasar de la resistencia a la gestión del cambio.</t>
  </si>
  <si>
    <t xml:space="preserve">Lin &amp; Petersen</t>
  </si>
  <si>
    <t xml:space="preserve">Resilience, regime shifts, and guided transition under climate change: examining the practical difficulties of managing continually changing systems</t>
  </si>
  <si>
    <t xml:space="preserve">Reguladores/legisladores, Oferta (Gestores de bosques costeros)</t>
  </si>
  <si>
    <t xml:space="preserve">Estados Unidos (Carolina del Norte)</t>
  </si>
  <si>
    <t xml:space="preserve">Bosques costeros amenazados por salinización</t>
  </si>
  <si>
    <t xml:space="preserve">Presenta el concepto de 'transición guiada' introduciendo especies arbóreas resistentes a la salinidad para mantener hábitats costeros.</t>
  </si>
  <si>
    <t xml:space="preserve">Folke et al.</t>
  </si>
  <si>
    <t xml:space="preserve">Regime shifts, resilience, and biodiversity in ecosystem management</t>
  </si>
  <si>
    <t xml:space="preserve">Estudio clásico sobre cambios de régimen y resiliencia que establece la relación entre diversidad funcional y estabilidad del sistema.</t>
  </si>
  <si>
    <t xml:space="preserve">Facilitating adaptation of biodiversity to climate change: a conceptual framework applied to the world’s largest Mediterranean-climate woodland</t>
  </si>
  <si>
    <t xml:space="preserve">Reguladores/legisladores, Oferta (Gestores de reservas), Científicos</t>
  </si>
  <si>
    <t xml:space="preserve">Bosques y sabanas de clima mediterráneo (Great Western Woodlands)</t>
  </si>
  <si>
    <t xml:space="preserve">Aplica un marco conceptual donde la adaptación a escala fina confiere resiliencia al ecosistema ante la aridez creciente.</t>
  </si>
  <si>
    <t xml:space="preserve">Beechie et al.</t>
  </si>
  <si>
    <t xml:space="preserve">Restoring salmon habitat for a changing climate</t>
  </si>
  <si>
    <t xml:space="preserve">Reguladores/legisladores, Oferta (Pesquerías, Gestores de cuencas)</t>
  </si>
  <si>
    <t xml:space="preserve">Estados Unidos (Pacífico Noroeste)</t>
  </si>
  <si>
    <t xml:space="preserve">Ríos y bosques ribereños (hábitat de salmones)</t>
  </si>
  <si>
    <t xml:space="preserve">Modela el impacto de la reforestación de riberas para enfriar la temperatura de los arroyos y amortiguar el calentamiento.</t>
  </si>
  <si>
    <t xml:space="preserve">Fuentes, Fish &amp; Maynard</t>
  </si>
  <si>
    <t xml:space="preserve">Management strategies to mitigate the impacts of climate change on sea turtle’s terrestrial reproductive phase</t>
  </si>
  <si>
    <t xml:space="preserve">Reguladores/legisladores, Oferta (Conservacionistas), Público</t>
  </si>
  <si>
    <t xml:space="preserve">Zonas costeras y playas de anidación de tortugas marinas</t>
  </si>
  <si>
    <t xml:space="preserve">Demuestra que la revegetación de playas reduce la temperatura del suelo en 2-3°C protegiendo los nidos de tortugas marinas.</t>
  </si>
  <si>
    <t xml:space="preserve">Shoo et al.</t>
  </si>
  <si>
    <t xml:space="preserve">Targeted protection and restoration to conserve tropical biodiversity in a warming world</t>
  </si>
  <si>
    <t xml:space="preserve">Comunidad científica, Oferta (Restauradores forestales)</t>
  </si>
  <si>
    <t xml:space="preserve">Australia (Trópicos húmedos)</t>
  </si>
  <si>
    <t xml:space="preserve">Selvas tropicales húmedas</t>
  </si>
  <si>
    <t xml:space="preserve">Demuestra empíricamente que la restauración del dosel arbóreo reduce las temperaturas máximas del sotobosque hasta en 3°C.</t>
  </si>
  <si>
    <t xml:space="preserve">Pike &amp; Mitchell</t>
  </si>
  <si>
    <t xml:space="preserve">Burrow-dwelling ecosystem engineers provide thermal refugia throughout the landscape</t>
  </si>
  <si>
    <t xml:space="preserve">Comunidad científica, Oferta (Gestores de fauna silvestre)</t>
  </si>
  <si>
    <t xml:space="preserve">Matorrales y paisajes semiáridos</t>
  </si>
  <si>
    <t xml:space="preserve">Demuestra que las madrigueras excavadas por animales actúan como refugios térmicos clave para la supervivencia de otras especies.</t>
  </si>
  <si>
    <t xml:space="preserve">Thomas, Griffiths &amp; Ormerod</t>
  </si>
  <si>
    <t xml:space="preserve">Beyond cool: adapting upland streams for climate change using riparian woodlands</t>
  </si>
  <si>
    <t xml:space="preserve">Reguladores/legisladores, Oferta (Gestores hídricos)</t>
  </si>
  <si>
    <t xml:space="preserve">Arroyos de montaña y bosques ribereños</t>
  </si>
  <si>
    <t xml:space="preserve">Modela cómo el sombreado de bosques ribereños previene picos de temperatura en arroyos de cabecera amenazados.</t>
  </si>
  <si>
    <t xml:space="preserve">Doody &amp; Benyon</t>
  </si>
  <si>
    <t xml:space="preserve">Quantifying water savings from willow removal in Australian streams</t>
  </si>
  <si>
    <t xml:space="preserve">Reguladores/legisladores, Oferta (Gestores de cuencas, Agricultores)</t>
  </si>
  <si>
    <t xml:space="preserve">Ríos y arroyos invadidos por sauces exóticos</t>
  </si>
  <si>
    <t xml:space="preserve">Cuantifica los ahorros significativos de caudal de agua al eliminar sauces exóticos en cauces durante períodos de sequía.</t>
  </si>
  <si>
    <t xml:space="preserve">Enhancing soil biophysical condition for climate-resilient restoration in mesic woodlands</t>
  </si>
  <si>
    <t xml:space="preserve">Oferta (Restauradores, Agricultores), Científicos</t>
  </si>
  <si>
    <t xml:space="preserve">Bosques templados mesófilos</t>
  </si>
  <si>
    <t xml:space="preserve">Muestra que las enmiendas orgánicas de carbono en el suelo aumentan la infiltración y retención de agua para la vegetación.</t>
  </si>
  <si>
    <t xml:space="preserve">Bhave et al.</t>
  </si>
  <si>
    <t xml:space="preserve">Barriers and opportunities for robust decision making approaches to support climate change adaptation in the developing world</t>
  </si>
  <si>
    <t xml:space="preserve">Reguladores/legisladores, Oferta (Gestores hídricos), Científicos</t>
  </si>
  <si>
    <t xml:space="preserve">India / Asia</t>
  </si>
  <si>
    <t xml:space="preserve">Cuencas hidrográficas en desarrollo</t>
  </si>
  <si>
    <t xml:space="preserve">Analiza opciones de manejo de escorrentía para estabilizar caudales continentales en sequías y reducir riesgos de inundación.</t>
  </si>
  <si>
    <t xml:space="preserve">Kumara et al.</t>
  </si>
  <si>
    <t xml:space="preserve">High mangrove density enhances surface accretion, surface elevation change, and tree survival in coastal areas susceptible to sea-level rise</t>
  </si>
  <si>
    <t xml:space="preserve">Oferta (Comunidades costeras), Reguladores, Científicos</t>
  </si>
  <si>
    <t xml:space="preserve">Sri Lanka / Asia</t>
  </si>
  <si>
    <t xml:space="preserve">Ecosistemas de manglar costero</t>
  </si>
  <si>
    <t xml:space="preserve">Muestra que la reforestación densa de manglares promueve una acumulación de sedimento de 13 mm/año contrarrestando el nivel del mar.</t>
  </si>
  <si>
    <t xml:space="preserve">Abella et al.</t>
  </si>
  <si>
    <t xml:space="preserve">Past, present, and future old growth in frequent-fire conifer forests of the Western United States</t>
  </si>
  <si>
    <t xml:space="preserve">Reguladores/legisladores, Oferta (Silvicultores)</t>
  </si>
  <si>
    <t xml:space="preserve">Estados Unidos (Oeste)</t>
  </si>
  <si>
    <t xml:space="preserve">Bosques maduros de coníferas</t>
  </si>
  <si>
    <t xml:space="preserve">Evalúa el uso de raleo y fuego controlado para reducir la carga de combustible y evitar la destrucción de bosques maduros.</t>
  </si>
  <si>
    <t xml:space="preserve">Devisscher et al.</t>
  </si>
  <si>
    <t xml:space="preserve">Understanding ecological transitions under recurrent wildfire: a case study in the seasonally dry tropical forests of the Chiquitania, Bolivia</t>
  </si>
  <si>
    <t xml:space="preserve">Oferta (Comunidades locales, Silvicultores), Reguladores</t>
  </si>
  <si>
    <t xml:space="preserve">Bolivia (Chiquitania)</t>
  </si>
  <si>
    <t xml:space="preserve">Bosques secos tropicales</t>
  </si>
  <si>
    <t xml:space="preserve">Analiza las transiciones ecológicas tras incendios recurrentes y propone estrategias de manejo del fuego en la Chiquitania.</t>
  </si>
  <si>
    <t xml:space="preserve">Cross et al.</t>
  </si>
  <si>
    <t xml:space="preserve">Accelerating adaptation of natural resource management to address climate change</t>
  </si>
  <si>
    <t xml:space="preserve">Reguladores/legisladores, Oferta (Gestores de NRM)</t>
  </si>
  <si>
    <t xml:space="preserve">Recursos naturales terrestres y hídricos</t>
  </si>
  <si>
    <t xml:space="preserve">Propone marcos institucionales para acelerar la adopción de medidas de adaptación climática en agencias públicas.</t>
  </si>
  <si>
    <t xml:space="preserve">Baron et al.</t>
  </si>
  <si>
    <t xml:space="preserve">Options for national parks and reserves for adapting to climate change</t>
  </si>
  <si>
    <t xml:space="preserve">Reguladores/legisladores, Oferta (Gestores de Parques Nacionales US)</t>
  </si>
  <si>
    <t xml:space="preserve">Red de Parques Nacionales y reservas</t>
  </si>
  <si>
    <t xml:space="preserve">Presenta opciones prácticas de adaptación en reservas protegidas, incluyendo control de fuegos y regulación de visitantes.</t>
  </si>
  <si>
    <t xml:space="preserve">Driscoll et al.</t>
  </si>
  <si>
    <t xml:space="preserve">Priorities in policy and management when existing biodiversity stressors interact with climate-change</t>
  </si>
  <si>
    <t xml:space="preserve">Bosques templados de Eucalyptus ash</t>
  </si>
  <si>
    <t xml:space="preserve">Analiza las interacciones entre incendios, cambio climático y madereo post-incendio sugiriendo restricciones regulatorias.</t>
  </si>
  <si>
    <t xml:space="preserve">Maalouf et al.</t>
  </si>
  <si>
    <t xml:space="preserve">Integrating climate change into calcareous grassland management</t>
  </si>
  <si>
    <t xml:space="preserve">Oferta (Ganaderos), Reguladores, Científicos</t>
  </si>
  <si>
    <t xml:space="preserve">Pastizales calcáreos</t>
  </si>
  <si>
    <t xml:space="preserve">Demuestra la necesidad de flexibilizar la presión de pastoreo durante sequías extremas para preservar la flora calcárea.</t>
  </si>
  <si>
    <t xml:space="preserve">Frelich &amp; Reich</t>
  </si>
  <si>
    <t xml:space="preserve">Wilderness conservation in an era of global warming and invasive species: a case study from Minnesota’s Boundary Waters...</t>
  </si>
  <si>
    <t xml:space="preserve">Reguladores/legisladores, Oferta (Gestores de áreas silvestres)</t>
  </si>
  <si>
    <t xml:space="preserve">Estados Unidos (Minnesota)</t>
  </si>
  <si>
    <t xml:space="preserve">Bosques boreales en la frontera Boundary Waters</t>
  </si>
  <si>
    <t xml:space="preserve">Estudio de caso sobre la interacción entre el calentamiento, brotes de plagas e invasión de ciervos en áreas silvestres.</t>
  </si>
  <si>
    <t xml:space="preserve">Ritchie et al.</t>
  </si>
  <si>
    <t xml:space="preserve">Ecosystem restoration with teeth: what role for predators?</t>
  </si>
  <si>
    <t xml:space="preserve">Ecosistemas terrestres con redes tróficas alteradas</t>
  </si>
  <si>
    <t xml:space="preserve">Propone la conservación y reintroducción de superdepredadores para controlar herbívoros mesopredadores descontrolados.</t>
  </si>
  <si>
    <t xml:space="preserve">Six, Biber &amp; Long</t>
  </si>
  <si>
    <t xml:space="preserve">Management for mountain pine beetle outbreak suppression: does relevant science support current policy?</t>
  </si>
  <si>
    <t xml:space="preserve">Bosques de pino afectados por el escarabajo de corteza</t>
  </si>
  <si>
    <t xml:space="preserve">Evalúa críticamente las políticas de tala sanitaria mostrando que la evidencia científica no respalda su efectividad contra el escarabajo.</t>
  </si>
  <si>
    <t xml:space="preserve">Chmura et al.</t>
  </si>
  <si>
    <t xml:space="preserve">Forest responses to climate change in the northwestern United States: ecophysiological foundations for adaptive management</t>
  </si>
  <si>
    <t xml:space="preserve">Oferta (Silvicultores, Viveristas), Científicos</t>
  </si>
  <si>
    <t xml:space="preserve">Bosques de coníferas</t>
  </si>
  <si>
    <t xml:space="preserve">Fundamenta el acondicionamiento previo de plántulas y la siembra en microhábitats para superar la vulnerabilidad de germinación.</t>
  </si>
  <si>
    <t xml:space="preserve">Vallejo et al.</t>
  </si>
  <si>
    <t xml:space="preserve">Perspectives in dryland restoration: approaches for climate change adaptation</t>
  </si>
  <si>
    <t xml:space="preserve">Oferta (Restauradores en zonas áridas), Científicos</t>
  </si>
  <si>
    <t xml:space="preserve">España / Cuenca del Mediterráneo</t>
  </si>
  <si>
    <t xml:space="preserve">Zonas áridas y semiáridas degradadas</t>
  </si>
  <si>
    <t xml:space="preserve">Presenta el uso de contenedores profundos, acolchados e hidrogeles para mejorar el establecimiento de plantas en zonas secas.</t>
  </si>
  <si>
    <t xml:space="preserve">Bonebrake et al.</t>
  </si>
  <si>
    <t xml:space="preserve">Fire management, managed relocation, and land conservation options for long-lived obligate seeding plants under global changes...</t>
  </si>
  <si>
    <t xml:space="preserve">Reguladores/legisladores, Oferta (Gestores de conservación)</t>
  </si>
  <si>
    <t xml:space="preserve">Matorrales de Chaparral y plantas semilladoras obligadas</t>
  </si>
  <si>
    <t xml:space="preserve">Modela estrategias de siembra coordinadas con años lluviosos para favorecer el reclutamiento de especies de germinación difícil.</t>
  </si>
  <si>
    <t xml:space="preserve">Wilson, S. D.</t>
  </si>
  <si>
    <t xml:space="preserve">Managing contingency in semiarid grassland restoration through repeated planting</t>
  </si>
  <si>
    <t xml:space="preserve">Oferta (Restauradores, Ganaderos), Científicos</t>
  </si>
  <si>
    <t xml:space="preserve">Pastizales semiáridos</t>
  </si>
  <si>
    <t xml:space="preserve">Demuestra que la siembra repetida durante varios años consecutivos asegura capturar eventos climáticos favorables para el pastizal.</t>
  </si>
  <si>
    <t xml:space="preserve">Sjolund &amp; Jump</t>
  </si>
  <si>
    <t xml:space="preserve">The benefits and hazards of exploiting vegetative regeneration for forest conservation management in a warming world</t>
  </si>
  <si>
    <t xml:space="preserve">Oferta (Silvicultores tradicionales), Científicos</t>
  </si>
  <si>
    <t xml:space="preserve">Bosques templados de frondosas</t>
  </si>
  <si>
    <t xml:space="preserve">Discute la práctica del desmoche (coppicing) para estimular el rebrote vegetativo evitando la fase de plántula en climas cálidos.</t>
  </si>
  <si>
    <t xml:space="preserve">Creutzburg et al.</t>
  </si>
  <si>
    <t xml:space="preserve">Climate change and land management in the rangelands of central Oregon</t>
  </si>
  <si>
    <t xml:space="preserve">Reguladores/legisladores, Oferta (Ganaderos, Gestores)</t>
  </si>
  <si>
    <t xml:space="preserve">Estados Unidos (Oregón)</t>
  </si>
  <si>
    <t xml:space="preserve">Estepas de Artemisia y pastizales de montaña</t>
  </si>
  <si>
    <t xml:space="preserve">Modela intervenciones de resemillación post-incendio para evitar la invasión de pastos exóticos altamente inflamables.</t>
  </si>
  <si>
    <t xml:space="preserve">Dumroese et al.</t>
  </si>
  <si>
    <t xml:space="preserve">Considerations for restoring temperate forests of tomorrow: forest restoration, assisted migration, and bioengineering</t>
  </si>
  <si>
    <t xml:space="preserve">Oferta (Silvicultores, Viveristas), Reguladores, Científicos</t>
  </si>
  <si>
    <t xml:space="preserve">Bosques templados de coníferas y caducifolios</t>
  </si>
  <si>
    <t xml:space="preserve">Revisa la combinación de migración asistida, ingeniería genética y raleo silvícola para adaptar los bosques del futuro.</t>
  </si>
  <si>
    <t xml:space="preserve">Engineering a future for amphibians under climate change</t>
  </si>
  <si>
    <t xml:space="preserve">Oferta (Conservacionistas), Científicos</t>
  </si>
  <si>
    <t xml:space="preserve">Microhábitats húmedos y piletas para cría de anfibios</t>
  </si>
  <si>
    <t xml:space="preserve">Presenta soluciones de micro-ingeniería (sombra, refugios artificiales y piletas) para proteger la reproducción de anfibios.</t>
  </si>
  <si>
    <t xml:space="preserve">Kurylyk et al.</t>
  </si>
  <si>
    <t xml:space="preserve">Preserving, augmenting, and creating cold-water thermal refugia in rivers: concepts derived from research on the Miramichi River...</t>
  </si>
  <si>
    <t xml:space="preserve">Reguladores/legisladores, Oferta (Gestores de pesquerías)</t>
  </si>
  <si>
    <t xml:space="preserve">Canadá (Nueva Brunswick)</t>
  </si>
  <si>
    <t xml:space="preserve">Ríos continentales y hábitat de salmónidos</t>
  </si>
  <si>
    <t xml:space="preserve">Modela la inyección controlada de agua subterránea fría para mantener pocetas térmicas seguras para salmones en verano.</t>
  </si>
  <si>
    <t xml:space="preserve">Alderman &amp; Hobday</t>
  </si>
  <si>
    <t xml:space="preserve">Developing a climate adaptation strategy for vulnerable seabirds based on prioritisation of intervention options</t>
  </si>
  <si>
    <t xml:space="preserve">Reguladores/legisladores, Oferta (Gestores de fauna)</t>
  </si>
  <si>
    <t xml:space="preserve">Zonas costeras e islas de anidación de albatros</t>
  </si>
  <si>
    <t xml:space="preserve">Evalúa el uso de nidos artificiales enfriados y la desparasitación directa para mantener el éxito reproductivo del albatros.</t>
  </si>
  <si>
    <t xml:space="preserve">Brang et al.</t>
  </si>
  <si>
    <t xml:space="preserve">Suitability of close-to-nature silviculture for adapting temperate European forests to climate change</t>
  </si>
  <si>
    <t xml:space="preserve">Oferta (Silvicultores europeos), Reguladores, Científicos</t>
  </si>
  <si>
    <t xml:space="preserve">Bosques templados mixtos</t>
  </si>
  <si>
    <t xml:space="preserve">Analiza la silvicultura cercana a la naturaleza mediante el fomento de mezclas de especies y estructura heterogénea.</t>
  </si>
  <si>
    <t xml:space="preserve">Maurer &amp; Bowling</t>
  </si>
  <si>
    <t xml:space="preserve">Seasonal snowpack characteristics influence soil temperature and water content at multiple scales in interior western US...</t>
  </si>
  <si>
    <t xml:space="preserve">Oferta (Silvicultores, Gestores hídricos), Científicos</t>
  </si>
  <si>
    <t xml:space="preserve">Estados Unidos (Oeste montañoso)</t>
  </si>
  <si>
    <t xml:space="preserve">Bosques montanos de coníferas</t>
  </si>
  <si>
    <t xml:space="preserve">Demuestra cómo la instalación de cercas de nieve y el manejo del dosel alargan la fusión del manto nival en cuencas.</t>
  </si>
  <si>
    <t xml:space="preserve">Markham &amp; Malcolm</t>
  </si>
  <si>
    <t xml:space="preserve">Biodiversity and wildlife: Adaptation to climate change</t>
  </si>
  <si>
    <t xml:space="preserve">Reguladores/legisladores, Oferta (Gestores de reservas)</t>
  </si>
  <si>
    <t xml:space="preserve">Parques nacionales y reservas de fauna africanas</t>
  </si>
  <si>
    <t xml:space="preserve">Discute la provisión directa de agua suplementaria para grandes mamíferos africanos en sequías inducidas por el clima.</t>
  </si>
  <si>
    <t xml:space="preserve">Berry, Fahey &amp; Meyers</t>
  </si>
  <si>
    <t xml:space="preserve">Changing of the guard: adaptation options that maintain ecologically resilient sandy beach ecosystems</t>
  </si>
  <si>
    <t xml:space="preserve">Reguladores/legisladores, Oferta (Gestores de costas)</t>
  </si>
  <si>
    <t xml:space="preserve">Playas arenosas y dunas costeras</t>
  </si>
  <si>
    <t xml:space="preserve">Evalúa el aporte de arena (nourishment) e hincado de arrecifes vivos para proteger playas frente al aumento del nivel del mar.</t>
  </si>
  <si>
    <t xml:space="preserve">Resilience, regime shifts, and guided transition under climate change...</t>
  </si>
  <si>
    <t xml:space="preserve">Reguladores/legisladores, Oferta (Gestores hídricos y forestales)</t>
  </si>
  <si>
    <t xml:space="preserve">Bosques costeros salinizados</t>
  </si>
  <si>
    <t xml:space="preserve">Analiza la instalación de compuertas y aportes de agua dulce para controlar la salinización de acuíferos costeros.</t>
  </si>
  <si>
    <t xml:space="preserve">Hulme, P. E.</t>
  </si>
  <si>
    <t xml:space="preserve">Adapting to climate change: is there scope for ecological management in the face of a global threat?</t>
  </si>
  <si>
    <t xml:space="preserve">Zonas costeras y estuarios</t>
  </si>
  <si>
    <t xml:space="preserve">Advierte sobre las consecuencias negativas de los diques rígidos que impiden la migración tierra adentro de marismas.</t>
  </si>
  <si>
    <t xml:space="preserve">Climate-adjusted provenancing: a strategy for climate-resilient ecological restoration</t>
  </si>
  <si>
    <t xml:space="preserve">Oferta (Viveristas, Restauradores), Científicos, Reguladores</t>
  </si>
  <si>
    <t xml:space="preserve">Bosques y matorrales</t>
  </si>
  <si>
    <t xml:space="preserve">Presenta la estrategia de 'mezcla de procedencias ajustada al clima' para incorporar gradientes térmicos en restauraciones.</t>
  </si>
  <si>
    <t xml:space="preserve">Sgro, Lowe &amp; Hoffmann</t>
  </si>
  <si>
    <t xml:space="preserve">Building evolutionary resilience for conserving biodiversity under climate change</t>
  </si>
  <si>
    <t xml:space="preserve">Poblaciones amenazadas por pérdida de diversidad genética</t>
  </si>
  <si>
    <t xml:space="preserve">Revisa estrategias de genética de la conservación para promover la resiliencia evolutiva in situ mediante la conectividad.</t>
  </si>
  <si>
    <t xml:space="preserve">Fady et al.</t>
  </si>
  <si>
    <t xml:space="preserve">Forests and global change: what can genetics contribute to the major forest management...</t>
  </si>
  <si>
    <t xml:space="preserve">Bosques europeos de frondosas y coníferas</t>
  </si>
  <si>
    <t xml:space="preserve">Sostiene que la variabilidad genética local existente suele ser suficiente para que muchas especies arbóreas adapten in situ.</t>
  </si>
  <si>
    <t xml:space="preserve">Benito-Garzon et al.</t>
  </si>
  <si>
    <t xml:space="preserve">Habitat restoration and climate change: dealing with climate variability...</t>
  </si>
  <si>
    <t xml:space="preserve">Oferta (Silvicultores), Científicos</t>
  </si>
  <si>
    <t xml:space="preserve">España / Francia</t>
  </si>
  <si>
    <t xml:space="preserve">Poblaciones de Pinus pinaster</t>
  </si>
  <si>
    <t xml:space="preserve">Demuestra que la traslocación de Pinus pinaster de zonas cálidas a frías sufrió mortandades severas por heladas imprevistas.</t>
  </si>
  <si>
    <t xml:space="preserve">Capon et al.</t>
  </si>
  <si>
    <t xml:space="preserve">Riparian ecosystems in the 21st century: hotspots for climate change adaptation?</t>
  </si>
  <si>
    <t xml:space="preserve">Reguladores/legisladores, Oferta (Gestores hídricos y agrícolas)</t>
  </si>
  <si>
    <t xml:space="preserve">Corredores ribereños y humedales fluviales</t>
  </si>
  <si>
    <t xml:space="preserve">Identifica los ecosistemas ribereños como corredores ecológicos clave para facilitar movimientos migratorios y refugio.</t>
  </si>
  <si>
    <t xml:space="preserve">Isbell et al.</t>
  </si>
  <si>
    <t xml:space="preserve">Biodiversity increases the resistance of ecosystem productivity to climate extremes</t>
  </si>
  <si>
    <t xml:space="preserve">Global / Europa / América del Norte</t>
  </si>
  <si>
    <t xml:space="preserve">Pastizales y praderas experimentales</t>
  </si>
  <si>
    <t xml:space="preserve">Meta-análisis en Nature que demuestra que los pastizales ricos en especies amortiguan la caída de productividad en sequías al 50%.</t>
  </si>
  <si>
    <t xml:space="preserve">Neill &amp; Puettmann</t>
  </si>
  <si>
    <t xml:space="preserve">Managing for adaptive capacity: thinning improves food availability for wildlife...</t>
  </si>
  <si>
    <t xml:space="preserve">Oferta (Silvicultores, Gestores de fauna), Científicos</t>
  </si>
  <si>
    <t xml:space="preserve">Bosques jóvenes de Pseudotsuga menziesii</t>
  </si>
  <si>
    <t xml:space="preserve">Demuestra que el raleo de bosques jóvenes promueve la entrada de luz e incrementa la floración para polinizadores y fauna.</t>
  </si>
  <si>
    <t xml:space="preserve">Conservation strategies in response to rapid climate change: Australia as a case study</t>
  </si>
  <si>
    <t xml:space="preserve">Red de reservas continentales australianas</t>
  </si>
  <si>
    <t xml:space="preserve">Analiza las estrategias de contingencia y redundancia espacial necesarias para responder a grandes incendios y sequías.</t>
  </si>
  <si>
    <t xml:space="preserve">Crossman, Bryan &amp; Summers</t>
  </si>
  <si>
    <t xml:space="preserve">Identifying priority areas for reducing species vulnerability to climate change</t>
  </si>
  <si>
    <t xml:space="preserve">Reguladores/legisladores, Oferta (Planificadores de restauración)</t>
  </si>
  <si>
    <t xml:space="preserve">Australia (Cuenca Murray-Darling)</t>
  </si>
  <si>
    <t xml:space="preserve">Cuencas agrícolas semiáridas</t>
  </si>
  <si>
    <t xml:space="preserve">Mapea las zonas más frescas y húmedas de la cuenca Murray-Darling para enfocar los incentivos de restauración ecológica.</t>
  </si>
  <si>
    <t xml:space="preserve">Keppel et al.</t>
  </si>
  <si>
    <t xml:space="preserve">Refugia: identifying and understanding safe havens for biodiversity under climate change</t>
  </si>
  <si>
    <t xml:space="preserve">Refugios microclimáticos terrestres</t>
  </si>
  <si>
    <t xml:space="preserve">Establece los criterios ecológicos para identificar, proteger y restaurar refugios donde la biodiversidad pueda replegarse.</t>
  </si>
  <si>
    <t xml:space="preserve">Potential for mountaintop boulder fields to buffer species against extreme heat stress...</t>
  </si>
  <si>
    <t xml:space="preserve">Campos de rocas en cumbres montañosas</t>
  </si>
  <si>
    <t xml:space="preserve">Muestra que la temperatura bajo acumulaciones de rocas en cumbres se mantiene hasta 10°C más fresca durante olas de calor.</t>
  </si>
  <si>
    <t xml:space="preserve">Lister, Brocki &amp; Ament</t>
  </si>
  <si>
    <t xml:space="preserve">Integrated adaptive design for wildlife movement under climate change</t>
  </si>
  <si>
    <t xml:space="preserve">Reguladores/legisladores (Obras públicas), Oferta (Conservacionistas)</t>
  </si>
  <si>
    <t xml:space="preserve">Pasos de fauna e infraestructura vial</t>
  </si>
  <si>
    <t xml:space="preserve">Presenta diseños adaptativos de ecoductos e infraestructura vial para reducir la fragmentación del paisaje y permitir desplazamientos.</t>
  </si>
  <si>
    <t xml:space="preserve">Lawson et al.</t>
  </si>
  <si>
    <t xml:space="preserve">Active management of protected areas enhances metapopulation expansion under climate change</t>
  </si>
  <si>
    <t xml:space="preserve">Oferta (Gestores de reservas), Científicos</t>
  </si>
  <si>
    <t xml:space="preserve">Pastizales calcáreos protegidos</t>
  </si>
  <si>
    <t xml:space="preserve">Demuestra que la gestión activa del hábitat en áreas protegidas duplicó la velocidad de expansión de la mariposa silver-spotted skipper.</t>
  </si>
  <si>
    <t xml:space="preserve">Ferrazzano &amp; Williamson</t>
  </si>
  <si>
    <t xml:space="preserve">Benefits of mycorrhizal inoculation in reintroduction of endangered plant species...</t>
  </si>
  <si>
    <t xml:space="preserve">Oferta (Restauradores), Científicos</t>
  </si>
  <si>
    <t xml:space="preserve">Estados Unidos (Texas)</t>
  </si>
  <si>
    <t xml:space="preserve">Sabanas semiáridas</t>
  </si>
  <si>
    <t xml:space="preserve">Demuestra que la inoculación de hongos micorrízicos aumenta significativamente la absorción hídrica de plantas reintroducidas en sequía.</t>
  </si>
  <si>
    <t xml:space="preserve">Gosper et al.</t>
  </si>
  <si>
    <t xml:space="preserve">Combining asset- and species-led alien plant management priorities...</t>
  </si>
  <si>
    <t xml:space="preserve">Bosques mediterráneos (Great Western Woodlands)</t>
  </si>
  <si>
    <t xml:space="preserve">Prioriza el control de exóticas invasoras según el riesgo de transformación bajo escenarios de calentamiento.</t>
  </si>
  <si>
    <t xml:space="preserve">van Oppen et al.</t>
  </si>
  <si>
    <t xml:space="preserve">Building coral reef resilience through assisted evolution</t>
  </si>
  <si>
    <t xml:space="preserve">Global / Australia (Gran Barrera)</t>
  </si>
  <si>
    <t xml:space="preserve">Arrecifes de coral marinos</t>
  </si>
  <si>
    <t xml:space="preserve">Publica en PNAS la estrategia de evoluciòn asistida en corales (hibridación, selección y simbiontes) para resistir el blanqueamiento.</t>
  </si>
  <si>
    <t xml:space="preserve">Becker et al.</t>
  </si>
  <si>
    <t xml:space="preserve">Hybridization may facilitate in situ survival of endemic species through periods of climate change</t>
  </si>
  <si>
    <t xml:space="preserve">Flora alpina endémica</t>
  </si>
  <si>
    <t xml:space="preserve">Muestra que la hibridación natural entre especies vegetales endémicas facilita la supervivencia in situ durante el calentamiento.</t>
  </si>
  <si>
    <t xml:space="preserve">Piaggio et al.</t>
  </si>
  <si>
    <t xml:space="preserve">Is it time for synthetic biodiversity conservation?</t>
  </si>
  <si>
    <t xml:space="preserve">Ecosistemas invadidos por especies exóticas</t>
  </si>
  <si>
    <t xml:space="preserve">Analiza las oportunidades y barreras éticas del uso de CRISPR/Cas9 e impulsores génicos para eralicar especies exóticas invasoras.</t>
  </si>
  <si>
    <t xml:space="preserve">Duveneck &amp; Scheller</t>
  </si>
  <si>
    <t xml:space="preserve">Climate-suitable planting as a strategy for maintaining forest productivity...</t>
  </si>
  <si>
    <t xml:space="preserve">Estados Unidos (Míchigan/Minnesota)</t>
  </si>
  <si>
    <t xml:space="preserve">Bosques mixtos boreales/templados</t>
  </si>
  <si>
    <t xml:space="preserve">Modela que la siembra selectiva de especies adaptadas a climas cálidos sostiene la biomasa forestal y diversidad funcional a largo plazo.</t>
  </si>
  <si>
    <t xml:space="preserve">Willis et al.</t>
  </si>
  <si>
    <t xml:space="preserve">Assisted colonization in a changing climate: a test-study using two UK butterflies</t>
  </si>
  <si>
    <t xml:space="preserve">Mariposas y pastizales</t>
  </si>
  <si>
    <t xml:space="preserve">Demuestra con éxito la colonización asistida de dos especies de mariposas británicas introduciéndolas más allá de su límite norte.</t>
  </si>
  <si>
    <t xml:space="preserve">Correia et al.</t>
  </si>
  <si>
    <t xml:space="preserve">Targeted management buffers negative impacts of climate change on the hihi, a threatened New Zealand passerine</t>
  </si>
  <si>
    <t xml:space="preserve">Oferta (Gestores de fauna), Científicos</t>
  </si>
  <si>
    <t xml:space="preserve">Bosques e islas de conservación de aves (hihi)</t>
  </si>
  <si>
    <t xml:space="preserve">Demuestra que la alimentación suplementaria amortigua las reducciones en la tasa de reproducción del ave amenazada hihi.</t>
  </si>
  <si>
    <t xml:space="preserve">Mawdsley, O’Malley &amp; Ojima</t>
  </si>
  <si>
    <t xml:space="preserve">A review of climate-change adaptation strategies for wildlife management and biodiversity conservation</t>
  </si>
  <si>
    <t xml:space="preserve">Reguladores/legisladores, Oferta (Gestores de vida silvestre)</t>
  </si>
  <si>
    <t xml:space="preserve">Áreas protegidas y hábitats de fauna</t>
  </si>
  <si>
    <t xml:space="preserve">Sintetiza 16 estrategias clave de adaptación para el manejo de fauna silvestre y áreas protegidas.</t>
  </si>
  <si>
    <t xml:space="preserve">Felton et al.</t>
  </si>
  <si>
    <t xml:space="preserve">Climate change, conservation and management: an assessment of the peer-reviewed scientific journal literature</t>
  </si>
  <si>
    <t xml:space="preserve">Literatura científica en biología de la conservación</t>
  </si>
  <si>
    <t xml:space="preserve">Análisis bibliométrico que evidenció la notable falta de datos empíricos en la literatura de manejo adaptativo al cambio climático.</t>
  </si>
  <si>
    <t xml:space="preserve">Valuing nature’s contributions to people: the IPBES approach</t>
  </si>
  <si>
    <t xml:space="preserve">Reguladores/legisladores, Comunidad científica, Público, IPLC</t>
  </si>
  <si>
    <t xml:space="preserve">Servicios y contribuciones de la naturaleza</t>
  </si>
  <si>
    <t xml:space="preserve">Presenta el enfoque conceptual de IPBES sobre las Contribuciones de la Naturaleza para las Personas (NCP) sustituyendo visiones mercantilistas.</t>
  </si>
  <si>
    <t xml:space="preserve">Ferrier et al. (IPBES)</t>
  </si>
  <si>
    <t xml:space="preserve">Methodological assessment of scenarios and models of biodiversity and ecosystem services</t>
  </si>
  <si>
    <t xml:space="preserve">Escenarios y modelos de biodiversidad</t>
  </si>
  <si>
    <t xml:space="preserve">Informe de evaluación de IPBES sobre el papel de los modelos predictivos para anticipar trayectorias futuras de la biodiversidad.</t>
  </si>
  <si>
    <t xml:space="preserve">Bland et al.</t>
  </si>
  <si>
    <t xml:space="preserve">Using multiple lines of evidence to assess the risk of ecosystem collapse</t>
  </si>
  <si>
    <t xml:space="preserve">Lista Roja de Ecosistemas de la UICN</t>
  </si>
  <si>
    <t xml:space="preserve">Aplica la metodología de la Lista Roja de Ecosistemas de la UICN para evaluar el riesgo cuantitativo de colapso de biomas.</t>
  </si>
  <si>
    <t xml:space="preserve">Has land use pushed terrestrial biodiversity beyond the planetary boundary? A global assessment</t>
  </si>
  <si>
    <t xml:space="preserve">Ecosistemas terrestres planetarios</t>
  </si>
  <si>
    <t xml:space="preserve">Demuestra en Science que la modificación antrópica de la tierra ha cruzado el límite planetario de biodiversidad en el 58% del planeta.</t>
  </si>
  <si>
    <t xml:space="preserve">Reside, Butt &amp; Adams</t>
  </si>
  <si>
    <t xml:space="preserve">Adapting systematic conservation planning for climate change</t>
  </si>
  <si>
    <t xml:space="preserve">Reguladores/legisladores, Oferta (Planificadores)</t>
  </si>
  <si>
    <t xml:space="preserve">Planificación espacial de reservas</t>
  </si>
  <si>
    <t xml:space="preserve">Revisa cómo adaptar los algoritmos de planificación sistemática de conservación (como Marxan) para integrar dinamismo climático.</t>
  </si>
  <si>
    <t xml:space="preserve">Hill et al.</t>
  </si>
  <si>
    <t xml:space="preserve">A social-ecological systems analysis of impediments to delivery of the Aichi 2020 Targets...</t>
  </si>
  <si>
    <t xml:space="preserve">Reguladores/legisladores, Oferta (Comunidades, Agricultores), Científicos</t>
  </si>
  <si>
    <t xml:space="preserve">Metas de Aichi 2020 para la diversidad biológica</t>
  </si>
  <si>
    <t xml:space="preserve">Analiza las barreras socioecológicas e institucionales para el cumplimiento de las Metas de Aichi 2020 para la biodiversidad.</t>
  </si>
  <si>
    <t xml:space="preserve">Popp et al.</t>
  </si>
  <si>
    <t xml:space="preserve">Land-use futures in the shared socio-economic pathways</t>
  </si>
  <si>
    <t xml:space="preserve">Escenarios SSP/IPCC de uso de la tierra</t>
  </si>
  <si>
    <t xml:space="preserve">Modela las trayectorias globales de uso de la tierra bajo las Rutas Socioeconómicas Compartidas (SSPs) del IPCC.</t>
  </si>
  <si>
    <t xml:space="preserve">Bardgett &amp; van der Putten</t>
  </si>
  <si>
    <t xml:space="preserve">Belowground biodiversity and ecosystem functioning</t>
  </si>
  <si>
    <t xml:space="preserve">Comunidad científica, Oferta (Agricultores, Restauradores)</t>
  </si>
  <si>
    <t xml:space="preserve">Suelos y biota subterránea</t>
  </si>
  <si>
    <t xml:space="preserve">Revisa en Nature el papel crucial de la biodiversidad subterránea en el funcionamiento y resiliencia de los ecosistemas.</t>
  </si>
  <si>
    <t xml:space="preserve">Karan et al.</t>
  </si>
  <si>
    <t xml:space="preserve">The Australian SuperSite network: a continental, long-term terrestrial ecosystem observatory</t>
  </si>
  <si>
    <t xml:space="preserve">Red de observatorios ecológicos continentales</t>
  </si>
  <si>
    <t xml:space="preserve">Presenta la red continental SuperSite de observatorios ecológicos de largo plazo para monitorear el impacto climático.</t>
  </si>
  <si>
    <t xml:space="preserve">Timpane-Padgham, Beechie &amp; Klinger</t>
  </si>
  <si>
    <t xml:space="preserve">A systematic review of ecological attributes that confer resilience to climate change in environmental restoration</t>
  </si>
  <si>
    <t xml:space="preserve">Proyectos de restauración ambiental</t>
  </si>
  <si>
    <t xml:space="preserve">Identifica sistemáticamente en PLOS ONE los atributos ecológicos (diversidad, conectividad) que otorgan resiliencia al clima.</t>
  </si>
  <si>
    <t xml:space="preserve">Ando &amp; Shah</t>
  </si>
  <si>
    <t xml:space="preserve">The economics of conservation and finance: a review of the literature</t>
  </si>
  <si>
    <t xml:space="preserve">Revisión sistemática de literatura sobre la economía del financiamiento de la conservación y retornos de inversión ambiental.</t>
  </si>
  <si>
    <t xml:space="preserve">Berger et al.</t>
  </si>
  <si>
    <t xml:space="preserve">An updated orientation to marine conservation funding flows</t>
  </si>
  <si>
    <t xml:space="preserve">Demanda (Sector financiero, Donantes), Reguladores/legisladores, Oferta (Gestores marinos)</t>
  </si>
  <si>
    <t xml:space="preserve">Mapea y clasifica los flujos globales de financiación privada, pública y filantrópica para la conservación marina.</t>
  </si>
  <si>
    <t xml:space="preserve">Climate Bonds Initiative (CBI)</t>
  </si>
  <si>
    <t xml:space="preserve">Green securitisation: unlocking finance for small-scale low carbon projects</t>
  </si>
  <si>
    <t xml:space="preserve">Demanda (Sector financiero, Inversores de bonos), Reguladores/legisladores</t>
  </si>
  <si>
    <t xml:space="preserve">Proyectos bajos en carbono y conservación de pequeña escala</t>
  </si>
  <si>
    <t xml:space="preserve">Analiza mecanismos de titulización verde para agrupar proyectos de bajo carbono y atraer inversores de capital de mercado.</t>
  </si>
  <si>
    <t xml:space="preserve">Daily et al.</t>
  </si>
  <si>
    <t xml:space="preserve">Ecosystem services in decision making: time to deliver</t>
  </si>
  <si>
    <t xml:space="preserve">Reguladores/legisladores, Comunidad científica, Oferta, Demanda</t>
  </si>
  <si>
    <t xml:space="preserve">Bosques, cuencas hídricas y ecosistemas agrícolas</t>
  </si>
  <si>
    <t xml:space="preserve">Presenta el marco del Natural Capital Project (NCP) para incorporar modelos biofísicos y servicios ecosistémicos en decisiones de política.</t>
  </si>
  <si>
    <t xml:space="preserve">Davies et al. (McKinsey)</t>
  </si>
  <si>
    <t xml:space="preserve">Taking conservation finance to scale</t>
  </si>
  <si>
    <t xml:space="preserve">Demanda (Empresas, Sector financiero, McKinsey), Reguladores/legisladores</t>
  </si>
  <si>
    <t xml:space="preserve">Proyectos de conservación a gran escala</t>
  </si>
  <si>
    <t xml:space="preserve">Identifica los cuellos de botella para escalar las finanzas de conservación y el descalce de perfiles de riesgo/retorno con inversores.</t>
  </si>
  <si>
    <t xml:space="preserve">de Vos &amp; Hart (WRI)</t>
  </si>
  <si>
    <t xml:space="preserve">The ocean finance handbook: increasing finance for a healthy ocean</t>
  </si>
  <si>
    <t xml:space="preserve">Océanos, manglares, arrecifes de coral y zonas costeras</t>
  </si>
  <si>
    <t xml:space="preserve">Guía práctica de WRI que cataloga soluciones financieras para la economía azul sostenible y resiliencia costera.</t>
  </si>
  <si>
    <t xml:space="preserve">Gelcich et al.</t>
  </si>
  <si>
    <t xml:space="preserve">Financing marine protected areas through visitor fees: insights from tourists willingness to pay in Chile</t>
  </si>
  <si>
    <t xml:space="preserve">Público general (Turistas), Oferta (Comunidades costeras), Reguladores/legisladores</t>
  </si>
  <si>
    <t xml:space="preserve">Áreas Marinas Protegidas (AMP) y costas</t>
  </si>
  <si>
    <t xml:space="preserve">Evalúa empíricamente la disposición a pagar (WTP) de turistas mediante tarifas de acceso para autofinanciar AMPs en Chile.</t>
  </si>
  <si>
    <t xml:space="preserve">Kareiva et al. (Eds)</t>
  </si>
  <si>
    <t xml:space="preserve">Natural capital: theory and practice of mapping ecosystem services</t>
  </si>
  <si>
    <t xml:space="preserve">Bosques, cuencas, suelos y hábitats marinos</t>
  </si>
  <si>
    <t xml:space="preserve">Manual metodológico fundamental del Natural Capital Project sobre mapeo y modelación de servicios ecosistémicos con InVEST.</t>
  </si>
  <si>
    <t xml:space="preserve">Kay, K.</t>
  </si>
  <si>
    <t xml:space="preserve">A hostile takeover of nature? Placing value in conservation finance</t>
  </si>
  <si>
    <t xml:space="preserve">Demanda (Sector financiero, Inversores), Comunidad científica, Público general</t>
  </si>
  <si>
    <t xml:space="preserve">Capital natural y activos financieros de conservación</t>
  </si>
  <si>
    <t xml:space="preserve">Análisis crítico en Antipode sobre la financiarización de la naturaleza y los dilemas éticos del capital privado en conservación.</t>
  </si>
  <si>
    <t xml:space="preserve">Leclerc, A.</t>
  </si>
  <si>
    <t xml:space="preserve">User fees in natural parks – issues and management</t>
  </si>
  <si>
    <t xml:space="preserve">Reguladores/legisladores (Gestores de parques), Público general (Visitantes)</t>
  </si>
  <si>
    <t xml:space="preserve">Global / Canadá</t>
  </si>
  <si>
    <t xml:space="preserve">Parques nacionales y áreas protegidas</t>
  </si>
  <si>
    <t xml:space="preserve">Examina las políticas de cobro de tarifas a usuarios en parques naturales como mecanismo de generación de ingresos públicos.</t>
  </si>
  <si>
    <t xml:space="preserve">Millennium Ecosystem Assessment (MA)</t>
  </si>
  <si>
    <t xml:space="preserve">Living beyond our means: natural assets and human well-being</t>
  </si>
  <si>
    <t xml:space="preserve">Todos los biomas y ecosistemas globales</t>
  </si>
  <si>
    <t xml:space="preserve">Evaluación global de la ONU que alertó sobre la degradación de más del 60% de los servicios ecosistémicos del planeta.</t>
  </si>
  <si>
    <t xml:space="preserve">Millage et al.</t>
  </si>
  <si>
    <t xml:space="preserve">Self-financed marine protected areas</t>
  </si>
  <si>
    <t xml:space="preserve">Reguladores/legisladores, Oferta (Gestores de AMP), Público general (Visitantes)</t>
  </si>
  <si>
    <t xml:space="preserve">Áreas Marinas Protegidas (AMP) y arrecifes</t>
  </si>
  <si>
    <t xml:space="preserve">Analiza las condiciones operativas y económicas para lograr Áreas Marinas Protegidas autofinanciadas mediante tarifas e impuestos.</t>
  </si>
  <si>
    <t xml:space="preserve">Mills, E.</t>
  </si>
  <si>
    <t xml:space="preserve">Insurance in a climate of change</t>
  </si>
  <si>
    <t xml:space="preserve">Demanda (Sector asegurador, Financieros), Reguladores/legisladores</t>
  </si>
  <si>
    <t xml:space="preserve">Zonas costeras, bosques y riesgos climáticos</t>
  </si>
  <si>
    <t xml:space="preserve">Publica en Science la función del sector asegurador para mitigar riesgos climáticos y financiar la resiliencia basada en naturaleza.</t>
  </si>
  <si>
    <t xml:space="preserve">Pörtner et al. (IPBES-IPCC)</t>
  </si>
  <si>
    <t xml:space="preserve">Scientific outcome of the IPBES-IPCC co-sponsored workshop on biodiversity and climate change</t>
  </si>
  <si>
    <t xml:space="preserve">Reguladores/legisladores, Comunidad científica (IPBES/IPCC), Público general</t>
  </si>
  <si>
    <t xml:space="preserve">Informe conjunto IPBES-IPCC que demuestra la necesidad irremplazable de abordar simultáneamente las crisis de clima y biodiversidad.</t>
  </si>
  <si>
    <t xml:space="preserve">Reguero et al.</t>
  </si>
  <si>
    <t xml:space="preserve">Financing coastal resilience by combining nature-based risk reduction with insurance</t>
  </si>
  <si>
    <t xml:space="preserve">Demanda (Sector asegurador, Hoteles, Financieros), Reguladores/legisladores</t>
  </si>
  <si>
    <t xml:space="preserve">México (Quintana Roo) / Caribe / Global</t>
  </si>
  <si>
    <t xml:space="preserve">Arrecifes de coral, manglares y dunas costeras</t>
  </si>
  <si>
    <t xml:space="preserve">Demuestra la viabilidad de pólizas de seguro de riesgo paramétrico para financiar la restauración inmediata de arrecifes tras huracanes.</t>
  </si>
  <si>
    <t xml:space="preserve">Rubin, Shatz &amp; Deegan</t>
  </si>
  <si>
    <t xml:space="preserve">International conservation finance: using debt swaps to foster conservation of biodiversity</t>
  </si>
  <si>
    <t xml:space="preserve">Reguladores/legisladores (Gobiernos acreedores/deudores), Demanda (Bancos multilaterales)</t>
  </si>
  <si>
    <t xml:space="preserve">Bosques tropicales y biodiversidad en países deudores</t>
  </si>
  <si>
    <t xml:space="preserve">Analiza la mecánica e impacto inicial de los canjes de deuda por naturaleza (Debt-for-Nature Swaps) para financiar conservación.</t>
  </si>
  <si>
    <t xml:space="preserve">Salzman et al.</t>
  </si>
  <si>
    <t xml:space="preserve">The global status and trends of payments for ecosystem services</t>
  </si>
  <si>
    <t xml:space="preserve">Reguladores/legisladores, Oferta (Propietarios, Agricultores), Demanda (Compradores de PES)</t>
  </si>
  <si>
    <t xml:space="preserve">Global (55+ países)</t>
  </si>
  <si>
    <t xml:space="preserve">Cuencas hídricas, bosques, biodiversidad y carbono</t>
  </si>
  <si>
    <t xml:space="preserve">Revisión global en Nature Sustainability que cifra las transacciones anuales de PES en más de $36.000 millones a nivel mundial.</t>
  </si>
  <si>
    <t xml:space="preserve">Cuantitativo / Estadístico</t>
  </si>
  <si>
    <t xml:space="preserve">Reguladores/legisladores, Demanda, Oferta, Financieros</t>
  </si>
  <si>
    <t xml:space="preserve">Servicios hídricos, biodiversidad y carbono forestal</t>
  </si>
  <si>
    <t xml:space="preserve">Cuantifica las transacciones globales de PES en más de \$36.000 millones anuales distribuidos en agua, bosques y hábitats.</t>
  </si>
  <si>
    <t xml:space="preserve">Shirota, Y.</t>
  </si>
  <si>
    <t xml:space="preserve">Unearthing investor action on biodiversity</t>
  </si>
  <si>
    <t xml:space="preserve">Demanda (Inversores institucionales, Credit Suisse, Responsible Investor)</t>
  </si>
  <si>
    <t xml:space="preserve">Portafolios financieros de inversión en biodiversidad</t>
  </si>
  <si>
    <t xml:space="preserve">Reporte comercial sobre la aceleración del interés de inversores institucionales por incluir biodiversidad en estrategias ESG.</t>
  </si>
  <si>
    <t xml:space="preserve">Spergel, B. (WWF)</t>
  </si>
  <si>
    <t xml:space="preserve">Raising revenues for protected areas: a menu of options</t>
  </si>
  <si>
    <t xml:space="preserve">Reguladores/legisladores, Oferta (Gestores de áreas protegidas), Demanda</t>
  </si>
  <si>
    <t xml:space="preserve">Áreas protegidas terrestres y marinas</t>
  </si>
  <si>
    <t xml:space="preserve">Guía práctica del WWF sobre un menú de opciones de generación de ingresos (impuestos, concesiones, fideicomisos) para parques.</t>
  </si>
  <si>
    <t xml:space="preserve">Susaeta &amp; Gong</t>
  </si>
  <si>
    <t xml:space="preserve">Economic viability of longleaf pine management in the southeastern United States</t>
  </si>
  <si>
    <t xml:space="preserve">Oferta (Silvicultores, Propietarios forestales privados), Comunidad científica</t>
  </si>
  <si>
    <t xml:space="preserve">Estados Unidos (Sudeste)</t>
  </si>
  <si>
    <t xml:space="preserve">Bosques de pino de hoja larga (Pinus palustris)</t>
  </si>
  <si>
    <t xml:space="preserve">Modela la viabilidad económica de la gestión de pino de hoja larga frente al pino taeda, evaluando madera y captura de carbono.</t>
  </si>
  <si>
    <t xml:space="preserve">Tisdell, C.</t>
  </si>
  <si>
    <t xml:space="preserve">Environmental economic guidelines – inter-country and inter-regional requests for financial support for protected areas</t>
  </si>
  <si>
    <t xml:space="preserve">Reguladores/legisladores, Demanda (Organismos donantes internacionales)</t>
  </si>
  <si>
    <t xml:space="preserve">Áreas protegidas regionales y transfronterizas</t>
  </si>
  <si>
    <t xml:space="preserve">Establece criterios y guías económicas para evaluar solicitudes de financiamiento internacional para áreas protegidas.</t>
  </si>
  <si>
    <t xml:space="preserve">Turner &amp; Daily</t>
  </si>
  <si>
    <t xml:space="preserve">The ecosystem services framework and natural capital conservation</t>
  </si>
  <si>
    <t xml:space="preserve">Marcos teóricos de capital natural</t>
  </si>
  <si>
    <t xml:space="preserve">Revisa las bases teóricas del marco de servicios ecosistémicos para la toma de decisiones y conservación del capital natural.</t>
  </si>
  <si>
    <t xml:space="preserve">UNDP (BIOFIN)</t>
  </si>
  <si>
    <t xml:space="preserve">The BIOFIN workbook 2018: finance for nature</t>
  </si>
  <si>
    <t xml:space="preserve">Reguladores/legisladores (Ministerios de Finanzas/Medio Ambiente), Demanda, Oferta</t>
  </si>
  <si>
    <t xml:space="preserve">Global (40+ países BIOFIN)</t>
  </si>
  <si>
    <t xml:space="preserve">Planes de solución financiera de biodiversidad nacional</t>
  </si>
  <si>
    <t xml:space="preserve">Metodología del PNUMA para evaluar el gasto en biodiversidad, brechas de financiamiento y formular planes de soluciones financieras.</t>
  </si>
  <si>
    <t xml:space="preserve">WWF International</t>
  </si>
  <si>
    <t xml:space="preserve">Guide to conservation finance</t>
  </si>
  <si>
    <t xml:space="preserve">Reguladores/legisladores, Demanda, Oferta (Gestores de proyectos), Público</t>
  </si>
  <si>
    <t xml:space="preserve">Ecosistemas prioritarios terrestres y marinos</t>
  </si>
  <si>
    <t xml:space="preserve">Guía integral del WWF sobre mecanismos financieros (impuestos, tarifas, canjes de deuda, PES, fondos fiduciarios).</t>
  </si>
  <si>
    <t xml:space="preserve">UNFCCC Race to Zero</t>
  </si>
  <si>
    <t xml:space="preserve">2023</t>
  </si>
  <si>
    <t xml:space="preserve">Race to Zero, Who’s in? Climate Champions Campaign</t>
  </si>
  <si>
    <t xml:space="preserve">Gobernanza corporativa global</t>
  </si>
  <si>
    <t xml:space="preserve">Campaña global que agrupa compromisos net-zero de miles de empresas e instituciones.</t>
  </si>
  <si>
    <t xml:space="preserve">Companies Taking Action - Science Based Targets initiative</t>
  </si>
  <si>
    <t xml:space="preserve">Demanda (Empresas corporativas), Sector financiero</t>
  </si>
  <si>
    <t xml:space="preserve">Metas de descarbonización</t>
  </si>
  <si>
    <t xml:space="preserve">Registro global de empresas con metas climáticas validadas basadas en la ciencia.</t>
  </si>
  <si>
    <t xml:space="preserve">Hale et al.</t>
  </si>
  <si>
    <t xml:space="preserve">2022</t>
  </si>
  <si>
    <t xml:space="preserve">Assessing the integrity of net-zero targets of 2000 largest companies</t>
  </si>
  <si>
    <t xml:space="preserve">Demanda (Empresas Fortune 2000), Reguladores</t>
  </si>
  <si>
    <t xml:space="preserve">Corporativo global</t>
  </si>
  <si>
    <t xml:space="preserve">Evaluación sistemática que revela que solo el 3% de las metas net-zero cumplen criterios estrictos de integridad.</t>
  </si>
  <si>
    <t xml:space="preserve">Kreibich &amp; Hermwille</t>
  </si>
  <si>
    <t xml:space="preserve">2021</t>
  </si>
  <si>
    <t xml:space="preserve">Voluntary carbon offsets: a viable tool for corporate climate strategies?</t>
  </si>
  <si>
    <t xml:space="preserve">Demanda (Empresas con &gt;$1B ventas), Reguladores</t>
  </si>
  <si>
    <t xml:space="preserve">Analiza 482 grandes corporaciones mostrando que el 45% planea usar compensaciones de carbono.</t>
  </si>
  <si>
    <t xml:space="preserve">Natural Climate Partners</t>
  </si>
  <si>
    <t xml:space="preserve">Climate Care: Voluntary carbon offset market developments</t>
  </si>
  <si>
    <t xml:space="preserve">Demanda (Empresas), Intermediarios</t>
  </si>
  <si>
    <t xml:space="preserve">Mercado voluntario</t>
  </si>
  <si>
    <t xml:space="preserve">Informe de mercado sobre la evolución de la demanda de créditos de carbono voluntario.</t>
  </si>
  <si>
    <t xml:space="preserve">Fankhauser et al.</t>
  </si>
  <si>
    <t xml:space="preserve">The meaning of net zero and how to get it right</t>
  </si>
  <si>
    <t xml:space="preserve">Atmósfera planetaria</t>
  </si>
  <si>
    <t xml:space="preserve">Define los fundamentos científicos del net-zero y las reglas para el uso exclusivo de remociones de CO2.</t>
  </si>
  <si>
    <t xml:space="preserve">Guix, Ollé &amp; Font</t>
  </si>
  <si>
    <t xml:space="preserve">A framework for classifying corporate climate claims on airline websites</t>
  </si>
  <si>
    <t xml:space="preserve">Público general (Consumidores), Demanda (Aerolíneas)</t>
  </si>
  <si>
    <t xml:space="preserve">Aviación comercial</t>
  </si>
  <si>
    <t xml:space="preserve">Clasifica claims climáticos en claims de producto, proceso, imagen y hechos en webs de aerolíneas.</t>
  </si>
  <si>
    <t xml:space="preserve">Day et al. (NewClimate Institute)</t>
  </si>
  <si>
    <t xml:space="preserve">Corporate Climate Responsibility Monitor 2022</t>
  </si>
  <si>
    <t xml:space="preserve">Demanda (25 grandes multinacionales), Reguladores</t>
  </si>
  <si>
    <t xml:space="preserve">Evaluación crítica que demuestra la falta de integridad y sobre-dependencia de offsets en metas corporativas.</t>
  </si>
  <si>
    <t xml:space="preserve">Streck, C.</t>
  </si>
  <si>
    <t xml:space="preserve">Voluntary carbon markets: legal and governance challenges</t>
  </si>
  <si>
    <t xml:space="preserve">Reguladores/legisladores, Demanda (Empresas), Financieros</t>
  </si>
  <si>
    <t xml:space="preserve">Gobernanza de mercados</t>
  </si>
  <si>
    <t xml:space="preserve">Analiza los retos jurídicos y de gobernanza del VCM para canalizar financiamiento climático.</t>
  </si>
  <si>
    <t xml:space="preserve">Atmadja et al. (CIFOR)</t>
  </si>
  <si>
    <t xml:space="preserve">User-financed REDD+ projects and carbon markets</t>
  </si>
  <si>
    <t xml:space="preserve">Oferta (Comunidades forestales, IPLC), Demanda</t>
  </si>
  <si>
    <t xml:space="preserve">Revisión sobre proyectos REDD+ financiados por usuarios y su impacto ambiental y socioeconómico.</t>
  </si>
  <si>
    <t xml:space="preserve">Michaelowa, Shishlov &amp; Brescia</t>
  </si>
  <si>
    <t xml:space="preserve">2019</t>
  </si>
  <si>
    <t xml:space="preserve">Evolution of international carbon markets: lessons for the Paris Agreement</t>
  </si>
  <si>
    <t xml:space="preserve">Reguladores/legisladores, Demanda, Científicos</t>
  </si>
  <si>
    <t xml:space="preserve">Mecanismos de mercado</t>
  </si>
  <si>
    <t xml:space="preserve">Revisa la transición del MDL hacia el Artículo 6 del Acuerdo de París.</t>
  </si>
  <si>
    <t xml:space="preserve">Schneider, H.</t>
  </si>
  <si>
    <t xml:space="preserve">The role of carbon markets in the Paris Agreement: Mitigation and development</t>
  </si>
  <si>
    <t xml:space="preserve">Mercados internacionales</t>
  </si>
  <si>
    <t xml:space="preserve">Analiza las salvaguardas necesarias para garantizar aditividad e integridad en el Artículo 6.</t>
  </si>
  <si>
    <t xml:space="preserve">Espejo, Becerra-Leal &amp; Aguilar</t>
  </si>
  <si>
    <t xml:space="preserve">2020</t>
  </si>
  <si>
    <t xml:space="preserve">Methodological challenges in REDD+ carbon accounting</t>
  </si>
  <si>
    <t xml:space="preserve">Evaluación técnica de las metodologías de contabilidad de carbono e incertidumbre en proyectos REDD+.</t>
  </si>
  <si>
    <t xml:space="preserve">Overstated carbon emission reductions from voluntary REDD+ projects in the Amazon</t>
  </si>
  <si>
    <t xml:space="preserve">Comunidad científica, Demanda, Certificadores</t>
  </si>
  <si>
    <t xml:space="preserve">Selva tropical</t>
  </si>
  <si>
    <t xml:space="preserve">Estudio econométrico en PNAS que demuestra la sobreemisión masiva de créditos REDD+ voluntarios.</t>
  </si>
  <si>
    <t xml:space="preserve">Additionality determination of carbon offset projects</t>
  </si>
  <si>
    <t xml:space="preserve">Proyectos de mitigación</t>
  </si>
  <si>
    <t xml:space="preserve">Discute las metodologías para evaluar la aditividad estricta en mercados de carbono.</t>
  </si>
  <si>
    <t xml:space="preserve">Ruseva et al.</t>
  </si>
  <si>
    <t xml:space="preserve">Carbon offsets and sustainable packaging materials</t>
  </si>
  <si>
    <t xml:space="preserve">Demanda (Empresas de empaque), Científicos</t>
  </si>
  <si>
    <t xml:space="preserve">Cadena de suministro industrial</t>
  </si>
  <si>
    <t xml:space="preserve">Analiza la integración de créditos de carbono en la evaluación de ciclo de vida de empaques.</t>
  </si>
  <si>
    <t xml:space="preserve">SINUS Markt- und Sozialforschung</t>
  </si>
  <si>
    <t xml:space="preserve">Wahrnehmung von klimaneutralen Produkten – Befragung Verbraucherzentrale</t>
  </si>
  <si>
    <t xml:space="preserve">Público general (Consumidores alemanes)</t>
  </si>
  <si>
    <t xml:space="preserve">Consumo de productos</t>
  </si>
  <si>
    <t xml:space="preserve">Encuesta que revela que solo el 3% de los consumidores entiende el significado real de 'clima neutral'.</t>
  </si>
  <si>
    <t xml:space="preserve">Broekhoff et al. (SEI / GHGMI)</t>
  </si>
  <si>
    <t xml:space="preserve">Securing Climate Benefit: A Guide to Using Carbon Offsets</t>
  </si>
  <si>
    <t xml:space="preserve">Gobernanza de compensación</t>
  </si>
  <si>
    <t xml:space="preserve">Guía técnica sobre principios de calidad de offsets: aditividad, permanencia y ausencia de fugas.</t>
  </si>
  <si>
    <t xml:space="preserve">Chagas et al. (Climate Focus)</t>
  </si>
  <si>
    <t xml:space="preserve">A close look at the quality of REDD+ carbon credits</t>
  </si>
  <si>
    <t xml:space="preserve">Demanda (Compradores corporativos), Certificadores</t>
  </si>
  <si>
    <t xml:space="preserve">Análisis crítico de los estándares de integridad de los créditos REDD+ en el mercado voluntario.</t>
  </si>
  <si>
    <t xml:space="preserve">Chagas et al.</t>
  </si>
  <si>
    <t xml:space="preserve">Demanda (Compradores), Certificadores, Oferta</t>
  </si>
  <si>
    <t xml:space="preserve">Evaluación de salvaguardas, aditividad y riesgo de fugas en créditos REDD+ del mercado voluntario.</t>
  </si>
  <si>
    <t xml:space="preserve">ICVCM</t>
  </si>
  <si>
    <t xml:space="preserve">Build Integrity and Scale Will Follow - Core Carbon Principles</t>
  </si>
  <si>
    <t xml:space="preserve">Reguladores, Demanda (Sector financiero, Empresas), Certificadores</t>
  </si>
  <si>
    <t xml:space="preserve">Gobernanza del VCM</t>
  </si>
  <si>
    <t xml:space="preserve">Presenta los Principios Fundamentales del Carbono (CCPs) para elevar la calidad de la oferta del VCM.</t>
  </si>
  <si>
    <t xml:space="preserve">Kreibich &amp; Obergassel</t>
  </si>
  <si>
    <t xml:space="preserve">The Voluntary Carbon Market: Future role and potential for ambition raising</t>
  </si>
  <si>
    <t xml:space="preserve">Reguladores/legisladores, Demanda</t>
  </si>
  <si>
    <t xml:space="preserve">Evalúa cómo el mercado voluntario puede contribuir a aumentar la ambición climática sin sustituir reducciones.</t>
  </si>
  <si>
    <t xml:space="preserve">Caught in the net: The risks of corporate net-zero targets</t>
  </si>
  <si>
    <t xml:space="preserve">Estrategias de descarbonización</t>
  </si>
  <si>
    <t xml:space="preserve">Discute los riesgos del net-zero cuando se utiliza como pretexto para posponer la descarbonización interna.</t>
  </si>
  <si>
    <t xml:space="preserve">Bertini et al.</t>
  </si>
  <si>
    <t xml:space="preserve">Economic modeling of corporate engagement in carbon offsetting</t>
  </si>
  <si>
    <t xml:space="preserve">Demanda (Empresas), Público general (Consumidores)</t>
  </si>
  <si>
    <t xml:space="preserve">Mercados corporativos</t>
  </si>
  <si>
    <t xml:space="preserve">Modelo económico que analiza los incentivos comerciales detrás de las compras de créditos de carbono.</t>
  </si>
  <si>
    <t xml:space="preserve">Dawson, Dargusch &amp; Hill</t>
  </si>
  <si>
    <t xml:space="preserve">Corporate net-zero pathways: The case of Allianz</t>
  </si>
  <si>
    <t xml:space="preserve">Demanda (Sector financiero, Aseguradoras), Reguladores</t>
  </si>
  <si>
    <t xml:space="preserve">Inversiones y operaciones</t>
  </si>
  <si>
    <t xml:space="preserve">Estudio de caso sobre Allianz comparando su logro de neutralidad en 2012 con su meta net-zero a 2050.</t>
  </si>
  <si>
    <t xml:space="preserve">Ganz &amp; Grimes</t>
  </si>
  <si>
    <t xml:space="preserve">2018</t>
  </si>
  <si>
    <t xml:space="preserve">Consumer response to environmental advertising claims</t>
  </si>
  <si>
    <t xml:space="preserve">Publicidad corporativa</t>
  </si>
  <si>
    <t xml:space="preserve">Experimento que mide la percepción del consumidor ante claims ambientales corporativos.</t>
  </si>
  <si>
    <t xml:space="preserve">2011</t>
  </si>
  <si>
    <t xml:space="preserve">Environmental Claims: Findings and Conclusions of the OECD Committee</t>
  </si>
  <si>
    <t xml:space="preserve">Reguladores/legisladores, Demanda, Público general</t>
  </si>
  <si>
    <t xml:space="preserve">Global (OECD)</t>
  </si>
  <si>
    <t xml:space="preserve">Protección al consumidor</t>
  </si>
  <si>
    <t xml:space="preserve">Informe de la OECD sobre regulación y prevención de afirmaciones ambientales engañosas.</t>
  </si>
  <si>
    <t xml:space="preserve">Carlson, Grove &amp; Kangun</t>
  </si>
  <si>
    <t xml:space="preserve">1993</t>
  </si>
  <si>
    <t xml:space="preserve">A classification scheme for environmental advertising claims</t>
  </si>
  <si>
    <t xml:space="preserve">Comunidad científica, Demanda, Público general</t>
  </si>
  <si>
    <t xml:space="preserve">Marketing verde</t>
  </si>
  <si>
    <t xml:space="preserve">Esquema pionero de clasificación de claims ambientales en categorías de producto, proceso, imagen y hechos.</t>
  </si>
  <si>
    <t xml:space="preserve">ISO</t>
  </si>
  <si>
    <t xml:space="preserve">2016</t>
  </si>
  <si>
    <t xml:space="preserve">ISO 14021: Environmental labels and declarations – Self-declared claims</t>
  </si>
  <si>
    <t xml:space="preserve">Reguladores, Demanda (Empresas), Certificadores</t>
  </si>
  <si>
    <t xml:space="preserve">Estandarización industrial</t>
  </si>
  <si>
    <t xml:space="preserve">Norma internacional que fija los requisitos para auto-declaraciones ambientales de Tipo II.</t>
  </si>
  <si>
    <t xml:space="preserve">Berrone, Fosfuri &amp; Gelabert</t>
  </si>
  <si>
    <t xml:space="preserve">2017</t>
  </si>
  <si>
    <t xml:space="preserve">Does greenwashing pay to gain corporate legitimacy?</t>
  </si>
  <si>
    <t xml:space="preserve">Demanda (Empresas), Público general, Inversores</t>
  </si>
  <si>
    <t xml:space="preserve">Reputación corporativa</t>
  </si>
  <si>
    <t xml:space="preserve">Estudio empírico que demuestra el riesgo reputacional del greenwashing cuando la sociedad civil lo descubre.</t>
  </si>
  <si>
    <t xml:space="preserve">Dangelico &amp; Vocalelli</t>
  </si>
  <si>
    <t xml:space="preserve">Green Marketing: An analysis of definitions, strategies, and tools</t>
  </si>
  <si>
    <t xml:space="preserve">Demanda (Empresas), Público general</t>
  </si>
  <si>
    <t xml:space="preserve">Estrategias de mercado</t>
  </si>
  <si>
    <t xml:space="preserve">Revisión de literatura sobre marketing verde y su impacto en las decisiones de compra sostenibles.</t>
  </si>
  <si>
    <t xml:space="preserve">Giannarakis, Zafeiriou &amp; Sariannidis</t>
  </si>
  <si>
    <t xml:space="preserve">The impact of corporate carbon disclosure on environmental performance</t>
  </si>
  <si>
    <t xml:space="preserve">Demanda (Empresas cotizadas), Sector financiero</t>
  </si>
  <si>
    <t xml:space="preserve">Reporte de sostenibilidad</t>
  </si>
  <si>
    <t xml:space="preserve">Evalúa estadísticamente la relación entre divulgación de emisiones de carbono e imagen corporativa.</t>
  </si>
  <si>
    <t xml:space="preserve">Broekhoff et al.</t>
  </si>
  <si>
    <t xml:space="preserve">Offset Guide: Understanding carbon offsets and carbon credits</t>
  </si>
  <si>
    <t xml:space="preserve">Guía de compensación</t>
  </si>
  <si>
    <t xml:space="preserve">Plataforma educativa que explica los conceptos clave de los créditos de carbono y cómo usarlos responsablemente.</t>
  </si>
  <si>
    <t xml:space="preserve">Carbon Offset Guide</t>
  </si>
  <si>
    <t xml:space="preserve">What is a carbon offset?</t>
  </si>
  <si>
    <t xml:space="preserve">Demanda, Público general</t>
  </si>
  <si>
    <t xml:space="preserve">Educación sobre offsets</t>
  </si>
  <si>
    <t xml:space="preserve">Recurso que define las unidades de reducción verificada y sus salvaguardas.</t>
  </si>
  <si>
    <t xml:space="preserve">Gillenwater, M.</t>
  </si>
  <si>
    <t xml:space="preserve">2012</t>
  </si>
  <si>
    <t xml:space="preserve">What is Additionality? Part 1: Physical and financial additionality</t>
  </si>
  <si>
    <t xml:space="preserve">Metodologías de aditividad</t>
  </si>
  <si>
    <t xml:space="preserve">Documento de discusión sobre los fundamentos teóricos y físicos de la aditividad en mercados de carbono.</t>
  </si>
  <si>
    <t xml:space="preserve">Bumpus, A. G.</t>
  </si>
  <si>
    <t xml:space="preserve">The matter of carbon: Commodification and market governance</t>
  </si>
  <si>
    <t xml:space="preserve">Bosques y mercados</t>
  </si>
  <si>
    <t xml:space="preserve">Análisis geográfico y crítico sobre la mercantilización del carbono y sus contradicciones materiales.</t>
  </si>
  <si>
    <t xml:space="preserve">Caney, S.</t>
  </si>
  <si>
    <t xml:space="preserve">2010</t>
  </si>
  <si>
    <t xml:space="preserve">Markets, justice, and the right to pollute</t>
  </si>
  <si>
    <t xml:space="preserve">Ética ambiental</t>
  </si>
  <si>
    <t xml:space="preserve">Examen ético y filosófico sobre si los mercados de compensación transfieren injustamente obligaciones morales.</t>
  </si>
  <si>
    <t xml:space="preserve">Cooper, M. H.</t>
  </si>
  <si>
    <t xml:space="preserve">2015</t>
  </si>
  <si>
    <t xml:space="preserve">Measuring the metric: Offsetting and the financialization of nature</t>
  </si>
  <si>
    <t xml:space="preserve">Financiarización ambiental</t>
  </si>
  <si>
    <t xml:space="preserve">Crítica teórica sobre la mensurabilidad de la naturaleza y la fungibilidad del carbono.</t>
  </si>
  <si>
    <t xml:space="preserve">Pearse &amp; Böhm</t>
  </si>
  <si>
    <t xml:space="preserve">2014</t>
  </si>
  <si>
    <t xml:space="preserve">Ten reasons why carbon markets will not stop climate change</t>
  </si>
  <si>
    <t xml:space="preserve">Política climática</t>
  </si>
  <si>
    <t xml:space="preserve">Artículo crítico que argumenta que las soluciones de mercado retrasan la descarbonización profunda.</t>
  </si>
  <si>
    <t xml:space="preserve">Espinosa-Flor, S. I.</t>
  </si>
  <si>
    <t xml:space="preserve">Justice and equity concerns in voluntary carbon markets</t>
  </si>
  <si>
    <t xml:space="preserve">Oferta (Comunidades del Sur Global), Reguladores</t>
  </si>
  <si>
    <t xml:space="preserve">Territorios rurales y bosques</t>
  </si>
  <si>
    <t xml:space="preserve">Discute las preocupaciones de equidad y justicia distributiva en transacciones de compensación.</t>
  </si>
  <si>
    <t xml:space="preserve">Caney &amp; Hepburn</t>
  </si>
  <si>
    <t xml:space="preserve">Carbon trading: Unethical or unworkable?</t>
  </si>
  <si>
    <t xml:space="preserve">Filosofía económica</t>
  </si>
  <si>
    <t xml:space="preserve">Analiza los argumentos morales e institucionales a favor y en contra del comercio de derechos de emisión.</t>
  </si>
  <si>
    <t xml:space="preserve">Sandel, M. J.</t>
  </si>
  <si>
    <t xml:space="preserve">2006</t>
  </si>
  <si>
    <t xml:space="preserve">Public Philosophy: Should we buy the right to pollute?</t>
  </si>
  <si>
    <t xml:space="preserve">Filosofía moral</t>
  </si>
  <si>
    <t xml:space="preserve">Disertación ética sobre cómo la compra de permisos de contaminación puede erosionar la responsabilidad ciudadana.</t>
  </si>
  <si>
    <t xml:space="preserve">Rogelj et al.</t>
  </si>
  <si>
    <t xml:space="preserve">Net-zero emissions targets are vague without three key dimensions</t>
  </si>
  <si>
    <t xml:space="preserve">Modelos climáticos</t>
  </si>
  <si>
    <t xml:space="preserve">Publicado en Nature; demuestra que las metas net-zero requieren especificar alcance, equidad y tipos de remoción.</t>
  </si>
  <si>
    <t xml:space="preserve">Carbon Credits and Additionality: Past, Present, Future</t>
  </si>
  <si>
    <t xml:space="preserve">Reguladores/legisladores, Demanda, Sector financiero</t>
  </si>
  <si>
    <t xml:space="preserve">Finanzas multilaterales</t>
  </si>
  <si>
    <t xml:space="preserve">Revisión institucional del Banco Mundial sobre los métodos históricos y futuros para probar la aditividad.</t>
  </si>
  <si>
    <t xml:space="preserve">de Freitas Netto et al.</t>
  </si>
  <si>
    <t xml:space="preserve">Concepts and forms of greenwashing: a systematic review</t>
  </si>
  <si>
    <t xml:space="preserve">Literatura sobre greenwashing</t>
  </si>
  <si>
    <t xml:space="preserve">Revisión sistemática que sintetiza las distintas formas y definiciones de greenwashing corporativo.</t>
  </si>
  <si>
    <t xml:space="preserve">Di Gregorio et al.</t>
  </si>
  <si>
    <t xml:space="preserve">Dance of the drivers: Multi-level climate governance and REDD+</t>
  </si>
  <si>
    <t xml:space="preserve">Reguladores/legisladores, Oferta (Comunidades), Científicos</t>
  </si>
  <si>
    <t xml:space="preserve">Global / 6 países</t>
  </si>
  <si>
    <t xml:space="preserve">Analiza cómo la gobernanza multinivel influye en la efectividad y legitimiad de políticas REDD+.</t>
  </si>
  <si>
    <t xml:space="preserve">Torelli, Balluchi &amp; Lazzini</t>
  </si>
  <si>
    <t xml:space="preserve">Greenwashing and environmental communication: A corporate dilemma</t>
  </si>
  <si>
    <t xml:space="preserve">Comunicación de sostenibilidad</t>
  </si>
  <si>
    <t xml:space="preserve">Estudia la brecha entre la retórica de sostenibilidad de las corporaciones y sus acciones tangibles.</t>
  </si>
  <si>
    <t xml:space="preserve">Nemes et al.</t>
  </si>
  <si>
    <t xml:space="preserve">An Integrated Framework to Assess Greenwashing in Corporate Climate Claims</t>
  </si>
  <si>
    <t xml:space="preserve">Evaluación de greenwashing</t>
  </si>
  <si>
    <t xml:space="preserve">Propone un marco integral para detectar y clasificar el greenwashing en declaraciones climáticas.</t>
  </si>
  <si>
    <t xml:space="preserve">Lyon &amp; Maxwell</t>
  </si>
  <si>
    <t xml:space="preserve">Greenwash: Corporate Environmental Disclosure Under Threat of Audit</t>
  </si>
  <si>
    <t xml:space="preserve">Demanda (Empresas), Reguladores, Inversores</t>
  </si>
  <si>
    <t xml:space="preserve">Divulgación voluntaria</t>
  </si>
  <si>
    <t xml:space="preserve">Modelo teórico de juegos sobre la decisión corporativa de divulgar información ambiental bajo riesgo de auditoría.</t>
  </si>
  <si>
    <t xml:space="preserve">In &amp; Schumacher</t>
  </si>
  <si>
    <t xml:space="preserve">Carbonwashing: Carbon offsets and corporate decarbonization</t>
  </si>
  <si>
    <t xml:space="preserve">Demanda (Empresas), Sector financiero, Científicos</t>
  </si>
  <si>
    <t xml:space="preserve">Mercados financieros</t>
  </si>
  <si>
    <t xml:space="preserve">Análisis empírico que sugiere que el uso de offsets puede correlacionar con un menor ritmo de descarbonización interna.</t>
  </si>
  <si>
    <t xml:space="preserve">Lyon &amp; Montgomery</t>
  </si>
  <si>
    <t xml:space="preserve">The Means and End of Greenwash</t>
  </si>
  <si>
    <t xml:space="preserve">Comportamiento corporativo</t>
  </si>
  <si>
    <t xml:space="preserve">Revisión conceptual sobre las motivaciones, estrategias y consecuencias del greenwashing corporativo.</t>
  </si>
  <si>
    <t xml:space="preserve">Contreras-Pacheco &amp; Claasen</t>
  </si>
  <si>
    <t xml:space="preserve">Use and misuse of corporate social responsibility communication</t>
  </si>
  <si>
    <t xml:space="preserve">Estrategia CSR</t>
  </si>
  <si>
    <t xml:space="preserve">Discute cómo la comunicación irresponsable de CSR genera escepticismo y daña la reputación.</t>
  </si>
  <si>
    <t xml:space="preserve">Scanlan, S. J.</t>
  </si>
  <si>
    <t xml:space="preserve">Framing environmental harm and climate justice in corporate discourse</t>
  </si>
  <si>
    <t xml:space="preserve">Comunidad científica, Oferta, Público general</t>
  </si>
  <si>
    <t xml:space="preserve">Discurso corporativo</t>
  </si>
  <si>
    <t xml:space="preserve">Analiza cómo los marcos corporativos invisibilizan los daños ambientales en comunidades vulnerables.</t>
  </si>
  <si>
    <t xml:space="preserve">Eavis &amp; Krauss (NYT)</t>
  </si>
  <si>
    <t xml:space="preserve">What’s Really Behind Corporate Promises on Climate Change?</t>
  </si>
  <si>
    <t xml:space="preserve">Público general, Demanda (Empresas)</t>
  </si>
  <si>
    <t xml:space="preserve">Prensa / Opinión pública</t>
  </si>
  <si>
    <t xml:space="preserve">Artículo periodístico de investigación que examina la falta de sustancia en las promesas climáticas corporativas.</t>
  </si>
  <si>
    <t xml:space="preserve">Evans, J. (Financial Times)</t>
  </si>
  <si>
    <t xml:space="preserve">Consumers keen to be green but confused by companies’ claims</t>
  </si>
  <si>
    <t xml:space="preserve">Mercado de consumo</t>
  </si>
  <si>
    <t xml:space="preserve">Reportaje que muestra cómo la proliferación de claims ambientales confunde a los consumidores.</t>
  </si>
  <si>
    <t xml:space="preserve">Timperley, J. (The Guardian)</t>
  </si>
  <si>
    <t xml:space="preserve">The truth behind corporate climate pledges</t>
  </si>
  <si>
    <t xml:space="preserve">Prensa de investigación</t>
  </si>
  <si>
    <t xml:space="preserve">Análisis crítico sobre la brecha entre los anuncios net-zero y los planes reales de descarbonización.</t>
  </si>
  <si>
    <t xml:space="preserve">Client Earth</t>
  </si>
  <si>
    <t xml:space="preserve">The Greenwashing Files: Legal analysis of fossil fuel campaigns</t>
  </si>
  <si>
    <t xml:space="preserve">Reguladores, Público general, Demanda (Petroleras)</t>
  </si>
  <si>
    <t xml:space="preserve">Litigio climático</t>
  </si>
  <si>
    <t xml:space="preserve">Mapeo jurídico de campañas publicitarias de grandes petroleras acusadas de engañar al público.</t>
  </si>
  <si>
    <t xml:space="preserve">Gibson, Dunn &amp; Crutcher LLP</t>
  </si>
  <si>
    <t xml:space="preserve">CSR Statements – Recent Litigation and Avoiding Pitfalls</t>
  </si>
  <si>
    <t xml:space="preserve">Demanda (Empresas, Abogados), Reguladores</t>
  </si>
  <si>
    <t xml:space="preserve">Riesgo legal corporativo</t>
  </si>
  <si>
    <t xml:space="preserve">Análisis legal sobre demandas de consumidores e inversores contra declaraciones CSR engañosas.</t>
  </si>
  <si>
    <t xml:space="preserve">Hackett et al.</t>
  </si>
  <si>
    <t xml:space="preserve">Corporate climate risk disclosures and litigation exposure</t>
  </si>
  <si>
    <t xml:space="preserve">Demanda (Empresas), Sector financiero, Reguladores</t>
  </si>
  <si>
    <t xml:space="preserve">Regulación financiera</t>
  </si>
  <si>
    <t xml:space="preserve">Examina el aumento del riesgo de litigación derivados de reportes de sostenibilidad imprecisos.</t>
  </si>
  <si>
    <t xml:space="preserve">Ajax &amp; Strauss</t>
  </si>
  <si>
    <t xml:space="preserve">Corporate sustainability claims and consumer fraud class actions</t>
  </si>
  <si>
    <t xml:space="preserve">Reguladores, Público general (Consumidores), Demanda</t>
  </si>
  <si>
    <t xml:space="preserve">Derecho del consumidor</t>
  </si>
  <si>
    <t xml:space="preserve">Estudia las demandas colectivas por fraude al consumidor motivadas por claims ecológicos falsos.</t>
  </si>
  <si>
    <t xml:space="preserve">Australasian Centre for Corporate Responsibility</t>
  </si>
  <si>
    <t xml:space="preserve">ACCR v. Santos: Misleading net zero and clean energy claims</t>
  </si>
  <si>
    <t xml:space="preserve">Reguladores/judicial, Demanda (Gas y Petróleo), Inversores</t>
  </si>
  <si>
    <t xml:space="preserve">Energía y gas natural</t>
  </si>
  <si>
    <t xml:space="preserve">Demanda pionera en tribunales australianos acusando a Santos de engaño en su plan net-zero a 2040.</t>
  </si>
  <si>
    <t xml:space="preserve">Life Landscape Project et al.</t>
  </si>
  <si>
    <t xml:space="preserve">OECD complaint against Drax Group PLC regarding woody biomass</t>
  </si>
  <si>
    <t xml:space="preserve">Reguladores (OECD), Demanda (Drax Group), ONG</t>
  </si>
  <si>
    <t xml:space="preserve">Biomasa forestal</t>
  </si>
  <si>
    <t xml:space="preserve">Queja ante la OECD alegando que promocionar la biomasa de madera como 'carbono neutral' es engañoso.</t>
  </si>
  <si>
    <t xml:space="preserve">Stichting Reclame Code (Dutch Ad Watchdog)</t>
  </si>
  <si>
    <t xml:space="preserve">Ruling on Shell’s 'Drive CO2 Neutral' advertising campaign</t>
  </si>
  <si>
    <t xml:space="preserve">Reguladores (Autocontrol publicitario), Demanda (Shell)</t>
  </si>
  <si>
    <t xml:space="preserve">Combustibles fósiles</t>
  </si>
  <si>
    <t xml:space="preserve">Dictamen oficial que prohíbe a Shell anunciar a consumidores que pueden 'conducir neutral en carbono' mediante offsets.</t>
  </si>
  <si>
    <t xml:space="preserve">Hurst &amp; Baazil (Bloomberg)</t>
  </si>
  <si>
    <t xml:space="preserve">Dutch Ad Watchdog Tells Shell to Pull 'Carbon Neutral' Campaign</t>
  </si>
  <si>
    <t xml:space="preserve">Publico general, Demanda, Reguladores</t>
  </si>
  <si>
    <t xml:space="preserve">Noticia financiera</t>
  </si>
  <si>
    <t xml:space="preserve">Reporte periodístico sobre la orden de retirar la campaña publicitaria de compensación voluntaria de Shell.</t>
  </si>
  <si>
    <t xml:space="preserve">Environmental Performance of Products &amp; Businesses – Green Claims</t>
  </si>
  <si>
    <t xml:space="preserve">Propuesta legislativa UE</t>
  </si>
  <si>
    <t xml:space="preserve">Iniciativa europea para fundamentar las declaraciones ambientales mediante huella ambiental estandarizada.</t>
  </si>
  <si>
    <t xml:space="preserve">FINMA (Swiss Regulator)</t>
  </si>
  <si>
    <t xml:space="preserve">Guidance 05/21: Preventing and combating greenwashing in financial products</t>
  </si>
  <si>
    <t xml:space="preserve">Reguladores (FINMA), Demanda (Sector financiero, Fondos)</t>
  </si>
  <si>
    <t xml:space="preserve">Productos de inversión</t>
  </si>
  <si>
    <t xml:space="preserve">Directriz de la autoridad financiera suiza para evitar el greenwashing en fondos de inversión ESG.</t>
  </si>
  <si>
    <t xml:space="preserve">EU Commission</t>
  </si>
  <si>
    <t xml:space="preserve">Initiative on Substantiating Green Claims Directive</t>
  </si>
  <si>
    <t xml:space="preserve">Regulación del mercado único</t>
  </si>
  <si>
    <t xml:space="preserve">Marco regulatorio de la UE que exige pruebas científicas verificables antes de usar claims ecológicos.</t>
  </si>
  <si>
    <t xml:space="preserve">Chanjaroen, C. (Bloomberg)</t>
  </si>
  <si>
    <t xml:space="preserve">Singapore Exchange Plans Mandatory Climate-Related Disclosures</t>
  </si>
  <si>
    <t xml:space="preserve">Reguladores (SGX), Demanda (Empresas cotizadas), Financieros</t>
  </si>
  <si>
    <t xml:space="preserve">Singapur / Asia</t>
  </si>
  <si>
    <t xml:space="preserve">Mercado de valores</t>
  </si>
  <si>
    <t xml:space="preserve">Iniciativa de la Bolsa de Singapur para exigir reportes climáticos obligatorios bajo normas TCFD.</t>
  </si>
  <si>
    <t xml:space="preserve">S&amp;P Global</t>
  </si>
  <si>
    <t xml:space="preserve">France first to introduce mandatory carbon reporting for investors (Art 29)</t>
  </si>
  <si>
    <t xml:space="preserve">Reguladores/legisladores, Demanda (Instituciones financieras)</t>
  </si>
  <si>
    <t xml:space="preserve">Analiza el artículo 29 de la ley francesa de energía y clima que exige reporte de riesgos de biodiversidad y carbono.</t>
  </si>
  <si>
    <t xml:space="preserve">Climate Focus &amp; VCMI</t>
  </si>
  <si>
    <t xml:space="preserve">Criteria for Voluntary Carbon Markets-Related Claims</t>
  </si>
  <si>
    <t xml:space="preserve">Demanda (Empresas), Certificadores, Reguladores</t>
  </si>
  <si>
    <t xml:space="preserve">Estándar de claims</t>
  </si>
  <si>
    <t xml:space="preserve">Documento de trabajo sobre la categorización y condiciones de transparencia para la divulgación de offsets.</t>
  </si>
  <si>
    <t xml:space="preserve">Competition &amp; Markets Authority (UK)</t>
  </si>
  <si>
    <t xml:space="preserve">Green Claims Code: Making environmental claims on goods and services</t>
  </si>
  <si>
    <t xml:space="preserve">Reguladores (CMA UK), Demanda, Público general</t>
  </si>
  <si>
    <t xml:space="preserve">Código oficial del gobierno británico para garantizar que los claims de las empresas sean veraces y transparentes.</t>
  </si>
  <si>
    <t xml:space="preserve">ACCC (Australia)</t>
  </si>
  <si>
    <t xml:space="preserve">Green marketing and the Australian Consumer Law</t>
  </si>
  <si>
    <t xml:space="preserve">Reguladores (ACCC Australia), Demanda, Público general</t>
  </si>
  <si>
    <t xml:space="preserve">Derecho del consumo</t>
  </si>
  <si>
    <t xml:space="preserve">Guía regulatoria australiana sobre el uso ilegal de afirmaciones ambientales falsas o exageradas.</t>
  </si>
  <si>
    <t xml:space="preserve">European Commission / EFRAG</t>
  </si>
  <si>
    <t xml:space="preserve">Draft European Sustainability Reporting Standard ESRS E1 Climate Change</t>
  </si>
  <si>
    <t xml:space="preserve">Reguladores/legisladores, Demanda (Grandes empresas UE)</t>
  </si>
  <si>
    <t xml:space="preserve">Norma ESRS / CSRD</t>
  </si>
  <si>
    <t xml:space="preserve">Estándar europeo de reporte que exige separar explícitamente las reducciones propias de la compra de offsets.</t>
  </si>
  <si>
    <t xml:space="preserve">US Securities and Exchange Commission (SEC)</t>
  </si>
  <si>
    <t xml:space="preserve">SEC Proposed Rules on Climate-Related Disclosures for Investors</t>
  </si>
  <si>
    <t xml:space="preserve">Reguladores (SEC EE. UU.), Demanda (Empresas públicas), Inversores</t>
  </si>
  <si>
    <t xml:space="preserve">Regulación bursátil</t>
  </si>
  <si>
    <t xml:space="preserve">Propuesta de la SEC que obliga a detallar el rol, volumen y origen de los créditos de carbono en metas climáticas.</t>
  </si>
  <si>
    <t xml:space="preserve">Provisional Claims Code of Practice for Voluntary Carbon Markets</t>
  </si>
  <si>
    <t xml:space="preserve">Demanda (Empresas), Certificadores, Reguladores, Científicos</t>
  </si>
  <si>
    <t xml:space="preserve">Código de buenas prácticas</t>
  </si>
  <si>
    <t xml:space="preserve">Código provisional del VCMI para calificar claims corporativos (Oro, Plata, Bronce) según uso de créditos.</t>
  </si>
  <si>
    <t xml:space="preserve">Gold Standard for the Global Goals – Claims Guidelines v2.0</t>
  </si>
  <si>
    <t xml:space="preserve">Certificadores, Demanda (Empresas), Reguladores</t>
  </si>
  <si>
    <t xml:space="preserve">Estándar de certificación</t>
  </si>
  <si>
    <t xml:space="preserve">Guía de comunicación corporativa para empresas que adquieren y retiran créditos bajo el estándar Gold Standard.</t>
  </si>
  <si>
    <t xml:space="preserve">ISO Statutes and Environmental Standardization Framework</t>
  </si>
  <si>
    <t xml:space="preserve">Reguladores (Agencias de normas), Demanda</t>
  </si>
  <si>
    <t xml:space="preserve">Normas técnicas</t>
  </si>
  <si>
    <t xml:space="preserve">Estructura institucional de la Organización Internacional de Normalización para redactar estándares globales.</t>
  </si>
  <si>
    <t xml:space="preserve">ISO/CD 14068: Carbon neutrality and greenhouse gas management</t>
  </si>
  <si>
    <t xml:space="preserve">Norma ISO 14068</t>
  </si>
  <si>
    <t xml:space="preserve">Estándar en desarrollo para unificar internacionalmente los requisitos para declarar neutralidad de carbono.</t>
  </si>
  <si>
    <t xml:space="preserve">BSI &amp; ISO</t>
  </si>
  <si>
    <t xml:space="preserve">Our 2050 World: Consensus guidelines on net zero definitions</t>
  </si>
  <si>
    <t xml:space="preserve">Reguladores (BSI/ISO), Demanda, Comunidad científica</t>
  </si>
  <si>
    <t xml:space="preserve">Estandarización de net zero</t>
  </si>
  <si>
    <t xml:space="preserve">Iniciativa conjunta para crear un consenso claro sobre los principios de alineación con net-zero a 2050.</t>
  </si>
  <si>
    <t xml:space="preserve">Climate Focus</t>
  </si>
  <si>
    <t xml:space="preserve">Voluntary Carbon Market Dashboard and Issuance Analytics</t>
  </si>
  <si>
    <t xml:space="preserve">Demanda (Inversores, Empresas), Intermediarios</t>
  </si>
  <si>
    <t xml:space="preserve">Base de datos VCM</t>
  </si>
  <si>
    <t xml:space="preserve">Mapeo cuantitativo del VCM mostrando el crecimiento quintuplicado de emisiones de créditos de 2018 a 2021.</t>
  </si>
  <si>
    <t xml:space="preserve">Global Warming of 1.5°C: IPCC Special Report</t>
  </si>
  <si>
    <t xml:space="preserve">Planeta Tierra / Atmósfera</t>
  </si>
  <si>
    <t xml:space="preserve">Informe científico hito que estableció la necesidad física de alcanzar emisiones netas cero a mediados de siglo.</t>
  </si>
  <si>
    <t xml:space="preserve">Mitigation pathways in the context of 1.5°C (Chapter 2)</t>
  </si>
  <si>
    <t xml:space="preserve">Trayectorias globales</t>
  </si>
  <si>
    <t xml:space="preserve">Modela las rutas de descarbonización global y el saldo requerido entre reducciones y remociones.</t>
  </si>
  <si>
    <t xml:space="preserve">McAfee, K.</t>
  </si>
  <si>
    <t xml:space="preserve">Absolutely Not! Critical reflections on carbon offsetting</t>
  </si>
  <si>
    <t xml:space="preserve">Geografía crítica</t>
  </si>
  <si>
    <t xml:space="preserve">Publicado en Professional Geographer; cuestiona la validez teórica y social del mercado voluntario de offsets.</t>
  </si>
  <si>
    <t xml:space="preserve">MacCutcheon, Holmgren &amp; Haga</t>
  </si>
  <si>
    <t xml:space="preserve">Cognitive processes and susceptibility to misleading climate claims</t>
  </si>
  <si>
    <t xml:space="preserve">Psicología ambiental</t>
  </si>
  <si>
    <t xml:space="preserve">Estudio experimental en *Sustainability* que analiza los sesgos cognitivos ante claims de compensación de carbono.</t>
  </si>
  <si>
    <t xml:space="preserve">Baxter, G.</t>
  </si>
  <si>
    <t xml:space="preserve">Achieving carbon neutrality at airports: The case of Sydney Airport</t>
  </si>
  <si>
    <t xml:space="preserve">Demanda (Gestores aeroportuarios), Reguladores</t>
  </si>
  <si>
    <t xml:space="preserve">Australia (Sídney)</t>
  </si>
  <si>
    <t xml:space="preserve">Infraestructura de transporte</t>
  </si>
  <si>
    <t xml:space="preserve">Estudio de caso sobre las estrategias y compra de offsets de Sydney Airport para declarar neutralidad.</t>
  </si>
  <si>
    <t xml:space="preserve">Helmers, Chang &amp; Dauwels</t>
  </si>
  <si>
    <t xml:space="preserve">Carbon footprinting and climate claims of 20 universities worldwide</t>
  </si>
  <si>
    <t xml:space="preserve">Comunidad científica (Universidades), Reguladores</t>
  </si>
  <si>
    <t xml:space="preserve">Global (20 universidades)</t>
  </si>
  <si>
    <t xml:space="preserve">Campus universitarios</t>
  </si>
  <si>
    <t xml:space="preserve">Analiza y compara cuantitativamente la huella de carbono y claims de neutralidad de 20 universidades globales.</t>
  </si>
  <si>
    <t xml:space="preserve">Causone, Tatti &amp; Alongi</t>
  </si>
  <si>
    <t xml:space="preserve">Defining carbon neutral buildings: Challenges and perspectives</t>
  </si>
  <si>
    <t xml:space="preserve">Demanda (Sector construcción, Arquitectos), Reguladores</t>
  </si>
  <si>
    <t xml:space="preserve">Italia / Europa</t>
  </si>
  <si>
    <t xml:space="preserve">Edificaciones e infraestructura</t>
  </si>
  <si>
    <t xml:space="preserve">Define el concepto de edificio neutro en carbono y el rol complementario de los créditos de compensación.</t>
  </si>
  <si>
    <t xml:space="preserve">Shubbar et al.</t>
  </si>
  <si>
    <t xml:space="preserve">Carbon offsetting vs. carbon management in the building sector</t>
  </si>
  <si>
    <t xml:space="preserve">Demanda (Ingeniería civil, Empresas), Científicos</t>
  </si>
  <si>
    <t xml:space="preserve">Sector construcción</t>
  </si>
  <si>
    <t xml:space="preserve">Compara los costos y eficacia de reducir emisiones en materiales frente a la compra de offsets.</t>
  </si>
  <si>
    <t xml:space="preserve">McArthur, J.</t>
  </si>
  <si>
    <t xml:space="preserve">Multidimensional perspective on carbon neutral buildings and ventilation</t>
  </si>
  <si>
    <t xml:space="preserve">Demanda (Diseño de edificios), Reguladores, Científicos</t>
  </si>
  <si>
    <t xml:space="preserve">Entorno construido</t>
  </si>
  <si>
    <t xml:space="preserve">Analiza cómo la ventilación por encima de norma puede compensarse mediante créditos de carbono.</t>
  </si>
  <si>
    <t xml:space="preserve">Liu, Jiang &amp; Gleasure</t>
  </si>
  <si>
    <t xml:space="preserve">Consumer response to carbon offsetting options on airline websites</t>
  </si>
  <si>
    <t xml:space="preserve">Público general (Pasajeros aéreos), Demanda (Aerolíneas)</t>
  </si>
  <si>
    <t xml:space="preserve">Turismo y aviación</t>
  </si>
  <si>
    <t xml:space="preserve">Estudio experimental sobre cómo la presentación de opciones de offset influye en la decisión de compra del cliente.</t>
  </si>
  <si>
    <t xml:space="preserve">Ritchie, Kemperman &amp; Dolnicar</t>
  </si>
  <si>
    <t xml:space="preserve">Which product attributes lead to voluntary carbon offsetting in aviation?</t>
  </si>
  <si>
    <t xml:space="preserve">Transporte aéreo</t>
  </si>
  <si>
    <t xml:space="preserve">Investiga las preferencias y disposición a pagar de los viajeros por compensaciones de carbono.</t>
  </si>
  <si>
    <t xml:space="preserve">Rotaris, Giansoldati &amp; Scorrano</t>
  </si>
  <si>
    <t xml:space="preserve">Factors affecting consumers’ willingness to pay for carbon credits in transport</t>
  </si>
  <si>
    <t xml:space="preserve">Terrestre / Atmósfera</t>
  </si>
  <si>
    <t xml:space="preserve">Transporte de pasajeros</t>
  </si>
  <si>
    <t xml:space="preserve">Modelación econométrica de la disposición a pagar por créditos de carbono en elecciones de transporte.</t>
  </si>
  <si>
    <t xml:space="preserve">Günther et al.</t>
  </si>
  <si>
    <t xml:space="preserve">Behavioral spillovers and rebounding in voluntary carbon offsetting</t>
  </si>
  <si>
    <t xml:space="preserve">Público general (Huéspedes de albergue), Científicos</t>
  </si>
  <si>
    <t xml:space="preserve">Consumo de agua y energía</t>
  </si>
  <si>
    <t xml:space="preserve">Experimento en *Global Environ. Change* que demuestra el efecto 'rebound' (duchas más largas) al ofrecer offsets.</t>
  </si>
  <si>
    <t xml:space="preserve">Brancalion et al.</t>
  </si>
  <si>
    <t xml:space="preserve">Reforestation and carbon finance in the Global South</t>
  </si>
  <si>
    <t xml:space="preserve">Oferta (Propietarios, Comunidades), Demanda, Científicos</t>
  </si>
  <si>
    <t xml:space="preserve">Bosques y restauración</t>
  </si>
  <si>
    <t xml:space="preserve">Analiza el potencial del financiamiento de carbono para canalizar recursos de restauración al Sur Global.</t>
  </si>
  <si>
    <t xml:space="preserve">Carney et al. (TSVCM)</t>
  </si>
  <si>
    <t xml:space="preserve">Taskforce on Scaling Voluntary Carbon Markets: Consultation Document</t>
  </si>
  <si>
    <t xml:space="preserve">Mercados de capitales</t>
  </si>
  <si>
    <t xml:space="preserve">Propuesta impulsada por Mark Carney para escalar el mercado voluntario de carbono a $50B-$100B al año.</t>
  </si>
  <si>
    <t xml:space="preserve">Shopley, J. (IETA)</t>
  </si>
  <si>
    <t xml:space="preserve">What role for voluntary carbon markets after Paris?</t>
  </si>
  <si>
    <t xml:space="preserve">Demanda (Empresas IETA), Reguladores/legisladores</t>
  </si>
  <si>
    <t xml:space="preserve">Asociación comercial IETA</t>
  </si>
  <si>
    <t xml:space="preserve">Plantea el rol del mercado voluntario tras la firma del Acuerdo de París.</t>
  </si>
  <si>
    <t xml:space="preserve">The role of voluntary carbon markets in scaling climate action</t>
  </si>
  <si>
    <t xml:space="preserve">Sostiene que los mercados de carbono bien diseñados canalizan capital crítico hacia países en desarrollo.</t>
  </si>
  <si>
    <t xml:space="preserve">Blum &amp; Lövbrand</t>
  </si>
  <si>
    <t xml:space="preserve">The greening of carbon offset markets: A critique of double counting</t>
  </si>
  <si>
    <t xml:space="preserve">Gobernanza climática global</t>
  </si>
  <si>
    <t xml:space="preserve">Estudio crítico sobre las disputas normativas en torno al doble recuento entre la NDCs y claims corporativos.</t>
  </si>
  <si>
    <t xml:space="preserve">Dugast, C. (Carbone 4)</t>
  </si>
  <si>
    <t xml:space="preserve">Net-Zero Initiative: A Framework for Collective Carbon Neutrality</t>
  </si>
  <si>
    <t xml:space="preserve">Demanda (Empresas), Científicos, Certificadores</t>
  </si>
  <si>
    <t xml:space="preserve">Marco Net-Zero Initiative</t>
  </si>
  <si>
    <t xml:space="preserve">Propone sustituir la compensación tradicional por 3 pilares: reducir propias, ayudar a reducir y financiar remociones.</t>
  </si>
  <si>
    <t xml:space="preserve">Gold Standard Foundation</t>
  </si>
  <si>
    <t xml:space="preserve">Post 2020 Voluntary Carbon Market Principles</t>
  </si>
  <si>
    <t xml:space="preserve">Certificadores, Demanda, Reguladores</t>
  </si>
  <si>
    <t xml:space="preserve">Principios de mercado</t>
  </si>
  <si>
    <t xml:space="preserve">Lineamientos de Gold Standard para alinear los créditos voluntarios con la contabilidad de París post-2020.</t>
  </si>
  <si>
    <t xml:space="preserve">Science-Based Targets initiative (SBTi)</t>
  </si>
  <si>
    <t xml:space="preserve">SBTi Corporate Net-Zero Standard</t>
  </si>
  <si>
    <t xml:space="preserve">Demanda (Empresas globales), Reguladores, Financieros</t>
  </si>
  <si>
    <t xml:space="preserve">Estándar de descarbonización</t>
  </si>
  <si>
    <t xml:space="preserve">Estándar hito que exige un 90-95% de reducción interna de emisiones antes de neutralizar el remanente con remociones.</t>
  </si>
  <si>
    <t xml:space="preserve">Salway &amp; Streck</t>
  </si>
  <si>
    <t xml:space="preserve">Claims + Credibility: Embracing Diversification to Scale Carbon Markets</t>
  </si>
  <si>
    <t xml:space="preserve">Ecosistema de claims</t>
  </si>
  <si>
    <t xml:space="preserve">Propone la adopción formal de claims de 'contribución a la mitigación' sin neutralizar la propia huella.</t>
  </si>
  <si>
    <t xml:space="preserve">Gold Standard for the Global Goals – Claims Guidance v6.0</t>
  </si>
  <si>
    <t xml:space="preserve">Guías de claims</t>
  </si>
  <si>
    <t xml:space="preserve">Directrices sobre cómo divulgar retiros de créditos diferenciando aportes al desarrollo sostenible de offsets.</t>
  </si>
  <si>
    <t xml:space="preserve">Leugers, Faria &amp; Pineda</t>
  </si>
  <si>
    <t xml:space="preserve">Defining a Corporate Climate Finance Commitment</t>
  </si>
  <si>
    <t xml:space="preserve">Demanda (SBTi, Gold Standard), Inversores</t>
  </si>
  <si>
    <t xml:space="preserve">Financiamiento climático</t>
  </si>
  <si>
    <t xml:space="preserve">Propone un marco para monetizar compromisos de financiamiento de descarbonización fuera de la cadena de valor.</t>
  </si>
  <si>
    <t xml:space="preserve">WWF Position and Guidance on Voluntary Purchases of Carbon Credits</t>
  </si>
  <si>
    <t xml:space="preserve">ONG (WWF), Demanda (Corporaciones), Reguladores</t>
  </si>
  <si>
    <t xml:space="preserve">Posición institucional WWF</t>
  </si>
  <si>
    <t xml:space="preserve">Recomienda priorizar la reducción interna y utilizar créditos solo como contribución o mitigación más allá de la cadena.</t>
  </si>
  <si>
    <t xml:space="preserve">Howard &amp; Greiner</t>
  </si>
  <si>
    <t xml:space="preserve">Accounting Approaches for the Voluntary Carbon Market</t>
  </si>
  <si>
    <t xml:space="preserve">Reguladores/legisladores, Demanda, Certificadores</t>
  </si>
  <si>
    <t xml:space="preserve">Contabilidad de París</t>
  </si>
  <si>
    <t xml:space="preserve">Analiza las opciones contables para integrar o no ajustes correspondientes en transacciones voluntarias.</t>
  </si>
  <si>
    <t xml:space="preserve">Net-Zero: A Deep Dive into Setting Corporate Science-Based Targets</t>
  </si>
  <si>
    <t xml:space="preserve">Demanda (Empresas), Sector financiero</t>
  </si>
  <si>
    <t xml:space="preserve">Seminario técnico SBTi</t>
  </si>
  <si>
    <t xml:space="preserve">Detalla la metodología técnica para definir metas de corto y largo plazo compatibles con 1.5°C.</t>
  </si>
  <si>
    <t xml:space="preserve">Axelsson, Brophy &amp; Manzano</t>
  </si>
  <si>
    <t xml:space="preserve">Report on Corporate Climate Leadership Practices on Scope and Offsetting</t>
  </si>
  <si>
    <t xml:space="preserve">Demanda (Empresas líderes), Reguladores, Científicos</t>
  </si>
  <si>
    <t xml:space="preserve">Global / Suecia</t>
  </si>
  <si>
    <t xml:space="preserve">Prácticas de liderazgo</t>
  </si>
  <si>
    <t xml:space="preserve">Sintetiza las mejores prácticas de liderazgo corporativo separando reducción interna de inversión externa.</t>
  </si>
  <si>
    <t xml:space="preserve">Fearnehough et al. (DEHSt)</t>
  </si>
  <si>
    <t xml:space="preserve">Future role of voluntary carbon markets under the Paris Agreement</t>
  </si>
  <si>
    <t xml:space="preserve">Reguladores (DEHSt Alemania), Demanda, Científicos</t>
  </si>
  <si>
    <t xml:space="preserve">Agencia Federal de Emisiones</t>
  </si>
  <si>
    <t xml:space="preserve">Informe del gobierno alemán sobre las implicaciones del Artículo 6 para la compra de créditos por corporaciones.</t>
  </si>
  <si>
    <t xml:space="preserve">Carbon Trust</t>
  </si>
  <si>
    <t xml:space="preserve">Climate Action Plans &amp; Business Sustainability Certification</t>
  </si>
  <si>
    <t xml:space="preserve">Certificadores (Carbon Trust), Demanda (Empresas)</t>
  </si>
  <si>
    <t xml:space="preserve">Esquema de certificación</t>
  </si>
  <si>
    <t xml:space="preserve">Estándar comercial privado para certificar neutralidad de carbono corporativa y de productos.</t>
  </si>
  <si>
    <t xml:space="preserve">Climate Impact Partners</t>
  </si>
  <si>
    <t xml:space="preserve">The CarbonNeutral Protocol</t>
  </si>
  <si>
    <t xml:space="preserve">Certificadores, Demanda (Empresas)</t>
  </si>
  <si>
    <t xml:space="preserve">Protocolo comercial</t>
  </si>
  <si>
    <t xml:space="preserve">Marco de certificación que exige calcular huella, reducir e igualar remanentes con retiros de créditos.</t>
  </si>
  <si>
    <t xml:space="preserve">Climate Neutral</t>
  </si>
  <si>
    <t xml:space="preserve">The Climate Neutral Certified Standard</t>
  </si>
  <si>
    <t xml:space="preserve">Certificadores (Climate Neutral), Demanda</t>
  </si>
  <si>
    <t xml:space="preserve">Etiqueta para consumidor</t>
  </si>
  <si>
    <t xml:space="preserve">Estándar de etiquetado para marcas de consumo que compensan el 100% de sus emisiones anuales.</t>
  </si>
  <si>
    <t xml:space="preserve">Honegger et al. (DENA)</t>
  </si>
  <si>
    <t xml:space="preserve">Carbon neutrality: Definitions and standards in the German market</t>
  </si>
  <si>
    <t xml:space="preserve">Reguladores (DENA Alemania), Demanda, Científicos</t>
  </si>
  <si>
    <t xml:space="preserve">Mercado alemán</t>
  </si>
  <si>
    <t xml:space="preserve">Estudio de la Agencia Alemana de Energía aclarando las diferencias conceptuales entre neutralidad de carbono y net-zero.</t>
  </si>
  <si>
    <t xml:space="preserve">The Climate Neutral Standards v2.0</t>
  </si>
  <si>
    <t xml:space="preserve">Certificadores, Demanda</t>
  </si>
  <si>
    <t xml:space="preserve">Norma de certificación</t>
  </si>
  <si>
    <t xml:space="preserve">Actualización de los requisitos de auditoría para la concesión del sello Climate Neutral Certified.</t>
  </si>
  <si>
    <t xml:space="preserve">Decision -/CMA.4: Guidance on Article 6.4 mechanism</t>
  </si>
  <si>
    <t xml:space="preserve">Reguladores/legisladores (UNFCCC), Demanda, Oferta</t>
  </si>
  <si>
    <t xml:space="preserve">Mecanismo del Art. 6.4</t>
  </si>
  <si>
    <t xml:space="preserve">Decisión oficial de la COP27 que crea la categoría de 'Unidades de Contribución a la Mitigación del Art. 6.4'.</t>
  </si>
  <si>
    <t xml:space="preserve">Decision 2/CMA.3: Guidance on cooperative approaches (Article 6.2)</t>
  </si>
  <si>
    <t xml:space="preserve">Gobernanza del Art. 6.2</t>
  </si>
  <si>
    <t xml:space="preserve">Reglamento oficial aprobado en Glasgow sobre la aplicación de ajustes correspondientes para evitar doble recuento.</t>
  </si>
  <si>
    <t xml:space="preserve">Schneider &amp; Warnecke</t>
  </si>
  <si>
    <t xml:space="preserve">Operationalizing Overall Mitigation in Global Emissions (OMGE)</t>
  </si>
  <si>
    <t xml:space="preserve">Analiza las opciones para implementar la mitigación global neta (OMGE) mediante la cancelación obligatoria del 2% de créditos.</t>
  </si>
  <si>
    <t xml:space="preserve">Chazdon &amp; Brancalion</t>
  </si>
  <si>
    <t xml:space="preserve">Restoring forests as a means to many ends</t>
  </si>
  <si>
    <t xml:space="preserve">Revisa los múltiples objetivos socioecológicos de la restauración forestal global y la toma de decisiones.</t>
  </si>
  <si>
    <t xml:space="preserve">COP26 / Glasgow Declaration</t>
  </si>
  <si>
    <t xml:space="preserve">Glasgow Leaders' Declaration on Forests and Land Use</t>
  </si>
  <si>
    <t xml:space="preserve">Reguladores/legisladores, Demanda (Empresas), Público general</t>
  </si>
  <si>
    <t xml:space="preserve">Global (140+ países)</t>
  </si>
  <si>
    <t xml:space="preserve">Bosques globales y uso del suelo</t>
  </si>
  <si>
    <t xml:space="preserve">Compromiso político internacional para detener y revertir la pérdida de bosques hacia 2030.</t>
  </si>
  <si>
    <t xml:space="preserve">Edwards et al.</t>
  </si>
  <si>
    <t xml:space="preserve">Upscaling tropical restoration to deliver environmental benefits and socially equitable outcomes</t>
  </si>
  <si>
    <t xml:space="preserve">Oferta (Comunidades locales, IPLC), Reguladores/legisladores, Comunidad científica</t>
  </si>
  <si>
    <t xml:space="preserve">Bosques tropicales secundarios y degradados</t>
  </si>
  <si>
    <t xml:space="preserve">Analiza cómo escalar la restauración tropical para lograr equidad social y beneficios ambientales.</t>
  </si>
  <si>
    <t xml:space="preserve">Dave et al. / IUCN</t>
  </si>
  <si>
    <t xml:space="preserve">Second Bonn Challenge progress report. Application of the Barometer in 2018</t>
  </si>
  <si>
    <t xml:space="preserve">Reguladores/legisladores, Oferta (Gobiernos, Comunidades), Demanda</t>
  </si>
  <si>
    <t xml:space="preserve">Global (60+ países)</t>
  </si>
  <si>
    <t xml:space="preserve">Paisajes forestales degradados</t>
  </si>
  <si>
    <t xml:space="preserve">Reporte de progreso del Desafío de Bonn para restaurar 350 millones de hectáreas de tierra a 2030.</t>
  </si>
  <si>
    <t xml:space="preserve">1 Trillion Trees / WEF</t>
  </si>
  <si>
    <t xml:space="preserve">1t.org initiative: Growing, restoring and conserving 1 trillion trees</t>
  </si>
  <si>
    <t xml:space="preserve">Demanda (Empresas, Sector financiero), Reguladores, Público general</t>
  </si>
  <si>
    <t xml:space="preserve">Bosques y árboles globales</t>
  </si>
  <si>
    <t xml:space="preserve">Plataforma global del WEF para movilizar capital privado y conservar 1 billón de árboles.</t>
  </si>
  <si>
    <t xml:space="preserve">Regenerate natural forests to store carbon</t>
  </si>
  <si>
    <t xml:space="preserve">Global (Trópicos y templado)</t>
  </si>
  <si>
    <t xml:space="preserve">Bosques naturales vs. plantaciones de monocultivo</t>
  </si>
  <si>
    <t xml:space="preserve">Demuestra que la regeneración natural almacena hasta 40 veces más carbono que las plantaciones monocultivo.</t>
  </si>
  <si>
    <t xml:space="preserve">Hua et al.</t>
  </si>
  <si>
    <t xml:space="preserve">Opportunities for biodiversity gains under the world's largest reforestation programme</t>
  </si>
  <si>
    <t xml:space="preserve">Reguladores/legisladores, Oferta (Agricultores de China), Comunidad científica</t>
  </si>
  <si>
    <t xml:space="preserve">Bosques y tierras agrícolas reconvertidas (Grain-for-Green)</t>
  </si>
  <si>
    <t xml:space="preserve">Evalúa los impactos del programa Grain-for-Green en China, mostrando pérdidas de biodiversidad por monocultivos.</t>
  </si>
  <si>
    <t xml:space="preserve">Romijn et al.</t>
  </si>
  <si>
    <t xml:space="preserve">Land restoration in Latin America and the Caribbean: an overview of recent initiatives</t>
  </si>
  <si>
    <t xml:space="preserve">América Latina y el Caribe</t>
  </si>
  <si>
    <t xml:space="preserve">Bosques tropicales y secos</t>
  </si>
  <si>
    <t xml:space="preserve">Mapea las iniciativas de restauración en ALC y su potencial de mitigación climática.</t>
  </si>
  <si>
    <t xml:space="preserve">Wang et al.</t>
  </si>
  <si>
    <t xml:space="preserve">China’s forestry reforms</t>
  </si>
  <si>
    <t xml:space="preserve">Reguladores/legisladores, Oferta (Agricultores, Comunidades)</t>
  </si>
  <si>
    <t xml:space="preserve">Bosques colectivos y plantaciones</t>
  </si>
  <si>
    <t xml:space="preserve">Analiza las reformas del derecho de propiedad forestal en China y la privatización de derechos de siembra.</t>
  </si>
  <si>
    <t xml:space="preserve">Reid et al.</t>
  </si>
  <si>
    <t xml:space="preserve">Positive site selection bias in meta-analyses comparing natural regeneration to active forest restoration</t>
  </si>
  <si>
    <t xml:space="preserve">Bosques secundarios y áreas de restauración</t>
  </si>
  <si>
    <t xml:space="preserve">Identifica el sesgo de selección de sitios en meta-análisis que comparan la regeneración natural con la activa.</t>
  </si>
  <si>
    <t xml:space="preserve">Brockerhoff et al.</t>
  </si>
  <si>
    <t xml:space="preserve">Plantation forests and biodiversity: oxymoron or opportunity?</t>
  </si>
  <si>
    <t xml:space="preserve">Oferta (Silvicultores), Comunidad científica, Reguladores</t>
  </si>
  <si>
    <t xml:space="preserve">Plantaciones forestales comerciales</t>
  </si>
  <si>
    <t xml:space="preserve">Revisa las oportunidades y limitaciones de las plantaciones de madera para la conservación de la biodiversidad.</t>
  </si>
  <si>
    <t xml:space="preserve">Dinerstein et al.</t>
  </si>
  <si>
    <t xml:space="preserve">A Global Deal for Nature: guiding principles, milestones, and targets</t>
  </si>
  <si>
    <t xml:space="preserve">Ecorregiones terrestres y marinas</t>
  </si>
  <si>
    <t xml:space="preserve">Propone el 'Global Deal for Nature' con metas de proteger el 30% de la Tierra e interconectar hábitats a 2030.</t>
  </si>
  <si>
    <t xml:space="preserve">Gann et al. / SER</t>
  </si>
  <si>
    <t xml:space="preserve">International principles and standards for the practice of ecological restoration</t>
  </si>
  <si>
    <t xml:space="preserve">Establece los estándares e ideales de referencia de la SER para guiar proyectos de restauración ecológica.</t>
  </si>
  <si>
    <t xml:space="preserve">Gann et al. (SER)</t>
  </si>
  <si>
    <t xml:space="preserve">Cualitativo / Normativo</t>
  </si>
  <si>
    <t xml:space="preserve">Oferta (Practicantes de restauración / SER), Científicos, Reguladores</t>
  </si>
  <si>
    <t xml:space="preserve">Principios de restauración ecológica de la SER</t>
  </si>
  <si>
    <t xml:space="preserve">Estándares internacionales de la SER que definen los 6 atributos clave de condición e integridad ecológicas.</t>
  </si>
  <si>
    <t xml:space="preserve">Gibson et al.</t>
  </si>
  <si>
    <t xml:space="preserve">Primary forests are irreplaceable for sustaining tropical biodiversity</t>
  </si>
  <si>
    <t xml:space="preserve">Bosques primarios tropicales vs. secundarios y plantaciones</t>
  </si>
  <si>
    <t xml:space="preserve">Meta-análisis demostrando que los bosques primarios son insustituibles para la biodiversidad tropical.</t>
  </si>
  <si>
    <t xml:space="preserve">Pausas &amp; Austin</t>
  </si>
  <si>
    <t xml:space="preserve">Patterns of plant species richness in relation to different environments</t>
  </si>
  <si>
    <t xml:space="preserve">Comunidades vegetales terrestres</t>
  </si>
  <si>
    <t xml:space="preserve">Analiza los gradientes de riqueza de especies vegetales en relación con la temperatura y la precipitación.</t>
  </si>
  <si>
    <t xml:space="preserve">Lefcheck et al.</t>
  </si>
  <si>
    <t xml:space="preserve">Biodiversity enhances ecosystem multifunctionality across trophic levels and habitats</t>
  </si>
  <si>
    <t xml:space="preserve">Varios ecosistemas terrestres y acuáticos</t>
  </si>
  <si>
    <t xml:space="preserve">Demuestra empíricamente que la biodiversidad incrementa la multifuncionalidad ecosistémica a través de niveles tróficos.</t>
  </si>
  <si>
    <t xml:space="preserve">Bosch &amp; Hewlett</t>
  </si>
  <si>
    <t xml:space="preserve">A review of catchment experiments to determine the effect of vegetation changes on water yield</t>
  </si>
  <si>
    <t xml:space="preserve">Comunidad científica, Reguladores/legisladores (Recursos hídricos)</t>
  </si>
  <si>
    <t xml:space="preserve">Global (54 cuencas)</t>
  </si>
  <si>
    <t xml:space="preserve">Cuencas hidrográficas forestales</t>
  </si>
  <si>
    <t xml:space="preserve">Revisión clásica de experimentos de cuencas pareadas que demuestra que la cobertura arbórea reduce el rendimiento hídrico.</t>
  </si>
  <si>
    <t xml:space="preserve">Above-ground carbon stocks and timber value of old timber plantations, secondary and primary forests in southern Ghana</t>
  </si>
  <si>
    <t xml:space="preserve">Ghana</t>
  </si>
  <si>
    <t xml:space="preserve">Plantaciones de madera antiguas y bosques secundarios</t>
  </si>
  <si>
    <t xml:space="preserve">Evalúa el stock de carbono y valor de madera en plantaciones viejas abandonadas en África occidental.</t>
  </si>
  <si>
    <t xml:space="preserve">Global restoration opportunities in tropical rainforest landscapes</t>
  </si>
  <si>
    <t xml:space="preserve">Paisajes de selva tropical degradada</t>
  </si>
  <si>
    <t xml:space="preserve">Mapea las áreas prioritarias globales para la restauración de selvas tropicales maximizando beneficios.</t>
  </si>
  <si>
    <t xml:space="preserve">Feng et al.</t>
  </si>
  <si>
    <t xml:space="preserve">Revegetation in China’s Loess Plateau is approaching sustainable water resource limits</t>
  </si>
  <si>
    <t xml:space="preserve">Reguladores/legisladores, Oferta (Agricultores), Comunidad científica</t>
  </si>
  <si>
    <t xml:space="preserve">China (Meseta de Loess)</t>
  </si>
  <si>
    <t xml:space="preserve">Cuencas semiáridas y reforestación masiva</t>
  </si>
  <si>
    <t xml:space="preserve">Muestra que la reforestación intensiva en la Meseta de Loess alcanzó los límites de disponibilidad hídrica.</t>
  </si>
  <si>
    <t xml:space="preserve">Paquette &amp; Messier</t>
  </si>
  <si>
    <t xml:space="preserve">The role of plantations in managing the world’s forests in the Anthropocene</t>
  </si>
  <si>
    <t xml:space="preserve">Oferta (Silvicultores, Industria), Reguladores, Científicos</t>
  </si>
  <si>
    <t xml:space="preserve">Plantaciones de madera e intensificación</t>
  </si>
  <si>
    <t xml:space="preserve">Discute la intensificación en plantaciones madereras para liberar tierras para la conservación nativa (Triad approach).</t>
  </si>
  <si>
    <t xml:space="preserve">Timber investment returns for selected plantations and native forests in South America and the southern United States</t>
  </si>
  <si>
    <t xml:space="preserve">Demanda (Inversores forestales, Sector financiero), Oferta</t>
  </si>
  <si>
    <t xml:space="preserve">Sudamérica y Sudeste de EE. UU.</t>
  </si>
  <si>
    <t xml:space="preserve">Plantaciones madereras comerciales</t>
  </si>
  <si>
    <t xml:space="preserve">Compara las tasas internas de retorno (TIR) de inversiones en plantaciones frente a bosques nativos.</t>
  </si>
  <si>
    <t xml:space="preserve">Lugo, A. E.</t>
  </si>
  <si>
    <t xml:space="preserve">Comparison of tropical tree plantations with secondary forests of similar age</t>
  </si>
  <si>
    <t xml:space="preserve">Comunidad científica, Oferta</t>
  </si>
  <si>
    <t xml:space="preserve">Puerto Rico / Trópicos</t>
  </si>
  <si>
    <t xml:space="preserve">Plantaciones tropicales y bosques secundarios</t>
  </si>
  <si>
    <t xml:space="preserve">Estudio hito que comparó la biomasa, volumen de madera y velocidad de crecimiento entre plantaciones y bosques secundarios.</t>
  </si>
  <si>
    <t xml:space="preserve">Chazdon &amp; Uriarte</t>
  </si>
  <si>
    <t xml:space="preserve">Natural regeneration in the context of large-scale forest and landscape restoration in the tropics</t>
  </si>
  <si>
    <t xml:space="preserve">Bosques secundarios regenerados naturalmente</t>
  </si>
  <si>
    <t xml:space="preserve">Fundamenta la regeneración natural asistida como la estrategia más costo-efectiva de restauración a gran escala.</t>
  </si>
  <si>
    <t xml:space="preserve">Kanowski &amp; Catterall</t>
  </si>
  <si>
    <t xml:space="preserve">Carbon stocks in above-ground biomass of monoculture plantations, mixed species plantations and environmental restoration plantings</t>
  </si>
  <si>
    <t xml:space="preserve">Comunidad científica, Oferta (Propietarios)</t>
  </si>
  <si>
    <t xml:space="preserve">Australia (Noreste)</t>
  </si>
  <si>
    <t xml:space="preserve">Plantaciones monocultivo vs. de restauración ambiental</t>
  </si>
  <si>
    <t xml:space="preserve">Mide los stocks de carbono en biomasa aérea comparando monocultivos con siembras de restauración ambiental.</t>
  </si>
  <si>
    <t xml:space="preserve">Delang &amp; Yuan</t>
  </si>
  <si>
    <t xml:space="preserve">China’s Grain for Green Program</t>
  </si>
  <si>
    <t xml:space="preserve">Reguladores/legisladores, Oferta (Millones de agricultores chinos)</t>
  </si>
  <si>
    <t xml:space="preserve">Cuencas degradadas y laderas agrícolas</t>
  </si>
  <si>
    <t xml:space="preserve">Análisis exhaustivo del programa de Pago por Servicios Ecosistémicos más grande del mundo (&gt;34M ha).</t>
  </si>
  <si>
    <t xml:space="preserve">Bekessy &amp; Wintle</t>
  </si>
  <si>
    <t xml:space="preserve">Using carbon investment to grow the biodiversity bank</t>
  </si>
  <si>
    <t xml:space="preserve">Demanda (Inversores de carbono), Reguladores, Científicos</t>
  </si>
  <si>
    <t xml:space="preserve">Bosques y proyectos de carbono</t>
  </si>
  <si>
    <t xml:space="preserve">Analiza cómo encauzar las inversiones del mercado de carbono para generar co-beneficios de biodiversidad.</t>
  </si>
  <si>
    <t xml:space="preserve">Naime et al.</t>
  </si>
  <si>
    <t xml:space="preserve">Economic valuation of ecosystem services from secondary tropical forests: trade-offs and implications for policy making</t>
  </si>
  <si>
    <t xml:space="preserve">Trópicos (México)</t>
  </si>
  <si>
    <t xml:space="preserve">Valoración económica de servicios ecosistémicos en bosques secundarios y sus compensaciones para políticas.</t>
  </si>
  <si>
    <t xml:space="preserve">Exotic eucalypts: from demonized trees to allies of tropical forest restoration?</t>
  </si>
  <si>
    <t xml:space="preserve">Oferta (Silvicultores, Restauradores), Científicos</t>
  </si>
  <si>
    <t xml:space="preserve">Brasil / Trópicos</t>
  </si>
  <si>
    <t xml:space="preserve">Plantaciones de eucalipto como nodrizas</t>
  </si>
  <si>
    <t xml:space="preserve">Evalúa el uso de eucaliptos como árboles nodriza temporales para financiar y acelerar la restauración nativa.</t>
  </si>
  <si>
    <t xml:space="preserve">Betts et al.</t>
  </si>
  <si>
    <t xml:space="preserve">Producing wood at least cost to biodiversity: integrating Triad and sharing–sparing approaches to inform forest landscape management</t>
  </si>
  <si>
    <t xml:space="preserve">Oferta (Silvicultores), Reguladores/legisladores, Científicos</t>
  </si>
  <si>
    <t xml:space="preserve">Paisajes forestales de producción y protección</t>
  </si>
  <si>
    <t xml:space="preserve">Propone integrar el modelo Triad y Land Sparing-Sharing para minimizar el impacto de la producción maderera.</t>
  </si>
  <si>
    <t xml:space="preserve">Liao et al.</t>
  </si>
  <si>
    <t xml:space="preserve">Ecosystem carbon stock influenced by plantation practice: implications for planting forests as a measure of climate change mitigation</t>
  </si>
  <si>
    <t xml:space="preserve">Comunidad científica, Demanda (Carbono)</t>
  </si>
  <si>
    <t xml:space="preserve">Plantaciones forestales vs. bosques nativos</t>
  </si>
  <si>
    <t xml:space="preserve">Meta-análisis mostrando las diferencias de carbono aéreo y subterráneo entre plantaciones y bosques.</t>
  </si>
  <si>
    <t xml:space="preserve">Zahawi, Reid &amp; Holl</t>
  </si>
  <si>
    <t xml:space="preserve">Hidden costs of passive restoration</t>
  </si>
  <si>
    <t xml:space="preserve">Oferta (Restauradores, Propietarios), Científicos</t>
  </si>
  <si>
    <t xml:space="preserve">Trópicos (Costa Rica)</t>
  </si>
  <si>
    <t xml:space="preserve">Pastizales abandonados y bosques secundarios</t>
  </si>
  <si>
    <t xml:space="preserve">Analiza los costos ocultos y retrasos de la restauración pasiva en paisajes fuertemente degradados.</t>
  </si>
  <si>
    <t xml:space="preserve">Coleman et al.</t>
  </si>
  <si>
    <t xml:space="preserve">Limited effects of tree planting on forest canopy cover and rural livelihoods in Northern India</t>
  </si>
  <si>
    <t xml:space="preserve">Reguladores/legisladores, Oferta (Comunidades rurales de India)</t>
  </si>
  <si>
    <t xml:space="preserve">India (Norte)</t>
  </si>
  <si>
    <t xml:space="preserve">Plantaciones comunitarias e históricas</t>
  </si>
  <si>
    <t xml:space="preserve">Evaluación empírica en Nature Sustainability demostrando impactos limitados de la siembra de árboles en medios de vida.</t>
  </si>
  <si>
    <t xml:space="preserve">Melo et al.</t>
  </si>
  <si>
    <t xml:space="preserve">Adding forests to the water–energy–food nexus</t>
  </si>
  <si>
    <t xml:space="preserve">Bosques y cuencas productivas</t>
  </si>
  <si>
    <t xml:space="preserve">Articula la restauración forestal dentro del nexo agua-energía-alimentos para la seguridad humana.</t>
  </si>
  <si>
    <t xml:space="preserve">FAO</t>
  </si>
  <si>
    <t xml:space="preserve">Global Forest Resources Assessment 2020</t>
  </si>
  <si>
    <t xml:space="preserve">Global (236 países)</t>
  </si>
  <si>
    <t xml:space="preserve">Superficie forestal mundial y plantaciones</t>
  </si>
  <si>
    <t xml:space="preserve">Evaluación quinquenal de los recursos forestales mundiales, cambios de cobertura y estadísticas de madera.</t>
  </si>
  <si>
    <t xml:space="preserve">Rubber plantations act as water pumps in tropical China</t>
  </si>
  <si>
    <t xml:space="preserve">Oferta (Agricultores de caucho), Reguladores, Científicos</t>
  </si>
  <si>
    <t xml:space="preserve">China (Yunnan / Xishuangbanna)</t>
  </si>
  <si>
    <t xml:space="preserve">Plantaciones de caucho (Hevea brasiliensis) vs. selva</t>
  </si>
  <si>
    <t xml:space="preserve">Demuestra que las monocultivos de caucho consumen agua masivamente, actuando como 'bombas hídricas'.</t>
  </si>
  <si>
    <t xml:space="preserve">Röll et al.</t>
  </si>
  <si>
    <t xml:space="preserve">Transpiration on the rebound in lowland Sumatra</t>
  </si>
  <si>
    <t xml:space="preserve">Oferta (Productores de palma y caucho), Científicos</t>
  </si>
  <si>
    <t xml:space="preserve">Palma de aceite, caucho y selva tropical</t>
  </si>
  <si>
    <t xml:space="preserve">Mide la transpiración en plantaciones de palma y caucho comparada con selvas de tierras bajas en Sumatra.</t>
  </si>
  <si>
    <t xml:space="preserve">Ecological restoration success is higher for natural regeneration than for active restoration in tropical forests</t>
  </si>
  <si>
    <t xml:space="preserve">Bosques tropicales restaurados</t>
  </si>
  <si>
    <t xml:space="preserve">Meta-análisis global en Science Advances demostrando mayor éxito de la regeneración natural para la biodiversidad.</t>
  </si>
  <si>
    <t xml:space="preserve">Barlow et al.</t>
  </si>
  <si>
    <t xml:space="preserve">Quantifying the biodiversity value of tropical primary, secondary, and plantation forests</t>
  </si>
  <si>
    <t xml:space="preserve">Selva tropical primaria, secundaria y plantaciones</t>
  </si>
  <si>
    <t xml:space="preserve">Estudio hito en PNAS evaluando 15 grupos taxonómicos en la Amazonía brasilera.</t>
  </si>
  <si>
    <t xml:space="preserve">Osuri et al.</t>
  </si>
  <si>
    <t xml:space="preserve">Greater stability of carbon capture in species-rich natural forests compared to species-poor plantations</t>
  </si>
  <si>
    <t xml:space="preserve">Comunidad científica, Demanda (Carbono), Reguladores</t>
  </si>
  <si>
    <t xml:space="preserve">India (Ghats occidentales) / Trópicos</t>
  </si>
  <si>
    <t xml:space="preserve">Bosques naturales ricos en especies vs. monocultivos</t>
  </si>
  <si>
    <t xml:space="preserve">Demuestra la mayor estabilidad temporal del secuestro de carbono en bosques naturales biodiversos.</t>
  </si>
  <si>
    <t xml:space="preserve">Anache et al.</t>
  </si>
  <si>
    <t xml:space="preserve">Runoff and soil erosion plot-scale studies under natural rainfall: a meta-analysis of the Brazilian experience</t>
  </si>
  <si>
    <t xml:space="preserve">Comunidad científica, Oferta (Agricultores, Silvicultores)</t>
  </si>
  <si>
    <t xml:space="preserve">Suelos forestales y agrícolas de Brasil</t>
  </si>
  <si>
    <t xml:space="preserve">Meta-análisis de parcelas de escorrentía y pérdida de suelo bajo diferentes usos del suelo en Brasil.</t>
  </si>
  <si>
    <t xml:space="preserve">Filoso et al.</t>
  </si>
  <si>
    <t xml:space="preserve">Impacts of forest restoration on water yield: a systematic review</t>
  </si>
  <si>
    <t xml:space="preserve">Cuencas forestales restauradas</t>
  </si>
  <si>
    <t xml:space="preserve">Revisión sistemática sobre los impactos de la restauración forestal en la cantidad y estacionalidad del agua.</t>
  </si>
  <si>
    <t xml:space="preserve">Farley, Jobbágy &amp; Jackson</t>
  </si>
  <si>
    <t xml:space="preserve">Effects of afforestation on water yield: a global synthesis with implications for policy</t>
  </si>
  <si>
    <t xml:space="preserve">Global (26 cuencas)</t>
  </si>
  <si>
    <t xml:space="preserve">Aforestación de pastizales y matorrales con pinos/eucaliptos</t>
  </si>
  <si>
    <t xml:space="preserve">Síntesis global demostrando reducciones promedio del 44% en el rendimiento hídrico anual tras aforestación.</t>
  </si>
  <si>
    <t xml:space="preserve">Jackson et al.</t>
  </si>
  <si>
    <t xml:space="preserve">Trading water for carbon with biological carbon sequestration</t>
  </si>
  <si>
    <t xml:space="preserve">Reguladores/legisladores, Demanda (Mercados de carbono), Científicos</t>
  </si>
  <si>
    <t xml:space="preserve">Plantaciones de captura de carbono y cuencas</t>
  </si>
  <si>
    <t xml:space="preserve">Advierte en Science sobre el trade-off de 'cambiar agua por carbono' al plantar árboles en zonas secas.</t>
  </si>
  <si>
    <t xml:space="preserve">Armsworth</t>
  </si>
  <si>
    <t xml:space="preserve">Inclusion of costs in conservation planning depends on limited datasets and hopeful assumptions</t>
  </si>
  <si>
    <t xml:space="preserve">Ecosistemas diversos e inversión en conservación</t>
  </si>
  <si>
    <t xml:space="preserve">Demuestra la elevada heterogeneidad espacial en los costos de conservación y la escasez de datos empíricos.</t>
  </si>
  <si>
    <t xml:space="preserve">Atkinson &amp; Tietenberg</t>
  </si>
  <si>
    <t xml:space="preserve">Market failure in incentive-based regulation: The case of emissions trading</t>
  </si>
  <si>
    <t xml:space="preserve">Reguladores/legisladores, Demanda (Empresas emisoras)</t>
  </si>
  <si>
    <t xml:space="preserve">Sistemas industriales de emisión de contaminantes</t>
  </si>
  <si>
    <t xml:space="preserve">Analiza las fallas de mercado y los elevados costos de transacción que redujeron el volumen de comercio en programas iniciales.</t>
  </si>
  <si>
    <t xml:space="preserve">Baker et al.</t>
  </si>
  <si>
    <t xml:space="preserve">Evaluation of the biodiversity offsetting pilot programme final report</t>
  </si>
  <si>
    <t xml:space="preserve">Hábitats locales y zonas de desarrollo urbano</t>
  </si>
  <si>
    <t xml:space="preserve">Evaluación del programa piloto de compensación en el RU que mostró baja participación por restricciones geográficas.</t>
  </si>
  <si>
    <t xml:space="preserve">BenDor &amp; Brozović</t>
  </si>
  <si>
    <t xml:space="preserve">Determinants of spatial and temporal patterns in compensatory wetland mitigation</t>
  </si>
  <si>
    <t xml:space="preserve">Reguladores/legisladores, Demanda (Desarrolladores), Oferta (Bancos de humedales)</t>
  </si>
  <si>
    <t xml:space="preserve">Humedales y mitigación compensatoria</t>
  </si>
  <si>
    <t xml:space="preserve">Analiza los determinantes espaciales y temporales en la mitigación de humedales y el alejamiento de sitios impactados.</t>
  </si>
  <si>
    <t xml:space="preserve">BenDor &amp; Stewart</t>
  </si>
  <si>
    <t xml:space="preserve">Land use planning and social equity in North Carolina's compensatory wetland and stream mitigation programs</t>
  </si>
  <si>
    <t xml:space="preserve">Público general (Comunidades afectadas), Reguladores, Oferta</t>
  </si>
  <si>
    <t xml:space="preserve">Humedales y cursos de agua (streams)</t>
  </si>
  <si>
    <t xml:space="preserve">Demuestra el impacto de la reubicación de humedales compensatorios hacia zonas rurales alejadas de comunidades urbanas.</t>
  </si>
  <si>
    <t xml:space="preserve">Categories of flexibility in biodiversity offsetting, and their implications for conservation</t>
  </si>
  <si>
    <t xml:space="preserve">Ecosistemas diversos bajo esquemas de offset</t>
  </si>
  <si>
    <t xml:space="preserve">Aporta una tipología de categorías de flexibilidad en compensaciones (espacial, temporal, in-kind) y sus riesgos ecológicos.</t>
  </si>
  <si>
    <t xml:space="preserve">Bull, Lloyd &amp; Strange</t>
  </si>
  <si>
    <t xml:space="preserve">Implementation gap between the theory and practice of biodiversity offset multipliers</t>
  </si>
  <si>
    <t xml:space="preserve">Múltiples hábitats sujetos a multiplicadores de offset</t>
  </si>
  <si>
    <t xml:space="preserve">Evidencia la brecha entre los multiplicadores/ratios teóricos necesarios y los ratios aplicados en la práctica.</t>
  </si>
  <si>
    <t xml:space="preserve">Buschke, Brownlie &amp; Manuel</t>
  </si>
  <si>
    <t xml:space="preserve">The conservation costs and economic benefits of using biodiversity offsets to meet international targets for protected area expansion</t>
  </si>
  <si>
    <t xml:space="preserve">Áreas protegidas y hábitats prioritarios</t>
  </si>
  <si>
    <t xml:space="preserve">Modela cómo los biocréditos de compensación pueden reducir los costos percibidos de expansión de áreas protegidas.</t>
  </si>
  <si>
    <t xml:space="preserve">Carlos, F.</t>
  </si>
  <si>
    <t xml:space="preserve">The contested instruments of a new governance regime: Accounting for nature and building markets for biodiversity offsets</t>
  </si>
  <si>
    <t xml:space="preserve">Reguladores/legisladores, Demanda (Sector privado), Científicos</t>
  </si>
  <si>
    <t xml:space="preserve">Capital natural y contabilidad ambiental</t>
  </si>
  <si>
    <t xml:space="preserve">Analiza la contabilidad ambiental y la construcción de mercados como un régimen contested de gobernanza.</t>
  </si>
  <si>
    <t xml:space="preserve">Cason &amp; Gangadharan</t>
  </si>
  <si>
    <t xml:space="preserve">Transactions costs in tradable permit markets: An experimental study of pollution market designs</t>
  </si>
  <si>
    <t xml:space="preserve">Cuantitativo (Experimental)</t>
  </si>
  <si>
    <t xml:space="preserve">Reguladores/legisladores, Demanda (Empresas)</t>
  </si>
  <si>
    <t xml:space="preserve">Laboratorio / Global</t>
  </si>
  <si>
    <t xml:space="preserve">Atmósfera / Agua</t>
  </si>
  <si>
    <t xml:space="preserve">Mercados experimentales de permisos de contaminación</t>
  </si>
  <si>
    <t xml:space="preserve">Demuestra experimentalmente cómo los altos costos de transacción inhiben la participación de compradores y vendedores.</t>
  </si>
  <si>
    <t xml:space="preserve">Crocker, T.</t>
  </si>
  <si>
    <t xml:space="preserve">The structuring of atmospheric pollution control systems</t>
  </si>
  <si>
    <t xml:space="preserve">Cualitativo / Teórico</t>
  </si>
  <si>
    <t xml:space="preserve">Sistemas de control de contaminación del aire</t>
  </si>
  <si>
    <t xml:space="preserve">Obra pionera en economía ambiental que formuló la estructura teórica de los permisos de emisión negociables.</t>
  </si>
  <si>
    <t xml:space="preserve">De Vries &amp; Hanley</t>
  </si>
  <si>
    <t xml:space="preserve">Incentive-based policy design for pollution control and biodiversity conservation: A review</t>
  </si>
  <si>
    <t xml:space="preserve">Terrestre / Acuático / Atmósfera</t>
  </si>
  <si>
    <t xml:space="preserve">Instrumentos económicos de incentivo</t>
  </si>
  <si>
    <t xml:space="preserve">Revisa el diseño de políticas basadas en incentivos minimizando costos para control de contaminación y conservación.</t>
  </si>
  <si>
    <t xml:space="preserve">Desvousges et al.</t>
  </si>
  <si>
    <t xml:space="preserve">Habitat and resource equivalency analysis: A critical assessment</t>
  </si>
  <si>
    <t xml:space="preserve">Recursos naturales y hábitats dañados</t>
  </si>
  <si>
    <t xml:space="preserve">Evaluación crítica del Análisis de Equivalencia de Hábitat (HEA) y Recursos (REA) para calcular ratios de compensación.</t>
  </si>
  <si>
    <t xml:space="preserve">Fisher-Vanden &amp; Olmstead</t>
  </si>
  <si>
    <t xml:space="preserve">Moving pollution trading from air to water: Potential, problems, and prognosis</t>
  </si>
  <si>
    <t xml:space="preserve">Cuencas hídricas y calidad del agua</t>
  </si>
  <si>
    <t xml:space="preserve">Compara los mercados de contaminación del aire frente al agua, explicando el menor volumen de comercio hídrico por barreras espaciales.</t>
  </si>
  <si>
    <t xml:space="preserve">Fowlie &amp; Muller</t>
  </si>
  <si>
    <t xml:space="preserve">Market-based emissions regulation when damages vary across sources: What are the gains from differentiation?</t>
  </si>
  <si>
    <t xml:space="preserve">Sistemas de permisos de emisión y daños heterogéneos</t>
  </si>
  <si>
    <t xml:space="preserve">Cuantifica las ganancias de eficiencia al diferenciar ratios de intercambio según la ubicación espacial de los daños de contaminación.</t>
  </si>
  <si>
    <t xml:space="preserve">A loss-gain calculator for biodiversity offsets and the circumstances in which no net loss is feasible</t>
  </si>
  <si>
    <t xml:space="preserve">Vegetación nativa y hábitats continentales</t>
  </si>
  <si>
    <t xml:space="preserve">Desarrolla una calculadora de pérdidas y ganancias para evaluar la factibilidad ecológica de No Net Loss según la trayectoria.</t>
  </si>
  <si>
    <t xml:space="preserve">Hahn &amp; Hester</t>
  </si>
  <si>
    <t xml:space="preserve">Marketable permits: Lessons for theory and practice</t>
  </si>
  <si>
    <t xml:space="preserve">Reguladores/legisladores, Demanda (Industria)</t>
  </si>
  <si>
    <t xml:space="preserve">Programa de permisos de plomo y aire limpio</t>
  </si>
  <si>
    <t xml:space="preserve">Evalúa las lecciones prácticas del mercado de plomo en EE. UU., destacando la simplicidad del automonitoreo y reporte.</t>
  </si>
  <si>
    <t xml:space="preserve">Economic and environmental modelling for pollution control in an estuary</t>
  </si>
  <si>
    <t xml:space="preserve">Reguladores/legisladores, Demanda (Industria/Municipios)</t>
  </si>
  <si>
    <t xml:space="preserve">Reino Unido (Estuario)</t>
  </si>
  <si>
    <t xml:space="preserve">Estuarios y calidad de agua costera</t>
  </si>
  <si>
    <t xml:space="preserve">Modela los ratios de intercambio espacialmente diferenciados para controlar efluentes contaminantes en estuarios.</t>
  </si>
  <si>
    <t xml:space="preserve">Hanley, Shogren &amp; White</t>
  </si>
  <si>
    <t xml:space="preserve">Introduction to environmental economics</t>
  </si>
  <si>
    <t xml:space="preserve">Cualitativo / Texto</t>
  </si>
  <si>
    <t xml:space="preserve">Fundamentos de economía ambiental</t>
  </si>
  <si>
    <t xml:space="preserve">Texto fundamental sobre teoría de permisos negociables, costos de transacción y valoración de biodiversidad.</t>
  </si>
  <si>
    <t xml:space="preserve">Horan &amp; Shortle</t>
  </si>
  <si>
    <t xml:space="preserve">Economic and ecological rules for water quality trading</t>
  </si>
  <si>
    <t xml:space="preserve">Reguladores/legisladores, Oferta (Fuentes no puntuales), Demanda</t>
  </si>
  <si>
    <t xml:space="preserve">Cuencas agrícolas y cursos de agua</t>
  </si>
  <si>
    <t xml:space="preserve">Establece reglas económicas y ecológicas para el comercio de calidad del agua entre fuentes puntuales y agrícolas.</t>
  </si>
  <si>
    <t xml:space="preserve">Hough &amp; Robertson</t>
  </si>
  <si>
    <t xml:space="preserve">Mitigation under section 404 of the clean water act: Where it comes from, what it means</t>
  </si>
  <si>
    <t xml:space="preserve">Reguladores/legisladores (US EPA / USACE), Demanda, Oferta</t>
  </si>
  <si>
    <t xml:space="preserve">Humedales protegidos bajo la Sección 404 CWA</t>
  </si>
  <si>
    <t xml:space="preserve">Revisa la evolución histórica y regulatoria de la banca de mitigación de humedales en Estados Unidos.</t>
  </si>
  <si>
    <t xml:space="preserve">Kerr &amp; Newell</t>
  </si>
  <si>
    <t xml:space="preserve">Policy-induced technology adoption: Evidence from the US lead phasedown</t>
  </si>
  <si>
    <t xml:space="preserve">Reguladores/legisladores, Demanda (Refinerías de petróleo)</t>
  </si>
  <si>
    <t xml:space="preserve">Sistemas de refinación e industria petrolera</t>
  </si>
  <si>
    <t xml:space="preserve">Demuestra empíricamente cómo el mercado de permisos de plomo incentivó la adopción acelerada de tecnología más limpia.</t>
  </si>
  <si>
    <t xml:space="preserve">Laitila, Moilanen &amp; Pouzols</t>
  </si>
  <si>
    <t xml:space="preserve">A method for calculating minimum biodiversity offset multipliers accounting for time discounting, additionality and permanence</t>
  </si>
  <si>
    <t xml:space="preserve">Ecosistemas bajo offsets</t>
  </si>
  <si>
    <t xml:space="preserve">Desarrolla una fórmula matemática para calcular multiplicadores mínimos considerando descuento temporal y permanencia.</t>
  </si>
  <si>
    <t xml:space="preserve">Levrel, Scemama &amp; Vaissière</t>
  </si>
  <si>
    <t xml:space="preserve">Should we be wary of mitigation banking? Evidence regarding the risks associated with this wetland offset arrangement in Florida</t>
  </si>
  <si>
    <t xml:space="preserve">Reguladores/legisladores, Demanda, Oferta (Bancos de humedales)</t>
  </si>
  <si>
    <t xml:space="preserve">Estados Unidos (Florida)</t>
  </si>
  <si>
    <t xml:space="preserve">Humedales subtropicales de Florida</t>
  </si>
  <si>
    <t xml:space="preserve">Evalúa empíricamente los riesgos ecológicos e institucionales de la banca de mitigación de humedales en Florida.</t>
  </si>
  <si>
    <t xml:space="preserve">Taming a wicked problem: Resolving controversies in biodiversity offsetting</t>
  </si>
  <si>
    <t xml:space="preserve">Reguladores/legisladores, Comunidad científica, Demanda, Público</t>
  </si>
  <si>
    <t xml:space="preserve">Ecosistemas globales sujetos a desarrollo</t>
  </si>
  <si>
    <t xml:space="preserve">Propone un marco para resolver las controversias éticas, ecológicas e institucionales del offsetting.</t>
  </si>
  <si>
    <t xml:space="preserve">Maron, M. et al.</t>
  </si>
  <si>
    <t xml:space="preserve">Taming a Wicked Problem: Resolving Controversies in Biodiversity Offsetting</t>
  </si>
  <si>
    <t xml:space="preserve">Cualitativo / Análisis crítico</t>
  </si>
  <si>
    <t xml:space="preserve">Hábitats naturales sometidos a pérdidas por desarrollo de infraestructura</t>
  </si>
  <si>
    <t xml:space="preserve">Examina los dilemas éticos y científicos de las compensaciones de biodiversidad exigiendo el cumplimiento estricto de la jerarquía de mitigación.</t>
  </si>
  <si>
    <t xml:space="preserve">OEHNSW</t>
  </si>
  <si>
    <t xml:space="preserve">BioBanking scheme: Statutory review report</t>
  </si>
  <si>
    <t xml:space="preserve">Reguladores/legisladores (NSW OEH), Demanda (Desarrolladores), Oferta</t>
  </si>
  <si>
    <t xml:space="preserve">Vegetación nativa de NSW</t>
  </si>
  <si>
    <t xml:space="preserve">Informe estatutario de revisión de BioBanking que identifica la alta complejidad de perfiles como barrera de mercado.</t>
  </si>
  <si>
    <t xml:space="preserve">Quétier, Regnery &amp; Levrel</t>
  </si>
  <si>
    <t xml:space="preserve">No net loss of biodiversity or paper offsets? A critical review of the French no net loss policy</t>
  </si>
  <si>
    <t xml:space="preserve">Hábitats naturales protegidos en Francia</t>
  </si>
  <si>
    <t xml:space="preserve">Evaluación crítica de la política francesa de No Net Loss cuestionando la efectividad real de los 'offsets de papel'.</t>
  </si>
  <si>
    <t xml:space="preserve">Rands et al.</t>
  </si>
  <si>
    <t xml:space="preserve">Biodiversity conservation: Challenges beyond 2010</t>
  </si>
  <si>
    <t xml:space="preserve">Todos los ecosistemas planetarios</t>
  </si>
  <si>
    <t xml:space="preserve">Analiza las metas globales post-2010 y los dilemas de desarrollo económico frente a la conservación.</t>
  </si>
  <si>
    <t xml:space="preserve">No Net Loss: Instrument choice in Wetlands Protection</t>
  </si>
  <si>
    <t xml:space="preserve">Humedales protegidos</t>
  </si>
  <si>
    <t xml:space="preserve">Analiza la selección de instrumentos para la protección de humedales y el estándar No Net Loss.</t>
  </si>
  <si>
    <t xml:space="preserve">Schmalensee &amp; Stavins</t>
  </si>
  <si>
    <t xml:space="preserve">The SO2 allowance trading system: The ironic history of a grand policy experiment</t>
  </si>
  <si>
    <t xml:space="preserve">Reguladores/legisladores, Demanda (Generadoras eléctricas)</t>
  </si>
  <si>
    <t xml:space="preserve">Sistemas de energía eléctrica y emisiones SO2</t>
  </si>
  <si>
    <t xml:space="preserve">Sintetiza la historia del programa de SO2 en EE. UU., demostrando reducciones de costo de entre 15% y 90%.</t>
  </si>
  <si>
    <t xml:space="preserve">Squires &amp; Garcia</t>
  </si>
  <si>
    <t xml:space="preserve">Ecosystem level impacts of fisheries bycatch on marine megafauna: Biodiversity conservation through mitigation...</t>
  </si>
  <si>
    <t xml:space="preserve">Reguladores/legisladores, Demanda (Flotas pesqueras), Oferta, Científicos</t>
  </si>
  <si>
    <t xml:space="preserve">Global (Océanos)</t>
  </si>
  <si>
    <t xml:space="preserve">Ecosistemas marinos y megafauna</t>
  </si>
  <si>
    <t xml:space="preserve">Analiza el uso de la jerarquía de mitigación e instrumentos económicos en pesquerías marinas para reducir bycatch.</t>
  </si>
  <si>
    <t xml:space="preserve">The least-cost biodiversity impact mitigation hierarchy with a focus on marine fisheries and bycatch issues</t>
  </si>
  <si>
    <t xml:space="preserve">Reguladores/legisladores, Demanda (Pesquerías), Científicos</t>
  </si>
  <si>
    <t xml:space="preserve">Pesquerías marinas pelágicas y de cerco</t>
  </si>
  <si>
    <t xml:space="preserve">Desarrolla el modelo de jerarquía de mitigación de menor costo para la conservación de megafauna marina.</t>
  </si>
  <si>
    <t xml:space="preserve">Stavins, R. N.</t>
  </si>
  <si>
    <t xml:space="preserve">Transaction costs and tradeable permits</t>
  </si>
  <si>
    <t xml:space="preserve">Mercados de permisos negociables</t>
  </si>
  <si>
    <t xml:space="preserve">Demuestra teóricamente que los costos de transacción reducen el volumen de transacciones y erosionan la eficiencia del mercado.</t>
  </si>
  <si>
    <t xml:space="preserve">What can we learn from the grand policy experiment? Lessons from SO2 allowance trading</t>
  </si>
  <si>
    <t xml:space="preserve">Reguladores/legisladores, Demanda (Empresas eléctricas)</t>
  </si>
  <si>
    <t xml:space="preserve">Sector eléctrico y SO2</t>
  </si>
  <si>
    <t xml:space="preserve">Resume las lecciones clave del programa SO2: el cumplimiento estricto y la baja complejidad de reglas garantizan el éxito.</t>
  </si>
  <si>
    <t xml:space="preserve">Biodiversity offsets technical study paper</t>
  </si>
  <si>
    <t xml:space="preserve">Múltiples ecorregiones</t>
  </si>
  <si>
    <t xml:space="preserve">Estudio técnico de la UICN sobre la aplicación práctica de la jerarquía de mitigación y evaluación contrafáctica.</t>
  </si>
  <si>
    <t xml:space="preserve">Wainger et al.</t>
  </si>
  <si>
    <t xml:space="preserve">Can the concept of ecosystem services be practically applied to improve natural resource management decisions?</t>
  </si>
  <si>
    <t xml:space="preserve">Recursos naturales y cuencas</t>
  </si>
  <si>
    <t xml:space="preserve">Analiza la aplicabilidad práctica del concepto de servicios ecosistémicos para la toma de decisiones ambientales.</t>
  </si>
  <si>
    <t xml:space="preserve">Wissel &amp; Wätzold</t>
  </si>
  <si>
    <t xml:space="preserve">A conceptual analysis of the application of tradable permits to biodiversity conservation</t>
  </si>
  <si>
    <t xml:space="preserve">Hábitats fragmentados</t>
  </si>
  <si>
    <t xml:space="preserve">Análisis conceptual sobre la aplicación de permisos negociables a la conservación de biodiversidad y escala del mercado.</t>
  </si>
  <si>
    <t xml:space="preserve">Woodward, R. T.</t>
  </si>
  <si>
    <t xml:space="preserve">Lessons about effluent trading from a single trade</t>
  </si>
  <si>
    <t xml:space="preserve">Estados Unidos (Colorado - Dillon Reservoir)</t>
  </si>
  <si>
    <t xml:space="preserve">Embalses y cuencas hídricas</t>
  </si>
  <si>
    <t xml:space="preserve">Estudio del programa de Dillon Reservoir mostrando cómo el ratio 2:1 elevó precios e inhibió operaciones durante 15 años.</t>
  </si>
  <si>
    <t xml:space="preserve">Woodward &amp; Kaiser</t>
  </si>
  <si>
    <t xml:space="preserve">Market structures for U.S. water quality trading</t>
  </si>
  <si>
    <t xml:space="preserve">Reguladores/legisladores, Demanda, Oferta, Intermediarios (Clearinghouse)</t>
  </si>
  <si>
    <t xml:space="preserve">Cuencas hidrográficas y calidad del agua</t>
  </si>
  <si>
    <t xml:space="preserve">Compara estructuras de mercado (intercambios directos, clearinghouse y bancos) para el comercio de calidad del agua en EE. UU.</t>
  </si>
  <si>
    <t xml:space="preserve">Dr. Jurgen Tack &amp; Delphine Dupeux (European Landowners' Organization - ELO)</t>
  </si>
  <si>
    <t xml:space="preserve">Nature credits explained (CountrySide Issue 219)</t>
  </si>
  <si>
    <t xml:space="preserve">Oferta (Propietarios rurales privados, agricultores, silvicultores, gestores de cotos de caza), Demanda (Empresas corporativas con metas de responsabilidad ambiental), Reguladores/legisladores (Comisión Europea, Estados Miembros de la UE)</t>
  </si>
  <si>
    <t xml:space="preserve">Unión Europea / Europa</t>
  </si>
  <si>
    <t xml:space="preserve">Humedales, carrizales, estanques naturales, márgenes florales para polinizadores, setos, bosques mixtos, madera muerta, suelos agrícolas regenerativos y pastizales</t>
  </si>
  <si>
    <t xml:space="preserve">Artículo institucional y guía de política de la ELO que conceptualiza los créditos de naturaleza como un instrumento de mercado para remunerar la custodia ambiental de propietarios privados en Europa. Rechaza el offset internacional barato, enfatiza la verificación e integridad local, la certificación (ej. Wildlife Estates Label) y la agregación asociativa para evitar la dependencia de subsidios públicos.</t>
  </si>
  <si>
    <t xml:space="preserve">IEA (2024)</t>
  </si>
  <si>
    <t xml:space="preserve">2024</t>
  </si>
  <si>
    <t xml:space="preserve">Renewables 2023 / 2024 Analysis &amp; Electricity Data Explorer</t>
  </si>
  <si>
    <t xml:space="preserve">Reguladores/legisladores, Demanda (Sector financiero, Empresas), Comunidad científica</t>
  </si>
  <si>
    <t xml:space="preserve">Sistemas de energía renovable (solar, eólica) y redes eléctricas globales</t>
  </si>
  <si>
    <t xml:space="preserve">Analiza la aceleración de costos del LCOE de renovables frente a generación con combustibles fósiles a escala global.</t>
  </si>
  <si>
    <t xml:space="preserve">IRENA (2024)</t>
  </si>
  <si>
    <t xml:space="preserve">Renewable Power Generation Costs in 2023</t>
  </si>
  <si>
    <t xml:space="preserve">Demanda (Inversores, Empresas), Reguladores/legisladores, Científicos</t>
  </si>
  <si>
    <t xml:space="preserve">Energía solar, eólica, baterías y bombas de calor</t>
  </si>
  <si>
    <t xml:space="preserve">Cuantifica la caída drástica (&gt;80% desde 2010) en los costos ponderados de instalación de energía solar, eólica y baterías.</t>
  </si>
  <si>
    <t xml:space="preserve">Lazard (2024)</t>
  </si>
  <si>
    <t xml:space="preserve">Levelized Cost of Energy+</t>
  </si>
  <si>
    <t xml:space="preserve">Demanda (Sector financiero, Inversores corporativos), Empresas</t>
  </si>
  <si>
    <t xml:space="preserve">Infraestructura energética y generación eléctrica</t>
  </si>
  <si>
    <t xml:space="preserve">Análisis comparativo de LCOE que demuestra que la solar y eólica no subsidiadas son más baratas que plantas fósiles nuevas.</t>
  </si>
  <si>
    <t xml:space="preserve">Wood Mackenzie (2024)</t>
  </si>
  <si>
    <t xml:space="preserve">Global Competitiveness of Renewable LCOE Continues to Accelerate</t>
  </si>
  <si>
    <t xml:space="preserve">Demanda (Sector financiero, Mercado de energía), Reguladores</t>
  </si>
  <si>
    <t xml:space="preserve">Mercados de energía renovable y redes</t>
  </si>
  <si>
    <t xml:space="preserve">Evalúa la competitividad acelerada de la electricidad renovable en los principales mercados mundiales.</t>
  </si>
  <si>
    <t xml:space="preserve">IPCC (2022)</t>
  </si>
  <si>
    <t xml:space="preserve">Climate Change 2022: Mitigation of Climate Change (AR6 WGIII)</t>
  </si>
  <si>
    <t xml:space="preserve">Bosques, humedales, uso del suelo y océanos</t>
  </si>
  <si>
    <t xml:space="preserve">Evalúa que las soluciones basadas en la naturaleza pueden aportar entre el 20% y 30% de la mitigación necesaria para 1,5°C.</t>
  </si>
  <si>
    <t xml:space="preserve">CBD (2022 / 2025)</t>
  </si>
  <si>
    <t xml:space="preserve">Kunming-Montreal Global Biodiversity Framework</t>
  </si>
  <si>
    <t xml:space="preserve">Ecosistemas planetarios (30% protección y 30% restauración)</t>
  </si>
  <si>
    <t xml:space="preserve">Marco global que fija cerrar la brecha de $700.000M/año ($500B de quita de subsidios dañinos y $200B en financiamiento innovador).</t>
  </si>
  <si>
    <t xml:space="preserve">Armstrong McKay et al. (2022)</t>
  </si>
  <si>
    <t xml:space="preserve">Exceeding 1.5°C global warming could trigger multiple climate tipping points</t>
  </si>
  <si>
    <t xml:space="preserve">Biosfera global, criosfera y selva amazónica</t>
  </si>
  <si>
    <t xml:space="preserve">Demuestra en Science los riesgos catastróficos no lineales de sobrepasar el límite de 1,5°C de calentamiento global.</t>
  </si>
  <si>
    <t xml:space="preserve">Clausing, Aldy, Tingley &amp; Wolfram (2025)</t>
  </si>
  <si>
    <t xml:space="preserve">2025</t>
  </si>
  <si>
    <t xml:space="preserve">Global Climate Cooperation after 2024: A Proposal for a Heavy Industry Climate Coalition (Chapter 4)</t>
  </si>
  <si>
    <t xml:space="preserve">Reguladores/legisladores, Demanda (Industria pesada: acero, aluminio, cemento, fertilizantes)</t>
  </si>
  <si>
    <t xml:space="preserve">Global / G20</t>
  </si>
  <si>
    <t xml:space="preserve">Emisiones de industria pesada y comercio global</t>
  </si>
  <si>
    <t xml:space="preserve">Propone una coalición plurilateral de industria pesada combinando precio al carbono en tramos y un CBAM común para reducir 1.030 MtCO2/año.</t>
  </si>
  <si>
    <t xml:space="preserve">Parry, Black &amp; Roaf (IMF, 2021)</t>
  </si>
  <si>
    <t xml:space="preserve">Proposal for an International Carbon Price Floor Among Large Emitters</t>
  </si>
  <si>
    <t xml:space="preserve">Reguladores/legisladores (FMI), Demanda (Grandes emisores)</t>
  </si>
  <si>
    <t xml:space="preserve">Mercados de emisiones y sistemas de fijación de precio al carbono</t>
  </si>
  <si>
    <t xml:space="preserve">Diseña la propuesta de suelo internacional de precio al carbono escalonado por nivel de desarrollo (€25, €50, €75/tCO2).</t>
  </si>
  <si>
    <t xml:space="preserve">Bolton &amp; Kleinnijenhuis (2025)</t>
  </si>
  <si>
    <t xml:space="preserve">International Climate Finance as a Win-Win: The Economic Case for Coalitions... (Chapter 5)</t>
  </si>
  <si>
    <t xml:space="preserve">Reguladores/legisladores, Demanda (Financieros, MDBs), Oferta (Países EMDE)</t>
  </si>
  <si>
    <t xml:space="preserve">Global / EMDEs (143 países)</t>
  </si>
  <si>
    <t xml:space="preserve">Infraestructura de plantas eléctricas y red</t>
  </si>
  <si>
    <t xml:space="preserve">Demuestra cuantitativamente el retorno económico positivo para el Norte al subsidiar la transición del sector eléctrico del Sur Global.</t>
  </si>
  <si>
    <t xml:space="preserve">Rennert et al. (2022)</t>
  </si>
  <si>
    <t xml:space="preserve">Comprehensive Evidence Implies a Higher Social Cost of CO2</t>
  </si>
  <si>
    <t xml:space="preserve">Comunidad científica, Reguladores/legisladores (EPA / US Govt)</t>
  </si>
  <si>
    <t xml:space="preserve">Modelación probabilística del clima y daños económicos</t>
  </si>
  <si>
    <t xml:space="preserve">Revisa en Nature el Costo Social del Carbono elevándolo a $190/tCO2 mediante modelos socioeconómicos y climáticos actualizados.</t>
  </si>
  <si>
    <t xml:space="preserve">Bilal &amp; Känzig (2024 / 2025)</t>
  </si>
  <si>
    <t xml:space="preserve">Does Unilateral Decarbonization Pay For Itself? / The Macroeconomic Impact of Climate Change</t>
  </si>
  <si>
    <t xml:space="preserve">Comunidad científica, Reguladores/legisladores, Sector financiero</t>
  </si>
  <si>
    <t xml:space="preserve">Macroeconomía global y temperatura local/global</t>
  </si>
  <si>
    <t xml:space="preserve">Calcula el Costo Social del Carbono en $700-$1.800/tCO2 al incorporar variaciones de temperatura local y eventos extremos.</t>
  </si>
  <si>
    <t xml:space="preserve">McWilliams, Tagliapietra &amp; Zettelmeyer (2025)</t>
  </si>
  <si>
    <t xml:space="preserve">Reconciling the European Union's Clean Industrialisation Goals with those of the Global South (Chapter 6)</t>
  </si>
  <si>
    <t xml:space="preserve">Reguladores/legisladores (UE y Sur Global), Demanda (Sectores electrointensivos)</t>
  </si>
  <si>
    <t xml:space="preserve">UE / Sur Global</t>
  </si>
  <si>
    <t xml:space="preserve">Insumos intermedios verdes (hierro reducido, amoníaco, metanol)</t>
  </si>
  <si>
    <t xml:space="preserve">Demuestra la conveniencia de relocalizar la producción de insumos intermedios electrointensivos hacia el Sur Global rico en renovables.</t>
  </si>
  <si>
    <t xml:space="preserve">Jütten, M. (EPRS, 2025)</t>
  </si>
  <si>
    <t xml:space="preserve">Clean Trade and Investment Partnerships: A New Instrument in the EU's Trade Policy Toolbox</t>
  </si>
  <si>
    <t xml:space="preserve">Reguladores/legisladores (UE), Demanda, Oferta</t>
  </si>
  <si>
    <t xml:space="preserve">UE y Países Socios</t>
  </si>
  <si>
    <t xml:space="preserve">Cadenas de valor industriales verdes internacionales</t>
  </si>
  <si>
    <t xml:space="preserve">Analiza las asociaciones CTIP como canal de diplomacia y atracción de inversión privada en cadenas de valor limpias.</t>
  </si>
  <si>
    <t xml:space="preserve">Hoegh-Guldberg et al. (IPCC, 2018)</t>
  </si>
  <si>
    <t xml:space="preserve">Impacts of 1.5°C Global Warming on Natural and Human Systems</t>
  </si>
  <si>
    <t xml:space="preserve">Arrecifes de coral, bosques y ecosistemas marinos/terrestres</t>
  </si>
  <si>
    <t xml:space="preserve">Cuantifica los daños drásticos a 1,5°C frente a 2°C, destacando la pérdida de hasta 90% de arrecifes de coral a 1,5°C.</t>
  </si>
  <si>
    <t xml:space="preserve">Edenhofer, Kalkuhl &amp; Franks (2025)</t>
  </si>
  <si>
    <t xml:space="preserve">Planetary Waste Management – A Game Changer for Climate Policy? (Chapter 7)</t>
  </si>
  <si>
    <t xml:space="preserve">Cuantitativo / Teórico-Económico</t>
  </si>
  <si>
    <t xml:space="preserve">Reguladores/legisladores, Demanda (EU ETS, Industria), Científicos</t>
  </si>
  <si>
    <t xml:space="preserve">Global / UE</t>
  </si>
  <si>
    <t xml:space="preserve">Formaciones geológicas, bosques y residuos atmosféricos de carbono</t>
  </si>
  <si>
    <t xml:space="preserve">Propone los 'certificados de limpieza' y el Banco Central del Carbono Europeo para integrar remociones permanentes en el EU ETS.</t>
  </si>
  <si>
    <t xml:space="preserve">Cantillon, Lambin &amp; Weder di Mauro (2025)</t>
  </si>
  <si>
    <t xml:space="preserve">Designing and Scaling Up Nature-Based Markets (Chapter 8)</t>
  </si>
  <si>
    <t xml:space="preserve">Reguladores/legisladores (Jurisdicciones), Demanda (Inversores), Oferta (Comunidades, IPLC)</t>
  </si>
  <si>
    <t xml:space="preserve">Sur Global</t>
  </si>
  <si>
    <t xml:space="preserve">Bosques tropicales, humedales y cuencas hídricas</t>
  </si>
  <si>
    <t xml:space="preserve">Rediseña los mercados de naturaleza pasando de créditos transaccionales a 'acciones jurisdiccionales' (nature shares) que pagan dividendos.</t>
  </si>
  <si>
    <t xml:space="preserve">Assunção &amp; Scheinkman (2025)</t>
  </si>
  <si>
    <t xml:space="preserve">Foreign Transfers, Biomass, and Biodiversity in the Amazon (Chapter 9)</t>
  </si>
  <si>
    <t xml:space="preserve">Cuantitativo / Modelación Espacial</t>
  </si>
  <si>
    <t xml:space="preserve">Reguladores/legisladores (Brasil y países amazónicos), Oferta (Ganaderos, Comunidades), Demanda</t>
  </si>
  <si>
    <t xml:space="preserve">Amazonía (9 países)</t>
  </si>
  <si>
    <t xml:space="preserve">Selva tropical húmeda amazónica (50M ha deforestadas)</t>
  </si>
  <si>
    <t xml:space="preserve">Demuestra que pagos de $25/tCO2 por captura neta permitirían reforestar la Amazonía capturando 18 GtCO2 en 30 años con $282B de beneficio neto.</t>
  </si>
  <si>
    <t xml:space="preserve">Papaconstantinou &amp; Pisani-Ferry (2024)</t>
  </si>
  <si>
    <t xml:space="preserve">New World New Rules: Global Cooperation in a World of Geopolitical Rivalries</t>
  </si>
  <si>
    <t xml:space="preserve">Relaciones internacionales y gobernanza global</t>
  </si>
  <si>
    <t xml:space="preserve">Examina la recomposición de la arquitectura multilateral en un contexto de fragmentación y rivalidades geopolíticas.</t>
  </si>
  <si>
    <t xml:space="preserve">Blanchard &amp; Pisani-Ferry (2025)</t>
  </si>
  <si>
    <t xml:space="preserve">Europe's Challenge and Opportunity: Building Coalitions of the Willing</t>
  </si>
  <si>
    <t xml:space="preserve">Reguladores/legisladores (UE), Comunidad científica</t>
  </si>
  <si>
    <t xml:space="preserve">Gobernanza climática y comercial internacional</t>
  </si>
  <si>
    <t xml:space="preserve">Plantea la formación de coaliciones de voluntarios lideradas por Europa para mantener la acción climática ante la parálisis multilateral.</t>
  </si>
  <si>
    <t xml:space="preserve">Dasgupta, P. (2021)</t>
  </si>
  <si>
    <t xml:space="preserve">Reguladores/legisladores, Comunidad científica, Público general, Sector financiero</t>
  </si>
  <si>
    <t xml:space="preserve">Estudio hito de HM Treasury que establece que la economía humana está inmersa en la naturaleza y depende críticamente de sus activos.</t>
  </si>
  <si>
    <t xml:space="preserve">Oström, E. (2000 / 1990)</t>
  </si>
  <si>
    <t xml:space="preserve">2000</t>
  </si>
  <si>
    <t xml:space="preserve">Collective Action and the Evolution of Social Norms / Governing the Commons</t>
  </si>
  <si>
    <t xml:space="preserve">Oferta (Comunidades locales, usuarios comunales), Comunidad científica</t>
  </si>
  <si>
    <t xml:space="preserve">Recursos de propiedad común (CPR)</t>
  </si>
  <si>
    <t xml:space="preserve">Demuestra la efectividad de las instituciones locales y normas sociales autodiseñadas para evitar la tragedia de los comunes.</t>
  </si>
  <si>
    <t xml:space="preserve">Hardin, G. (1968)</t>
  </si>
  <si>
    <t xml:space="preserve">1968</t>
  </si>
  <si>
    <t xml:space="preserve">The Tragedy of the Commons</t>
  </si>
  <si>
    <t xml:space="preserve">Bienes comunes planetarios no regulados</t>
  </si>
  <si>
    <t xml:space="preserve">Ensayo fundacional sobre la sobreexplotación inevitable de recursos comunes de acceso abierto sin regulación ni gobernanza.</t>
  </si>
  <si>
    <t xml:space="preserve">Friedlingstein et al. (2023)</t>
  </si>
  <si>
    <t xml:space="preserve">Global Carbon Budget 2023</t>
  </si>
  <si>
    <t xml:space="preserve">Sumideros continentales y oceánicos de carbono</t>
  </si>
  <si>
    <t xml:space="preserve">Documenta los flujos globales de CO2, registrando absorción terrestre de 4.8 GtCO2/año y emisiones por deforestación de 7 GtCO2/año.</t>
  </si>
  <si>
    <t xml:space="preserve">Bhattacharya et al. / IHLEG (2024)</t>
  </si>
  <si>
    <t xml:space="preserve">Raising Ambition and Accelerating Delivery of Climate Finance (Third Report)</t>
  </si>
  <si>
    <t xml:space="preserve">Reguladores/legisladores, Demanda (Sector financiero, MDBs), Oferta (EMDEs)</t>
  </si>
  <si>
    <t xml:space="preserve">Global / EMDEs</t>
  </si>
  <si>
    <t xml:space="preserve">Inversión en energía limpia, adaptación y capital natural</t>
  </si>
  <si>
    <t xml:space="preserve">Cuantifica las necesidades de inversión climática en $2,4 billones anuales hacia 2030 para EMDEs (excluyendo China).</t>
  </si>
  <si>
    <t xml:space="preserve">Naran et al. / CPI (2024)</t>
  </si>
  <si>
    <t xml:space="preserve">Global Landscape of Climate Finance 2024: Insights for COP29</t>
  </si>
  <si>
    <t xml:space="preserve">Demanda (Bancos, Inversores), Reguladores/legisladores, Oferta</t>
  </si>
  <si>
    <t xml:space="preserve">Flujos de financiamiento público y privado</t>
  </si>
  <si>
    <t xml:space="preserve">Rastrea los flujos financieros climáticos globales, estimando en $244.000M anuales los desembolsos efectivos en países en desarrollo.</t>
  </si>
  <si>
    <t xml:space="preserve">Costanza et al. (1997 / 2014)</t>
  </si>
  <si>
    <t xml:space="preserve">1997</t>
  </si>
  <si>
    <t xml:space="preserve">The Value of the World's Ecosystem Services and Natural Capital / Changes in Global Value...</t>
  </si>
  <si>
    <t xml:space="preserve">Cuantitativo / Meta-análisis</t>
  </si>
  <si>
    <t xml:space="preserve">16 biomas globales y servicios ecosistémicos</t>
  </si>
  <si>
    <t xml:space="preserve">Estudio pionero en Nature que valora el flujo global de servicios ecosistémicos en $33 billones (actualizado a $125-$150 billones/año).</t>
  </si>
  <si>
    <t xml:space="preserve">Ranger et al. (2023)</t>
  </si>
  <si>
    <t xml:space="preserve">The Green Scorpion: The Macro-Criticality of Nature for Finance</t>
  </si>
  <si>
    <t xml:space="preserve">Cuantitativo / Evaluativo</t>
  </si>
  <si>
    <t xml:space="preserve">Riesgos en cascada por colapso ecosistémico</t>
  </si>
  <si>
    <t xml:space="preserve">Calcula en $5 billones los costos económicos anuales por degradación de la naturaleza e integra riesgos físicos en modelos bancarios.</t>
  </si>
  <si>
    <t xml:space="preserve">Kurth et al. / BCG (2021)</t>
  </si>
  <si>
    <t xml:space="preserve">The Biodiversity Crisis is a Business Crisis</t>
  </si>
  <si>
    <t xml:space="preserve">Servicios de la biosfera dependientes de empresas</t>
  </si>
  <si>
    <t xml:space="preserve">Estimación de Boston Consulting Group que valora los servicios de la biodiversidad en $150 billones anuales (doble del PIB mundial).</t>
  </si>
  <si>
    <t xml:space="preserve">Boston Consulting Group (BCG)</t>
  </si>
  <si>
    <t xml:space="preserve">The Biodiversity Crisis Is a Business Crisis</t>
  </si>
  <si>
    <t xml:space="preserve">Demanda (Empresas del sector energía), Reguladores</t>
  </si>
  <si>
    <t xml:space="preserve">Ecosistemas presionados por energía (10%)</t>
  </si>
  <si>
    <t xml:space="preserve">Calcula que las operaciones del sector energético explican el 10% de la presión humana sobre la pérdida de biodiversidad.</t>
  </si>
  <si>
    <t xml:space="preserve">Khalifa et al. (2021)</t>
  </si>
  <si>
    <t xml:space="preserve">Overview of Bee Pollination and Its Economic Value for Crop Production</t>
  </si>
  <si>
    <t xml:space="preserve">Oferta (Agricultores), Comunidad científica, Público general</t>
  </si>
  <si>
    <t xml:space="preserve">Polinización por abejas en cultivos agrícolas</t>
  </si>
  <si>
    <t xml:space="preserve">Valora el servicio global de polinización de abejas en €153.000M anuales, afectando cerca del 10% del valor de producción de alimentos.</t>
  </si>
  <si>
    <t xml:space="preserve">Breeze et al. (2011)</t>
  </si>
  <si>
    <t xml:space="preserve">Pollination Services in the UK: How Important Are Honeybees?</t>
  </si>
  <si>
    <t xml:space="preserve">Oferta (Agricultores del RU), Reguladores, Científicos</t>
  </si>
  <si>
    <t xml:space="preserve">Cultivos agrícolas y paisajes rurales en el Reino Unido</t>
  </si>
  <si>
    <t xml:space="preserve">Cuantifica en $500M-$600M anuales el valor económico directo de la polinización por insectos en el Reino Unido.</t>
  </si>
  <si>
    <t xml:space="preserve">Demuestra que 1 millón de especies están amenazadas de extinción e identifica los 5 impulsores directos de pérdida de biodiversidad.</t>
  </si>
  <si>
    <t xml:space="preserve">Richardson et al. (2023)</t>
  </si>
  <si>
    <t xml:space="preserve">9 límites del sistema Tierra</t>
  </si>
  <si>
    <t xml:space="preserve">Confirma en Science Advances que la humanidad ha traspasado 6 de los 9 límites planetarios, arriesgando la estabilidad holocénica.</t>
  </si>
  <si>
    <t xml:space="preserve">UNEP (2023)</t>
  </si>
  <si>
    <t xml:space="preserve">State of Finance for Nature 2023</t>
  </si>
  <si>
    <t xml:space="preserve">Reguladores/legisladores, Demanda (Financieros, Inversores), Oferta</t>
  </si>
  <si>
    <t xml:space="preserve">Flujos financieros públicos y privados hacia la naturaleza</t>
  </si>
  <si>
    <t xml:space="preserve">Cuantifica en $7 billones los flujos financieros anuales con impacto negativo directo en la naturaleza frente a solo $200B en conservación.</t>
  </si>
  <si>
    <t xml:space="preserve">Bromley / BNEF (2024)</t>
  </si>
  <si>
    <t xml:space="preserve">Biodiversity Finance Factbook: COP16 Edition</t>
  </si>
  <si>
    <t xml:space="preserve">Paisajes productivos ($835B), áreas protegidas ($229B) y urbanas ($87B)</t>
  </si>
  <si>
    <t xml:space="preserve">Calcula en $942.000M anuales la brecha adicional de financiamiento de biodiversidad requerida hacia 2030.</t>
  </si>
  <si>
    <t xml:space="preserve">Bowler et al. (2020)</t>
  </si>
  <si>
    <t xml:space="preserve">Mapping Human Pressures on Biodiversity Across the Planet...</t>
  </si>
  <si>
    <t xml:space="preserve">Cuantitativo / Mapeo Espacial</t>
  </si>
  <si>
    <t xml:space="preserve">Mapeo global de presiones antrópicas en ecorregiones</t>
  </si>
  <si>
    <t xml:space="preserve">Mapea espacialmente la intensidad de las presiones humanas sobre la biodiversidad e identifica complejos de amenaza.</t>
  </si>
  <si>
    <t xml:space="preserve">Pettinotti et al. / ODI (2024a/b)</t>
  </si>
  <si>
    <t xml:space="preserve">A Fair Share of Biodiversity Finance / Update for COP16</t>
  </si>
  <si>
    <t xml:space="preserve">Reguladores/legisladores (Países desarrollados), Oferta (Sur Global)</t>
  </si>
  <si>
    <t xml:space="preserve">Aportes internacionales de financiamiento de biodiversidad</t>
  </si>
  <si>
    <t xml:space="preserve">Muestra que casi ningún país desarrollado aporta su cuota justa de financiamiento de biodiversidad hacia los países en desarrollo.</t>
  </si>
  <si>
    <t xml:space="preserve">Weiskopf et al. (2024)</t>
  </si>
  <si>
    <t xml:space="preserve">Biodiversity Loss Reduces Global Terrestrial Carbon Storage</t>
  </si>
  <si>
    <t xml:space="preserve">Ecosistemas forestales y pastizales continentales</t>
  </si>
  <si>
    <t xml:space="preserve">Demuestra en Nature Communications que la pérdida de especies reduce directamente la capacidad de almacenamiento de carbono de la biosfera.</t>
  </si>
  <si>
    <t xml:space="preserve">Nordhaus, W. (2015)</t>
  </si>
  <si>
    <t xml:space="preserve">Climate Clubs: Overcoming Free-Riding in International Climate Policy</t>
  </si>
  <si>
    <t xml:space="preserve">Reguladores/legisladores, Demanda (Empresas, Comercio internacional)</t>
  </si>
  <si>
    <t xml:space="preserve">Comercio internacional y precios del carbono</t>
  </si>
  <si>
    <t xml:space="preserve">Desarrolla el modelo de 'club climático' combinando precio al carbono con aranceles comerciales a no miembros para evitar el libre aprovechamiento.</t>
  </si>
  <si>
    <t xml:space="preserve">Setzer &amp; Higham / LSE (2024)</t>
  </si>
  <si>
    <t xml:space="preserve">Global Trends in Climate Change Litigation: 2024 Snapshot</t>
  </si>
  <si>
    <t xml:space="preserve">Reguladores/judicial, Demanda (Empresas, Bancos), Público general (ONGs)</t>
  </si>
  <si>
    <t xml:space="preserve">Global (65 países)</t>
  </si>
  <si>
    <t xml:space="preserve">Casos judiciales climáticos (2.500+ expedientes)</t>
  </si>
  <si>
    <t xml:space="preserve">Documenta la ola de litigios climáticos basados en el Acuerdo de París exigiendo responsabilidad corporativa y gubernamental.</t>
  </si>
  <si>
    <t xml:space="preserve">Bistline et al. (2025)</t>
  </si>
  <si>
    <t xml:space="preserve">Climate Policy Reform Options in 2025</t>
  </si>
  <si>
    <t xml:space="preserve">Reguladores/legisladores (EE. UU.), Demanda (Sectores industriales/energía)</t>
  </si>
  <si>
    <t xml:space="preserve">Emisiones de la economía de EE. UU.</t>
  </si>
  <si>
    <t xml:space="preserve">Modela el impacto en emisiones de EE. UU. ante escenarios de revocación de regulaciones y subsidios limpios de la IRA.</t>
  </si>
  <si>
    <t xml:space="preserve">Aldy &amp; Pizer (2016)</t>
  </si>
  <si>
    <t xml:space="preserve">Alternative Metrics for Comparing Domestic Climate Change Mitigation Efforts</t>
  </si>
  <si>
    <t xml:space="preserve">Métricas de esfuerzo de mitigación entre países</t>
  </si>
  <si>
    <t xml:space="preserve">Establece métricas estandarizadas para comparar esfuerzos nacionales de mitigación en acuerdos internacionales.</t>
  </si>
  <si>
    <t xml:space="preserve">Bataille et al. / Columbia SIPA (2024)</t>
  </si>
  <si>
    <t xml:space="preserve">Triggering Investment in First-of-a-Kind Near-Zero Industrial Facilities</t>
  </si>
  <si>
    <t xml:space="preserve">Demanda (Industria pesada: acero, cemento, aluminio, fertilizantes), Reguladores</t>
  </si>
  <si>
    <t xml:space="preserve">Emisiones industriales de proceso y electricidad</t>
  </si>
  <si>
    <t xml:space="preserve">Cuantifica las emisiones de industrias pesadas (acero 10,2%, cemento 7,9%, amoníaco 1,2%, no ferrosos 0,5%), base del CBAM.</t>
  </si>
  <si>
    <t xml:space="preserve">Adrian, Bolton &amp; Kleinnijenhuis (IMF, 2022)</t>
  </si>
  <si>
    <t xml:space="preserve">The Great Carbon Arbitrage</t>
  </si>
  <si>
    <t xml:space="preserve">Reguladores/legisladores, Sector financiero (FMI), Oferta</t>
  </si>
  <si>
    <t xml:space="preserve">Reemplazo de plantas de carbón por energía solar/eólica</t>
  </si>
  <si>
    <t xml:space="preserve">Demuestra que la sustitución del carbón por renovables genera un beneficio neto global (arbitraje de carbono) de billones de dólares.</t>
  </si>
  <si>
    <t xml:space="preserve">Känzig, D. (2023)</t>
  </si>
  <si>
    <t xml:space="preserve">The Unequal Economic Consequences of Carbon Pricing</t>
  </si>
  <si>
    <t xml:space="preserve">Producción industrial y precios de energía bajo EU ETS</t>
  </si>
  <si>
    <t xml:space="preserve">Estima que un ajuste del 1% en límites de emisión del EU ETS reduce la producción industrial en 2% e incrementa la inflación 0,4%.</t>
  </si>
  <si>
    <t xml:space="preserve">Draghi, M. (2024)</t>
  </si>
  <si>
    <t xml:space="preserve">The Future of European Competitiveness</t>
  </si>
  <si>
    <t xml:space="preserve">Cualitativo / Estratégico</t>
  </si>
  <si>
    <t xml:space="preserve">Reguladores/legisladores (Comisión Europea), Demanda (Industria europea)</t>
  </si>
  <si>
    <t xml:space="preserve">Sectores electrointensivos e industria limpia europea</t>
  </si>
  <si>
    <t xml:space="preserve">Informe estratégico para la UE proponiendo garantizar precios asequibles de energía y descarbonización sin desindustrialización.</t>
  </si>
  <si>
    <t xml:space="preserve">Verpoort et al. (2024)</t>
  </si>
  <si>
    <t xml:space="preserve">Impact of Global Heterogeneity of Renewable Energy Supply on Heavy Industrial Production...</t>
  </si>
  <si>
    <t xml:space="preserve">Demanda (Industria pesada), Reguladores, Científicos</t>
  </si>
  <si>
    <t xml:space="preserve">Cadenas de valor de hierro verde, amoníaco y metanol</t>
  </si>
  <si>
    <t xml:space="preserve">Demuestra en Nature Energy que relocalizar etapas intermedias electrointensivas en regiones ricas en renovables reduce costos e impactos.</t>
  </si>
  <si>
    <t xml:space="preserve">Franks et al. (2024)</t>
  </si>
  <si>
    <t xml:space="preserve">Pigou's Advice and Sisyphus' Warning: Carbon Pricing with Non-Permanent Carbon Removal</t>
  </si>
  <si>
    <t xml:space="preserve">Cuantitativo / Teórico</t>
  </si>
  <si>
    <t xml:space="preserve">Sistemas de remoción temporal vs. almacenamiento geológico</t>
  </si>
  <si>
    <t xml:space="preserve">Establece el factor de corrección de valor ($r/(r+\delta)$) para almacenamiento temporal de CO2 frente al permanente.</t>
  </si>
  <si>
    <t xml:space="preserve">von Essen &amp; Lambin (2021)</t>
  </si>
  <si>
    <t xml:space="preserve">Jurisdictional Approaches to Sustainable Resource Use</t>
  </si>
  <si>
    <t xml:space="preserve">Reguladores/legisladores (Gobiernos subnacionales), Oferta (Comunidades, Agricultores)</t>
  </si>
  <si>
    <t xml:space="preserve">Uso del suelo a escala de estados y provincias</t>
  </si>
  <si>
    <t xml:space="preserve">Define los enfoques jurisdiccionales como alianzas intersectoriales para reducir fuga y acelerar la sostenibilidad a escala regional.</t>
  </si>
  <si>
    <t xml:space="preserve">Badgley et al. (2022)</t>
  </si>
  <si>
    <t xml:space="preserve">Reguladores/legisladores (California ARB), Demanda, Oferta (Silvicultores)</t>
  </si>
  <si>
    <t xml:space="preserve">Bosques templados y créditos de carbono forestal</t>
  </si>
  <si>
    <t xml:space="preserve">Demuestra en Global Change Biology la sobreemisión masiva de créditos en el programa de compensación de California por fallas de línea de base.</t>
  </si>
  <si>
    <t xml:space="preserve">West et al. (2020)</t>
  </si>
  <si>
    <t xml:space="preserve">Overstated Carbon Emission Reductions from Voluntary REDD+ Projects in the Brazilian Amazon</t>
  </si>
  <si>
    <t xml:space="preserve">Selva tropical húmeda y proyectos REDD+</t>
  </si>
  <si>
    <t xml:space="preserve">Evaluación econométrica en PNAS demostrando que la mayoría de proyectos REDD+ voluntarios exageran las reducciones de emisión.</t>
  </si>
  <si>
    <t xml:space="preserve">Ter Steege et al. (2023)</t>
  </si>
  <si>
    <t xml:space="preserve">Mapping Density, Diversity and Species-Richness of the Amazon Tree Flora</t>
  </si>
  <si>
    <t xml:space="preserve">Cuenca Amazónica</t>
  </si>
  <si>
    <t xml:space="preserve">Flora arbórea amazónica (+15.000 especies)</t>
  </si>
  <si>
    <t xml:space="preserve">Mapea la densidad, riqueza y diversidad de especies de árboles en la Amazonía en cuadrículas de 67km x 67km.</t>
  </si>
  <si>
    <t xml:space="preserve">Ahluwalia &amp; Patel (2024)</t>
  </si>
  <si>
    <t xml:space="preserve">How India Can Reach Net Zero: A Strategy for 2025–35</t>
  </si>
  <si>
    <t xml:space="preserve">Reguladores/legisladores (Gobierno de India), Demanda (Sectores industriales)</t>
  </si>
  <si>
    <t xml:space="preserve">India</t>
  </si>
  <si>
    <t xml:space="preserve">Sectores de energía e industria pesada en India</t>
  </si>
  <si>
    <t xml:space="preserve">Propone la estrategia de implementación del mercado obligatorio de créditos de carbono de India (CCTS).</t>
  </si>
  <si>
    <t xml:space="preserve">Songwe, V. (2024)</t>
  </si>
  <si>
    <t xml:space="preserve">The Climate Crisis: A Generational Opportunity for Africa</t>
  </si>
  <si>
    <t xml:space="preserve">Reguladores/legisladores (África), Demanda, Oferta, Inversores</t>
  </si>
  <si>
    <t xml:space="preserve">Ecosistemas continentales africanos e infraestructura verde</t>
  </si>
  <si>
    <t xml:space="preserve">Analiza las oportunidades del financiamiento climático para impulsar la resiliencia, crecimiento e industrialización verde en África.</t>
  </si>
  <si>
    <t xml:space="preserve">Andersen, L.E., Granger, C.W.J., Reis, E.J., Weinhold, D. &amp; Wunder, S.</t>
  </si>
  <si>
    <t xml:space="preserve">2002</t>
  </si>
  <si>
    <t xml:space="preserve">The dynamic of deforestation and economic growth in the Brazilian Amazon</t>
  </si>
  <si>
    <t xml:space="preserve">Reguladores/legisladores, Oferta (Agricultores/ganaderos), Comunidad científica</t>
  </si>
  <si>
    <t xml:space="preserve">Selva tropical húmeda amazónica y conversión agrícola</t>
  </si>
  <si>
    <t xml:space="preserve">Modela econométricamente las dinámicas entre crecimiento económico, infraestructura vial y deforestación en la Amazonía.</t>
  </si>
  <si>
    <t xml:space="preserve">Angelsen, A. &amp; Kaimowitz, D. (Eds.)</t>
  </si>
  <si>
    <t xml:space="preserve">2001</t>
  </si>
  <si>
    <t xml:space="preserve">Agricultural technologies and tropical deforestation</t>
  </si>
  <si>
    <t xml:space="preserve">Bosques tropicales y fronteras agrícolas</t>
  </si>
  <si>
    <t xml:space="preserve">Analiza cómo la intensificación agrícola y nuevas tecnologías pueden reducir o intensificar la deforestación.</t>
  </si>
  <si>
    <t xml:space="preserve">Balmford, A., Bruner, A., Costanza, R., Farber, S., Green, R.E. et al.</t>
  </si>
  <si>
    <t xml:space="preserve">Economic Reasons for Conserving Wild Nature</t>
  </si>
  <si>
    <t xml:space="preserve">Bosques, humedales, arrecifes de coral y manglares</t>
  </si>
  <si>
    <t xml:space="preserve">Demuestra en Science que los beneficios económicos globales de conservar la naturaleza superan sustancialmente los costos.</t>
  </si>
  <si>
    <t xml:space="preserve">Balmford, A., Gaston, K.J., Blyth, S., James, A. &amp; Kapos, V.</t>
  </si>
  <si>
    <t xml:space="preserve">2003</t>
  </si>
  <si>
    <t xml:space="preserve">Global variation in terrestrial conservation costs, conservation benefits, and unmet conservation needs</t>
  </si>
  <si>
    <t xml:space="preserve">Red mundial de áreas protegidas terrestres</t>
  </si>
  <si>
    <t xml:space="preserve">Mapea cuantitativamente la variación global de costos de conservación y calcula la brecha de financiamiento no cubierta.</t>
  </si>
  <si>
    <t xml:space="preserve">Barbier, E.B., Burgess, J.C., Bishop, J. &amp; Aylward, B.</t>
  </si>
  <si>
    <t xml:space="preserve">1994</t>
  </si>
  <si>
    <t xml:space="preserve">The Economics of the Tropical Timber Trade</t>
  </si>
  <si>
    <t xml:space="preserve">Demanda (Empresas madereras), Reguladores/legisladores, Oferta (Silvicultores)</t>
  </si>
  <si>
    <t xml:space="preserve">Analiza las distorsiones de mercado y políticas comerciales en el comercio de madera tropical.</t>
  </si>
  <si>
    <t xml:space="preserve">Bernades, A.T.</t>
  </si>
  <si>
    <t xml:space="preserve">Brazil – Federal Conservation Units (Biodiversity in Development Case Study)</t>
  </si>
  <si>
    <t xml:space="preserve">Reguladores/legisladores (IBAMA), Oferta (Comunidades locales)</t>
  </si>
  <si>
    <t xml:space="preserve">Unidades de conservación federales y reservas de extracción</t>
  </si>
  <si>
    <t xml:space="preserve">Estudio de caso sobre la estructura institucional y financiamiento de la red de áreas protegidas de Brasil.</t>
  </si>
  <si>
    <t xml:space="preserve">Bouttavong, S., Kettavong, L., Manivong, S., Sivannavong, S. &amp; Emerton, L.</t>
  </si>
  <si>
    <t xml:space="preserve">Lao PDR Biodiversity: Economic Assessment</t>
  </si>
  <si>
    <t xml:space="preserve">Reguladores/legisladores, Oferta (Comunidades rurales), Demanda (Donantes)</t>
  </si>
  <si>
    <t xml:space="preserve">Laos</t>
  </si>
  <si>
    <t xml:space="preserve">Bosques nacionales protegidos y cuencas hidrográficas</t>
  </si>
  <si>
    <t xml:space="preserve">Evaluación económica de la biodiversidad de Laos mostrando la drástica caída en fondos de donantes post-2000.</t>
  </si>
  <si>
    <t xml:space="preserve">Bovarnick, A. &amp; Gupta, A. (UNDP)</t>
  </si>
  <si>
    <t xml:space="preserve">Local Business for Global Biodiversity Conservation: Small business strategies</t>
  </si>
  <si>
    <t xml:space="preserve">Oferta (PYMEs comunitarias, agricultores), Demanda, Reguladores</t>
  </si>
  <si>
    <t xml:space="preserve">Agronegocios sostenibles, ecoturismo y productos forestales no maderables</t>
  </si>
  <si>
    <t xml:space="preserve">Gua del PNUD sobre el diseño de negocios comunitarios y fondos de empresa para la conservación.</t>
  </si>
  <si>
    <t xml:space="preserve">Brown, K. &amp; Pearce, D.W. (Eds.)</t>
  </si>
  <si>
    <t xml:space="preserve">The Causes of Tropical Deforestation</t>
  </si>
  <si>
    <t xml:space="preserve">Bosques tropicales primarios</t>
  </si>
  <si>
    <t xml:space="preserve">Examina las causas económicas subyacentes de la deforestación tropical y el papel de las fallas de mercado.</t>
  </si>
  <si>
    <t xml:space="preserve">Bruneau, R.</t>
  </si>
  <si>
    <t xml:space="preserve">The Noel Kempff Mercado Climate Action Initiative: A Carbon Credit Market Pilot Project in Bolivia</t>
  </si>
  <si>
    <t xml:space="preserve">Demanda (Empresas de energía: AEP, PacifiCorp, BP), Reguladores, Oferta</t>
  </si>
  <si>
    <t xml:space="preserve">Bolivia (Parque Nacional Noel Kempff Mercado)</t>
  </si>
  <si>
    <t xml:space="preserve">Selva tropical amazónica y concesiones madereras retiradas</t>
  </si>
  <si>
    <t xml:space="preserve">Proyecto piloto hito de venta de créditos de carbono mediante el retiro de concesiones madereras.</t>
  </si>
  <si>
    <t xml:space="preserve">Bruner, A., Hanks, J. &amp; Hannah, L.</t>
  </si>
  <si>
    <t xml:space="preserve">How Much Will Effective Protected Area Systems Cost?</t>
  </si>
  <si>
    <t xml:space="preserve">Reguladores/legisladores, Demanda (Donantes internacionales)</t>
  </si>
  <si>
    <t xml:space="preserve">Sistemas de áreas protegidas en países en desarrollo</t>
  </si>
  <si>
    <t xml:space="preserve">Estima que se requieren $12.000M-$13.000M anuales para gestionar eficazmente las áreas protegidas del Sur Global.</t>
  </si>
  <si>
    <t xml:space="preserve">Bruner, A.G., Gullison, R.E., Rice, R.E. &amp; de Fonseca, G.A.B.</t>
  </si>
  <si>
    <t xml:space="preserve">Effectiveness of parks in protecting tropical biodiversity</t>
  </si>
  <si>
    <t xml:space="preserve">Global (Trópicos - 93 parques)</t>
  </si>
  <si>
    <t xml:space="preserve">Parques nacionales en bosques tropicales</t>
  </si>
  <si>
    <t xml:space="preserve">Demuestra en Science que los parques protegidos han sido efectivos para detener la deforestación y cacería.</t>
  </si>
  <si>
    <t xml:space="preserve">Castro, G. &amp; Locker, I.</t>
  </si>
  <si>
    <t xml:space="preserve">Mapping Conservation Investments: Biodiversity Funding in Latin America</t>
  </si>
  <si>
    <t xml:space="preserve">Demanda (Donantes bilaterales y multilaterales), Reguladores</t>
  </si>
  <si>
    <t xml:space="preserve">Inversiones en conservación y áreas protegidas</t>
  </si>
  <si>
    <t xml:space="preserve">Mapea los flujos de financiamiento internacional ($400M/año) dirigidos a la conservación en LAC.</t>
  </si>
  <si>
    <t xml:space="preserve">Castro, Gonzalo</t>
  </si>
  <si>
    <t xml:space="preserve">Conservation Finance: The Long Road to Sustainability</t>
  </si>
  <si>
    <t xml:space="preserve">Reguladores/legisladores, Demanda (FMAM / Banco Mundial)</t>
  </si>
  <si>
    <t xml:space="preserve">Mecanismos de financiamiento sostenible para áreas protegidas</t>
  </si>
  <si>
    <t xml:space="preserve">Sintetiza la evolución de las finanzas de conservación e identifica lecciones aprendidas durante la década de 1990.</t>
  </si>
  <si>
    <t xml:space="preserve">CBD (Secretariado del Convenio sobre la Diversidad Biológica)</t>
  </si>
  <si>
    <t xml:space="preserve">Protected Areas: Synthesis of Information in Thematic Reports (UNEP/CBD/COP/7/INF/8)</t>
  </si>
  <si>
    <t xml:space="preserve">Reguladores/legisladores (Estados Partes del CDB)</t>
  </si>
  <si>
    <t xml:space="preserve">Global (Países Miembros del CDB)</t>
  </si>
  <si>
    <t xml:space="preserve">Informes temáticos sobre redes de áreas protegidas</t>
  </si>
  <si>
    <t xml:space="preserve">Documenta que la mayoría de países enfrentan limitaciones financieras severas para sus redes de APs.</t>
  </si>
  <si>
    <t xml:space="preserve">2004</t>
  </si>
  <si>
    <t xml:space="preserve">Protected Areas: Programme of Work on Protected Areas (Decision VII/28)</t>
  </si>
  <si>
    <t xml:space="preserve">Reguladores/legisladores, Demanda (Donantes), Oferta (Comunidades)</t>
  </si>
  <si>
    <t xml:space="preserve">Programa de Trabajo sobre Áreas Protegidas (Meta 3.4)</t>
  </si>
  <si>
    <t xml:space="preserve">Establece la meta internacional de garantizar la sostenibilidad financiera de los sistemas de APs para 2008.</t>
  </si>
  <si>
    <t xml:space="preserve">Chape, S., Blyth, S., Fish, L., Fox, P. &amp; Spalding, M.</t>
  </si>
  <si>
    <t xml:space="preserve">2003 United Nations List of Protected Areas</t>
  </si>
  <si>
    <t xml:space="preserve">Reguladores/legisladores (UNEP-WCMC / UICN), Comunidad científica</t>
  </si>
  <si>
    <t xml:space="preserve">Global (102.000+ sitios)</t>
  </si>
  <si>
    <t xml:space="preserve">Lista Oficial de las Naciones Unidas sobre Áreas Protegidas</t>
  </si>
  <si>
    <t xml:space="preserve">Sistematiza el inventario mundial de APs alcanzando más de 20 millones de km2 protegidos.</t>
  </si>
  <si>
    <t xml:space="preserve">Chape, S., Harrison, J., Spalding, M. &amp; Lysenko, I.</t>
  </si>
  <si>
    <t xml:space="preserve">2005</t>
  </si>
  <si>
    <t xml:space="preserve">Measuring the extent and effectiveness of protected areas as an indicator for global targets</t>
  </si>
  <si>
    <t xml:space="preserve">Ecosistemas terrestres y marinos protegidos mundialmente</t>
  </si>
  <si>
    <t xml:space="preserve">Evalúa el crecimiento histórico del sistema global de APs alcanzando el 12% de la superficie terrestre.</t>
  </si>
  <si>
    <t xml:space="preserve">Chomitz, K. &amp; Gray, D.</t>
  </si>
  <si>
    <t xml:space="preserve">1996</t>
  </si>
  <si>
    <t xml:space="preserve">Roads, Lands, Markets, and Deforestation: a Model of Land Use in Belize</t>
  </si>
  <si>
    <t xml:space="preserve">Bosques tropicales y red vial rural</t>
  </si>
  <si>
    <t xml:space="preserve">Modela cómo la construcción de carreteras incrementa la presión de deforestación sobre tierras adyacentes.</t>
  </si>
  <si>
    <t xml:space="preserve">Clark, D. &amp; Downes, D.</t>
  </si>
  <si>
    <t xml:space="preserve">What Price Biodiversity? Economic Incentives and Conservation in the US</t>
  </si>
  <si>
    <t xml:space="preserve">Reguladores/legisladores, Oferta (Propietarios privados), Público</t>
  </si>
  <si>
    <t xml:space="preserve">Servidumbres de conservación y tierras privadas</t>
  </si>
  <si>
    <t xml:space="preserve">Analiza las deducciones fiscales por servidumbres de conservación que han protegido millones de acres en EE. UU.</t>
  </si>
  <si>
    <t xml:space="preserve">Corcuera, E., Sepúlveda, C. &amp; Geisse, G.</t>
  </si>
  <si>
    <t xml:space="preserve">Conserving Land Privately: Spontaneous Markets for Land Conservation in Chile</t>
  </si>
  <si>
    <t xml:space="preserve">Oferta (Propietarios privados), Reguladores, Inversores</t>
  </si>
  <si>
    <t xml:space="preserve">Bosques templados valdivianos y reservas privadas (&gt;450.000 ha)</t>
  </si>
  <si>
    <t xml:space="preserve">Estudia el surgimiento de mercados espontáneos de conservación privada en Chile sin subsidios estatales.</t>
  </si>
  <si>
    <t xml:space="preserve">Cottle, P. &amp; Crosthwaite-Eyre, C.</t>
  </si>
  <si>
    <t xml:space="preserve">Insuring Forest Sinks</t>
  </si>
  <si>
    <t xml:space="preserve">Demanda (Aseguradoras, Inversores de carbono), Reguladores</t>
  </si>
  <si>
    <t xml:space="preserve">Bosques bajo proyectos de captura de carbono</t>
  </si>
  <si>
    <t xml:space="preserve">Examina los mecanismos de seguro contra riesgos (incendios, plagas) en sumideros forestales de carbono.</t>
  </si>
  <si>
    <t xml:space="preserve">Daily, G.C. (Ed.)</t>
  </si>
  <si>
    <t xml:space="preserve">Nature’s Services: Societal Dependence on Natural Ecosystems</t>
  </si>
  <si>
    <t xml:space="preserve">Servicios ecosistémicos de bosques, suelos, cuencas y polinización</t>
  </si>
  <si>
    <t xml:space="preserve">Obra pionera que fundamenta la dependencia de la sociedad sobre los servicios ecosistémicos.</t>
  </si>
  <si>
    <t xml:space="preserve">Daily, G.C. &amp; Ellison, K.</t>
  </si>
  <si>
    <t xml:space="preserve">The New Economy of Nature and the Marketplace: The Quest to Make Conservation Profitable</t>
  </si>
  <si>
    <t xml:space="preserve">Global / Estados Unidos / Costa Rica</t>
  </si>
  <si>
    <t xml:space="preserve">Cuencas hídricas, mercados de carbono y servicios ecosistémicos</t>
  </si>
  <si>
    <t xml:space="preserve">Explora casos emblemáticos de creación de mercados de servicios naturales para hacer rentable la conservación.</t>
  </si>
  <si>
    <t xml:space="preserve">Davies, R.</t>
  </si>
  <si>
    <t xml:space="preserve">Madikwe Game Reserve: A partnership in conservation</t>
  </si>
  <si>
    <t xml:space="preserve">Oferta (Comunidades locales), Reguladores, Demanda (Operadores de turismo)</t>
  </si>
  <si>
    <t xml:space="preserve">Sudáfrica (Reserva de Caza Madikwe)</t>
  </si>
  <si>
    <t xml:space="preserve">Sabanas gestionadas para fauna silvestre y turismo</t>
  </si>
  <si>
    <t xml:space="preserve">Demuestra el éxito de Madikwe al ser creada primariamente con objetivos de desarrollo socioeconómico local.</t>
  </si>
  <si>
    <t xml:space="preserve">Dublin, H.T., Mulliken, T. &amp; Barnes, R.F.W.</t>
  </si>
  <si>
    <t xml:space="preserve">1995</t>
  </si>
  <si>
    <t xml:space="preserve">Four years after the CITES ban: illegal killing of elephants, ivory trade, and stockpiles</t>
  </si>
  <si>
    <t xml:space="preserve">Reguladores/legisladores (CITES), Oferta (Comunidades locales), Científicos</t>
  </si>
  <si>
    <t xml:space="preserve">África Subshariana</t>
  </si>
  <si>
    <t xml:space="preserve">Poblaciones de elefante africano en áreas protegidas</t>
  </si>
  <si>
    <t xml:space="preserve">Documenta los recortes presupuestarios en parques africanos tras la prohibición del comercio de marfil.</t>
  </si>
  <si>
    <t xml:space="preserve">Eagles, P.F.J.</t>
  </si>
  <si>
    <t xml:space="preserve">1999</t>
  </si>
  <si>
    <t xml:space="preserve">Maloti-Drakensberg Transfrontier Conservation Area: Tourism Mission Report</t>
  </si>
  <si>
    <t xml:space="preserve">Demanda (Turistas), Oferta (Operadores locales), Reguladores</t>
  </si>
  <si>
    <t xml:space="preserve">Sudáfrica / Lesoto</t>
  </si>
  <si>
    <t xml:space="preserve">Área de conservación transfronteriza de montaña</t>
  </si>
  <si>
    <t xml:space="preserve">Evalúa el potencial del turismo para financiar la gestión del parque transfronterizo.</t>
  </si>
  <si>
    <t xml:space="preserve">International Trends in Park Tourism</t>
  </si>
  <si>
    <t xml:space="preserve">Demanda (Turistas internacionales), Reguladores/legisladores</t>
  </si>
  <si>
    <t xml:space="preserve">Parques nacionales y turismo de naturaleza</t>
  </si>
  <si>
    <t xml:space="preserve">Analiza las tendencias mundiales del ecoturismo y el potencial de las tarifas de entrada para autofinanciar parques.</t>
  </si>
  <si>
    <t xml:space="preserve">Environmental Foundation Ltd. (EFL)</t>
  </si>
  <si>
    <t xml:space="preserve">US Tropical Forest Conservation Act and Sri Lanka</t>
  </si>
  <si>
    <t xml:space="preserve">Reguladores/legisladores (EE. UU. y Sri Lanka), Público general, ONG</t>
  </si>
  <si>
    <t xml:space="preserve">Sri Lanka / Estados Unidos</t>
  </si>
  <si>
    <t xml:space="preserve">Bosques tropicales y soberanía sobre recursos biogenéticos</t>
  </si>
  <si>
    <t xml:space="preserve">Analiza las controversias políticas y de soberanía generadas por la propuesta de canje de deuda bajo la TFCA.</t>
  </si>
  <si>
    <t xml:space="preserve">Emerton, L.</t>
  </si>
  <si>
    <t xml:space="preserve">The Economics of Tourism, and Wildlife Conservation in Africa</t>
  </si>
  <si>
    <t xml:space="preserve">Oferta (Comunidades locales), Demanda (Operadores turísticos), Reguladores</t>
  </si>
  <si>
    <t xml:space="preserve">África Oriental</t>
  </si>
  <si>
    <t xml:space="preserve">Sabanas y zonas de amortiguamiento con fauna silvestre</t>
  </si>
  <si>
    <t xml:space="preserve">Demuestra la enorme brecha entre los retornos agrícolas y los escasos beneficios del turismo recibidos por comunidades.</t>
  </si>
  <si>
    <t xml:space="preserve">1998</t>
  </si>
  <si>
    <t xml:space="preserve">Balancing the Opportunity Costs of Wildlife Conservation for Communities Around Lake Mburo</t>
  </si>
  <si>
    <t xml:space="preserve">Oferta (Agricultores y pastores Bahima/Bairu), Reguladores (UWA)</t>
  </si>
  <si>
    <t xml:space="preserve">Uganda (Parque Nacional Lago Mburo)</t>
  </si>
  <si>
    <t xml:space="preserve">Sabanas y humedales del Lago Mburo ($700k/año de costos locales)</t>
  </si>
  <si>
    <t xml:space="preserve">Cuantifica los costos de oportunidad no compensados ($500k/año) soportados por comunidades locales.</t>
  </si>
  <si>
    <t xml:space="preserve">Using Economics for Biodiversity Strategies and Action Plans in Eastern Africa</t>
  </si>
  <si>
    <t xml:space="preserve">Reguladores/legisladores (Ministerios de Finanzas y Medio Ambiente)</t>
  </si>
  <si>
    <t xml:space="preserve">Estrategias Nacionales de Biodiversidad (NBSAPs)</t>
  </si>
  <si>
    <t xml:space="preserve">Guía práctica para integrar la valoración económica e incentivos en las políticas públicas de conservación.</t>
  </si>
  <si>
    <t xml:space="preserve">2001a</t>
  </si>
  <si>
    <t xml:space="preserve">What are Africa’s Forests Worth?</t>
  </si>
  <si>
    <t xml:space="preserve">Bosques africanos y servicios ecosistémicos</t>
  </si>
  <si>
    <t xml:space="preserve">Sintetiza los valores económicos totales de los bosques africanos frente al bajísimo gasto público (&lt;$3/ha).</t>
  </si>
  <si>
    <t xml:space="preserve">2001b</t>
  </si>
  <si>
    <t xml:space="preserve">The nature of benefits and the benefits of nature: why conservation has not benefited communities</t>
  </si>
  <si>
    <t xml:space="preserve">Oferta (Comunidades locales africanas), Reguladores</t>
  </si>
  <si>
    <t xml:space="preserve">Áreas protegidas y zonas de amortiguamiento</t>
  </si>
  <si>
    <t xml:space="preserve">Critica los esquemas tradicionales de reparto de ingresos por no compensar las pérdidas individuales sufridas por familias.</t>
  </si>
  <si>
    <t xml:space="preserve">The Use of Economics in National Biodiversity Strategies in South Asia</t>
  </si>
  <si>
    <t xml:space="preserve">Reguladores/legisladores (South Asia / SAARC)</t>
  </si>
  <si>
    <t xml:space="preserve">Asia del Sur (Nepal, Pakistán, Sri Lanka)</t>
  </si>
  <si>
    <t xml:space="preserve">Estrategias de biodiversidad e instrumentos fiscales</t>
  </si>
  <si>
    <t xml:space="preserve">Revisa el uso de herramientas económicas e incentivos fiscales en los planes nacionales de biodiversidad en Asia del Sur.</t>
  </si>
  <si>
    <t xml:space="preserve">Emerton, L. &amp; Mfunda, I.</t>
  </si>
  <si>
    <t xml:space="preserve">Making Wildlife Economically Viable for Communities Living Around Western Serengeti</t>
  </si>
  <si>
    <t xml:space="preserve">Oferta (23 aldeas locales), Reguladores (TANAPA), Demanda (Turismo/Caza)</t>
  </si>
  <si>
    <t xml:space="preserve">Tanzania (Oeste del Serengeti / reservas Ikorongo-Grumeti)</t>
  </si>
  <si>
    <t xml:space="preserve">Ecosistema del Serengeti y comunidades agrícolas de Bunda/Serengeti</t>
  </si>
  <si>
    <t xml:space="preserve">Analiza múltiples esquemas de retribución local (caza comunitaria, cánones de hoteles) frente a $1M/año en daños.</t>
  </si>
  <si>
    <t xml:space="preserve">Emerton, L. &amp; Tessema, Y.</t>
  </si>
  <si>
    <t xml:space="preserve">Economic Constraints to Marine Protected Areas: Kisite Marine National Park</t>
  </si>
  <si>
    <t xml:space="preserve">Reguladores (KWS), Demanda (Ecoturistas), Oferta (Pescadores locales)</t>
  </si>
  <si>
    <t xml:space="preserve">Kenia (Parque Nacional Marino Kisite-Mpunguti)</t>
  </si>
  <si>
    <t xml:space="preserve">Arrecifes de coral y áreas marinas protegidas</t>
  </si>
  <si>
    <t xml:space="preserve">Demuestra la crisis de financiamiento local cuando las tarifas del ecoturismo son centralizadas por el gobierno central.</t>
  </si>
  <si>
    <t xml:space="preserve">Emerton, L., Rao, K., Nguyen, N. &amp; Tu, H.</t>
  </si>
  <si>
    <t xml:space="preserve">Sustainable Financing Mechanisms for Yok Don National Park, Vietnam</t>
  </si>
  <si>
    <t xml:space="preserve">Reguladores, Demanda (Turistas), Oferta (Comunidades étnicas local)</t>
  </si>
  <si>
    <t xml:space="preserve">Vietnam (Parque Nacional Yok Don)</t>
  </si>
  <si>
    <t xml:space="preserve">Bosques secos caducifolios y biodiversidad amenazada</t>
  </si>
  <si>
    <t xml:space="preserve">Propone mecanismos de tarifas de turismo y concesiones descentralizadas para autofinanciar el parque.</t>
  </si>
  <si>
    <t xml:space="preserve">Emerton, L., Rao, K., Nguyen, N., Tu, N. &amp; Bao, T.</t>
  </si>
  <si>
    <t xml:space="preserve">Covering the costs of Vietnam’s Protected Areas</t>
  </si>
  <si>
    <t xml:space="preserve">Reguladores/legisladores (Ministerio de Agricultura), Donantes</t>
  </si>
  <si>
    <t xml:space="preserve">Vietnam</t>
  </si>
  <si>
    <t xml:space="preserve">Red nacional de parques nacionales ($1.200/km2/año concentrado en obras)</t>
  </si>
  <si>
    <t xml:space="preserve">Demuestra las ineficiencias del gasto público en APs de Vietnam enfocado en infraestructura pesada.</t>
  </si>
  <si>
    <t xml:space="preserve">Erdmann, M., Merrill, P., Arsyad, I. &amp; Mongdong, M.</t>
  </si>
  <si>
    <t xml:space="preserve">Developing a diversified portfolio of sustainable financing options for Bunaken</t>
  </si>
  <si>
    <t xml:space="preserve">Reguladores, Demanda (Operadores de buceo), Oferta (22 aldeas)</t>
  </si>
  <si>
    <t xml:space="preserve">Indonesia (Parque Nacional Marino Bunaken)</t>
  </si>
  <si>
    <t xml:space="preserve">Arrecifes de coral (89.000 ha) y turismo de buceo</t>
  </si>
  <si>
    <t xml:space="preserve">Caso hito de éxito de una tarifa descentralizada ($7,50) que recauda $110k/año retenidos en un 80% localmente.</t>
  </si>
  <si>
    <t xml:space="preserve">Fearnhead, P.</t>
  </si>
  <si>
    <t xml:space="preserve">Tourism Concessions: Public-private partnerships for commercially sustainable conservation</t>
  </si>
  <si>
    <t xml:space="preserve">Reguladores (SANParks), Demanda (Operadores turísticos e inversores)</t>
  </si>
  <si>
    <t xml:space="preserve">Sudáfrica (Parque Nacional Kruger y otros)</t>
  </si>
  <si>
    <t xml:space="preserve">Concesiones turísticas privadas en parques nacionales (380 camas)</t>
  </si>
  <si>
    <t xml:space="preserve">Estrategia comercial de SANParks que generó $90M en 20 años mediante concesiones privadas.</t>
  </si>
  <si>
    <t xml:space="preserve">Ferraro, P.J. &amp; Kiss, A.</t>
  </si>
  <si>
    <t xml:space="preserve">Direct Payments to Conserve Biodiversity</t>
  </si>
  <si>
    <t xml:space="preserve">Comunidad científica, Reguladores/legisladores, Oferta (Propietarios)</t>
  </si>
  <si>
    <t xml:space="preserve">Incentivos directos vs. proyectos indirectos de desarrollo</t>
  </si>
  <si>
    <t xml:space="preserve">Demuestra en Science que los pagos directos por conservación son más costo-efectivos que los proyectos ICDP indirectos.</t>
  </si>
  <si>
    <t xml:space="preserve">Financing Protected Areas Task Force (WCPA / UICN)</t>
  </si>
  <si>
    <t xml:space="preserve">Financing Protected Areas: Guidelines for Protected Area Managers</t>
  </si>
  <si>
    <t xml:space="preserve">Reguladores/legisladores, Gestores de APs, Donantes</t>
  </si>
  <si>
    <t xml:space="preserve">Guía práctica de opciones de financiación para gestores de APs</t>
  </si>
  <si>
    <t xml:space="preserve">Guía metodológica fundacional de la UICN sobre la diversificación de fuentes de financiamiento.</t>
  </si>
  <si>
    <t xml:space="preserve">Fox, J. &amp; Nino-Murcia, A.</t>
  </si>
  <si>
    <t xml:space="preserve">Status of Species Conservation Banking in the United States</t>
  </si>
  <si>
    <t xml:space="preserve">Demanda (Desarrolladores), Oferta (Banqueros de conservación), Reguladores (USFWS)</t>
  </si>
  <si>
    <t xml:space="preserve">Estados Unidos (35 bancos en 5 estados)</t>
  </si>
  <si>
    <t xml:space="preserve">Bancos de conservación de especies bajo la Ley de Especies Amenazadas</t>
  </si>
  <si>
    <t xml:space="preserve">Primer inventario completo sobre el estado, precios de créditos e inversión en bancos de conservación de EE. UU.</t>
  </si>
  <si>
    <t xml:space="preserve">Galt, A., Sigaty, T. &amp; Vinton, M. (Eds.)</t>
  </si>
  <si>
    <t xml:space="preserve">Volume II: Papers Presented, 2nd Southeast Asia Regional Forum of WCPA</t>
  </si>
  <si>
    <t xml:space="preserve">Reguladores/legisladores, Alianzas corporativas, ONG</t>
  </si>
  <si>
    <t xml:space="preserve">Sudeste Asiático (Laos, Indonesia, Vietnam)</t>
  </si>
  <si>
    <t xml:space="preserve">Alianzas público-privadas y gestión comunitaria de parques</t>
  </si>
  <si>
    <t xml:space="preserve">Compilación de experiencias regionales sobre alianzas corporativas y gobernanza descentralizada de APs.</t>
  </si>
  <si>
    <t xml:space="preserve">Ganzi, J., Seymour, F. &amp; Buffett, S. (WRI)</t>
  </si>
  <si>
    <t xml:space="preserve">Leverage for the Environment: A Guide to the Private Financial Services Industry</t>
  </si>
  <si>
    <t xml:space="preserve">Demanda (Banca comercial, fondos de capital de riesgo), Reguladores</t>
  </si>
  <si>
    <t xml:space="preserve">Global / América Latina</t>
  </si>
  <si>
    <t xml:space="preserve">Fondos de inversión ambiental y venture capital para biodiversidad</t>
  </si>
  <si>
    <t xml:space="preserve">Guía del WRI sobre cómo movilizar al sector financiero privado hacia negocios verdes y fondos de biodiversidad.</t>
  </si>
  <si>
    <t xml:space="preserve">Geoghegan, T.</t>
  </si>
  <si>
    <t xml:space="preserve">2008</t>
  </si>
  <si>
    <t xml:space="preserve">Financing Protected Area Management: Experiences from the Caribbean</t>
  </si>
  <si>
    <t xml:space="preserve">Reguladores, Demanda (Operadores de buceo), Oferta</t>
  </si>
  <si>
    <t xml:space="preserve">Caribe (Bonaire, Saba, Islas Vírgenes Británicas)</t>
  </si>
  <si>
    <t xml:space="preserve">Áreas marinas protegidas e industria del buceo</t>
  </si>
  <si>
    <t xml:space="preserve">Analiza cómo operadores privados de buceo asumen funciones voluntarias de patrullaje e interpretación en AMPs.</t>
  </si>
  <si>
    <t xml:space="preserve">Giordano, T.</t>
  </si>
  <si>
    <t xml:space="preserve">Fiscalité internationale et financement du développement durable</t>
  </si>
  <si>
    <t xml:space="preserve">Reguladores/legisladores (Organismos internacionales), Público general</t>
  </si>
  <si>
    <t xml:space="preserve">Impuestos internacionales (Tasa Tobin) y bienes públicos globales</t>
  </si>
  <si>
    <t xml:space="preserve">Examina la viabilidad técnica de impuestos internacionales para financiar el desarrollo sostenible y la biosfera.</t>
  </si>
  <si>
    <t xml:space="preserve">Graßl, H., Kokott, J., Kulessa, M., Luther, J. et al. (WBGU)</t>
  </si>
  <si>
    <t xml:space="preserve">Charging the Use of Global Commons</t>
  </si>
  <si>
    <t xml:space="preserve">Bienes comunes globales (atmósfera, alta mar, biodiversidad)</t>
  </si>
  <si>
    <t xml:space="preserve">Propone tarifar el uso de los bienes comunes globales para generar fondos internacionales de conservación.</t>
  </si>
  <si>
    <t xml:space="preserve">Gravestock, P.</t>
  </si>
  <si>
    <t xml:space="preserve">Towards a Better Understanding of the Income Requirements of Marine Protected Areas</t>
  </si>
  <si>
    <t xml:space="preserve">Reguladores/legisladores, Comunidad científica (79 AMPs en 34 países)</t>
  </si>
  <si>
    <t xml:space="preserve">Global (34 países)</t>
  </si>
  <si>
    <t xml:space="preserve">Revela una brecha presupuestaria mediana del 15% entre los ingresos reales y las necesidades mínimas en 79 AMPs.</t>
  </si>
  <si>
    <t xml:space="preserve">Gutman, P. (Ed. / WWF &amp; Danida)</t>
  </si>
  <si>
    <t xml:space="preserve">From Goodwill to Payments for Environmental Services: Survey of Financing Options</t>
  </si>
  <si>
    <t xml:space="preserve">Reguladores/legisladores, Oferta (Comunidades), Demanda (Inversores)</t>
  </si>
  <si>
    <t xml:space="preserve">Mecanismos de Pago por Servicios Ambientales (PES)</t>
  </si>
  <si>
    <t xml:space="preserve">Estudio panorámico de WWF sobre la transición de donaciones filantrópicas hacia esquemas de PES.</t>
  </si>
  <si>
    <t xml:space="preserve">Hill Rojas, M., Dain, J. &amp; Campbell, C.</t>
  </si>
  <si>
    <t xml:space="preserve">Community Conservation and Protected Area Management with a Gender Perspective</t>
  </si>
  <si>
    <t xml:space="preserve">Oferta (Comunidades locales, mujeres rurales), Reguladores</t>
  </si>
  <si>
    <t xml:space="preserve">Manejo comunitario de recursos y equidad de género</t>
  </si>
  <si>
    <t xml:space="preserve">Analiza la perspectiva de género en la distribución de costos y beneficios del manejo comunitario de APs.</t>
  </si>
  <si>
    <t xml:space="preserve">Howard, P.</t>
  </si>
  <si>
    <t xml:space="preserve">The Economics of Protected Areas in Uganda: Costs, Benefits and Policy Issues</t>
  </si>
  <si>
    <t xml:space="preserve">Reguladores/legisladores (UWA), Oferta (Comunidades), Donantes</t>
  </si>
  <si>
    <t xml:space="preserve">Red de parques nacionales y reservas forestales</t>
  </si>
  <si>
    <t xml:space="preserve">Demuestra que más del 75% del presupuesto de APs en Uganda dependía de donantes y el 40% eran sueldos.</t>
  </si>
  <si>
    <t xml:space="preserve">Hulme, D. &amp; Murphree, M. (Eds.)</t>
  </si>
  <si>
    <t xml:space="preserve">African Wildlife and Livelihoods: The Promise and Performance of Community Conservation</t>
  </si>
  <si>
    <t xml:space="preserve">Oferta (Comunidades locales africanas), Reguladores, Científicos</t>
  </si>
  <si>
    <t xml:space="preserve">Conservación comunitaria de vida silvestre</t>
  </si>
  <si>
    <t xml:space="preserve">Evaluación crítica del desempeño de los programas de conservación comunitaria en África.</t>
  </si>
  <si>
    <t xml:space="preserve">Hunter, M.L. (Ed.)</t>
  </si>
  <si>
    <t xml:space="preserve">Maintaining Biodiversity in Forested Ecosystems</t>
  </si>
  <si>
    <t xml:space="preserve">Ecosistemas forestales productivos y protegidos</t>
  </si>
  <si>
    <t xml:space="preserve">Textbook sobre la integración de la conservación de biodiversidad en paisajes forestales productivos.</t>
  </si>
  <si>
    <t xml:space="preserve">Iftikhar, U.</t>
  </si>
  <si>
    <t xml:space="preserve">Financing NBSAPs in Asia: Options and Opportunities</t>
  </si>
  <si>
    <t xml:space="preserve">Reguladores/legisladores (Asia), Donantes internacionales</t>
  </si>
  <si>
    <t xml:space="preserve">Asia (Sur y Sudeste)</t>
  </si>
  <si>
    <t xml:space="preserve">Financiamiento de Estrategias Nacionales de Biodiversidad</t>
  </si>
  <si>
    <t xml:space="preserve">Documenta la alta dependencia de fondos internacionales para implementar las NBSAPs en Asia.</t>
  </si>
  <si>
    <t xml:space="preserve">James, A., Gaston, K. &amp; Balmford, A.</t>
  </si>
  <si>
    <t xml:space="preserve">Balancing the earth’s accounts</t>
  </si>
  <si>
    <t xml:space="preserve">Comunidad científica, Reguladores/legisladores, Donantes</t>
  </si>
  <si>
    <t xml:space="preserve">Presupuestos mundiales de conservación de biodiversidad</t>
  </si>
  <si>
    <t xml:space="preserve">Estima el costo de conservar una red mundial representativa de APs en $3.000M-$6.500M anuales.</t>
  </si>
  <si>
    <t xml:space="preserve">James, A., Gaston, K.J. &amp; Balmford, A.</t>
  </si>
  <si>
    <t xml:space="preserve">Can we afford to conserve biodiversity?</t>
  </si>
  <si>
    <t xml:space="preserve">Presupuesto global de conservación vs. subsidios dañinos</t>
  </si>
  <si>
    <t xml:space="preserve">Compara el bajo costo de la conservación global frente a los trillones dedicados a subsidios perversos.</t>
  </si>
  <si>
    <t xml:space="preserve">James, A.N., Green, M.J.B. &amp; Paine, J.R.</t>
  </si>
  <si>
    <t xml:space="preserve">Global Review of Protected Area Budgets and Staff</t>
  </si>
  <si>
    <t xml:space="preserve">Reguladores/legisladores, WCMC, Comunidad científica</t>
  </si>
  <si>
    <t xml:space="preserve">Global (Base de datos WCMC)</t>
  </si>
  <si>
    <t xml:space="preserve">Gasto medio por km2 ($893/km2/año desarrollado vs $150/km2 en desarrollo)</t>
  </si>
  <si>
    <t xml:space="preserve">Estudio estadístico hito del WCMC sobre presupuestos y personal de áreas protegidas a escala planetaria.</t>
  </si>
  <si>
    <t xml:space="preserve">Jenkins, M., Scherr, S. &amp; Inbar, M.</t>
  </si>
  <si>
    <t xml:space="preserve">Payment where it’s due</t>
  </si>
  <si>
    <t xml:space="preserve">Demanda (Inversores, Empresas), Oferta (Propietarios), Reguladores</t>
  </si>
  <si>
    <t xml:space="preserve">Mercados de servicios ecosistémicos forestales</t>
  </si>
  <si>
    <t xml:space="preserve">Analiza cómo los esquemas de PES reducen costos frente a regulaciones de mandato directo.</t>
  </si>
  <si>
    <t xml:space="preserve">Johnson, N., White, A. &amp; Perrot-Maître, D.</t>
  </si>
  <si>
    <t xml:space="preserve">Developing Markets for Water Services from Forests: Issues and Lessons for Innovators</t>
  </si>
  <si>
    <t xml:space="preserve">Demanda (Empresas de agua, hidroeléctricas), Oferta (Silvicultores), Reguladores</t>
  </si>
  <si>
    <t xml:space="preserve">Bosques de protección de cuencas e infraestructura hídrica</t>
  </si>
  <si>
    <t xml:space="preserve">Analiza las lecciones prácticas para estructurar mercados de servicios hídricos forestales.</t>
  </si>
  <si>
    <t xml:space="preserve">Khan, S.R. &amp; Parvaiz, A.N.</t>
  </si>
  <si>
    <t xml:space="preserve">National Case Study on the Integration of Economics into Pakistan’s Biodiversity Action Plan</t>
  </si>
  <si>
    <t xml:space="preserve">Reguladores/legisladores (Pakistán), Oferta (Comunidades locales)</t>
  </si>
  <si>
    <t xml:space="preserve">Pakistán (Zonas del Norte y Balochistán)</t>
  </si>
  <si>
    <t xml:space="preserve">Caza de trofeos comunitaria (Markhor y Urial)</t>
  </si>
  <si>
    <t xml:space="preserve">Caso de estudio que demuestra cómo la retribución del 80% de licencias de caza a comunidades redujo la cacería furtiva.</t>
  </si>
  <si>
    <t xml:space="preserve">Kloss, D. (GTZ)</t>
  </si>
  <si>
    <t xml:space="preserve">Guide to Sustainable Financing of Biodiversity and Protected Areas</t>
  </si>
  <si>
    <t xml:space="preserve">Reguladores/legisladores, Donantes (GTZ), Gestores de APs</t>
  </si>
  <si>
    <t xml:space="preserve">Mecanismos institucionales de financiamiento para APs</t>
  </si>
  <si>
    <t xml:space="preserve">Guía práctica de la cooperación alemana (GTZ) sobre mecanismos de financiamiento sostenible.</t>
  </si>
  <si>
    <t xml:space="preserve">Korn, H., Schliep, R. &amp; Stadler, J.</t>
  </si>
  <si>
    <t xml:space="preserve">Report on the Expert Meeting on Protected Areas, Vilm</t>
  </si>
  <si>
    <t xml:space="preserve">Reguladores/legisladores (CDB / Alemania BfN), Científicos</t>
  </si>
  <si>
    <t xml:space="preserve">Global / Europa (Isla de Vilm)</t>
  </si>
  <si>
    <t xml:space="preserve">Planes de sostenibilidad financiera para el CDB</t>
  </si>
  <si>
    <t xml:space="preserve">Informe técnico que sirvió de base para las decisiones de financiamiento del Grupo de Trabajo de APs del CDB.</t>
  </si>
  <si>
    <t xml:space="preserve">Koteen, S. (WWF)</t>
  </si>
  <si>
    <t xml:space="preserve">Financing Species Conservation: A Menu of Options</t>
  </si>
  <si>
    <t xml:space="preserve">Reguladores/legisladores, Donantes (WWF), Público general</t>
  </si>
  <si>
    <t xml:space="preserve">Impuestos sobre tabaco, equipos de caza/pesca e impuestos sobre ventas</t>
  </si>
  <si>
    <t xml:space="preserve">Documenta mecanismos fiscales como el impuesto a cigarrillos en California y arbitrios de caza que financian conservación.</t>
  </si>
  <si>
    <t xml:space="preserve">Kothari, A., Pathak, N., Anuradha, R. &amp; Taneja, B.</t>
  </si>
  <si>
    <t xml:space="preserve">Communities and Conservation: Natural Resource Management in South and Central Asia</t>
  </si>
  <si>
    <t xml:space="preserve">Oferta (Comunidades locales e indígenas), Reguladores, ONG</t>
  </si>
  <si>
    <t xml:space="preserve">Asia del Sur y Central</t>
  </si>
  <si>
    <t xml:space="preserve">Gestión comunitaria de reservas y bosques</t>
  </si>
  <si>
    <t xml:space="preserve">Análisis exhaustivo sobre el papel de las comunidades locales en el manejo de áreas protegidas en Asia.</t>
  </si>
  <si>
    <t xml:space="preserve">Krug, Wolf</t>
  </si>
  <si>
    <t xml:space="preserve">Private Supply of Protected Land in Southern Africa: A Review of Markets</t>
  </si>
  <si>
    <t xml:space="preserve">Oferta (Propietarios privados de tierras), Demanda (Turistas), Reguladores</t>
  </si>
  <si>
    <t xml:space="preserve">África del Sur (Namibia, Sudáfrica, Zimbabue)</t>
  </si>
  <si>
    <t xml:space="preserve">Reservas privadas de fauna silvestre y conservancies</t>
  </si>
  <si>
    <t xml:space="preserve">Analiza la oferta privada de tierras protegidas y los incentivos de mercado en el cono sur de África.</t>
  </si>
  <si>
    <t xml:space="preserve">Krug, W., Suich, H. &amp; Haimbodi, N.</t>
  </si>
  <si>
    <t xml:space="preserve">Park pricing and economic efficiency in Namibia</t>
  </si>
  <si>
    <t xml:space="preserve">Demanda (Turistas europeos/EE. UU.), Reguladores (Namibia MET)</t>
  </si>
  <si>
    <t xml:space="preserve">Namibia (Parque Nacional Etosha y Sossusvlei)</t>
  </si>
  <si>
    <t xml:space="preserve">Parques nacionales y disposición a pagar (WTP) de turistas</t>
  </si>
  <si>
    <t xml:space="preserve">Estudio que muestra que los turistas internacionales estarían dispuestos a pagar 2 a 3 veces más por entrar a Etosha.</t>
  </si>
  <si>
    <t xml:space="preserve">Landau, J.P. et al.</t>
  </si>
  <si>
    <t xml:space="preserve">Rapport à Monsieur Jacques Chirac Président de la République</t>
  </si>
  <si>
    <t xml:space="preserve">Reguladores/legisladores (Gobierno de Francia), Público general</t>
  </si>
  <si>
    <t xml:space="preserve">Global / Francia</t>
  </si>
  <si>
    <t xml:space="preserve">Nuevas contribuciones financieras internacionales para el desarrollo</t>
  </si>
  <si>
    <t xml:space="preserve">Informe Landau sobre mecanismos innovadores de tributación internacional para bienes públicos mundiales.</t>
  </si>
  <si>
    <t xml:space="preserve">Landell-Mills, N. &amp; Porras, I. (IIED)</t>
  </si>
  <si>
    <t xml:space="preserve">Markets for Forest Environmental Services: Silver Bullet or Fool’s Gold?</t>
  </si>
  <si>
    <t xml:space="preserve">Demanda, Oferta (Comunidades forestales), Reguladores, Científicos</t>
  </si>
  <si>
    <t xml:space="preserve">Global (280+ casos estudiados)</t>
  </si>
  <si>
    <t xml:space="preserve">Servicios hídricos, carbono, belleza escénica y biodiversidad</t>
  </si>
  <si>
    <t xml:space="preserve">Revisión global del IIED sobre 280 casos de mercados de servicios ambientales y sus impactos sociales.</t>
  </si>
  <si>
    <t xml:space="preserve">Lapham, N. &amp; Livermore, R. (CI)</t>
  </si>
  <si>
    <t xml:space="preserve">Striking a Balance: Ensuring Conservation’s Place on the International Assistance Agenda</t>
  </si>
  <si>
    <t xml:space="preserve">Demanda (Agencias de cooperación bilateral y multilateral), Reguladores</t>
  </si>
  <si>
    <t xml:space="preserve">Agenda de ayuda oficial al desarrollo (ODA) y conservación</t>
  </si>
  <si>
    <t xml:space="preserve">Documenta el estancamiento de la ODA para biodiversidad y propone integrar la conservación en la agenda net-zero/ODS.</t>
  </si>
  <si>
    <t xml:space="preserve">Lecocq, F. (World Bank)</t>
  </si>
  <si>
    <t xml:space="preserve">State and Trends of the Carbon Market 2004</t>
  </si>
  <si>
    <t xml:space="preserve">Demanda (Empresas, Países Anexo I), Oferta (Proyectos), Financieros</t>
  </si>
  <si>
    <t xml:space="preserve">Mercados de carbono (MDL y mercado voluntario)</t>
  </si>
  <si>
    <t xml:space="preserve">Informe anual del Banco Mundial sobre el volumen y precios operados en el mercado global de carbono.</t>
  </si>
  <si>
    <t xml:space="preserve">Lewandrowski, J., Darwin, R., Tsigas, M. &amp; Raneses, A.</t>
  </si>
  <si>
    <t xml:space="preserve">Estimating the costs of protecting global ecosystem diversity</t>
  </si>
  <si>
    <t xml:space="preserve">Costos de oportunidad agrícolas de la conservación global</t>
  </si>
  <si>
    <t xml:space="preserve">Estima los costos de oportunidad globales de retirar tierras del mercado para protección en $45.5B-$143.8B/año.</t>
  </si>
  <si>
    <t xml:space="preserve">Loomis, J.B. &amp; Walsh, R.G.</t>
  </si>
  <si>
    <t xml:space="preserve">Recreation Economic Decisions: Comparing Benefits and Costs (2nd Ed.)</t>
  </si>
  <si>
    <t xml:space="preserve">Comunidad científica, Reguladores/legisladores, Demanda (Recreacionistas)</t>
  </si>
  <si>
    <t xml:space="preserve">Economía de la recreación al aire libre y valoración contingente</t>
  </si>
  <si>
    <t xml:space="preserve">Texto metodológico estándar para calcular el valor económico de la recreación en parques y áreas naturales.</t>
  </si>
  <si>
    <t xml:space="preserve">Mace, G.M., Balmford, A. &amp; Ginsberg, J.R. (Eds.)</t>
  </si>
  <si>
    <t xml:space="preserve">Conservation in a Changing World</t>
  </si>
  <si>
    <t xml:space="preserve">Biología de la conservación y priorización de hábitats</t>
  </si>
  <si>
    <t xml:space="preserve">Sintetiza los fundamentos científicos para la priorización y efectividad de las áreas protegidas.</t>
  </si>
  <si>
    <t xml:space="preserve">Mantua, U., Merlo, M., Sekot, W. &amp; Welcker, B.</t>
  </si>
  <si>
    <t xml:space="preserve">Recreational and Environmental Markets for Forest Enterprises</t>
  </si>
  <si>
    <t xml:space="preserve">Oferta (Empresas forestales), Demanda, Reguladores</t>
  </si>
  <si>
    <t xml:space="preserve">Bosques comerciales y mercados de recreación/servicios ambiental</t>
  </si>
  <si>
    <t xml:space="preserve">Examina cómo las empresas forestales europeas comercializan bienes públicos como recreación y conservación.</t>
  </si>
  <si>
    <t xml:space="preserve">Margulis, S. (World Bank)</t>
  </si>
  <si>
    <t xml:space="preserve">Causes of Deforestation of the Brazilian Amazon</t>
  </si>
  <si>
    <t xml:space="preserve">Reguladores/legisladores, Oferta (Ganaderos amazónicos), Científicos</t>
  </si>
  <si>
    <t xml:space="preserve">Selva amazónica y expansión de la ganadería comercial</t>
  </si>
  <si>
    <t xml:space="preserve">Estudio del Banco Mundial que demuestra que la ganadería extensiva privada fue la causa dominante de deforestación.</t>
  </si>
  <si>
    <t xml:space="preserve">May, P.H., Veiga Neto, F., Denardin, V. &amp; Loureiro, W.</t>
  </si>
  <si>
    <t xml:space="preserve">Using fiscal instruments to encourage conservation: The 'ecological' value-added tax in Brazil</t>
  </si>
  <si>
    <t xml:space="preserve">Reguladores/legisladores (Municipios de Brasil), Oferta, Público</t>
  </si>
  <si>
    <t xml:space="preserve">Brasil (Paraná y otros 9 estados)</t>
  </si>
  <si>
    <t xml:space="preserve">Unidades de conservación y cuencas abastecedoras de agua (ICMS Ecológico)</t>
  </si>
  <si>
    <t xml:space="preserve">Caso hito del ICMS Ecológico que redistribuye $100M/año de IVA a municipios según sus áreas protegidas.</t>
  </si>
  <si>
    <t xml:space="preserve">McNeely, J.A.</t>
  </si>
  <si>
    <t xml:space="preserve">Mobilizing Broader Support for Asia’s Biodiversity: How Civil Society Can Contribute</t>
  </si>
  <si>
    <t xml:space="preserve">Reguladores/legisladores, Sociedad civil, ONG, Sector privado</t>
  </si>
  <si>
    <t xml:space="preserve">Gobernanza participativa de parques e incentivos económicos</t>
  </si>
  <si>
    <t xml:space="preserve">Analiza cómo la sociedad civil y el sector privado pueden suplir los déficit de gestión pública de APs en Asia.</t>
  </si>
  <si>
    <t xml:space="preserve">McNeely, J.A. &amp; Scherr, S.J.</t>
  </si>
  <si>
    <t xml:space="preserve">Ecoagriculture: Strategies to Feed the World and Save Wild Biodiversity</t>
  </si>
  <si>
    <t xml:space="preserve">Paisajes agrícolas mosaico e integración de biodiversidad</t>
  </si>
  <si>
    <t xml:space="preserve">Propone el concepto de ecoagricultura para armonizar la producción de alimentos con la conservación de biodiversidad.</t>
  </si>
  <si>
    <t xml:space="preserve">Molnar, A., Scherr, S.J. &amp; Khare, A. (Forest Trends)</t>
  </si>
  <si>
    <t xml:space="preserve">Who Conserves the World’s Forests? Community-Driven Strategies</t>
  </si>
  <si>
    <t xml:space="preserve">Oferta (Comunidades indígenas y locales / IPLC), Reguladores</t>
  </si>
  <si>
    <t xml:space="preserve">Bosques comunitarios y áreas conservadas por pueblos indígenas</t>
  </si>
  <si>
    <t xml:space="preserve">Demuestra que la superficie en conservación comunitaria iguala a la de parques estatales y recibe montos similares.</t>
  </si>
  <si>
    <t xml:space="preserve">Morling, P.</t>
  </si>
  <si>
    <t xml:space="preserve">The Economics of Marine Protected Areas in the High Seas</t>
  </si>
  <si>
    <t xml:space="preserve">Reguladores/legisladores (Internacionales), Demanda (Pesquerías de alta mar)</t>
  </si>
  <si>
    <t xml:space="preserve">Global (Alta mar / aguas internacionales)</t>
  </si>
  <si>
    <t xml:space="preserve">Ecosistemas pelágicos y bentónicos de alta mar</t>
  </si>
  <si>
    <t xml:space="preserve">Analiza los aspectos económicos y jurídicos de establecer y financiar reservas marinas en aguas internacionales.</t>
  </si>
  <si>
    <t xml:space="preserve">Norton-Griffiths, M.</t>
  </si>
  <si>
    <t xml:space="preserve">Economic incentives to develop the rangelands of the Serengeti: implications</t>
  </si>
  <si>
    <t xml:space="preserve">Oferta (Propietarios Maasai), Reguladores/legisladores, Demanda</t>
  </si>
  <si>
    <t xml:space="preserve">Kenia / Tanzania (Ecosistema Serengeti-Maasai Mara)</t>
  </si>
  <si>
    <t xml:space="preserve">Pastizales y terrenos de pastoreo Maasai</t>
  </si>
  <si>
    <t xml:space="preserve">Demuestra que la agricultura rinde entre 3 y 23 veces más que el turismo para propietarios Maasai sin incentivos.</t>
  </si>
  <si>
    <t xml:space="preserve">Norton-Griffiths, M. &amp; Southey, C.</t>
  </si>
  <si>
    <t xml:space="preserve">The opportunity costs of biodiversity conservation in Kenya</t>
  </si>
  <si>
    <t xml:space="preserve">Reguladores/legisladores (Gobierno de Kenia), Oferta (Agricultores)</t>
  </si>
  <si>
    <t xml:space="preserve">Red nacional de parques y zonas agrícolas foregonas ($203M/año)</t>
  </si>
  <si>
    <t xml:space="preserve">Estudio econométrico hito que calcula el costo de oportunidad neto de las APs en Kenia en más de $200M/año.</t>
  </si>
  <si>
    <t xml:space="preserve">OECD (Organización para la Cooperación y el Desarrollo Económicos)</t>
  </si>
  <si>
    <t xml:space="preserve">Aid Targeting the Objectives of the Rio Conventions 1998–2000</t>
  </si>
  <si>
    <t xml:space="preserve">Reguladores/legisladores, Demanda (19 países donantes del CAD)</t>
  </si>
  <si>
    <t xml:space="preserve">Ayuda Oficial al Desarrollo (ODA) dirigida al CDB ($995M/año)</t>
  </si>
  <si>
    <t xml:space="preserve">Base de datos oficial que cifra en $995M anuales (2,7% del total de ODA) la ayuda bilateral para biodiversidad.</t>
  </si>
  <si>
    <t xml:space="preserve">Environmental Fiscal Reform for Poverty Reduction: A DAC Reference Document</t>
  </si>
  <si>
    <t xml:space="preserve">Reguladores/legisladores (Ministerios de Hacienda), Donantes</t>
  </si>
  <si>
    <t xml:space="preserve">Reforma fiscal ambiental, impuestos ecológicos y eliminación de subsidios</t>
  </si>
  <si>
    <t xml:space="preserve">Guía marco de la OCDE sobre la Reforma Fiscal Ambiental (EFR) para generar ingresos y reducir pobreza.</t>
  </si>
  <si>
    <t xml:space="preserve">Ozório de Almeida, A.L. &amp; Campari, J.</t>
  </si>
  <si>
    <t xml:space="preserve">Sustainable Settlement in the Amazon</t>
  </si>
  <si>
    <t xml:space="preserve">Reguladores/legisladores, Oferta (Colonos agrícolas amazónicos)</t>
  </si>
  <si>
    <t xml:space="preserve">Frontera agrícola y asentamientos rurales en la Amazonía</t>
  </si>
  <si>
    <t xml:space="preserve">Modela el comportamiento económico de los colonos y el impacto de los créditos agrícolas en la deforestación.</t>
  </si>
  <si>
    <t xml:space="preserve">Pagiola, S.</t>
  </si>
  <si>
    <t xml:space="preserve">Paying for Water Services in Central America: Learning from Costa Rica</t>
  </si>
  <si>
    <t xml:space="preserve">Demanda (Hidroeléctricas, usuarios de agua), Oferta (Propietarios)</t>
  </si>
  <si>
    <t xml:space="preserve">Costa Rica / América Central</t>
  </si>
  <si>
    <t xml:space="preserve">Bosques de cuenca y programa FONAFIFO ($35-40/ha/año)</t>
  </si>
  <si>
    <t xml:space="preserve">Analiza la experiencia de Costa Rica con el canon de agua e hidroeléctricas para financiar conservación de cuencas.</t>
  </si>
  <si>
    <t xml:space="preserve">Pagiola, S., Bishop, J. &amp; Landell-Mills, N. (Eds.)</t>
  </si>
  <si>
    <t xml:space="preserve">Selling Forest Environmental Services: Market-Based Mechanisms for Conservation</t>
  </si>
  <si>
    <t xml:space="preserve">Demanda (Compradores de servicios), Oferta (Propietarios forestales)</t>
  </si>
  <si>
    <t xml:space="preserve">Servicios hídricos, carbono, biodiversidad y belleza escénica</t>
  </si>
  <si>
    <t xml:space="preserve">Libro de referencia global sobre mecanismos de mercado para la venta de servicios ambientales forestales.</t>
  </si>
  <si>
    <t xml:space="preserve">Pagiola, S., von Ritter, K. &amp; Bishop, J. (World Bank)</t>
  </si>
  <si>
    <t xml:space="preserve">Assessing the Economic Value of Ecosystem Conservation</t>
  </si>
  <si>
    <t xml:space="preserve">Reguladores/legisladores, Comunidad científica, Donantes</t>
  </si>
  <si>
    <t xml:space="preserve">Valoración económica total y toma de decisiones públicas</t>
  </si>
  <si>
    <t xml:space="preserve">Guía técnica del Banco Mundial sobre el uso correcto de la valoración económica en la toma de decisiones.</t>
  </si>
  <si>
    <t xml:space="preserve">Pearce, D.W.</t>
  </si>
  <si>
    <t xml:space="preserve">Can Non-Market Values Save the World’s Forests?</t>
  </si>
  <si>
    <t xml:space="preserve">Bosques tropicales y valores de no uso</t>
  </si>
  <si>
    <t xml:space="preserve">Analiza las limitaciones de confiar en los valores no de mercado si no se crean mecanismos para capturar la disposición a pagar.</t>
  </si>
  <si>
    <t xml:space="preserve">Quintela, C.E., Thomas, L. &amp; Robin, S. (WCPA)</t>
  </si>
  <si>
    <t xml:space="preserve">Proceedings of the Workshop Stream: Building a Secure Financial Future (Vth WPC)</t>
  </si>
  <si>
    <t xml:space="preserve">Reguladores/legisladores, Donantes, Gestores de APs</t>
  </si>
  <si>
    <t xml:space="preserve">Global (Durban 2003)</t>
  </si>
  <si>
    <t xml:space="preserve">Actas del V Congreso Mundial de Parques sobre finanzas sostenibles</t>
  </si>
  <si>
    <t xml:space="preserve">Compila las ponencias e innovaciones en finanzas de conservación presentadas en el Congreso Mundial de Parques de Durban.</t>
  </si>
  <si>
    <t xml:space="preserve">Repetto, R. &amp; Gillis, M. (Eds.)</t>
  </si>
  <si>
    <t xml:space="preserve">1988</t>
  </si>
  <si>
    <t xml:space="preserve">Government Policies and the Misuse of Forest Resources</t>
  </si>
  <si>
    <t xml:space="preserve">Reguladores/legisladores, Oferta (Empresas madereras), Científicos</t>
  </si>
  <si>
    <t xml:space="preserve">Global (10 países tropicales)</t>
  </si>
  <si>
    <t xml:space="preserve">Bosques tropicales y concesiones madereras estatales</t>
  </si>
  <si>
    <t xml:space="preserve">Estudio clásico del WRI demostrando cómo las políticas gubernamentales y subsidios promovieron la deforestación.</t>
  </si>
  <si>
    <t xml:space="preserve">Riedmiller, S.</t>
  </si>
  <si>
    <t xml:space="preserve">The Chumbe Island Coral Park Project: a case study of private MPA management</t>
  </si>
  <si>
    <t xml:space="preserve">Oferta (Empresa CHICOP / Pescadores), Reguladores, Demanda (Turistas)</t>
  </si>
  <si>
    <t xml:space="preserve">Tanzania (Zanzíbar - Isla de Chumbe)</t>
  </si>
  <si>
    <t xml:space="preserve">Santuario de arrecife de coral (22 ha) y ecoturismo privado</t>
  </si>
  <si>
    <t xml:space="preserve">Caso de éxito de financiamiento 100% privado de una reserva marina mediante ecoturismo auto-sostenible.</t>
  </si>
  <si>
    <t xml:space="preserve">Private Sector investment in Marine Protected Areas: experiences of Chumbe Island</t>
  </si>
  <si>
    <t xml:space="preserve">Inversores privados, Reguladores de Zanzíbar, Comunidades locales</t>
  </si>
  <si>
    <t xml:space="preserve">Tanzania (Zanzíbar)</t>
  </si>
  <si>
    <t xml:space="preserve">Reserva marina de Chumbe ($1,2M inversión inicial y $150k/año costo)</t>
  </si>
  <si>
    <t xml:space="preserve">Detalla los aspectos financieros, jurídicos y de mercadeo del modelo privado de la isla de Chumbe.</t>
  </si>
  <si>
    <t xml:space="preserve">Roe, D., Mayers, J., Grieg-Gran, M., Kothari, A. et al.</t>
  </si>
  <si>
    <t xml:space="preserve">Evaluating Eden: Exploring Myths and Realities of Community Wildlife Management</t>
  </si>
  <si>
    <t xml:space="preserve">Oferta (Comunidades locales), Reguladores, ONG, Científicos</t>
  </si>
  <si>
    <t xml:space="preserve">Global (África, Asia, América Latina)</t>
  </si>
  <si>
    <t xml:space="preserve">Proyectos comunitarios de vida silvestre (CWM)</t>
  </si>
  <si>
    <t xml:space="preserve">Evaluación global del IIED sobre los impactos reales de los proyectos comunitarios de fauna silvestre.</t>
  </si>
  <si>
    <t xml:space="preserve">Salm, R. &amp; Tessema, Y. (Eds.)</t>
  </si>
  <si>
    <t xml:space="preserve">Partnership for Conservation: Report on MPAs, Tourism and Communities</t>
  </si>
  <si>
    <t xml:space="preserve">Reguladores, Demanda (Turismo), Oferta (Pescadores locales)</t>
  </si>
  <si>
    <t xml:space="preserve">África Oriental (Kenia, Tanzania, Seychelles)</t>
  </si>
  <si>
    <t xml:space="preserve">Áreas marinas protegidas y comunidades costeras</t>
  </si>
  <si>
    <t xml:space="preserve">Compilación de experiencias regionales en África Oriental sobre alianzas entre turismo, comunidades y AMPs.</t>
  </si>
  <si>
    <t xml:space="preserve">Sandler, T. (World Bank)</t>
  </si>
  <si>
    <t xml:space="preserve">On Financing Global and International Public Goods</t>
  </si>
  <si>
    <t xml:space="preserve">Reguladores/legisladores, Donantes internacionales, Científicos</t>
  </si>
  <si>
    <t xml:space="preserve">Bienes públicos globales y arquitectura financiera internacional</t>
  </si>
  <si>
    <t xml:space="preserve">Marco teórico económico para el financiamiento de bienes públicos globales como la preservación de la biosfera.</t>
  </si>
  <si>
    <t xml:space="preserve">Sandmo, Agnar</t>
  </si>
  <si>
    <t xml:space="preserve">Environmental Taxation and Revenue for Development</t>
  </si>
  <si>
    <t xml:space="preserve">Reguladores/legisladores (Ministerios de Hacienda)</t>
  </si>
  <si>
    <t xml:space="preserve">Fiscalidad ambiental y doble dividendo</t>
  </si>
  <si>
    <t xml:space="preserve">Analiza cómo la fiscalidad ambiental puede generar ingresos fiscales para el desarrollo mientras corrige fallas de mercado.</t>
  </si>
  <si>
    <t xml:space="preserve">Scherl, L.M., Wilson, A., Wild, R., Blockhus, J. et al.</t>
  </si>
  <si>
    <t xml:space="preserve">Can Protected Areas Contribute to Poverty Reduction? Opportunities and Limitations</t>
  </si>
  <si>
    <t xml:space="preserve">Oferta (Comunidades locales pobres), Reguladores, Donantes</t>
  </si>
  <si>
    <t xml:space="preserve">Áreas protegidas y metas del milenio de reducción de pobreza</t>
  </si>
  <si>
    <t xml:space="preserve">Examina las oportunidades y límites para que las áreas protegidas contribuyan directamente a reducir la pobreza.</t>
  </si>
  <si>
    <t xml:space="preserve">Scherr, S., White, A. &amp; Khare, A., with Inbar, M. &amp; Molnar, A.</t>
  </si>
  <si>
    <t xml:space="preserve">For Services Rendered: Current status and future potential of markets for ecosystem services</t>
  </si>
  <si>
    <t xml:space="preserve">Demanda, Oferta (Comunidades forestales tropicales), Reguladores</t>
  </si>
  <si>
    <t xml:space="preserve">Global (Trópicos - ITTO)</t>
  </si>
  <si>
    <t xml:space="preserve">Informe de la OIMT sobre el estado actual y potencial de los mercados de servicios ecosistémicos forestales.</t>
  </si>
  <si>
    <t xml:space="preserve">Shah, N.</t>
  </si>
  <si>
    <t xml:space="preserve">Cousin Island Special Reserve: A case study of MPA management in partnership with an NGO</t>
  </si>
  <si>
    <t xml:space="preserve">Oferta (ONG Nature Seychelles), Demanda (Turistas), Reguladores</t>
  </si>
  <si>
    <t xml:space="preserve">Seychelles (Isla Cousin)</t>
  </si>
  <si>
    <t xml:space="preserve">Reserva especial (10.000 visitantes/año y $25 tarifa de desembarco)</t>
  </si>
  <si>
    <t xml:space="preserve">Estudio de caso de la gestión por la ONG Nature Seychelles financiada 100% por tarifas turísticas y tiendas.</t>
  </si>
  <si>
    <t xml:space="preserve">Simpson, R.D., Sedjo, R.A. &amp; Reid, J.W.</t>
  </si>
  <si>
    <t xml:space="preserve">Valuing biodiversity for use in pharmaceutical research</t>
  </si>
  <si>
    <t xml:space="preserve">Demanda (Industria farmacéutica), Comunidad científica, Reguladores</t>
  </si>
  <si>
    <t xml:space="preserve">Global (Hotspots de biodiversidad)</t>
  </si>
  <si>
    <t xml:space="preserve">Bioprospección y recursos genéticos marinos/terrestres</t>
  </si>
  <si>
    <t xml:space="preserve">Demuestra econométricamente en el Journal of Political Economy que el valor marginal de la bioprospección es muy bajo.</t>
  </si>
  <si>
    <t xml:space="preserve">Sinclair, A. &amp; Arcese, P. (Eds.)</t>
  </si>
  <si>
    <t xml:space="preserve">Serengeti II: Research, Management and Conservation of an Ecosystem</t>
  </si>
  <si>
    <t xml:space="preserve">Tanzania / Kenia (Ecosistema del Serengeti)</t>
  </si>
  <si>
    <t xml:space="preserve">Ecosistema de sabana y grandes mamíferos</t>
  </si>
  <si>
    <t xml:space="preserve">Compendio de investigaciones ecológicas y socioeconómicas sobre la gestión del ecosistema del Serengeti.</t>
  </si>
  <si>
    <t xml:space="preserve">Snider, A.G., Pattanayak, S.K., Sills, E.O. &amp; Schuler, J.L.</t>
  </si>
  <si>
    <t xml:space="preserve">Policy Innovations for Private Forest Management and Conservation in Costa Rica</t>
  </si>
  <si>
    <t xml:space="preserve">Oferta (Propietarios forestales privados), Reguladores (FONAFIFO)</t>
  </si>
  <si>
    <t xml:space="preserve">Bosques privados y contratos de incentivos forestales</t>
  </si>
  <si>
    <t xml:space="preserve">Analiza las innovaciones institucionales del programa de PES de Costa Rica para incentivar la conservación privada.</t>
  </si>
  <si>
    <t xml:space="preserve">Raising Revenues for Protected Areas: A Menu of Options</t>
  </si>
  <si>
    <t xml:space="preserve">Opciones de generación de ingresos para áreas protegidas</t>
  </si>
  <si>
    <t xml:space="preserve">Catálogo del WWF sobre 25 mecanismos de financiamiento para áreas protegidas.</t>
  </si>
  <si>
    <t xml:space="preserve">Suharso, A.</t>
  </si>
  <si>
    <t xml:space="preserve">Kutai National Park and the contribution of private companies</t>
  </si>
  <si>
    <t xml:space="preserve">Demanda (Empresas mineras, carbón y petroquímica), Reguladores</t>
  </si>
  <si>
    <t xml:space="preserve">Indonesia (Parque Nacional Kutai / East Kalimantan)</t>
  </si>
  <si>
    <t xml:space="preserve">Selva tropical húmeda (200.000 ha) y consorcio 'Friends of Kutai'</t>
  </si>
  <si>
    <t xml:space="preserve">Documenta la alianza de las empresas locales 'Friends of Kutai' que aportaron $300k+ en equipamiento y fondos.</t>
  </si>
  <si>
    <t xml:space="preserve">Suratri, R.</t>
  </si>
  <si>
    <t xml:space="preserve">Lessons learned from Protected Area management partnerships in Indonesia</t>
  </si>
  <si>
    <t xml:space="preserve">Reguladores (PKA Indonesia), Sector privado, ONG</t>
  </si>
  <si>
    <t xml:space="preserve">Alianzas de co-gestión de parques nacionales</t>
  </si>
  <si>
    <t xml:space="preserve">Sintetiza las lecciones aprendidas de las alianzas público-privadas para la co-gestión de parques en Indonesia.</t>
  </si>
  <si>
    <t xml:space="preserve">Swanson, P. &amp; Lunde, L. (World Bank)</t>
  </si>
  <si>
    <t xml:space="preserve">Public Environmental Expenditure Reviews</t>
  </si>
  <si>
    <t xml:space="preserve">Reguladores/legisladores (Ministerios de Finanzas), Donantes</t>
  </si>
  <si>
    <t xml:space="preserve">Revisiones del Gasto Público Ambiental (PEERs)</t>
  </si>
  <si>
    <t xml:space="preserve">Metodología del Banco Mundial para auditar y evaluar la eficacia del gasto público ambiental estatal.</t>
  </si>
  <si>
    <t xml:space="preserve">Swingland, I. (Ed.)</t>
  </si>
  <si>
    <t xml:space="preserve">Capturing Carbon and Conserving Biodiversity: The Market Approach</t>
  </si>
  <si>
    <t xml:space="preserve">Demanda (Mercados de carbono), Reguladores, Científicos, Oferta</t>
  </si>
  <si>
    <t xml:space="preserve">Bosques, fijación de carbono y co-beneficios de biodiversidad</t>
  </si>
  <si>
    <t xml:space="preserve">Libro marco sobre la integración de mercados de carbono forestal con la conservación de biodiversidad.</t>
  </si>
  <si>
    <t xml:space="preserve">ten Kate, K., Bishop, J. &amp; Bayon, R. (UICN)</t>
  </si>
  <si>
    <t xml:space="preserve">Demanda (Empresas extractivas, minería, infraestructura), Reguladores</t>
  </si>
  <si>
    <t xml:space="preserve">Compensaciones de biodiversidad y jerarquía de mitigación</t>
  </si>
  <si>
    <t xml:space="preserve">Informe hito de UICN / Insight Investment sobre el caso de negocio y marcos regulatorios de compensación.</t>
  </si>
  <si>
    <t xml:space="preserve">Tobgay Namgyal</t>
  </si>
  <si>
    <t xml:space="preserve">Bhutan Trust Fund for Environmental Conservation</t>
  </si>
  <si>
    <t xml:space="preserve">Reguladores/legisladores (Bután), Donantes (GEF, WWF), Oferta</t>
  </si>
  <si>
    <t xml:space="preserve">Bután</t>
  </si>
  <si>
    <t xml:space="preserve">Fondo Fiduciario de Bután (Endowment crecido de $21M a $36M)</t>
  </si>
  <si>
    <t xml:space="preserve">Caso hito de éxito de un fondo fiduciario ambiental con junta 100% nacional y regla de gasto del 2,5%.</t>
  </si>
  <si>
    <t xml:space="preserve">Totten, M.</t>
  </si>
  <si>
    <t xml:space="preserve">Getting it Right: Emerging Markets for Storing Carbon in Forests</t>
  </si>
  <si>
    <t xml:space="preserve">Mercados emergentes de carbono forestal y bosques tropicales</t>
  </si>
  <si>
    <t xml:space="preserve">Analiza el potencial de los mercados de almacenamiento de carbono para financiar bosques tropicales.</t>
  </si>
  <si>
    <t xml:space="preserve">Tye, H. &amp; Gordon, D. (WCMC)</t>
  </si>
  <si>
    <t xml:space="preserve">Financial and Human Investments in Biosphere Investment</t>
  </si>
  <si>
    <t xml:space="preserve">Reguladores/legisladores, UNESCO, WCMC</t>
  </si>
  <si>
    <t xml:space="preserve">Reservas de la Biosfera (solo el 40% cobraba tarifas de entrada)</t>
  </si>
  <si>
    <t xml:space="preserve">Evaluación del WCMC sobre personal y finanzas en Reservas de la Biosfera a nivel mundial.</t>
  </si>
  <si>
    <t xml:space="preserve">UNEP (PNUMA)</t>
  </si>
  <si>
    <t xml:space="preserve">Funding Protected Areas in the Wider Caribbean: A Guide for Managers</t>
  </si>
  <si>
    <t xml:space="preserve">Reguladores/legisladores, Gestores de APs del Caribe, Donantes</t>
  </si>
  <si>
    <t xml:space="preserve">Gran Caribe (Países insulares)</t>
  </si>
  <si>
    <t xml:space="preserve">Áreas protegidas marino-costeras y programas de adopción de tierras</t>
  </si>
  <si>
    <t xml:space="preserve">Guía del PNUMA sobre opciones de financiamiento y programas de 'adopción de hectáreas' en el Caribe.</t>
  </si>
  <si>
    <t xml:space="preserve">Verweij, Pita</t>
  </si>
  <si>
    <t xml:space="preserve">Payments for forest hydrological services in Latin America: trends and perspectives</t>
  </si>
  <si>
    <t xml:space="preserve">Demanda (Usuarios de agua), Oferta (Propietarios forestales), Reguladores</t>
  </si>
  <si>
    <t xml:space="preserve">Bosques de montaña y servicios hidrológicos de cuenca</t>
  </si>
  <si>
    <t xml:space="preserve">Sintetiza las tendencias de pago por servicios hídricos en bosques montanos de América Latina.</t>
  </si>
  <si>
    <t xml:space="preserve">Vincent, J.R. &amp; Gillis, M.</t>
  </si>
  <si>
    <t xml:space="preserve">Deforestation and Forest Land Use: A Comment</t>
  </si>
  <si>
    <t xml:space="preserve">Bosques tropicales y modelos de uso del suelo</t>
  </si>
  <si>
    <t xml:space="preserve">Análisis en el World Bank Research Observer sobre la economía de las concesiones forestales y cambio de uso de suelo.</t>
  </si>
  <si>
    <t xml:space="preserve">Walpole, M., Goodwin, H. &amp; Ward, K.</t>
  </si>
  <si>
    <t xml:space="preserve">Pricing Policy for Tourism in Protected Areas: Lessons from Komodo National Park</t>
  </si>
  <si>
    <t xml:space="preserve">Demanda (Turistas de Komodo), Reguladores, Oferta (Comunidades)</t>
  </si>
  <si>
    <t xml:space="preserve">Indonesia (Parque Nacional Komodo)</t>
  </si>
  <si>
    <t xml:space="preserve">Parque Nacional Komodo (tarifas cubrían solo 6,9% de costos)</t>
  </si>
  <si>
    <t xml:space="preserve">Demuestra que la tarifa de entrada cubría &lt;7% de costos y estaba fijada a &lt;10% de la disposición a pagar.</t>
  </si>
  <si>
    <t xml:space="preserve">Wells, M.</t>
  </si>
  <si>
    <t xml:space="preserve">Economic Perspectives on Nature Tourism, Conservation and Development</t>
  </si>
  <si>
    <t xml:space="preserve">Demanda (Turistas), Reguladores/legisladores, Oferta</t>
  </si>
  <si>
    <t xml:space="preserve">Turismo de naturaleza en áreas protegidas</t>
  </si>
  <si>
    <t xml:space="preserve">Análisis del Banco Mundial sobre la baja captura de rentas del ecoturismo por parte de los parques nacionales.</t>
  </si>
  <si>
    <t xml:space="preserve">Wilkinson, J. &amp; Kennedy, C. (ELI)</t>
  </si>
  <si>
    <t xml:space="preserve">Banks and Fees: The status of off-site wetland mitigation in the United States</t>
  </si>
  <si>
    <t xml:space="preserve">Demanda (Desarrolladores), Oferta (Bancos de humedales), Reguladores (USACE)</t>
  </si>
  <si>
    <t xml:space="preserve">Estados Unidos (219 bancos en 40 estados)</t>
  </si>
  <si>
    <t xml:space="preserve">Humedales y mitigación de la Ley de Agua Limpia (precios $1,2k a $300k/ha)</t>
  </si>
  <si>
    <t xml:space="preserve">Informe del ELI que documenta el crecimiento de la banca de humedales en EE. UU. (2/3 de bancos privados).</t>
  </si>
  <si>
    <t xml:space="preserve">Wunder, S.</t>
  </si>
  <si>
    <t xml:space="preserve">Oil Wealth and the Fate of the Forests: A Comparative Study of Eight Countries</t>
  </si>
  <si>
    <t xml:space="preserve">Global (8 países petroleros tropicales)</t>
  </si>
  <si>
    <t xml:space="preserve">Bosques tropicales e impacto de la bonanza petrolera ('síndrome holandés')</t>
  </si>
  <si>
    <t xml:space="preserve">Estudio comparativo de CIFOR sobre cómo la riqueza petrolera afecta las tasas de deforestación forestal.</t>
  </si>
  <si>
    <t xml:space="preserve">Are protected areas working? An analysis of forest protected areas by WWF</t>
  </si>
  <si>
    <t xml:space="preserve">Reguladores/legisladores, WWF, Comunidad científica</t>
  </si>
  <si>
    <t xml:space="preserve">Global (200+ bosques protegidos)</t>
  </si>
  <si>
    <t xml:space="preserve">Áreas protegidas forestales mundiales</t>
  </si>
  <si>
    <t xml:space="preserve">Evaluación global del WWF demostrando que la falta de financiamiento es el principal obstáculo de efectividad.</t>
  </si>
  <si>
    <t xml:space="preserve">BCA (Biodiversity Credit Alliance)</t>
  </si>
  <si>
    <t xml:space="preserve">Definition of a Biodiversity Credit (Issue Paper No. 3)</t>
  </si>
  <si>
    <t xml:space="preserve">Reguladores/legisladores, Demanda (Empresas), Oferta (IPLC, Propietarios), Científicos</t>
  </si>
  <si>
    <t xml:space="preserve">Diversos ecosistemas terrestres y acuáticos</t>
  </si>
  <si>
    <t xml:space="preserve">Establece la definición estándar internacional de un crédito de biodiversidad como unidad de resultado positivo duradero, adicional y medible.</t>
  </si>
  <si>
    <t xml:space="preserve">Boldrini et al. (ECB)</t>
  </si>
  <si>
    <t xml:space="preserve">Living in a world of disappearing nature: physical risk and the implications for financial stability</t>
  </si>
  <si>
    <t xml:space="preserve">Demanda (Sector financiero, Bancos de la Eurozona), Reguladores (BCE)</t>
  </si>
  <si>
    <t xml:space="preserve">Unión Europea / Eurozona</t>
  </si>
  <si>
    <t xml:space="preserve">Servicios ecosistémicos integrados (agua, polinización, suelo)</t>
  </si>
  <si>
    <t xml:space="preserve">Muestra empíricamente que el 75% de las exposiciones crediticias empresariales en la eurozona dependen fuertemente de al menos un servicio ecosistémico.</t>
  </si>
  <si>
    <t xml:space="preserve">Bromley, H. (BloombergNEF)</t>
  </si>
  <si>
    <t xml:space="preserve">Biodiversity Finance Factbook (COP16 Edition)</t>
  </si>
  <si>
    <t xml:space="preserve">Flujos financieros globales hacia la naturaleza</t>
  </si>
  <si>
    <t xml:space="preserve">Cuantifica el volumen del mercado de créditos de biodiversidad (&lt;$1M en 2024) y rastrea las tendencias de inversión pública y privada.</t>
  </si>
  <si>
    <t xml:space="preserve">Market Design for the Environment (NBER Working Paper 31987)</t>
  </si>
  <si>
    <t xml:space="preserve">Mercados ambientales y activos ecosistémicos</t>
  </si>
  <si>
    <t xml:space="preserve">Analiza las fallas de diseño en mercados ambientales, la baja confianza, incentivos débiles y fricciones de intermediación.</t>
  </si>
  <si>
    <t xml:space="preserve">Cantillon, Lambin &amp; Weder di Mauro</t>
  </si>
  <si>
    <t xml:space="preserve">Designing and scaling up nature-based markets (Paris Report 3, Bruegel &amp; CEPR)</t>
  </si>
  <si>
    <t xml:space="preserve">Demanda (Inversores institucionales, Bancos), Reguladores (Jurisdicciones), Oferta</t>
  </si>
  <si>
    <t xml:space="preserve">Global / Unión Europea</t>
  </si>
  <si>
    <t xml:space="preserve">Bosques, cuencas hídricas y grandes áreas de conservación</t>
  </si>
  <si>
    <t xml:space="preserve">Propone el modelo de 'acciones de naturaleza' (nature shares) emitidas por jurisdicciones que entregan 'dividendos de naturaleza' a largo plazo.</t>
  </si>
  <si>
    <t xml:space="preserve">CBD (UN Convention on Biological Diversity)</t>
  </si>
  <si>
    <t xml:space="preserve">Kunming-Montreal Global Biodiversity Framework (CBD/COP/DEC/15/4)</t>
  </si>
  <si>
    <t xml:space="preserve">Reguladores/legisladores (196 países), Demanda, Oferta (IPLC, Agricultores)</t>
  </si>
  <si>
    <t xml:space="preserve">Marco internacional hito que fija la meta de movilizar $200.000M/año para biodiversidad y eliminar $500.000M/año en subsidios dañinos.</t>
  </si>
  <si>
    <t xml:space="preserve">CBD (COP16 Cali)</t>
  </si>
  <si>
    <t xml:space="preserve">Draft decision on Resource Mobilization (CBD/COP/16L.31)</t>
  </si>
  <si>
    <t xml:space="preserve">Fondo del Marco Global de Biodiversidad</t>
  </si>
  <si>
    <t xml:space="preserve">Documento de la COP16 en Cali que refleja las dificultades para acordar un fondo global y movilizar los recursos necesarios.</t>
  </si>
  <si>
    <t xml:space="preserve">Cinner et al.</t>
  </si>
  <si>
    <t xml:space="preserve">Markets and the crowding out of conservation-relevant behavior</t>
  </si>
  <si>
    <t xml:space="preserve">Público general, Oferta (Comunidades locales), Científicos</t>
  </si>
  <si>
    <t xml:space="preserve">Comportamiento cívico y conservación comunitaria</t>
  </si>
  <si>
    <t xml:space="preserve">Discute cómo los incentivos de mercado pueden desplazar la motivación intrínseca, el deber cívico y las normas morales de conservación.</t>
  </si>
  <si>
    <t xml:space="preserve">Darvas &amp; Sekut (Bruegel)</t>
  </si>
  <si>
    <t xml:space="preserve">Greening the EU budget: why climate mainstreaming needs reform</t>
  </si>
  <si>
    <t xml:space="preserve">Reguladores/legisladores (Unión Europea, Estados Miembros)</t>
  </si>
  <si>
    <t xml:space="preserve">Presupuesto de la UE y Marco Financiero Plurianual (MFF)</t>
  </si>
  <si>
    <t xml:space="preserve">Muestra las fallas de diseño en el 'climate mainstreaming' del presupuesto comunitario de la UE y los riesgos de ecobanqueo.</t>
  </si>
  <si>
    <t xml:space="preserve">Guide on climate-related and environmental risks</t>
  </si>
  <si>
    <t xml:space="preserve">Gestión de riesgos ambientales en carteras bancarias</t>
  </si>
  <si>
    <t xml:space="preserve">Guía supervisora del BCE que exige a los bancos gestionar y divulgar los riesgos climáticos y de pérdida de naturaleza en sus carteras.</t>
  </si>
  <si>
    <t xml:space="preserve">EEA (European Environment Agency)</t>
  </si>
  <si>
    <t xml:space="preserve">State of nature in the EU: Results from reporting under the nature directives 2013-2018</t>
  </si>
  <si>
    <t xml:space="preserve">Hábitats protegidos (81% en mal estado) y suelos (70% no saludables)</t>
  </si>
  <si>
    <t xml:space="preserve">Informe de la Agencia Europea de Medio Ambiente que revela el alarmante deterioro del 81% de los hábitats protegidos en la UE.</t>
  </si>
  <si>
    <t xml:space="preserve">EU Biodiversity Strategy for 2030: Bringing nature back into our lives (COM(2020) 380)</t>
  </si>
  <si>
    <t xml:space="preserve">Reguladores/legisladores (Comisión Europea, Estados Miembros), Público</t>
  </si>
  <si>
    <t xml:space="preserve">Red de áreas protegidas y restauración del 20% de tierra y mar</t>
  </si>
  <si>
    <t xml:space="preserve">Estrategia de la UE que establece 104 acciones y sienta las bases de la Ley de Restauración de la Naturaleza.</t>
  </si>
  <si>
    <t xml:space="preserve">Environmental Implementation Review 2022: Turning the tide through environmental compliance</t>
  </si>
  <si>
    <t xml:space="preserve">Objetivos de biodiversidad y ecosistemas en la UE</t>
  </si>
  <si>
    <t xml:space="preserve">Estima una brecha adicional de inversión de €21.500 millones anuales para cumplir los objetivos ambientales de la UE.</t>
  </si>
  <si>
    <t xml:space="preserve">Roadmap towards Nature Credits (COM(2025) 374 final)</t>
  </si>
  <si>
    <t xml:space="preserve">Reguladores/legisladores, Demanda (Empresas, Financieros), Oferta</t>
  </si>
  <si>
    <t xml:space="preserve">Ecosistemas europeos bajo restauración y conservación</t>
  </si>
  <si>
    <t xml:space="preserve">Hoja de ruta oficial de la Comisión Europea (2025-2027) para crear un marco de certificación y emisión de créditos de naturaleza.</t>
  </si>
  <si>
    <t xml:space="preserve">Grabbe et al. (Paris Report 3)</t>
  </si>
  <si>
    <t xml:space="preserve">Climate change mitigation and the preservation of nature: Towards a joined-up agenda</t>
  </si>
  <si>
    <t xml:space="preserve">Interconexión clima-biodiversidad</t>
  </si>
  <si>
    <t xml:space="preserve">Fundamenta la necesidad de articular de manera conjunta la agenda de mitigación climática y la preservación de ecosistemas.</t>
  </si>
  <si>
    <t xml:space="preserve">Grabbe et al. (Bruegel)</t>
  </si>
  <si>
    <t xml:space="preserve">Implementing the EU Nature Restoration Law: exploring pathways for member states (Working Paper 11/2025)</t>
  </si>
  <si>
    <t xml:space="preserve">Reguladores/legisladores (Estados Miembros de la UE), Oferta (Propietarios)</t>
  </si>
  <si>
    <t xml:space="preserve">Ecosistemas degradados bajo la NRL</t>
  </si>
  <si>
    <t xml:space="preserve">Analiza las opciones de implementación de la Ley de Restauración de la Naturaleza de la UE para los Estados miembros.</t>
  </si>
  <si>
    <t xml:space="preserve">The thematic assessment report on interlinkages among biodiversity, water, food and health (Nexus Assessment)</t>
  </si>
  <si>
    <t xml:space="preserve">Nexo biodiversidad, agua, alimentos y salud</t>
  </si>
  <si>
    <t xml:space="preserve">Evaluación global que demuestra que más de $50 billones del PIB mundial (más del 50%) dependen moderada o altamente de la naturaleza.</t>
  </si>
  <si>
    <t xml:space="preserve">Kedward, zu Ermgassen, Ryan-Collins &amp; Wunder</t>
  </si>
  <si>
    <t xml:space="preserve">Heavy reliance on private finance alone will not deliver conservation goals (Nature Ecology &amp; Evolution)</t>
  </si>
  <si>
    <t xml:space="preserve">Financiamiento de la conservación</t>
  </si>
  <si>
    <t xml:space="preserve">Advierte que la confianza excesiva en las finanzas privadas no cubrirá las metas de conservación y aboga por fortalecer el gasto público.</t>
  </si>
  <si>
    <t xml:space="preserve">Nature as an Asset Class or Public Good? The Economic Case for Increased Public Investment</t>
  </si>
  <si>
    <t xml:space="preserve">Naturaleza como bien público vs. activo financiero</t>
  </si>
  <si>
    <t xml:space="preserve">Argumenta conceptualmente que la naturaleza es un bien público complejo que no puede ser sustituido ni gestionado puramente como activo financiero.</t>
  </si>
  <si>
    <t xml:space="preserve">Kurth et al. (Boston Consulting Group)</t>
  </si>
  <si>
    <t xml:space="preserve">Servicios ecosistémicos globales ($150 billones/año)</t>
  </si>
  <si>
    <t xml:space="preserve">Estima el valor anual de los servicios ecosistémicos en más de $150 billones (el doble del PIB mundial) y analiza la crisis biológica como riesgo de negocio.</t>
  </si>
  <si>
    <t xml:space="preserve">Marion et al. (IDDRI)</t>
  </si>
  <si>
    <t xml:space="preserve">Lessons Learned from REDD+ for National Biodiversity Credit Schemes (IDDRI Policy Brief 05/24)</t>
  </si>
  <si>
    <t xml:space="preserve">Reguladores/legisladores, Oferta (Comunidades locales), Demanda, Científicos</t>
  </si>
  <si>
    <t xml:space="preserve">Bosques tropicales y esquemas REDD+</t>
  </si>
  <si>
    <t xml:space="preserve">Extrae lecciones de los errores de REDD+ (aditividad, conflictos de interés de auditores privados) para el diseño de créditos de biodiversidad.</t>
  </si>
  <si>
    <t xml:space="preserve">Nesbit et al. (IEEP &amp; Trinomics)</t>
  </si>
  <si>
    <t xml:space="preserve">Biodiversity Financing and Tracking: Final Report</t>
  </si>
  <si>
    <t xml:space="preserve">Reguladores/legisladores (Comisión Europea, Estados Miembros)</t>
  </si>
  <si>
    <t xml:space="preserve">Financiamiento de biodiversidad en la UE</t>
  </si>
  <si>
    <t xml:space="preserve">Calcula que se necesitan €48.150M/año en la UE para la Estrategia 2030, identificando un déficit promedio de €18.690M/año entre 2021 y 2030.</t>
  </si>
  <si>
    <t xml:space="preserve">Ranger et al. (Oxford-NGFS)</t>
  </si>
  <si>
    <t xml:space="preserve">The Green Scorpion: the macro-criticality of nature for finance</t>
  </si>
  <si>
    <t xml:space="preserve">Demanda (Sector financiero, Bancos centrales), Reguladores</t>
  </si>
  <si>
    <t xml:space="preserve">Riesgos físicos y en cascada de la naturaleza</t>
  </si>
  <si>
    <t xml:space="preserve">Modela el impacto económico macro-crítico de la degradación de la naturaleza, estimando un costo económico anual de $5 billones.</t>
  </si>
  <si>
    <t xml:space="preserve">Can Your Money Do Better? Redirecting Harmful Subsidies to Foster Nature and Climate Resilience</t>
  </si>
  <si>
    <t xml:space="preserve">Reguladores/legisladores (Unión Europea), Público general, Oferta</t>
  </si>
  <si>
    <t xml:space="preserve">Subsidios perjudiciales en agricultura, pesca y transporte (€48.000M/año)</t>
  </si>
  <si>
    <t xml:space="preserve">Muestra que redireccionar una fracción de los €48.000M anuales en subsidios perjudiciales en la UE permitiría cerrar la brecha de €18.690M sin elevar el gasto público.</t>
  </si>
  <si>
    <t xml:space="preserve">WWF, Birdlife, EuroNatur &amp; Bankwatch</t>
  </si>
  <si>
    <t xml:space="preserve">Biodiversity funding in the EU’s next long-term budget: Opportunities and risks of introducing national plans</t>
  </si>
  <si>
    <t xml:space="preserve">Reguladores/legisladores (Comisión Europea, Estados Miembros), ONGs</t>
  </si>
  <si>
    <t xml:space="preserve">Presupuesto MFF 2028-2034 de la UE</t>
  </si>
  <si>
    <t xml:space="preserve">Evalúa las oportunidades y riesgos de descentralizar la financiación de biodiversidad en los planes nacionales del próximo presupuesto MFF.</t>
  </si>
  <si>
    <t xml:space="preserve">Five golden rules for scientifically-credible nature markets</t>
  </si>
  <si>
    <t xml:space="preserve">Mercados de naturaleza de alta integridad</t>
  </si>
  <si>
    <t xml:space="preserve">Formula las '5 reglas de oro' científicas para mercados de naturaleza: asumir no-aditividad por defecto, emisión ex-post, auditorías independientes, datos abiertos y no-compensación.</t>
  </si>
  <si>
    <t xml:space="preserve">Anderson et al.</t>
  </si>
  <si>
    <t xml:space="preserve">Comparing community garden typologies of Baltimore, MD</t>
  </si>
  <si>
    <t xml:space="preserve">Público general (Jardineros urbanos), Oferta (Comunidades)</t>
  </si>
  <si>
    <t xml:space="preserve">Estados Unidos (Baltimore, MD)</t>
  </si>
  <si>
    <t xml:space="preserve">Huertos comunitarios urbanos y agricultura urbana</t>
  </si>
  <si>
    <t xml:space="preserve">Compara la tipología de huertos comunitarios y su rol en la producción de alimentos e inclusión social.</t>
  </si>
  <si>
    <t xml:space="preserve">Aragon et al.</t>
  </si>
  <si>
    <t xml:space="preserve">Urban agriculture's bounty: Contributions to Phoenix's sustainability goals</t>
  </si>
  <si>
    <t xml:space="preserve">Estados Unidos (Phoenix, AZ)</t>
  </si>
  <si>
    <t xml:space="preserve">Agricultura urbana y espacios verdes productivos</t>
  </si>
  <si>
    <t xml:space="preserve">Modela espacialmente la contribución cuantitativa de la agricultura urbana a las metas de sostenibilidad.</t>
  </si>
  <si>
    <t xml:space="preserve">Arksey &amp; O'Malley</t>
  </si>
  <si>
    <t xml:space="preserve">Scoping studies: Toward a methodological framework</t>
  </si>
  <si>
    <t xml:space="preserve">Metodología general de síntesis de evidencia</t>
  </si>
  <si>
    <t xml:space="preserve">Establece el marco metodológico estándar de 5 etapas para realizar revisiones de alcance (scoping reviews).</t>
  </si>
  <si>
    <t xml:space="preserve">Arnberger et al.</t>
  </si>
  <si>
    <t xml:space="preserve">Visitor preferences for urban park management in insect-infested forests</t>
  </si>
  <si>
    <t xml:space="preserve">Público general (Visitantes), Oferta (Gestores de parques)</t>
  </si>
  <si>
    <t xml:space="preserve">Estados Unidos / Austria</t>
  </si>
  <si>
    <t xml:space="preserve">Parques urbanos y bosques recreativos</t>
  </si>
  <si>
    <t xml:space="preserve">Evalúa las preferencias de los visitantes respecto al manejo de bosques urbanos afectados por plagas.</t>
  </si>
  <si>
    <t xml:space="preserve">Banzhaf, H. S.</t>
  </si>
  <si>
    <t xml:space="preserve">Economics at the fringe: Non-market valuation studies and land use plans in the US</t>
  </si>
  <si>
    <t xml:space="preserve">Espacios abiertos urbanos y periurbanos</t>
  </si>
  <si>
    <t xml:space="preserve">Examina el uso de estudios de valoración no de mercado en la planificación municipal del uso del suelo.</t>
  </si>
  <si>
    <t xml:space="preserve">Banzhaf et al.</t>
  </si>
  <si>
    <t xml:space="preserve">Integrated research on land-use changes in urban transformations</t>
  </si>
  <si>
    <t xml:space="preserve">Infraestructura verde y espacio abierto urbano</t>
  </si>
  <si>
    <t xml:space="preserve">Marco analítico para integrar cambios de uso del suelo con metas de transformación urbana sostenible.</t>
  </si>
  <si>
    <t xml:space="preserve">Baptiste et al.</t>
  </si>
  <si>
    <t xml:space="preserve">Understanding urban neighborhood differences in willingness to implement green infrastructure: Syracuse, NY</t>
  </si>
  <si>
    <t xml:space="preserve">Público general (Residentes), Reguladores/legisladores</t>
  </si>
  <si>
    <t xml:space="preserve">Estados Unidos (Syracuse, NY)</t>
  </si>
  <si>
    <t xml:space="preserve">Infraestructura verde de aguas pluviales (GSI)</t>
  </si>
  <si>
    <t xml:space="preserve">Evalúa la disposición a implementar medidas de GSI financiadas por tarifas de servicios de aguas pluviales.</t>
  </si>
  <si>
    <t xml:space="preserve">Public land managers and urban green space partnerships</t>
  </si>
  <si>
    <t xml:space="preserve">Reguladores/legisladores, Oferta (Gestores públicos), Público</t>
  </si>
  <si>
    <t xml:space="preserve">Parques públicos y áreas verdes urbanas</t>
  </si>
  <si>
    <t xml:space="preserve">Analiza cómo los gestores de tierras públicas financian operaciones parque mediante alianzas comunitarias.</t>
  </si>
  <si>
    <t xml:space="preserve">Brent &amp; Lorah</t>
  </si>
  <si>
    <t xml:space="preserve">The economic geography of civic crowdfunding</t>
  </si>
  <si>
    <t xml:space="preserve">Público general (Donantes cívicos), Oferta (Proyectos locales)</t>
  </si>
  <si>
    <t xml:space="preserve">Parques urbanos y proyectos comunitarios</t>
  </si>
  <si>
    <t xml:space="preserve">Examina la geografía del financiamiento participativo (crowdfunding) para infraestructura verde comunitaria.</t>
  </si>
  <si>
    <t xml:space="preserve">Influences of environmental and social factors on perceived bio-cultural services and disservices</t>
  </si>
  <si>
    <t xml:space="preserve">Público general (Residentes), Comunidad científica</t>
  </si>
  <si>
    <t xml:space="preserve">Bosques urbanos y vegetación residencial</t>
  </si>
  <si>
    <t xml:space="preserve">Cuantifica la percepción de servicios bioculturales vs geodeservicios según ingresos e inequidad socioeconómica.</t>
  </si>
  <si>
    <t xml:space="preserve">Browning et al.</t>
  </si>
  <si>
    <t xml:space="preserve">Psychological health and green space access during COVID-19</t>
  </si>
  <si>
    <t xml:space="preserve">Público general, Reguladores/legisladores</t>
  </si>
  <si>
    <t xml:space="preserve">Parques urbanos y recreación al aire libre</t>
  </si>
  <si>
    <t xml:space="preserve">Demuestra la importancia del acceso a parques urbanos para la salud mental durante crisis de confinamiento.</t>
  </si>
  <si>
    <t xml:space="preserve">Burdine &amp; Taylor</t>
  </si>
  <si>
    <t xml:space="preserve">Neighborhood characteristics and urban gardens in Toledo, OH</t>
  </si>
  <si>
    <t xml:space="preserve">Oferta (Agricultores urbanos), Público general</t>
  </si>
  <si>
    <t xml:space="preserve">Estados Unidos (Toledo, OH)</t>
  </si>
  <si>
    <t xml:space="preserve">Huertos comunitarios e infraestructura de alimentos</t>
  </si>
  <si>
    <t xml:space="preserve">Analiza las características de vecindarios asociadas a la presencia y financiamiento de huertos comunitarios.</t>
  </si>
  <si>
    <t xml:space="preserve">Cadol et al.</t>
  </si>
  <si>
    <t xml:space="preserve">Modeled tradeoffs between developed land protection and tidal habitat maintenance during rising sea levels</t>
  </si>
  <si>
    <t xml:space="preserve">Estados Unidos (Chesapeake Bay / Washington DC)</t>
  </si>
  <si>
    <t xml:space="preserve">Humedales mareales y protección de líneas de costa</t>
  </si>
  <si>
    <t xml:space="preserve">Modela las compensaciones entre protección de infraestructura desarrollada y migración de hábitats mareales.</t>
  </si>
  <si>
    <t xml:space="preserve">Calabrese, Williams &amp; Gupta</t>
  </si>
  <si>
    <t xml:space="preserve">Does participatory budgeting alter public spending? Evidence from New York City</t>
  </si>
  <si>
    <t xml:space="preserve">Reguladores/legisladores (Municipalidad), Público general</t>
  </si>
  <si>
    <t xml:space="preserve">Estados Unidos (New York City, NY)</t>
  </si>
  <si>
    <t xml:space="preserve">Parques vecinales e infraestructura urbana</t>
  </si>
  <si>
    <t xml:space="preserve">Evalúa cómo el presupuesto participativo reasigna recursos municipales hacia parques e infraestructura verde local.</t>
  </si>
  <si>
    <t xml:space="preserve">Carmichael et al.</t>
  </si>
  <si>
    <t xml:space="preserve">Green infrastructure solutions to health impacts of climate change in Detroit, MI</t>
  </si>
  <si>
    <t xml:space="preserve">Público general (Comunidades afectadas), Reguladores</t>
  </si>
  <si>
    <t xml:space="preserve">Estados Unidos (Detroit, MI)</t>
  </si>
  <si>
    <t xml:space="preserve">Infraestructura verde urbana (GSI) e inundaciones</t>
  </si>
  <si>
    <t xml:space="preserve">Estudia el apoyo comunitario a la infraestructura verde para mitigar inundaciones y olas de calor urbanas.</t>
  </si>
  <si>
    <t xml:space="preserve">Chen &amp; Bartle</t>
  </si>
  <si>
    <t xml:space="preserve">Innovative Infrastructure Finance</t>
  </si>
  <si>
    <t xml:space="preserve">Infraestructura pública y ambiental</t>
  </si>
  <si>
    <t xml:space="preserve">Libro de referencia sobre mecanismos innovadores de financiamiento (TIFs, bonos verdes, alianzas P3s).</t>
  </si>
  <si>
    <t xml:space="preserve">Tree canopy cover and carbon density as indicators for urban socio-ecological conditions</t>
  </si>
  <si>
    <t xml:space="preserve">Estados Unidos (Charlotte, NC)</t>
  </si>
  <si>
    <t xml:space="preserve">Bosque urbano y densidad de carbono</t>
  </si>
  <si>
    <t xml:space="preserve">Demuestra la disparidad en cobertura de dosel arbóreo y almacenamiento de carbono según ingresos de vecindarios.</t>
  </si>
  <si>
    <t xml:space="preserve">Cheng, Shi &amp; Andrew</t>
  </si>
  <si>
    <t xml:space="preserve">Exploring the link between fiscal stress and municipal green infrastructure investment</t>
  </si>
  <si>
    <t xml:space="preserve">Reguladores/legisladores (Municipios), Demanda</t>
  </si>
  <si>
    <t xml:space="preserve">Sistemas de gestión de aguas pluviales</t>
  </si>
  <si>
    <t xml:space="preserve">Analiza cómo el estrés fiscal municipal impulsa la adopción de tasas de servicios de aguas pluviales y GSI.</t>
  </si>
  <si>
    <t xml:space="preserve">Chiang Hsieh &amp; Noonan</t>
  </si>
  <si>
    <t xml:space="preserve">The closer the better? Examining support for a large urban redevelopment project in Atlanta</t>
  </si>
  <si>
    <t xml:space="preserve">Estados Unidos (Atlanta, GA - BeltLine)</t>
  </si>
  <si>
    <t xml:space="preserve">Senderos urbanos, vías verdes y parques</t>
  </si>
  <si>
    <t xml:space="preserve">Examina el apoyo público al financiamiento del Atlanta BeltLine mediante distritos TIF (*Tax Increment Financing*).</t>
  </si>
  <si>
    <t xml:space="preserve">The value of the world's ecosystem services and natural capital</t>
  </si>
  <si>
    <t xml:space="preserve">Cuantitativo / Valoración</t>
  </si>
  <si>
    <t xml:space="preserve">Biosfera y ecosistemas globales (\$33 trillones/año)</t>
  </si>
  <si>
    <t xml:space="preserve">Estudio histórico que valoró los servicios ecosistémicos globales detonando la agenda moderna de capital natural.</t>
  </si>
  <si>
    <t xml:space="preserve">Creswell &amp; Poth</t>
  </si>
  <si>
    <t xml:space="preserve">Qualitative inquiry &amp; research design: Choosing among five approaches</t>
  </si>
  <si>
    <t xml:space="preserve">Metodología cualitativa pura</t>
  </si>
  <si>
    <t xml:space="preserve">Manual metodológico para el diseño de investigación cualitativa mediante espirales de codificación inductiva.</t>
  </si>
  <si>
    <t xml:space="preserve">Crompton, J. L.</t>
  </si>
  <si>
    <t xml:space="preserve">The role of the proximate principle in the emergence of urban parks</t>
  </si>
  <si>
    <t xml:space="preserve">Parques urbanos e inmuebles contiguos</t>
  </si>
  <si>
    <t xml:space="preserve">Demuestra el 'principio de proximidad': los parques incrementan el valor de la propiedad privada generando ingresos fiscales.</t>
  </si>
  <si>
    <t xml:space="preserve">The commercial property endowment model for delivering park and recreation services</t>
  </si>
  <si>
    <t xml:space="preserve">Reguladores/legisladores, Demanda (Desarrolladores inmobiliarios)</t>
  </si>
  <si>
    <t xml:space="preserve">Parques urbanos y zonas comerciales</t>
  </si>
  <si>
    <t xml:space="preserve">Presenta el modelo de dotación comercial para autofinanciar la conservación de parques mediante rentas locales.</t>
  </si>
  <si>
    <t xml:space="preserve">Contemporary adaptations of excess condemnation and benefit districts for financing urban parks</t>
  </si>
  <si>
    <t xml:space="preserve">Reguladores/legisladores, Demanda (Sector privado)</t>
  </si>
  <si>
    <t xml:space="preserve">Parques urbanos del siglo XIX y siglo XXI</t>
  </si>
  <si>
    <t xml:space="preserve">Revisa distritos de mejora de beneficio especial (*benefit districts*) y bonos de obligación general para parques.</t>
  </si>
  <si>
    <t xml:space="preserve">Daniels et al.</t>
  </si>
  <si>
    <t xml:space="preserve">Toward estimating the value of stewardship volunteers: A cost-based valuation approach in King County, WA</t>
  </si>
  <si>
    <t xml:space="preserve">Público general (Voluntarios), Reguladores/legisladores</t>
  </si>
  <si>
    <t xml:space="preserve">Estados Unidos (King County, WA)</t>
  </si>
  <si>
    <t xml:space="preserve">Bosques urbanos y restauración de senderos</t>
  </si>
  <si>
    <t xml:space="preserve">Valora económicamente las horas de trabajo voluntario en restauración como coinversión directa en custodia de parques.</t>
  </si>
  <si>
    <t xml:space="preserve">Davies, Christensen &amp; Kareiva</t>
  </si>
  <si>
    <t xml:space="preserve">Assessing the flow of ecosystem services from urban parks</t>
  </si>
  <si>
    <t xml:space="preserve">Parques urbanos y zonas recreativas</t>
  </si>
  <si>
    <t xml:space="preserve">Evalúa cuantitativamente los flujos de servicios culturales y de regulación en redes de parques urbanos.</t>
  </si>
  <si>
    <t xml:space="preserve">de Guzman et al.</t>
  </si>
  <si>
    <t xml:space="preserve">Inspiring resident engagement: Street tree stewardship strategies in environmental justice communities</t>
  </si>
  <si>
    <t xml:space="preserve">Público general (Comunidades marginadas), Reguladores</t>
  </si>
  <si>
    <t xml:space="preserve">Arbolado urbano e infraestructura de calles</t>
  </si>
  <si>
    <t xml:space="preserve">Estrategias de mercadotecnia social comunitaria para movilizar voluntarios en el cuidado del arbolado de calles.</t>
  </si>
  <si>
    <t xml:space="preserve">Elliott et al.</t>
  </si>
  <si>
    <t xml:space="preserve">Identifying linkages between green infrastructure and stormwater governance in a postindustrial city</t>
  </si>
  <si>
    <t xml:space="preserve">Estados Unidos (New York City / Postindustrial)</t>
  </si>
  <si>
    <t xml:space="preserve">Analiza la política oculta e inequidad en las decisiones de financiamiento de infraestructura de drenaje.</t>
  </si>
  <si>
    <t xml:space="preserve">Escobedo et al.</t>
  </si>
  <si>
    <t xml:space="preserve">Urban forests and ecosystem services: A systematic review of literature and definitions</t>
  </si>
  <si>
    <t xml:space="preserve">Bosques urbanos y vegetación peridoméstica</t>
  </si>
  <si>
    <t xml:space="preserve">Revisión sistemática sobre la evolución de las definiciones de servicios ecosistémicos forestales urbanos.</t>
  </si>
  <si>
    <t xml:space="preserve">Potential of green infrastructure to restore predevelopment water budget of a semi-arid urban catchment</t>
  </si>
  <si>
    <t xml:space="preserve">Cuantitativo / Hidrológico</t>
  </si>
  <si>
    <t xml:space="preserve">Estados Unidos (Zona semiárida)</t>
  </si>
  <si>
    <t xml:space="preserve">Cuencas urbanas semiáridas e infiltración</t>
  </si>
  <si>
    <t xml:space="preserve">Modela la eficacia técnica de la infraestructura verde para restaurar el balance hídrico sin inversión en tubos.</t>
  </si>
  <si>
    <t xml:space="preserve">Finewood et al.</t>
  </si>
  <si>
    <t xml:space="preserve">Green infrastructure and the hidden politics of urban stormwater governance in a postindustrial city</t>
  </si>
  <si>
    <t xml:space="preserve">Reguladores/legisladores, Público general (Residentes)</t>
  </si>
  <si>
    <t xml:space="preserve">Estados Unidos (Pittsburgh, PA)</t>
  </si>
  <si>
    <t xml:space="preserve">Infraestructura verde y desbordamientos de drenaje</t>
  </si>
  <si>
    <t xml:space="preserve">Estudio crítico sobre la gobernanza tecnocrática del agua de lluvia y la distribución desigual de inversiones.</t>
  </si>
  <si>
    <t xml:space="preserve">Fisher, Turner &amp; Morling</t>
  </si>
  <si>
    <t xml:space="preserve">Defining and classifying ecosystem services for decision making</t>
  </si>
  <si>
    <t xml:space="preserve">Clasificación teórica de servicios ecosistémicos</t>
  </si>
  <si>
    <t xml:space="preserve">Clasificación operacional diferenciando servicios intermedios, finales y beneficios para políticas públicas.</t>
  </si>
  <si>
    <t xml:space="preserve">Fisher, Campbell &amp; Svendsen</t>
  </si>
  <si>
    <t xml:space="preserve">The organizational structure of urban environmental stewardship</t>
  </si>
  <si>
    <t xml:space="preserve">Cuantitativo / Redes</t>
  </si>
  <si>
    <t xml:space="preserve">Oferta (Grupos comunitarios/ONGs), Reguladores</t>
  </si>
  <si>
    <t xml:space="preserve">Parques urbanos, huertos y bosques</t>
  </si>
  <si>
    <t xml:space="preserve">Mapea la red organizacional de organizaciones sin fines de lucro que gestionan e invierten en áreas verdes.</t>
  </si>
  <si>
    <t xml:space="preserve">Frash Jr. et al.</t>
  </si>
  <si>
    <t xml:space="preserve">Healthy parks, happy people: An exploratory study of a county park system</t>
  </si>
  <si>
    <t xml:space="preserve">Público general (Usuarios de parques), Reguladores</t>
  </si>
  <si>
    <t xml:space="preserve">Estados Unidos (Indiana)</t>
  </si>
  <si>
    <t xml:space="preserve">Parques de condado y senderos recreativos</t>
  </si>
  <si>
    <t xml:space="preserve">Demuestra la correlación directa entre inversión en parques locales y reducción de costos en salud pública.</t>
  </si>
  <si>
    <t xml:space="preserve">Furman et al.</t>
  </si>
  <si>
    <t xml:space="preserve">Supporting public lands in an uncertain age: The Wasatch front urban ranger program</t>
  </si>
  <si>
    <t xml:space="preserve">Reguladores/legisladores (NPS), Público general</t>
  </si>
  <si>
    <t xml:space="preserve">Estados Unidos (Wasatch Front, UT)</t>
  </si>
  <si>
    <t xml:space="preserve">Bosques protegidos periurbanos</t>
  </si>
  <si>
    <t xml:space="preserve">Evalúa modelos de alianzas público-privadas (P3s) con organizaciones 'Friends of' para mantener reservas.</t>
  </si>
  <si>
    <t xml:space="preserve">Garbach, Lubell &amp; DeClerck</t>
  </si>
  <si>
    <t xml:space="preserve">Payment for ecosystem services: Incentives and information sharing in silvopastoral conservation</t>
  </si>
  <si>
    <t xml:space="preserve">Oferta (Ganaderos), Reguladores/legisladores</t>
  </si>
  <si>
    <t xml:space="preserve">Estados Unidos / América Latina</t>
  </si>
  <si>
    <t xml:space="preserve">Sistemas silvopastoriles y pastizales</t>
  </si>
  <si>
    <t xml:space="preserve">Demuestra que los incentivos financieros directos combinados con redes de información aceleran la adopción de PES.</t>
  </si>
  <si>
    <t xml:space="preserve">Garde, A.</t>
  </si>
  <si>
    <t xml:space="preserve">Citizen participation, design competition and the product of urban space</t>
  </si>
  <si>
    <t xml:space="preserve">Público general, Reguladores/legisladores, Desarrolladores</t>
  </si>
  <si>
    <t xml:space="preserve">Espacio público urbano y parques</t>
  </si>
  <si>
    <t xml:space="preserve">Analiza concursos de diseño y participación ciudadana en el financiamiento de parques mediante alianzas P3.</t>
  </si>
  <si>
    <t xml:space="preserve">Gazley et al.</t>
  </si>
  <si>
    <t xml:space="preserve">Charitable support for US National and State Parks through the lens of coproduction and government failure theories</t>
  </si>
  <si>
    <t xml:space="preserve">Demanda (Fundaciones/Donantes), Reguladores (NPS)</t>
  </si>
  <si>
    <t xml:space="preserve">Parques Nacionales y Estatales</t>
  </si>
  <si>
    <t xml:space="preserve">Analiza las donaciones benéficas y la coproducción de servicios de parques como respuesta a recortes fiscales.</t>
  </si>
  <si>
    <t xml:space="preserve">Goldman &amp; Tallis</t>
  </si>
  <si>
    <t xml:space="preserve">A critical analysis of ecosystem services as a tool in conservation projects</t>
  </si>
  <si>
    <t xml:space="preserve">Cuencas hídricas y reservas de conservación</t>
  </si>
  <si>
    <t xml:space="preserve">Critica las promesas y peligros de comercializar servicios ecosistémicos mediante tarifas de agua y subsidios.</t>
  </si>
  <si>
    <t xml:space="preserve">Goldstein &amp; Mele</t>
  </si>
  <si>
    <t xml:space="preserve">Governance within public-private partnerships and the politics of urban development</t>
  </si>
  <si>
    <t xml:space="preserve">Demanda (Inversores privados), Reguladores (Gobierno local)</t>
  </si>
  <si>
    <t xml:space="preserve">Parques urbanos desarrollados en alianzas P3</t>
  </si>
  <si>
    <t xml:space="preserve">Examina la gobernanza política en P3s urbanas y los riesgos de privatización del espacio público.</t>
  </si>
  <si>
    <t xml:space="preserve">Golubiewski, N. E.</t>
  </si>
  <si>
    <t xml:space="preserve">Urbanization increases grassland carbon pools: Effects of landscaping in Colorado's front range</t>
  </si>
  <si>
    <t xml:space="preserve">Cuantitativo / Ecológico</t>
  </si>
  <si>
    <t xml:space="preserve">Estados Unidos (Colorado Front Range)</t>
  </si>
  <si>
    <t xml:space="preserve">Pastizales semiáridos y áreas verdes ajardinadas</t>
  </si>
  <si>
    <t xml:space="preserve">Cuantifica los cambios en los almacenes de carbono en suelo y vegetación por el ajardinamiento urbano.</t>
  </si>
  <si>
    <t xml:space="preserve">Gomez-Navarro et al.</t>
  </si>
  <si>
    <t xml:space="preserve">Spatial variability of water sources for urban trees in an arid environment</t>
  </si>
  <si>
    <t xml:space="preserve">Cuantitativo / Isótopos</t>
  </si>
  <si>
    <t xml:space="preserve">Comunidad científica, Reguladores (Gestión hídrica)</t>
  </si>
  <si>
    <t xml:space="preserve">Estados Unidos (Salt Lake City, UT)</t>
  </si>
  <si>
    <t xml:space="preserve">Bosque urbano e irrigación en zonas áridas</t>
  </si>
  <si>
    <t xml:space="preserve">Demuestra los costos ocultos de irrigación y agua requerida para mantener bosques urbanos en climas secos.</t>
  </si>
  <si>
    <t xml:space="preserve">Griffiths &amp; Mitsch</t>
  </si>
  <si>
    <t xml:space="preserve">Nutrient retention via sedimentation in a created urban stormwater treatment wetland</t>
  </si>
  <si>
    <t xml:space="preserve">Cuantitativo / Biogeoquímico</t>
  </si>
  <si>
    <t xml:space="preserve">Estados Unidos (Columbus, OH)</t>
  </si>
  <si>
    <t xml:space="preserve">Humedales construidos para tratamiento de aguas</t>
  </si>
  <si>
    <t xml:space="preserve">Mide la retención de fósforo y nitrógeno en humedales artificiales como alternativa económica al tratamiento tradicional.</t>
  </si>
  <si>
    <t xml:space="preserve">Grima et al.</t>
  </si>
  <si>
    <t xml:space="preserve">The importance of urban natural areas and urban ecosystem services during the COVID-19 pandemic</t>
  </si>
  <si>
    <t xml:space="preserve">Cuantitativo / Encuesta</t>
  </si>
  <si>
    <t xml:space="preserve">Estados Unidos / Internacional</t>
  </si>
  <si>
    <t xml:space="preserve">Áreas naturales urbanas y parques</t>
  </si>
  <si>
    <t xml:space="preserve">Demuestra el drástico incremento en la valoración cívica de áreas naturales urbanas durante emergencias sanitarias.</t>
  </si>
  <si>
    <t xml:space="preserve">Haines-Young &amp; Potschin</t>
  </si>
  <si>
    <t xml:space="preserve">Common International Classification of Ecosystem Services (CICES) V5.1 guidance</t>
  </si>
  <si>
    <t xml:space="preserve">Clasificación jerárquica estandarizada de CICES</t>
  </si>
  <si>
    <t xml:space="preserve">Guía internacional estándar para la clasificación de servicios ecosistémicos de provisión, regulación y culturales.</t>
  </si>
  <si>
    <t xml:space="preserve">Haines-Young, R. &amp; Potschin, M.</t>
  </si>
  <si>
    <t xml:space="preserve">Common International Classification of Ecosystem Services (CICES) V5.1 Guidance</t>
  </si>
  <si>
    <t xml:space="preserve">Marco internacional estándar para la clasificación y estandarización de servicios ecosistémicos.</t>
  </si>
  <si>
    <t xml:space="preserve">Harada et al.</t>
  </si>
  <si>
    <t xml:space="preserve">Hydrology of the Brooklyn Grange rooftop farm</t>
  </si>
  <si>
    <t xml:space="preserve">Oferta (Agricultores urbanos), Reguladores pluviales</t>
  </si>
  <si>
    <t xml:space="preserve">Estados Unidos (Brooklyn, NY)</t>
  </si>
  <si>
    <t xml:space="preserve">Granjas en azoteas verdes e infraestructura verde</t>
  </si>
  <si>
    <t xml:space="preserve">Evalúa el volumen de retención de aguas pluviales en azoteas agrícolas comerciales como solución basada en naturaleza.</t>
  </si>
  <si>
    <t xml:space="preserve">Rooftop farm soils for sustainable water and nitrogen management</t>
  </si>
  <si>
    <t xml:space="preserve">Suelos de granjas en techos e infiltración de nitrógeno</t>
  </si>
  <si>
    <t xml:space="preserve">Analiza la gestión de nutrientes y agua en techos verdes cultivados para evitar la lixiviación a drenajes.</t>
  </si>
  <si>
    <t xml:space="preserve">Hintz et al.</t>
  </si>
  <si>
    <t xml:space="preserve">Facing the heat: A systematic literature review on solutions to cope with urban heat waves</t>
  </si>
  <si>
    <t xml:space="preserve">Reguladores/legisladores (Gobiernos locales), Científicos</t>
  </si>
  <si>
    <t xml:space="preserve">Bosques urbanos, techos verdes y parques</t>
  </si>
  <si>
    <t xml:space="preserve">Revisión sistemática de soluciones basadas en naturaleza para amortiguar el efecto de isla de calor urbana.</t>
  </si>
  <si>
    <t xml:space="preserve">Hoover &amp; Hopton</t>
  </si>
  <si>
    <t xml:space="preserve">Developing a framework for stormwater management: Leveraging ancillary benefits from urban greenspace</t>
  </si>
  <si>
    <t xml:space="preserve">Cualitativo / Marco</t>
  </si>
  <si>
    <t xml:space="preserve">Reguladores/legisladores (EPA), Público general</t>
  </si>
  <si>
    <t xml:space="preserve">Infraestructura verde e infiltración de escorrentía</t>
  </si>
  <si>
    <t xml:space="preserve">Propone un marco para maximizar los beneficios secundarios de salud y recreación al financiar infraestructura verde.</t>
  </si>
  <si>
    <t xml:space="preserve">Huff et al.</t>
  </si>
  <si>
    <t xml:space="preserve">A literature review of resilience in urban forestry</t>
  </si>
  <si>
    <t xml:space="preserve">Comunidad científica, Reguladores (Silvicultura municipal)</t>
  </si>
  <si>
    <t xml:space="preserve">Bosques urbanos y arbolado de calles</t>
  </si>
  <si>
    <t xml:space="preserve">Sintetiza las definiciones de resiliencia socioecológica aplicadas a la gestión y presupuesto del bosque urbano.</t>
  </si>
  <si>
    <t xml:space="preserve">Hunt et al.</t>
  </si>
  <si>
    <t xml:space="preserve">Positioning public recreation and park offerings using importance-performance analysis</t>
  </si>
  <si>
    <t xml:space="preserve">Reguladores/legisladores (Departamentos de Parques), Público</t>
  </si>
  <si>
    <t xml:space="preserve">Parques públicos recreativos</t>
  </si>
  <si>
    <t xml:space="preserve">Utiliza el análisis de importancia-resultado para posicionar departamentos de parques en la competencia por fondos.</t>
  </si>
  <si>
    <t xml:space="preserve">Ioannidis et al.</t>
  </si>
  <si>
    <t xml:space="preserve">The PRISMA statement for reporting systematic reviews and meta-analyses</t>
  </si>
  <si>
    <t xml:space="preserve">Metodología de declaración PRISMA</t>
  </si>
  <si>
    <t xml:space="preserve">Establece las directrices internacionales PRISMA para la transparencia en la selección de estudios en revisiones.</t>
  </si>
  <si>
    <t xml:space="preserve">Johnson, Borowy &amp; Swan</t>
  </si>
  <si>
    <t xml:space="preserve">Land use history and seed dispersal drive divergent plant community assembly in vacant lots</t>
  </si>
  <si>
    <t xml:space="preserve">Comunidad científica, Reguladores urbanos</t>
  </si>
  <si>
    <t xml:space="preserve">Lotes baldíos urbanos y vegetación espontánea</t>
  </si>
  <si>
    <t xml:space="preserve">Muestra cómo el historial de uso de suelo postindustrial condiciona la biodiversidad de lotes vacíos reutilizables.</t>
  </si>
  <si>
    <t xml:space="preserve">Joss, S.</t>
  </si>
  <si>
    <t xml:space="preserve">Eco-city governance: A case study of Treasure Island and Sonoma Mountain Village</t>
  </si>
  <si>
    <t xml:space="preserve">Reguladores/legisladores, Demanda (Desarrolladores eco-urbanos)</t>
  </si>
  <si>
    <t xml:space="preserve">Ecociudades, espacios abiertos e infraestructura verde</t>
  </si>
  <si>
    <t xml:space="preserve">Analiza la gobernanza y alianzas P3s en el desarrollo de vecindarios ecológicos de alta tecnología.</t>
  </si>
  <si>
    <t xml:space="preserve">Kabisch, Frantzeskaki &amp; Hansen</t>
  </si>
  <si>
    <t xml:space="preserve">Principles for urban nature-based solutions</t>
  </si>
  <si>
    <t xml:space="preserve">Estados Unidos / Europa</t>
  </si>
  <si>
    <t xml:space="preserve">Soluciones basadas en la naturaleza (NbS) urbanas</t>
  </si>
  <si>
    <t xml:space="preserve">Sintetiza principios de codiseño, justicia ambiental y sostenibilidad financiera para escalar las NbS urbanas.</t>
  </si>
  <si>
    <t xml:space="preserve">Kertesze et al.</t>
  </si>
  <si>
    <t xml:space="preserve">Modeling the hydrologic and economic efficacy of stormwater utility credit programs</t>
  </si>
  <si>
    <t xml:space="preserve">Reguladores/legisladores (Servicios públicos), Propietarios</t>
  </si>
  <si>
    <t xml:space="preserve">Infraestructura verde e infiltración residencial</t>
  </si>
  <si>
    <t xml:space="preserve">Modela programas de crédito en tarifas de aguas pluviales para incentivar retrofits verdes en viviendas unifamiliares.</t>
  </si>
  <si>
    <t xml:space="preserve">Kiewiet &amp; McCubbins</t>
  </si>
  <si>
    <t xml:space="preserve">State and local government finance: The new fiscal ice age</t>
  </si>
  <si>
    <t xml:space="preserve">Reguladores/legisladores (Gobiernos estatales/locales)</t>
  </si>
  <si>
    <t xml:space="preserve">Presupuesto municipal y mantenimiento de parques</t>
  </si>
  <si>
    <t xml:space="preserve">Analiza la austeridad fiscal municipal y el impacto en recortes de presupuestos operativos de parques y recreación.</t>
  </si>
  <si>
    <t xml:space="preserve">Klaiber et al.</t>
  </si>
  <si>
    <t xml:space="preserve">Some like it (less) hot: Extracting tradeoff measures for physically coupled amenities</t>
  </si>
  <si>
    <t xml:space="preserve">Público general (Compradores de vivienda), Científicos</t>
  </si>
  <si>
    <t xml:space="preserve">Espacio abierto, vegetación y enfriamiento</t>
  </si>
  <si>
    <t xml:space="preserve">Estima econométricamente la disposición a pagar por microclima fresco aportado por vegetación urbana.</t>
  </si>
  <si>
    <t xml:space="preserve">Lewis &amp; Knaap</t>
  </si>
  <si>
    <t xml:space="preserve">Targeting spending for land conservation</t>
  </si>
  <si>
    <t xml:space="preserve">Reguladores/legisladores, Demanda (Fideicomisos de tierra)</t>
  </si>
  <si>
    <t xml:space="preserve">Estados Unidos (Maryland)</t>
  </si>
  <si>
    <t xml:space="preserve">Tierras agrícolas y espacios abiertos protegidos</t>
  </si>
  <si>
    <t xml:space="preserve">Modela algoritmos de priorización espacial para optimizar el gasto de compras estatales de servidumbres de conservación.</t>
  </si>
  <si>
    <t xml:space="preserve">Lieberherr &amp; Green</t>
  </si>
  <si>
    <t xml:space="preserve">Green infrastructure through citizen stormwater management: Policy instruments and participation</t>
  </si>
  <si>
    <t xml:space="preserve">Reguladores/legisladores, Público general (Ciudadanos)</t>
  </si>
  <si>
    <t xml:space="preserve">Jardines de lluvia y barriles de lluvia residenciales</t>
  </si>
  <si>
    <t xml:space="preserve">Analiza instrumentos de política (subsidios, créditos de tarifa) para activar la participación ciudadana en GSI.</t>
  </si>
  <si>
    <t xml:space="preserve">Liberati et al.</t>
  </si>
  <si>
    <t xml:space="preserve">The PRISMA statement for reporting systematic reviews and meta-analyses of studies</t>
  </si>
  <si>
    <t xml:space="preserve">Metodología PRISMA</t>
  </si>
  <si>
    <t xml:space="preserve">Documento explicativo de los criterios de elegibilidad y flujo de selección de artículos en revisiones sistemáticas.</t>
  </si>
  <si>
    <t xml:space="preserve">Lonsdale et al.</t>
  </si>
  <si>
    <t xml:space="preserve">Barriers and opportunities affecting climate change adaptation action in North American landscapes</t>
  </si>
  <si>
    <t xml:space="preserve">Reguladores/legisladores, Oferta (Gestores territoriales)</t>
  </si>
  <si>
    <t xml:space="preserve">Estados Unidos (Región de las Montañas Rocosas)</t>
  </si>
  <si>
    <t xml:space="preserve">Bosques de montaña y cuencas hidrográficas</t>
  </si>
  <si>
    <t xml:space="preserve">Identifica barreras institucionales y de financiamiento para la adopción de medidas de adaptación climática.</t>
  </si>
  <si>
    <t xml:space="preserve">Lovasi et al.</t>
  </si>
  <si>
    <t xml:space="preserve">Urban tree canopy and asthma, wheeze, and allergic sensitization in a New York City birth cohort</t>
  </si>
  <si>
    <t xml:space="preserve">Cuantitativo / Epidemiológico</t>
  </si>
  <si>
    <t xml:space="preserve">Público general (Niños), Reguladores/legisladores</t>
  </si>
  <si>
    <t xml:space="preserve">Arbolado urbano e infraestructura verde</t>
  </si>
  <si>
    <t xml:space="preserve">Estudio epidemiológico sobre la relación entre el dosel de árboles urbanos, polinización y salud respiratoria.</t>
  </si>
  <si>
    <t xml:space="preserve">Madrigano et al.</t>
  </si>
  <si>
    <t xml:space="preserve">Vulnerability to heat wave-related mortality in New York City</t>
  </si>
  <si>
    <t xml:space="preserve">Cuantitativo / Salud pública</t>
  </si>
  <si>
    <t xml:space="preserve">Público general (Vulnerables), Reguladores/legisladores</t>
  </si>
  <si>
    <t xml:space="preserve">Espacio verde urbano y amortiguación térmica</t>
  </si>
  <si>
    <t xml:space="preserve">Demuestra la mayor tasa de mortalidad por olas de calor en vecindarios afroamericanos con menor cobertura verde.</t>
  </si>
  <si>
    <t xml:space="preserve">Maeda et al.</t>
  </si>
  <si>
    <t xml:space="preserve">Linking stormwater best management practices to social factors in two suburban watersheds</t>
  </si>
  <si>
    <t xml:space="preserve">Público general (Residentes suburbios), Reguladores</t>
  </si>
  <si>
    <t xml:space="preserve">Prácticas de gestión de aguas pluviales (BMPs)</t>
  </si>
  <si>
    <t xml:space="preserve">Correlaciona factores socioeconómicos vecinales con el estado de mantenimiento e inversión en jardines de lluvia.</t>
  </si>
  <si>
    <t xml:space="preserve">Maguire et al. (Ecosystem Marketplace)</t>
  </si>
  <si>
    <t xml:space="preserve">A green growth spurt: State of forest carbon finance 2021</t>
  </si>
  <si>
    <t xml:space="preserve">Cuantitativo / Informe de mercado</t>
  </si>
  <si>
    <t xml:space="preserve">Demanda (Empresas, Financieros), Oferta (Desarrolladores)</t>
  </si>
  <si>
    <t xml:space="preserve">Informe anual que cuantifica el crecimiento récord del volumen y valor del mercado voluntario de carbono forestal.</t>
  </si>
  <si>
    <t xml:space="preserve">Maher, N. M.</t>
  </si>
  <si>
    <t xml:space="preserve">Work for others but none for us: The economic and environmental inequalities of New Deal relief</t>
  </si>
  <si>
    <t xml:space="preserve">Parques urbanos e infraestructura del New Deal (CCC)</t>
  </si>
  <si>
    <t xml:space="preserve">Análisis histórico sobre las inequidades raciales y laborales en las inversiones de infraestructura de parques del New Deal.</t>
  </si>
  <si>
    <t xml:space="preserve">Matteson, Ascher &amp; Langellotto</t>
  </si>
  <si>
    <t xml:space="preserve">Bee richness and abundance in New York City urban gardens</t>
  </si>
  <si>
    <t xml:space="preserve">Comunidad científica, Oferta (Jardineros urbanos)</t>
  </si>
  <si>
    <t xml:space="preserve">Huertos comunitarios e insectos polinizadores</t>
  </si>
  <si>
    <t xml:space="preserve">Demuestra la elevada riqueza de abejas nativas albergadas en huertos comunitarios como servicio de polinizadores.</t>
  </si>
  <si>
    <t xml:space="preserve">Matzdorf &amp; Meyer</t>
  </si>
  <si>
    <t xml:space="preserve">The relevance of the ecosystem services framework for developed countries' environmental policies</t>
  </si>
  <si>
    <t xml:space="preserve">Estados Unidos / Alemania</t>
  </si>
  <si>
    <t xml:space="preserve">Políticas ambientales y conservación en países desarrollados</t>
  </si>
  <si>
    <t xml:space="preserve">Estudio comparativo sobre cómo el marco de servicios ecosistémicos se integra en políticas de países desarrollados.</t>
  </si>
  <si>
    <t xml:space="preserve">McLain et al.</t>
  </si>
  <si>
    <t xml:space="preserve">Producing edible landscapes in Seattle's urban forest</t>
  </si>
  <si>
    <t xml:space="preserve">Público general (Recolectores urbanos), Reguladores</t>
  </si>
  <si>
    <t xml:space="preserve">Estados Unidos (Seattle, WA)</t>
  </si>
  <si>
    <t xml:space="preserve">Bosque urbano comestible y huertos</t>
  </si>
  <si>
    <t xml:space="preserve">Investiga la recolección comunitaria de alimentos silvestres en parques urbanos y su valor cultural/nutricional.</t>
  </si>
  <si>
    <t xml:space="preserve">Gathering wild food in the city: Rethinking the role of foraging in urban ecosystem planning</t>
  </si>
  <si>
    <t xml:space="preserve">Público general, Reguladores/legisladores (Planificación urbana)</t>
  </si>
  <si>
    <t xml:space="preserve">Propone integrar las prácticas de recolección comunitaria no comercial en la planificación de bosques urbanos.</t>
  </si>
  <si>
    <t xml:space="preserve">McPherson, Berry &amp; van Doorn</t>
  </si>
  <si>
    <t xml:space="preserve">Performance testing to identify climate-ready trees</t>
  </si>
  <si>
    <t xml:space="preserve">Cuantitativo / Experimental</t>
  </si>
  <si>
    <t xml:space="preserve">Reguladores/legisladores (Arboristas municipales), Científicos</t>
  </si>
  <si>
    <t xml:space="preserve">Arbolado urbano resistente al estrés térmico</t>
  </si>
  <si>
    <t xml:space="preserve">Identifica especies de árboles urbanos 'preparadas para el clima' para optimizar inversiones a largo plazo.</t>
  </si>
  <si>
    <t xml:space="preserve">Ecosystems and human well-being: Synthesis report</t>
  </si>
  <si>
    <t xml:space="preserve">Reguladores/legisladores, Comunidad científica, Público</t>
  </si>
  <si>
    <t xml:space="preserve">Ecosistemas globales (Evaluación del Milenio)</t>
  </si>
  <si>
    <t xml:space="preserve">Evaluación cumbre de la ONU que formalizó la tipología de servicios ecosistémicos (aprovisionamiento, regulación, culturales).</t>
  </si>
  <si>
    <t xml:space="preserve">Miller, Klouda &amp; Fisk</t>
  </si>
  <si>
    <t xml:space="preserve">Concrete evidence: Infrastructure challenges and the COVID-19 pandemic</t>
  </si>
  <si>
    <t xml:space="preserve">Reguladores/legisladores, Demanda (Obras públicas)</t>
  </si>
  <si>
    <t xml:space="preserve">Infraestructura urbana pública y aguas pluviales</t>
  </si>
  <si>
    <t xml:space="preserve">Analiza los retos de financiamiento de infraestructura física y verde agravados por la pandemia de COVID-19.</t>
  </si>
  <si>
    <t xml:space="preserve">Miller &amp; Montalto</t>
  </si>
  <si>
    <t xml:space="preserve">Stakeholder perceptions of the ecosystem services provided by green infrastructure in NYC</t>
  </si>
  <si>
    <t xml:space="preserve">Público general (Residentes), Reguladores (NYC DEP)</t>
  </si>
  <si>
    <t xml:space="preserve">Estudia la percepción pública sobre los beneficios de infiltración, estética y valor de la infraestructura verde.</t>
  </si>
  <si>
    <t xml:space="preserve">Morgan et al.</t>
  </si>
  <si>
    <t xml:space="preserve">A state assessment of private lands wildlife conservation in the United States</t>
  </si>
  <si>
    <t xml:space="preserve">Oferta (Propietarios rurales privados), Reguladores</t>
  </si>
  <si>
    <t xml:space="preserve">Tierras privadas, bosques y hábitats silvestres</t>
  </si>
  <si>
    <t xml:space="preserve">Evaluación a nivel estatal de los programas de incentivos y servidumbres para la conservación en tierras privadas.</t>
  </si>
  <si>
    <t xml:space="preserve">Morin et al.</t>
  </si>
  <si>
    <t xml:space="preserve">The seasonal and diurnal dynamics of methane flux at a created urban wetland</t>
  </si>
  <si>
    <t xml:space="preserve">Cuantitativo / Microclimático</t>
  </si>
  <si>
    <t xml:space="preserve">Humedal urbano construido y flujos de metano</t>
  </si>
  <si>
    <t xml:space="preserve">Mide los flujos de metano (geodeservicios) en humedales artificiales evaluando su balance neto de carbono.</t>
  </si>
  <si>
    <t xml:space="preserve">Morzillo et al.</t>
  </si>
  <si>
    <t xml:space="preserve">Resident perceptions of natural resources between cities and across scales in the Pacific Northwest</t>
  </si>
  <si>
    <t xml:space="preserve">Público general (Residentes), Reguladores locales</t>
  </si>
  <si>
    <t xml:space="preserve">Estados Unidos (Portland, OR / Vancouver, WA)</t>
  </si>
  <si>
    <t xml:space="preserve">Parques urbanos y recursos naturales regionales</t>
  </si>
  <si>
    <t xml:space="preserve">Compara las percepciones de los residentes sobre recursos naturales entre ciudades de distinta escala regional.</t>
  </si>
  <si>
    <t xml:space="preserve">Muradian &amp; Gomez-Baggethun</t>
  </si>
  <si>
    <t xml:space="preserve">Beyond ecosystem services: Is it time to leave utilitarian environmentalism behind?</t>
  </si>
  <si>
    <t xml:space="preserve">Filosofía del valor utilitarista de la naturaleza</t>
  </si>
  <si>
    <t xml:space="preserve">Debate epistemológico cuestionando la mercantilización utilitarista de la naturaleza e invitando a valorar la pluralidad.</t>
  </si>
  <si>
    <t xml:space="preserve">Nagle, Echols &amp; Tamminga</t>
  </si>
  <si>
    <t xml:space="preserve">Food production on a living roof</t>
  </si>
  <si>
    <t xml:space="preserve">Oferta (Productores urbanos), Reguladores</t>
  </si>
  <si>
    <t xml:space="preserve">Techos verdes vivos y producción agrícola</t>
  </si>
  <si>
    <t xml:space="preserve">Evalúa el rendimiento agronómico e hídrico de la producción de alimentos en techos verdes intensivos.</t>
  </si>
  <si>
    <t xml:space="preserve">Nardone et al.</t>
  </si>
  <si>
    <t xml:space="preserve">Redlines and greenspace: The relationship between historical redlining and 2010 greenspace across the US</t>
  </si>
  <si>
    <t xml:space="preserve">Cuantitativo / GIS</t>
  </si>
  <si>
    <t xml:space="preserve">Público general (Poblaciones segregadas), Reguladores</t>
  </si>
  <si>
    <t xml:space="preserve">Estados Unidos (102 zonas urbanas)</t>
  </si>
  <si>
    <t xml:space="preserve">Espacios verdes urbanos y segregación histórica</t>
  </si>
  <si>
    <t xml:space="preserve">Demuestra empíricamente que la política racista de 'redlining' de 1930 explica la menor cobertura verde actual en 102 ciudades.</t>
  </si>
  <si>
    <t xml:space="preserve">Nesshöver et al.</t>
  </si>
  <si>
    <t xml:space="preserve">The science, policy and practice of nature-based solutions: An interdisciplinary perspective</t>
  </si>
  <si>
    <t xml:space="preserve">Soluciones basadas en la naturaleza (NbS)</t>
  </si>
  <si>
    <t xml:space="preserve">Revisión interdisciplinaria sobre la transición de la teoría de NbS a la práctica y gobernanza en ciudades.</t>
  </si>
  <si>
    <t xml:space="preserve">Nesbitt et al.</t>
  </si>
  <si>
    <t xml:space="preserve">The social and economic value of cultural ecosystem services provided by urban forests: A review</t>
  </si>
  <si>
    <t xml:space="preserve">Estados Unidos / Norteamérica</t>
  </si>
  <si>
    <t xml:space="preserve">Bosques urbanos y servicios culturales</t>
  </si>
  <si>
    <t xml:space="preserve">Sintetiza la evidencia sobre la valoración social y económica de los servicios culturales de bosques urbanos.</t>
  </si>
  <si>
    <t xml:space="preserve">Nisbet &amp; Schaller</t>
  </si>
  <si>
    <t xml:space="preserve">Philanthropic partnerships in the just city: Parks and schools</t>
  </si>
  <si>
    <t xml:space="preserve">Demanda (Fundaciones filantrópicas), Reguladores</t>
  </si>
  <si>
    <t xml:space="preserve">Parques urbanos y patios escolares verdes</t>
  </si>
  <si>
    <t xml:space="preserve">Analiza las donaciones filantrópicas y subvenciones privadas en la transformación de terrenos escolares en parques.</t>
  </si>
  <si>
    <t xml:space="preserve">Nordman et al.</t>
  </si>
  <si>
    <t xml:space="preserve">Benefit-cost analysis of stormwater green infrastructure practices for Grand Rapids, MI</t>
  </si>
  <si>
    <t xml:space="preserve">Cuantitativo / Costo-Beneficio</t>
  </si>
  <si>
    <t xml:space="preserve">Reguladores/legisladores (Municipalidad), Público</t>
  </si>
  <si>
    <t xml:space="preserve">Estados Unidos (Grand Rapids, MI)</t>
  </si>
  <si>
    <t xml:space="preserve">Prácticas de infraestructura verde (GSI)</t>
  </si>
  <si>
    <t xml:space="preserve">Análisis beneficio-costo que demuestra que la GSI genera un valor presente neto positivo frente al drenaje pluvial gris.</t>
  </si>
  <si>
    <t xml:space="preserve">Norman &amp; Nakhooda</t>
  </si>
  <si>
    <t xml:space="preserve">The state of REDD+ finance (CGD working paper 378)</t>
  </si>
  <si>
    <t xml:space="preserve">Cuantitativo / Financiero</t>
  </si>
  <si>
    <t xml:space="preserve">Demanda (Donantes públicos/privados), Reguladores</t>
  </si>
  <si>
    <t xml:space="preserve">Bosques tropicales y REDD+</t>
  </si>
  <si>
    <t xml:space="preserve">Cuantifica los \$8,700 millones en compromisos financieros acumulados para proyectos REDD+ a nivel global.</t>
  </si>
  <si>
    <t xml:space="preserve">Nyelele &amp; Kroll</t>
  </si>
  <si>
    <t xml:space="preserve">The equity of urban forest ecosystem services and benefits in the Bronx, NY</t>
  </si>
  <si>
    <t xml:space="preserve">Público general (Comunidades del Bronx), Reguladores</t>
  </si>
  <si>
    <t xml:space="preserve">Estados Unidos (The Bronx, NY)</t>
  </si>
  <si>
    <t xml:space="preserve">Bosque urbano y servicios de purificación de aire</t>
  </si>
  <si>
    <t xml:space="preserve">Evalúa cuantitativamente la equidad en la distribución espacial del bosque urbano y la remoción de contaminantes.</t>
  </si>
  <si>
    <t xml:space="preserve">O'Herrin &amp; Shields</t>
  </si>
  <si>
    <t xml:space="preserve">Assessing municipal forestry activity: A survey of home-rule municipalities in Texas</t>
  </si>
  <si>
    <t xml:space="preserve">Reguladores/legisladores (Municipios de Texas)</t>
  </si>
  <si>
    <t xml:space="preserve">Gestión del bosque urbano municipal</t>
  </si>
  <si>
    <t xml:space="preserve">Encuesta sobre presupuestos, personal y gasto general asignado a la silvicultura urbana en municipios de Texas.</t>
  </si>
  <si>
    <t xml:space="preserve">Ordoñez et al.</t>
  </si>
  <si>
    <t xml:space="preserve">Urban forest governance and decision-making: A systematic review of municipal managers' perspectives</t>
  </si>
  <si>
    <t xml:space="preserve">Reguladores/legisladores (Administradores municipales)</t>
  </si>
  <si>
    <t xml:space="preserve">Arbolado urbano e infraestructura forestal</t>
  </si>
  <si>
    <t xml:space="preserve">Sintetiza las perspectivas de los gestores municipales sobre las restricciones presupuestarias en silvicultura urbana.</t>
  </si>
  <si>
    <t xml:space="preserve">Park, S. K.</t>
  </si>
  <si>
    <t xml:space="preserve">Investors as regulators: Green bonds and the governance challenges of sustainable finance</t>
  </si>
  <si>
    <t xml:space="preserve">Cualitativo / Legal-Financiero</t>
  </si>
  <si>
    <t xml:space="preserve">Demanda (Sector financiero, Inversores de bonos), Reguladores</t>
  </si>
  <si>
    <t xml:space="preserve">Infraestructura ambiental y bonos verdes municipal/corporativo</t>
  </si>
  <si>
    <t xml:space="preserve">Analiza cómo los inversores de bonos verdes actúan como reguladores privados exigiendo estándares de gobernanza.</t>
  </si>
  <si>
    <t xml:space="preserve">Landscape context influences the abundance and richness of native lady beetles in urban vacant land</t>
  </si>
  <si>
    <t xml:space="preserve">Estados Unidos (Cleveland, OH)</t>
  </si>
  <si>
    <t xml:space="preserve">Lotes baldíos urbanos y biodiversidad nativa</t>
  </si>
  <si>
    <t xml:space="preserve">Evalúa el papel del contexto del paisaje en el uso de lotes baldíos como refugios de biodiversidad de coleópteros.</t>
  </si>
  <si>
    <t xml:space="preserve">Partridge &amp; Medda</t>
  </si>
  <si>
    <t xml:space="preserve">The evolution of pricing performance of green municipal bonds</t>
  </si>
  <si>
    <t xml:space="preserve">Demanda (Inversores de bonos municipales), Reguladores</t>
  </si>
  <si>
    <t xml:space="preserve">Bonos verdes municipales para infraestructura e inundaciones</t>
  </si>
  <si>
    <t xml:space="preserve">Demuestra la existencia de una prima verde ('greenium') en el mercado secundario de bonos verdes municipales en EE. UU.</t>
  </si>
  <si>
    <t xml:space="preserve">Perkins, H. A.</t>
  </si>
  <si>
    <t xml:space="preserve">Green spaces of self-interest within shared urban governance</t>
  </si>
  <si>
    <t xml:space="preserve">Estados Unidos (Milwaukee, WI)</t>
  </si>
  <si>
    <t xml:space="preserve">Espacios verdes urbanos y arbolado</t>
  </si>
  <si>
    <t xml:space="preserve">Analiza cómo la gobernanza compartida de espacios verdes puede reproducir intereses de clase e inequidades.</t>
  </si>
  <si>
    <t xml:space="preserve">Consent to neoliberal hegemony through coercive urban environmental governance</t>
  </si>
  <si>
    <t xml:space="preserve">Bosque urbano y voluntariado cívico</t>
  </si>
  <si>
    <t xml:space="preserve">Estudio crítico sobre la transferencia de costos estatales de arbolado urbano a voluntarios bajo hegemonía neoliberal.</t>
  </si>
  <si>
    <t xml:space="preserve">Perry, Krymkowski &amp; Manning</t>
  </si>
  <si>
    <t xml:space="preserve">Brokers of relevance in National Park Service urban collaborative networks</t>
  </si>
  <si>
    <t xml:space="preserve">Reguladores/legisladores (NPS), Público general (Minorías)</t>
  </si>
  <si>
    <t xml:space="preserve">Estados Unidos (Detroit, Tucson, Boston)</t>
  </si>
  <si>
    <t xml:space="preserve">Parques nacionales urbanos y redes de colaboración</t>
  </si>
  <si>
    <t xml:space="preserve">Mapea las redes colaborativas para fomentar la inclusión de minorías raciales en parques nacionales urbanos.</t>
  </si>
  <si>
    <t xml:space="preserve">Peters et al.</t>
  </si>
  <si>
    <t xml:space="preserve">Guidance for conducting systematic scoping reviews</t>
  </si>
  <si>
    <t xml:space="preserve">Guía metodológica para revisiones de alcance</t>
  </si>
  <si>
    <t xml:space="preserve">Directrices del Instituto Joanna Briggs para formular preguntas y mapear literatura en revisiones de alcance.</t>
  </si>
  <si>
    <t xml:space="preserve">Petrakis et al.</t>
  </si>
  <si>
    <t xml:space="preserve">Mapping perceived social values to support a respondent-defined restoration economy in Arizona</t>
  </si>
  <si>
    <t xml:space="preserve">Cuantitativo / GIS Social</t>
  </si>
  <si>
    <t xml:space="preserve">Público general (Residentes), Reguladores</t>
  </si>
  <si>
    <t xml:space="preserve">Estados Unidos (Arizona)</t>
  </si>
  <si>
    <t xml:space="preserve">Cuencas hídricas y restauración de zonas áridas</t>
  </si>
  <si>
    <t xml:space="preserve">Mapea valores sociales percibidos para apoyar economías de restauración financiadas comunitariamente.</t>
  </si>
  <si>
    <t xml:space="preserve">Petrovic et al.</t>
  </si>
  <si>
    <t xml:space="preserve">Environmental and social dimensions of community gardens in East Harlem</t>
  </si>
  <si>
    <t xml:space="preserve">Oferta (Jardineros comunitarios), Público general</t>
  </si>
  <si>
    <t xml:space="preserve">Estados Unidos (East Harlem, NYC)</t>
  </si>
  <si>
    <t xml:space="preserve">Huertos comunitarios urbanos</t>
  </si>
  <si>
    <t xml:space="preserve">Estudia las dimensiones de apego al lugar y resistencia comunitaria en huertos amenazados por desarrollo inmobiliario.</t>
  </si>
  <si>
    <t xml:space="preserve">Pincetl, S.</t>
  </si>
  <si>
    <t xml:space="preserve">Linking Ecology and Ethics for a Transition to the Sustainable City</t>
  </si>
  <si>
    <t xml:space="preserve">Estados Unidos (Los Angeles, CA)</t>
  </si>
  <si>
    <t xml:space="preserve">Infraestructura urbana y bosques de la ciudad</t>
  </si>
  <si>
    <t xml:space="preserve">Critica la dependencia de alianzas P3s en Los Ángeles y la pérdida de responsabilidad pública en servicios de parques.</t>
  </si>
  <si>
    <t xml:space="preserve">Prudencio &amp; Null</t>
  </si>
  <si>
    <t xml:space="preserve">Stormwater management and ecosystem services: A review</t>
  </si>
  <si>
    <t xml:space="preserve">Sistemas de gestión de aguas pluviales e infiltración</t>
  </si>
  <si>
    <t xml:space="preserve">Sintetiza la literatura sobre servicios ecosistémicos provistos por la infraestructura verde en la gestión pluvial.</t>
  </si>
  <si>
    <t xml:space="preserve">Quintas-Soriano et al.</t>
  </si>
  <si>
    <t xml:space="preserve">An interdisciplinary assessment of private conservation areas in the Western United States</t>
  </si>
  <si>
    <t xml:space="preserve">Oferta (Propietarios privados de tierras), Reguladores</t>
  </si>
  <si>
    <t xml:space="preserve">Estados Unidos (Idaho / Oeste de EE. UU.)</t>
  </si>
  <si>
    <t xml:space="preserve">Servidumbres de conservación y ranchos privados</t>
  </si>
  <si>
    <t xml:space="preserve">Evaluación interdisciplinaria sobre la efectividad de las servidumbres de conservación privadas en el oeste de EE. UU.</t>
  </si>
  <si>
    <t xml:space="preserve">Rangarajan et al.</t>
  </si>
  <si>
    <t xml:space="preserve">Measuring the flow: Green infrastructure grows in Brooklyn</t>
  </si>
  <si>
    <t xml:space="preserve">Reguladores/legisladores (DEP), Público general</t>
  </si>
  <si>
    <t xml:space="preserve">Bioswales y jardines de infiltración en calles</t>
  </si>
  <si>
    <t xml:space="preserve">Monitorea cuantitativamente el rendimiento hidrológico y la retención de agua de lluvia en bioswales urbanos.</t>
  </si>
  <si>
    <t xml:space="preserve">Rodriguez, Ramirez &amp; Rodriguez</t>
  </si>
  <si>
    <t xml:space="preserve">The city of Phoenix Latino Institute: Bridging the gap between community needs and services</t>
  </si>
  <si>
    <t xml:space="preserve">Público general (Comunidad latina), Reguladores locales</t>
  </si>
  <si>
    <t xml:space="preserve">Parques urbanos y centros comunitarios</t>
  </si>
  <si>
    <t xml:space="preserve">Estudia alianzas P3s y tarifas de patrocinio para cerrar la brecha de acceso a parques en comunidades hispanas.</t>
  </si>
  <si>
    <t xml:space="preserve">Roman et al.</t>
  </si>
  <si>
    <t xml:space="preserve">Beyond 'trees are good': Disservices, management costs, and trade-offs in urban forestry</t>
  </si>
  <si>
    <t xml:space="preserve">Comunidad científica, Reguladores (Arboristas)</t>
  </si>
  <si>
    <t xml:space="preserve">Bosque urbano y arbolado de calles</t>
  </si>
  <si>
    <t xml:space="preserve">Examina críticamente los geodeservicios, costos de mantenimiento y compensaciones en la gestión del bosque urbano.</t>
  </si>
  <si>
    <t xml:space="preserve">Ryan et al.</t>
  </si>
  <si>
    <t xml:space="preserve">Engaging minority communities in local national park units through culturally competent focus groups</t>
  </si>
  <si>
    <t xml:space="preserve">Público general (Minorías hispanas), Reguladores (NPS)</t>
  </si>
  <si>
    <t xml:space="preserve">Estados Unidos (St. Augustine, FL)</t>
  </si>
  <si>
    <t xml:space="preserve">Parques urbanos nacionales</t>
  </si>
  <si>
    <t xml:space="preserve">Analiza estrategias culturalmente competentes para incrementar el uso y apoyo a parques urbanos por minorías.</t>
  </si>
  <si>
    <t xml:space="preserve">Salas, W.</t>
  </si>
  <si>
    <t xml:space="preserve">Developing an ecological restoration management plan: John Heinz National Wildlife Refuge</t>
  </si>
  <si>
    <t xml:space="preserve">Reguladores/legisladores (USFWS), Público general</t>
  </si>
  <si>
    <t xml:space="preserve">Estados Unidos (Philadelphia, PA)</t>
  </si>
  <si>
    <t xml:space="preserve">Refugio de vida silvestre urbano y humedales</t>
  </si>
  <si>
    <t xml:space="preserve">Plan de gestión para la restauración de humedales urbanos financiado mediante subvenciones NFWF y fondos federales.</t>
  </si>
  <si>
    <t xml:space="preserve">Salvo et al.</t>
  </si>
  <si>
    <t xml:space="preserve">Impacts of a temporary urban pop-up park on physical activity and community outcomes</t>
  </si>
  <si>
    <t xml:space="preserve">Estados Unidos (Los Altos, CA)</t>
  </si>
  <si>
    <t xml:space="preserve">Parques emergentes (pop-up parks) y plazas</t>
  </si>
  <si>
    <t xml:space="preserve">Mide los efectos positivos en actividad física y capital social de parques temporales activados con bajo presupuesto.</t>
  </si>
  <si>
    <t xml:space="preserve">Payments for ecosystem services: Past, present and future</t>
  </si>
  <si>
    <t xml:space="preserve">Revisión histórica e institucional de los esquemas de PES a nivel global y sus trayectorias regulatorias.</t>
  </si>
  <si>
    <t xml:space="preserve">Sander &amp; Zhao</t>
  </si>
  <si>
    <t xml:space="preserve">Urban green and blue: Who values what and where?</t>
  </si>
  <si>
    <t xml:space="preserve">Cuantitativo / Precios hedónicos</t>
  </si>
  <si>
    <t xml:space="preserve">Estados Unidos (Dakota County, MN)</t>
  </si>
  <si>
    <t xml:space="preserve">Parques urbanos, bosques y lagos</t>
  </si>
  <si>
    <t xml:space="preserve">Modelo hedónico que demuestra las diferencias en la valoración implícita de espacios verdes vs. cuerpos de agua.</t>
  </si>
  <si>
    <t xml:space="preserve">Sanders &amp; Mullins</t>
  </si>
  <si>
    <t xml:space="preserve">Tales from an urban multipurpose trail: One and a half miles of wellness</t>
  </si>
  <si>
    <t xml:space="preserve">Público general (Usuarios de senderos), Reguladores</t>
  </si>
  <si>
    <t xml:space="preserve">Estados Unidos (Youngstown, OH)</t>
  </si>
  <si>
    <t xml:space="preserve">Senderos urbanos multipropósito y vías verdes</t>
  </si>
  <si>
    <t xml:space="preserve">Evalúa el impacto en actividad física y bienestar corporal generado por la inversión en senderos urbanos.</t>
  </si>
  <si>
    <t xml:space="preserve">Schilling &amp; Logan</t>
  </si>
  <si>
    <t xml:space="preserve">Greening the rust belt: A green infrastructure model for right-sizing America's shrinking cities</t>
  </si>
  <si>
    <t xml:space="preserve">Cualitativo / Planificación</t>
  </si>
  <si>
    <t xml:space="preserve">Reguladores/legisladores, Demanda (Bancos de tierras)</t>
  </si>
  <si>
    <t xml:space="preserve">Estados Unidos (Cleveland, PA, Rust Belt)</t>
  </si>
  <si>
    <t xml:space="preserve">Lotes baldíos postindustriales e infraestructura verde</t>
  </si>
  <si>
    <t xml:space="preserve">Propone un modelo de infraestructura verde para reutilizar lotes baldíos en ciudades postindustriales en decrecimiento.</t>
  </si>
  <si>
    <t xml:space="preserve">Schröter et al.</t>
  </si>
  <si>
    <t xml:space="preserve">Ecosystem services as a contested concept: A synthesis of critique and counter-arguments</t>
  </si>
  <si>
    <t xml:space="preserve">Debates conceptuales sobre servicios ecosistémicos</t>
  </si>
  <si>
    <t xml:space="preserve">Sintetiza las críticas principales (neoliberalización, instrumentalización) y los contra-argumentos del enfoque de servicios.</t>
  </si>
  <si>
    <t xml:space="preserve">Selman &amp; Schneider</t>
  </si>
  <si>
    <t xml:space="preserve">The impact of life-cycle cost management on portfolio strategies</t>
  </si>
  <si>
    <t xml:space="preserve">Cualitativo / Financiero</t>
  </si>
  <si>
    <t xml:space="preserve">Reguladores/legisladores (Gestores de activos municipales)</t>
  </si>
  <si>
    <t xml:space="preserve">Parques e infraestructura física de recreación</t>
  </si>
  <si>
    <t xml:space="preserve">Demuestra cómo el análisis de costo de ciclo de vida ayuda a optimizar presupuestos y evitar el mantenimiento diferido.</t>
  </si>
  <si>
    <t xml:space="preserve">Shuster et al.</t>
  </si>
  <si>
    <t xml:space="preserve">Residential demolition and its impact on vacant lot hydrology in Cleveland, OH</t>
  </si>
  <si>
    <t xml:space="preserve">Reguladores/legisladores (Municipalidad / EPA)</t>
  </si>
  <si>
    <t xml:space="preserve">Lotes vacíos tras demolición y volumen de escorrentía</t>
  </si>
  <si>
    <t xml:space="preserve">Evalúa hidrológicamente cómo la demolición de viviendas crea lotes vacíos que pueden funcionar como GSI para infiltración.</t>
  </si>
  <si>
    <t xml:space="preserve">Singla, Shumberger &amp; Swindell</t>
  </si>
  <si>
    <t xml:space="preserve">Paying for infrastructure in the post-recession era: Exploring alternative funding tools</t>
  </si>
  <si>
    <t xml:space="preserve">Infraestructura ambiental, pluvial y parques</t>
  </si>
  <si>
    <t xml:space="preserve">Explora instrumentos de financiamiento alternativo (TIFs, tarifas in-lieu, EIBs, bonos verdes) para ciudades tras la recesión.</t>
  </si>
  <si>
    <t xml:space="preserve">Sleeter, R.</t>
  </si>
  <si>
    <t xml:space="preserve">Late 20th century land change in the Central California Valley ecoregion</t>
  </si>
  <si>
    <t xml:space="preserve">Estados Unidos (Central Valley, CA)</t>
  </si>
  <si>
    <t xml:space="preserve">Tierras agrícolas y expansión urbana</t>
  </si>
  <si>
    <t xml:space="preserve">Cuantifica los cambios en el uso del suelo de 1973 a 2000 y la pérdida de tierras agrícolas por urbanización.</t>
  </si>
  <si>
    <t xml:space="preserve">Smetana &amp; Crittenden</t>
  </si>
  <si>
    <t xml:space="preserve">Sustainable plants in urban parks: A life cycle analysis of traditional and alternative lawns in Georgia</t>
  </si>
  <si>
    <t xml:space="preserve">Cuantitativo / LCA</t>
  </si>
  <si>
    <t xml:space="preserve">Reguladores/legisladores (Departamentos de parques), Científicos</t>
  </si>
  <si>
    <t xml:space="preserve">Estados Unidos (Georgia)</t>
  </si>
  <si>
    <t xml:space="preserve">Céspedes urbanos y plantas nativas en parques</t>
  </si>
  <si>
    <t xml:space="preserve">Análisis de ciclo de vida (LCA) que demuestra el menor impacto hídrico y financiero de céspedes con flora nativa.</t>
  </si>
  <si>
    <t xml:space="preserve">Thompson, B. S. (2023)</t>
  </si>
  <si>
    <t xml:space="preserve">Paying for nature-based solutions: A review of funding and financing mechanisms</t>
  </si>
  <si>
    <t xml:space="preserve">Cualitativo / Scoping Review</t>
  </si>
  <si>
    <t xml:space="preserve">Reguladores/legisladores, Demanda (Financieros, Empresas), Oferta, Científicos</t>
  </si>
  <si>
    <t xml:space="preserve">Estados Unidos (332 artículos revisados)</t>
  </si>
  <si>
    <t xml:space="preserve">Parques, espacios abiertos, huertos, senderos, bosques urbanos, humedales e infraestructura verde (GI)</t>
  </si>
  <si>
    <t xml:space="preserve">Revisión de alcance hito que sintetiza 20 años de literatura (332 artículos) sobre mecanismos de pago, financiamiento y equidad social en NbS.</t>
  </si>
  <si>
    <t xml:space="preserve">Methodological assessment of the diverse values and valuation of nature of IPBES</t>
  </si>
  <si>
    <t xml:space="preserve">Reguladores/legisladores, Comunidad científica, Público general, Oferta (Comunidades locales, IPLC)</t>
  </si>
  <si>
    <t xml:space="preserve">Diversos ecosistemas terrestres, acuáticos y costeros</t>
  </si>
  <si>
    <t xml:space="preserve">Evaluación metodológica de IPBES sobre los múltiples valores de la naturaleza para sustentar políticas ambientales.</t>
  </si>
  <si>
    <t xml:space="preserve">ISEAL Alliance</t>
  </si>
  <si>
    <t xml:space="preserve">Joint landscape position papers (2022/2023)</t>
  </si>
  <si>
    <t xml:space="preserve">Demanda (Empresas, Inversores), Oferta (Agricultores, Silvicultores), Reguladores/legisladores</t>
  </si>
  <si>
    <t xml:space="preserve">Paisajes agrícolas y forestales bajo gestión sostenible</t>
  </si>
  <si>
    <t xml:space="preserve">Documentos de posición conjunta sobre la integración de estándares de sostenibilidad a escala de paisaje.</t>
  </si>
  <si>
    <t xml:space="preserve">Biodiversity Offsets Issues Brief</t>
  </si>
  <si>
    <t xml:space="preserve">Ecosistemas terrestres y acuáticos afectados por desarrollo</t>
  </si>
  <si>
    <t xml:space="preserve">Resumen de políticas de la UICN estableciendo los principios para compensaciones de biodiversidad de alta integridad.</t>
  </si>
  <si>
    <t xml:space="preserve">Katic, P. G., Cerretelli, S., Haggar, J., Santika, T. &amp; Walsh, C.</t>
  </si>
  <si>
    <t xml:space="preserve">Mainstreaming biodiversity in business decisions: Taking stock of tools and gaps</t>
  </si>
  <si>
    <t xml:space="preserve">Demanda (Empresas, Sector financiero), Comunidad científica</t>
  </si>
  <si>
    <t xml:space="preserve">Ecosistemas globales integrados en carteras corporativas</t>
  </si>
  <si>
    <t xml:space="preserve">Revisión de herramientas e indicadores para integrar la biodiversidad en decisiones empresariales e identificar vacíos.</t>
  </si>
  <si>
    <t xml:space="preserve">Principles for nature-positive measurability</t>
  </si>
  <si>
    <t xml:space="preserve">Demanda (Empresas, Sector financiero), Reguladores/legisladores, Científicos</t>
  </si>
  <si>
    <t xml:space="preserve">Ecosistemas globales bajo metas de restauración</t>
  </si>
  <si>
    <t xml:space="preserve">Define los principios para medir contribuciones corporativas hacia el objetivo global 'Nature Positive' a 2030.</t>
  </si>
  <si>
    <t xml:space="preserve">Sochi, K., &amp; Kiesecker, J.</t>
  </si>
  <si>
    <t xml:space="preserve">Optimizing regulatory requirements to aid in the implementation of compensatory mitigation</t>
  </si>
  <si>
    <t xml:space="preserve">Hábitats y reservas bajo mitigación compensatoria</t>
  </si>
  <si>
    <t xml:space="preserve">Modela la optimización de requisitos regulatorios para mejorar la eficacia ecológica y financiera de la mitigación compensatoria.</t>
  </si>
  <si>
    <t xml:space="preserve">Government of Australia</t>
  </si>
  <si>
    <t xml:space="preserve">Nature Repair Market Act 2023 (Cth)</t>
  </si>
  <si>
    <t xml:space="preserve">Cualitativo / Ley</t>
  </si>
  <si>
    <t xml:space="preserve">Reguladores/legisladores, Oferta (Propietarios, IPLC), Demanda</t>
  </si>
  <si>
    <t xml:space="preserve">Bosques, humedales y tierras agrícolas australianas</t>
  </si>
  <si>
    <t xml:space="preserve">Ley federal australiana que crea el primer mercado nacional regulado de certificados de reparación de la naturaleza.</t>
  </si>
  <si>
    <t xml:space="preserve">UK DEFRA</t>
  </si>
  <si>
    <t xml:space="preserve">Biodiversity Net Gain Statutory Framework &amp; Strategic Certificates</t>
  </si>
  <si>
    <t xml:space="preserve">Reguladores/legisladores (UK DEFRA), Demanda (Desarrolladores), Oferta</t>
  </si>
  <si>
    <t xml:space="preserve">Hábitats naturales y urbanos bajo desarrollo</t>
  </si>
  <si>
    <t xml:space="preserve">Regulación del Reino Unido que exige una ganancia neta del 10% en biodiversidad e introduce certificados estratégicos.</t>
  </si>
  <si>
    <t xml:space="preserve">UNCBD / COP15</t>
  </si>
  <si>
    <t xml:space="preserve">Kunming-Montreal Global Biodiversity Framework (GBF-KM)</t>
  </si>
  <si>
    <t xml:space="preserve">Cualitativo / Tratado</t>
  </si>
  <si>
    <t xml:space="preserve">Reguladores/legisladores (196 países), Demanda, Oferta, Público general</t>
  </si>
  <si>
    <t xml:space="preserve">Ecosistemas planetarios (Metas 30x30, Restauración y Financiamiento)</t>
  </si>
  <si>
    <t xml:space="preserve">Acuerdo internacional marco que establece las 23 metas globales a 2030 promoviendo mecanismos financieros innovadores.</t>
  </si>
  <si>
    <t xml:space="preserve">UN Convention on Biological Diversity (CBD COP15)</t>
  </si>
  <si>
    <t xml:space="preserve">Cualitativo / Acuerdo Internacional</t>
  </si>
  <si>
    <t xml:space="preserve">Reguladores/legisladores (196 países), Demanda, Oferta (IPLC, Agricultores, Silvicultores), Público general</t>
  </si>
  <si>
    <t xml:space="preserve">Ecosistemas terrestres, de agua dulce, costeros y marinos del planeta</t>
  </si>
  <si>
    <t xml:space="preserve">Acuerdo internacional que fija la Meta 2 (restaurar 30% de ecosistemas degradados) y la Meta 19 (movilizar $200.000M anuales promoviendo esquemas como biocréditos).</t>
  </si>
  <si>
    <t xml:space="preserve">TNC Policy on Biodiversity Credits: Concept for Strategic Biodiversity Certificates</t>
  </si>
  <si>
    <t xml:space="preserve">Cualitativo / Política</t>
  </si>
  <si>
    <t xml:space="preserve">Reguladores/legisladores, Demanda (Empresas), Oferta (IPLC, Gobiernos subnacionales)</t>
  </si>
  <si>
    <t xml:space="preserve">Global / Colombia / Mongolia / EE. UU.</t>
  </si>
  <si>
    <t xml:space="preserve">Ecosistemas terrestres, acuáticos y costeros</t>
  </si>
  <si>
    <t xml:space="preserve">Posicionamiento oficial de TNC respaldando los Certificados Estratégicos de Biodiversidad regulados vinculados a Metas Nacionales del CDB.</t>
  </si>
  <si>
    <t xml:space="preserve">COP15: historic global deal for nature and people</t>
  </si>
  <si>
    <t xml:space="preserve">Ecosistemas globales y marco KM-GBF</t>
  </si>
  <si>
    <t xml:space="preserve">Acuerdo marco histórico para detener y revertir la pérdida de biodiversidad hacia 2030.</t>
  </si>
  <si>
    <t xml:space="preserve">TNFD Adopters announced ahead of COP30</t>
  </si>
  <si>
    <t xml:space="preserve">Anuncio oficial de más de 730 organizaciones adoptantes del marco de divulgación TNFD ($22T AUM).</t>
  </si>
  <si>
    <t xml:space="preserve">World Wildlife Fund (WWF)</t>
  </si>
  <si>
    <t xml:space="preserve">Living Planet Report - A System in Peril</t>
  </si>
  <si>
    <t xml:space="preserve">Ecosistemas terrestres, marinos y dulceacuícolas</t>
  </si>
  <si>
    <t xml:space="preserve">Informa la declinación promedio del 73% en las poblaciones de fauna silvestre global desde 1970.</t>
  </si>
  <si>
    <t xml:space="preserve">New Nature Economy Report II: The Future of Nature and Business</t>
  </si>
  <si>
    <t xml:space="preserve">Sistemas socioecológicos globales</t>
  </si>
  <si>
    <t xml:space="preserve">Estima la oportunidad de $10.1T en valor económico y 395 millones de empleos mediante la transición nature-positive.</t>
  </si>
  <si>
    <t xml:space="preserve">Demanda (Empresas, Inversores), Reguladores</t>
  </si>
  <si>
    <t xml:space="preserve">Sistemas alimentarios, infraestructura y energía</t>
  </si>
  <si>
    <t xml:space="preserve">Identifica oportunidades de inversión de $3.6T en alimentos, $3T en infraestructura y $3.5T en energía.</t>
  </si>
  <si>
    <t xml:space="preserve">State of Finance for Nature: The Big Nature Turnaround</t>
  </si>
  <si>
    <t xml:space="preserve">Flujos financieros globales y biosfera</t>
  </si>
  <si>
    <t xml:space="preserve">Cuantifica los $7 billones en flujos financieros negativos hacia la naturaleza frente a $208B positivos.</t>
  </si>
  <si>
    <t xml:space="preserve">Deutz, A., et al. (Paulson Institute / TNC / Cornell)</t>
  </si>
  <si>
    <t xml:space="preserve">Estudio hito que cuantifica la brecha de financiamiento de la biodiversidad en $598B-$824B/año.</t>
  </si>
  <si>
    <t xml:space="preserve">From Policy to Practice: Actionable Recommendations for a Commercial Bioeconomy</t>
  </si>
  <si>
    <t xml:space="preserve">Reguladores/legisladores, Demanda (Empresas bioeconomía)</t>
  </si>
  <si>
    <t xml:space="preserve">Recursos biológicos renovables</t>
  </si>
  <si>
    <t xml:space="preserve">Recomendaciones operativas para estructurar la bioeconomía comercial en 50 países.</t>
  </si>
  <si>
    <t xml:space="preserve">Nature Positive Initiative (NPI)</t>
  </si>
  <si>
    <t xml:space="preserve">The Definition of Nature Positive</t>
  </si>
  <si>
    <t xml:space="preserve">Comunidad científica, Reguladores, Demanda (Empresas)</t>
  </si>
  <si>
    <t xml:space="preserve">Establece la definición global de Nature-Positive: detener la pérdida a 2030 y recuperación a 2050.</t>
  </si>
  <si>
    <t xml:space="preserve">IFRS S1 General Requirements for Disclosure of Sustainability-related Financial Information</t>
  </si>
  <si>
    <t xml:space="preserve">Información financiera corporativa</t>
  </si>
  <si>
    <t xml:space="preserve">Estándar global para la divulgación de riesgos y oportunidades de sostenibilidad e impacto financiero.</t>
  </si>
  <si>
    <t xml:space="preserve">Rhein, M., et al. (IPCC AR5)</t>
  </si>
  <si>
    <t xml:space="preserve">2013</t>
  </si>
  <si>
    <t xml:space="preserve">Observations: Ocean. In: Climate Change 2013: The Physical Science Basis</t>
  </si>
  <si>
    <t xml:space="preserve">Océanos globales y sumideros de carbono</t>
  </si>
  <si>
    <t xml:space="preserve">Muestra que los océanos absorben el 30% de las emisiones de CO2 y el 90% del exceso de calor acumulado.</t>
  </si>
  <si>
    <t xml:space="preserve">CSIRO Australia</t>
  </si>
  <si>
    <t xml:space="preserve">Forests absorb one third of fossil fuel emissions, study finds</t>
  </si>
  <si>
    <t xml:space="preserve">Bosques globales (2.4 GtC/año)</t>
  </si>
  <si>
    <t xml:space="preserve">Demuestra que los bosques absorben aproximadamente un tercio de las emisiones anuales de combustibles fósiles.</t>
  </si>
  <si>
    <t xml:space="preserve">Finance Solutions for Nature: Pathways to Returns and Outcomes</t>
  </si>
  <si>
    <t xml:space="preserve">Capital natural y mercados financieros</t>
  </si>
  <si>
    <t xml:space="preserve">Presenta soluciones y estructuras financieras para generar retornos alineados con resultados positivos para la naturaleza.</t>
  </si>
  <si>
    <t xml:space="preserve">Where nature is in peril, these industries are too</t>
  </si>
  <si>
    <t xml:space="preserve">Cadenas de valor globales (55% PIB)</t>
  </si>
  <si>
    <t xml:space="preserve">Cuantifica que el 55% del PIB mundial ($44 billones) depende moderada o altamente de la naturaleza.</t>
  </si>
  <si>
    <t xml:space="preserve">Mercados financieros y flujos de biodiversidad</t>
  </si>
  <si>
    <t xml:space="preserve">Resumen de mercado presentado en COP16 sobre emisión de bonos etiquetados y biocréditos voluntarias.</t>
  </si>
  <si>
    <t xml:space="preserve">The Economic Case for Nature</t>
  </si>
  <si>
    <t xml:space="preserve">Ecosistemas globales (polinización, pesquerías, madera)</t>
  </si>
  <si>
    <t xml:space="preserve">Modela el impacto del colapso de servicios ecosistémicos, estimando pérdidas de $2.7 billones/año en el PIB global a 2030.</t>
  </si>
  <si>
    <t xml:space="preserve">Mythbusters: Uncovering Nature’s Economic Value</t>
  </si>
  <si>
    <t xml:space="preserve">Capital natural e indicadores del PIB</t>
  </si>
  <si>
    <t xml:space="preserve">Desmitifica supuestos económicos sobre la conservación demostrando los co-beneficios del capital natural.</t>
  </si>
  <si>
    <t xml:space="preserve">World Bank: Economy faces huge losses if we fail to protect nature</t>
  </si>
  <si>
    <t xml:space="preserve">Reguladores/legisladores, Demanda (Empresas), Público</t>
  </si>
  <si>
    <t xml:space="preserve">Economía global y servicios ecosistémicos</t>
  </si>
  <si>
    <t xml:space="preserve">Analiza las pérdidas macroeconómicas acumuladas de no invertir en la conservación activa de los ecosistemas.</t>
  </si>
  <si>
    <t xml:space="preserve">Biodiversity loss: Business implications and responses</t>
  </si>
  <si>
    <t xml:space="preserve">Ecosistemas globales ($216T-$260T valor intrínseco)</t>
  </si>
  <si>
    <t xml:space="preserve">Estima el valor intrínseco anual de los servicios ecosistémicos en el doble del PIB mundial.</t>
  </si>
  <si>
    <t xml:space="preserve">Integrity at the forefront as biodiversity credit markets grow</t>
  </si>
  <si>
    <t xml:space="preserve">Demanda (Empresas, Financieros), Certificadores</t>
  </si>
  <si>
    <t xml:space="preserve">Mercado voluntario de créditos de biodiversidad</t>
  </si>
  <si>
    <t xml:space="preserve">Analiza el desarrollo inicial e integridad de los mercados de créditos de biodiversidad a nivel internacional.</t>
  </si>
  <si>
    <t xml:space="preserve">Biodiversity markets: Reviewing 2024</t>
  </si>
  <si>
    <t xml:space="preserve">Demanda (Inversores, Empresas), Certificadores</t>
  </si>
  <si>
    <t xml:space="preserve">Transacciones globales de biocréditos</t>
  </si>
  <si>
    <t xml:space="preserve">Revisa las transacciones globales de biocréditos estimando un volumen cercano a $10M impulsado por grandes compras.</t>
  </si>
  <si>
    <t xml:space="preserve">GOV.UK (DEFRA)</t>
  </si>
  <si>
    <t xml:space="preserve">Biodiversity net gain statutory credits: annual report 2024 to 2025</t>
  </si>
  <si>
    <t xml:space="preserve">Reguladores/legisladores (UK DEFRA), Demanda (Desarrolladores)</t>
  </si>
  <si>
    <t xml:space="preserve">Hábitats en desarrollo urbano y rural</t>
  </si>
  <si>
    <t xml:space="preserve">Informe oficial anual sobre la venta de créditos estatutarios del esquema obligatorio BNG de Inglaterra.</t>
  </si>
  <si>
    <t xml:space="preserve">Labeled Sustainable Bonds: Market Update - February 2025</t>
  </si>
  <si>
    <t xml:space="preserve">Demanda (Sector financiero, Emisores), Reguladores</t>
  </si>
  <si>
    <t xml:space="preserve">Mercado de bonos verdes, sociales y sostenibles</t>
  </si>
  <si>
    <t xml:space="preserve">Muestra que los bonos verdes representan el 57% de las emisiones anuales sostenibles acumulando $6.9T.</t>
  </si>
  <si>
    <t xml:space="preserve">2024 Impact Report (NatureVest)</t>
  </si>
  <si>
    <t xml:space="preserve">Oferta (Gestores de áreas protegidas), Inversores</t>
  </si>
  <si>
    <t xml:space="preserve">Bosques, cuencas y tierras protegidas (37.5M acres)</t>
  </si>
  <si>
    <t xml:space="preserve">Reporta la protección permanente de 153.635 acres y la gestión sostenible de 37,5 millones de acres vía NatureVest.</t>
  </si>
  <si>
    <t xml:space="preserve">Impact Hub Vienna / WWF</t>
  </si>
  <si>
    <t xml:space="preserve">Winners of the Innovative Nature Jury-Event! (Innovate4Nature)</t>
  </si>
  <si>
    <t xml:space="preserve">Oferta (Startups, Emprendedores), Demanda</t>
  </si>
  <si>
    <t xml:space="preserve">Europa / Austria</t>
  </si>
  <si>
    <t xml:space="preserve">Innovaciones de biodiversidad</t>
  </si>
  <si>
    <t xml:space="preserve">Aceleradora e iniciativa de apoyo para startups nature-positive en Europa.</t>
  </si>
  <si>
    <t xml:space="preserve">Ninety One / The Earthshot Prize</t>
  </si>
  <si>
    <t xml:space="preserve">OneNinety One Accelerator in support of The Earthshot Prize</t>
  </si>
  <si>
    <t xml:space="preserve">Demanda (Inversores de impacto), Oferta (Innovadores)</t>
  </si>
  <si>
    <t xml:space="preserve">Innovaciones ambientales globales</t>
  </si>
  <si>
    <t xml:space="preserve">Aceleradora financiera para escalar soluciones galardonadas por The Earthshot Prize.</t>
  </si>
  <si>
    <t xml:space="preserve">Garnett, S. T., et al.</t>
  </si>
  <si>
    <t xml:space="preserve">A spatial overview of the global importance of Indigenous lands for conservation</t>
  </si>
  <si>
    <t xml:space="preserve">Global (87 países)</t>
  </si>
  <si>
    <t xml:space="preserve">Territorios indígenas y áreas ecológicamente intactas (38M km2)</t>
  </si>
  <si>
    <t xml:space="preserve">Mapea espacialmente que los Pueblos Indígenas gestionan 38 millones de km2 (40% de las áreas protegidas del mundo).</t>
  </si>
  <si>
    <t xml:space="preserve">Figueroa, V. (CIVICUS Lens)</t>
  </si>
  <si>
    <t xml:space="preserve">COP16: 'For the first time, a UN environmental convention formally recognises Indigenous traditional knowledge'</t>
  </si>
  <si>
    <t xml:space="preserve">Oferta (IPLC), Reguladores/legisladores (CDB)</t>
  </si>
  <si>
    <t xml:space="preserve">Global / Colombia (Cali)</t>
  </si>
  <si>
    <t xml:space="preserve">Conocimiento tradicional e información secuencial digital (DSI)</t>
  </si>
  <si>
    <t xml:space="preserve">Entrevista sobre el acuerdo histórico de COP16 que creó el Fondo de Cali para el reparto de beneficios del DSI con IPLCs.</t>
  </si>
  <si>
    <t xml:space="preserve">Karonhiowanen, R. (Indigenous Climate Hub)</t>
  </si>
  <si>
    <t xml:space="preserve">Renewable Energy Projects in Indigenous Communities: Balancing Tradition and Innovation</t>
  </si>
  <si>
    <t xml:space="preserve">Oferta (Comunidades Indígenas), Demanda (Desarrolladores)</t>
  </si>
  <si>
    <t xml:space="preserve">Tierras comunales e infraestructura renovable</t>
  </si>
  <si>
    <t xml:space="preserve">Examina la integración de cosmovisiones e iniciativas comunitarias en proyectos energéticos sostenibles.</t>
  </si>
  <si>
    <t xml:space="preserve">Pervan, J. (WBCSD)</t>
  </si>
  <si>
    <t xml:space="preserve">CBD COP 16 signals a growing momentum towards integrating biodiversity considerations</t>
  </si>
  <si>
    <t xml:space="preserve">Demanda (Empresas WBCSD), Reguladores</t>
  </si>
  <si>
    <t xml:space="preserve">Políticas corporativas de biodiversidad</t>
  </si>
  <si>
    <t xml:space="preserve">Resumen de compromisos de COP16 con la participación de 44 países con NBSAPs y 119 con metas nacionales.</t>
  </si>
  <si>
    <t xml:space="preserve">Ekstrom, J., et al. (The Biodiversity Consultancy)</t>
  </si>
  <si>
    <t xml:space="preserve">A cross sector guide for implementing the Mitigation Hierarchy</t>
  </si>
  <si>
    <t xml:space="preserve">Guía intersectorial de mitigación</t>
  </si>
  <si>
    <t xml:space="preserve">Guía estándar para la aplicación rigurosa de la jerarquía de mitigación (Evitar, Reducir, Restaurar, Compensar).</t>
  </si>
  <si>
    <t xml:space="preserve">The Global Risks Report 2025</t>
  </si>
  <si>
    <t xml:space="preserve">Reguladores/legisladores, Demanda (Líderes globales), Público</t>
  </si>
  <si>
    <t xml:space="preserve">Riesgos ambientales y socioeconómicos</t>
  </si>
  <si>
    <t xml:space="preserve">Identifica que cuatro de los cinco principales riesgos globales a 10 años están directamente ligados al medio ambiente.</t>
  </si>
  <si>
    <t xml:space="preserve">Díaz, S., Settele, J., Brondízio, E. S., et al. (IPBES)</t>
  </si>
  <si>
    <t xml:space="preserve">Global assessment report on biodiversity and ecosystem services of IPBES</t>
  </si>
  <si>
    <t xml:space="preserve">Reguladores/legisladores, Comunidad científica, Público, Demanda</t>
  </si>
  <si>
    <t xml:space="preserve">Biosfera global (transformación del 75% terrestre y 66% marino)</t>
  </si>
  <si>
    <t xml:space="preserve">Evaluación global de IPBES evidenciando que 1 millón de especies están en riesgo por cambios en el uso del suelo.</t>
  </si>
  <si>
    <t xml:space="preserve">World Resources Institute (WRI)</t>
  </si>
  <si>
    <t xml:space="preserve">Reguladores/legisladores, Oferta (Agricultores), Demanda</t>
  </si>
  <si>
    <t xml:space="preserve">Tierras agrícolas y bosques degradados</t>
  </si>
  <si>
    <t xml:space="preserve">Demuestra que cada dólar invertido en restauración de tierras genera hasta $30 en retornos económicos e hídricos.</t>
  </si>
  <si>
    <t xml:space="preserve">The Growing Role of Nature-Related Business in the UK</t>
  </si>
  <si>
    <t xml:space="preserve">Demanda (Empresas del Reino Unido), Reguladores</t>
  </si>
  <si>
    <t xml:space="preserve">Servicios de conservación y restauración ($3B ingresos)</t>
  </si>
  <si>
    <t xml:space="preserve">Estudio de BNEF estimando que 900 empresas británicas generaron $3B en ingresos y 21.000 empleos nature-related.</t>
  </si>
  <si>
    <t xml:space="preserve">Trim, I. &amp; Jones, A.</t>
  </si>
  <si>
    <t xml:space="preserve">Identifying barriers and drivers that affect company actions on biodiversity</t>
  </si>
  <si>
    <t xml:space="preserve">Identifica los catalizadores sociales y regulatorios que mueven a las empresas de 'hacer menos daño' a 'nature-positive'.</t>
  </si>
  <si>
    <t xml:space="preserve">Agusto and Co.’s Market Intelligence</t>
  </si>
  <si>
    <t xml:space="preserve">Scarcity to Sustainability: Green Bonds as a Panacea to Kenya’s Water and Sanitation Challenges</t>
  </si>
  <si>
    <t xml:space="preserve">Cuencas hídricas y servicios de agua urbanos/rurales</t>
  </si>
  <si>
    <t xml:space="preserve">Analiza el uso de bonos verdes para financiar infraestructura de agua y conservación de cuencas en Kenia.</t>
  </si>
  <si>
    <t xml:space="preserve">Downforce Technologies</t>
  </si>
  <si>
    <t xml:space="preserve">From field to the cloud: How AI is helping regenerative agriculture to grow</t>
  </si>
  <si>
    <t xml:space="preserve">Oferta (Agricultores), Demanda (Agtech, Inversores)</t>
  </si>
  <si>
    <t xml:space="preserve">Suelos agrícolas y medición de carbono</t>
  </si>
  <si>
    <t xml:space="preserve">Presenta el uso de inteligencia artificial para monitorear el carbono orgánico del suelo y respaldar la agricultura regenerativa.</t>
  </si>
  <si>
    <t xml:space="preserve">Promoting the Transition to More Sustainable Food Systems to Support Climate and Biodiversity Goals</t>
  </si>
  <si>
    <t xml:space="preserve">Reguladores/legisladores, Oferta, Demanda (Cadena alimentaria)</t>
  </si>
  <si>
    <t xml:space="preserve">Global / Madagascar</t>
  </si>
  <si>
    <t xml:space="preserve">Sistemas agroalimentarios y bosques tropicales</t>
  </si>
  <si>
    <t xml:space="preserve">Informa que los sistemas alimentarios impulsan el 70% de la pérdida de biodiversidad terrestre y el 80% de la deforestación.</t>
  </si>
  <si>
    <t xml:space="preserve">UNESCO</t>
  </si>
  <si>
    <t xml:space="preserve">UNESCO raises global alarm on the rapid degradation of soils</t>
  </si>
  <si>
    <t xml:space="preserve">Suelos agrícolas y naturales (75% degradados)</t>
  </si>
  <si>
    <t xml:space="preserve">Alerta global sobre la degradación del 75% de los suelos del planeta afectando directamente a 3.200 millones de personas.</t>
  </si>
  <si>
    <t xml:space="preserve">Warui, H. (Heinrich Böll Stiftung)</t>
  </si>
  <si>
    <t xml:space="preserve">Soil degradation: the silent global crisis</t>
  </si>
  <si>
    <t xml:space="preserve">Público general, Reguladores, Oferta (Agricultores)</t>
  </si>
  <si>
    <t xml:space="preserve">Examina la crisis de degradación del suelo y la mayor vulnerabilidad a sequías e inseguridad alimentaria.</t>
  </si>
  <si>
    <t xml:space="preserve">Ball, T.S., Dales, et al.</t>
  </si>
  <si>
    <t xml:space="preserve">Food impacts on species extinction risks can vary by three orders of magnitude</t>
  </si>
  <si>
    <t xml:space="preserve">Comunidad científica, Demanda (Consumidores, Cadenas de comida)</t>
  </si>
  <si>
    <t xml:space="preserve">Publica en Nature Food que el costo de extinción de la carne de rumiante es 300 veces mayor que el de granos básicos.</t>
  </si>
  <si>
    <t xml:space="preserve">How Much Food Does the World Really Waste? What We Know — and What We Don’t</t>
  </si>
  <si>
    <t xml:space="preserve">Demanda (Retail, Alimentos), Público general, Reguladores</t>
  </si>
  <si>
    <t xml:space="preserve">Cadenas de suministro de alimentos</t>
  </si>
  <si>
    <t xml:space="preserve">Cuantifica que hasta el 40% de la producción global de alimentos se desperdicia en etapas de distribución y consumo.</t>
  </si>
  <si>
    <t xml:space="preserve">Creating a Sustainable Food Future: A Menu of Solutions to Feed Nearly 10 Billion People by 2050</t>
  </si>
  <si>
    <t xml:space="preserve">Reguladores/legisladores, Demanda, Oferta (Agricultores)</t>
  </si>
  <si>
    <t xml:space="preserve">Sistemas agroalimentarios mundiales</t>
  </si>
  <si>
    <t xml:space="preserve">Presenta un menú de soluciones técnicas para alimentar a 10.000 millones de personas en 2050 sin deforestar.</t>
  </si>
  <si>
    <t xml:space="preserve">Schneider, K.R. et al.</t>
  </si>
  <si>
    <t xml:space="preserve">The state of food systems worldwide in the countdown to 2030</t>
  </si>
  <si>
    <t xml:space="preserve">Sistemas agroalimentarios y empleo (1B personas)</t>
  </si>
  <si>
    <t xml:space="preserve">Mapea el estado de los sistemas alimentarios globales y su rol empleando a más de 1.000 millones de personas.</t>
  </si>
  <si>
    <t xml:space="preserve">Ribeiro, V., et al. (WWF)</t>
  </si>
  <si>
    <t xml:space="preserve">Uncovering sub-regional drivers of deforestation in the Amazon: a tool for targeted solutions</t>
  </si>
  <si>
    <t xml:space="preserve">Reguladores/legisladores, Oferta (Ganaderos), Científicos</t>
  </si>
  <si>
    <t xml:space="preserve">Brasil / Región Amazónica</t>
  </si>
  <si>
    <t xml:space="preserve">Selva tropical amazónica (78% ganadería)</t>
  </si>
  <si>
    <t xml:space="preserve">Demuestra que la ganadería bovina representó el 78% de la deforestación amazónica entre 2017 y 2022.</t>
  </si>
  <si>
    <t xml:space="preserve">zu Ermgassen, E. KHJ, et al.</t>
  </si>
  <si>
    <t xml:space="preserve">Sustainability commodity sourcing requires measuring and governing land use at multiple scales</t>
  </si>
  <si>
    <t xml:space="preserve">Demanda (Traders de soya/palma), Reguladores, Científicos</t>
  </si>
  <si>
    <t xml:space="preserve">Brasil / América del Sur</t>
  </si>
  <si>
    <t xml:space="preserve">Amazonía y Cerrado (soya y caña)</t>
  </si>
  <si>
    <t xml:space="preserve">Analiza la gobernanza multiescala del suelo para garantizar compras corporativas libres de deforestación.</t>
  </si>
  <si>
    <t xml:space="preserve">Bavec, M. &amp; Bavec, F.</t>
  </si>
  <si>
    <t xml:space="preserve">Impact of Organic Farming on Biodiversity</t>
  </si>
  <si>
    <t xml:space="preserve">Tierras de cultivo orgánicas vs convencionales</t>
  </si>
  <si>
    <t xml:space="preserve">Meta-análisis que demuestra que la agricultura orgánica incrementa la riqueza de especies en un 30% promedio.</t>
  </si>
  <si>
    <t xml:space="preserve">Agroberichten Buitenland</t>
  </si>
  <si>
    <t xml:space="preserve">Unlocking the potential of biological control in Ethiopian agriculture</t>
  </si>
  <si>
    <t xml:space="preserve">Oferta (Agricultores en Etiopía), Demanda (Productores biológicos)</t>
  </si>
  <si>
    <t xml:space="preserve">Etiopía</t>
  </si>
  <si>
    <t xml:space="preserve">Cultivos agrícolas y control biológico ($5M mercado)</t>
  </si>
  <si>
    <t xml:space="preserve">Analiza la integración de biopesticidas y biocontroladores por empresas holandesas en la agricultura etíope.</t>
  </si>
  <si>
    <t xml:space="preserve">United Nations Development Programme (UNDP)</t>
  </si>
  <si>
    <t xml:space="preserve">Precision Agriculture for Smallholder Farmers</t>
  </si>
  <si>
    <t xml:space="preserve">Oferta (Pequeños agricultores), Reguladores, Agtech</t>
  </si>
  <si>
    <t xml:space="preserve">Agrícola de pequeña escala</t>
  </si>
  <si>
    <t xml:space="preserve">Evalúa el potencial de las tecnologías de precisión adaptadas a pequeños agricultores en el Sur Global.</t>
  </si>
  <si>
    <t xml:space="preserve">Paustian, K., et al.</t>
  </si>
  <si>
    <t xml:space="preserve">Soil C Sequestration as a Biological Negative Emission Strategy</t>
  </si>
  <si>
    <t xml:space="preserve">Comunidad científica, Reguladores, Demanda (Mercados C)</t>
  </si>
  <si>
    <t xml:space="preserve">Suelos agrícolas (1.4-8 GtCO2/año)</t>
  </si>
  <si>
    <t xml:space="preserve">Estima el potencial de captura de carbono en suelos agrícolas de hasta 8 GtCO2/año con adopción de mejores prácticas.</t>
  </si>
  <si>
    <t xml:space="preserve">World Business Council for Sustainable Development (WBCSD)</t>
  </si>
  <si>
    <t xml:space="preserve">Financing regenerative agriculture in Europe</t>
  </si>
  <si>
    <t xml:space="preserve">Demanda (Empresas de alimentos, Bancos), Oferta</t>
  </si>
  <si>
    <t xml:space="preserve">Sistemas agrícolas europeos</t>
  </si>
  <si>
    <t xml:space="preserve">Examina mecanismos de financiamiento e incentivos de riesgo compartido para la transición regenerativa en Europa.</t>
  </si>
  <si>
    <t xml:space="preserve">Phalan, B., et al.</t>
  </si>
  <si>
    <t xml:space="preserve">Reconciling Food Production and Biodiversity Conservation: Land Sharing and Land Sparing Compared</t>
  </si>
  <si>
    <t xml:space="preserve">Global / Trópicos</t>
  </si>
  <si>
    <t xml:space="preserve">Paisajes agrícolas y bosques tropicales</t>
  </si>
  <si>
    <t xml:space="preserve">Estudio hito en Science que compara cuantitativamente las estrategias de land sharing vs. land sparing.</t>
  </si>
  <si>
    <t xml:space="preserve">FAIRR Initiative</t>
  </si>
  <si>
    <t xml:space="preserve">Climate and Nature-based Interventions in Livestock</t>
  </si>
  <si>
    <t xml:space="preserve">Demanda (Inversores institucionales), Oferta (Ganaderos)</t>
  </si>
  <si>
    <t xml:space="preserve">Ganadería y pastizales</t>
  </si>
  <si>
    <t xml:space="preserve">Evalúa intervenciones basadas en la naturaleza para reducir impactos climáticos y de biodiversidad en ganadería.</t>
  </si>
  <si>
    <t xml:space="preserve">Pendrill, F., et al.</t>
  </si>
  <si>
    <t xml:space="preserve">Disentangling numbers behind agriculture-driven tropical deforestation</t>
  </si>
  <si>
    <t xml:space="preserve">Bosques tropicales (90-99% deforestación por agro)</t>
  </si>
  <si>
    <t xml:space="preserve">Demuestra en Science que la agricultura directa e indirecta impulsa entre el 90% y 99% de la deforestación tropical.</t>
  </si>
  <si>
    <t xml:space="preserve">Ritchie, H. (Our World in Data)</t>
  </si>
  <si>
    <t xml:space="preserve">Food production is responsible for one-quarter of the world’s greenhouse gas emissions</t>
  </si>
  <si>
    <t xml:space="preserve">Cadena agroalimentaria global (26% emisiones)</t>
  </si>
  <si>
    <t xml:space="preserve">Sintetiza datos mostrando que la producción de alimentos genera el 26% de las emisiones globales de GEI.</t>
  </si>
  <si>
    <t xml:space="preserve">Piña-McMahon, S. (Mad Agriculture)</t>
  </si>
  <si>
    <t xml:space="preserve">Gone to Seed</t>
  </si>
  <si>
    <t xml:space="preserve">Oferta (Agricultores), Público general</t>
  </si>
  <si>
    <t xml:space="preserve">Variedades de semillas agrícolas (93% perdidas)</t>
  </si>
  <si>
    <t xml:space="preserve">Analiza la pérdida del 93% de las variedades de semillas agrícolas en el último siglo por la industrialización.</t>
  </si>
  <si>
    <t xml:space="preserve">Cozim-Melges, et al.</t>
  </si>
  <si>
    <t xml:space="preserve">Farming practices to enhance biodiversity across biomes: a systematic review</t>
  </si>
  <si>
    <t xml:space="preserve">Global (Múltiples biomas)</t>
  </si>
  <si>
    <t xml:space="preserve">Ecosistemas agrícolas</t>
  </si>
  <si>
    <t xml:space="preserve">Revisión sistemática de prácticas agrícolas que mejoran la resiliencia y biodiversidad en diversos biomas.</t>
  </si>
  <si>
    <t xml:space="preserve">Vezzani, L., et al.</t>
  </si>
  <si>
    <t xml:space="preserve">Global relationships between crop yield and pollinator abundance</t>
  </si>
  <si>
    <t xml:space="preserve">Cultivos dependientes de polinización silvestre</t>
  </si>
  <si>
    <t xml:space="preserve">Demuestra cuantitativamente que la abundancia de polinizadores silvestres incrementa el rendimiento agrícola.</t>
  </si>
  <si>
    <t xml:space="preserve">SARE</t>
  </si>
  <si>
    <t xml:space="preserve">Cover Crops at Work: Covering the Soil to Prevent Erosion</t>
  </si>
  <si>
    <t xml:space="preserve">Suelos de cultivo (reducción 31-100% erosión)</t>
  </si>
  <si>
    <t xml:space="preserve">Informe técnico mostrando que los cultivos de cobertura reducen la erosión del suelo entre 31% y 100%.</t>
  </si>
  <si>
    <t xml:space="preserve">Quinn, L. (ACES Illinois)</t>
  </si>
  <si>
    <t xml:space="preserve">Illinois study shows universally positive effect of cover crops on soil microbiome</t>
  </si>
  <si>
    <t xml:space="preserve">Estados Unidos (Illinois)</t>
  </si>
  <si>
    <t xml:space="preserve">Microbioma del suelo agrícola</t>
  </si>
  <si>
    <t xml:space="preserve">Demuestra el impacto positivo universal de los cultivos de cobertura sobre la abundancia y diversidad microbiana del suelo.</t>
  </si>
  <si>
    <t xml:space="preserve">Khan, Q. A. &amp; McVay, K. A.</t>
  </si>
  <si>
    <t xml:space="preserve">Productivity and Stability of Multi-Species Cover Crop Mixtures in the Northern Great Plains</t>
  </si>
  <si>
    <t xml:space="preserve">Estados Unidos (Grandes Planicies)</t>
  </si>
  <si>
    <t xml:space="preserve">Praderas y suelos de cultivo</t>
  </si>
  <si>
    <t xml:space="preserve">Evalúa la productividad y estabilidad del suelo mediante mezclas multiespecíficas de cultivos de cobertura.</t>
  </si>
  <si>
    <t xml:space="preserve">Market Research Future</t>
  </si>
  <si>
    <t xml:space="preserve">Key Cover Crop Seed Mix Market Trends Highlighted</t>
  </si>
  <si>
    <t xml:space="preserve">Demanda (Inversores, Semilleras), Oferta</t>
  </si>
  <si>
    <t xml:space="preserve">Global ($880M mercado)</t>
  </si>
  <si>
    <t xml:space="preserve">Semillas de cultivos de cobertura</t>
  </si>
  <si>
    <t xml:space="preserve">Estima el mercado global de semillas de cultivos de cobertura en $880M en 2024 proyectando un crecimiento del 7.9% CAGR.</t>
  </si>
  <si>
    <t xml:space="preserve">Jinger, D., et al.</t>
  </si>
  <si>
    <t xml:space="preserve">Agroforestry for controlling soil erosion and enhancing system productivity in ravine lands</t>
  </si>
  <si>
    <t xml:space="preserve">India (Occidente)</t>
  </si>
  <si>
    <t xml:space="preserve">Tierras de cárcavas y agroforestería</t>
  </si>
  <si>
    <t xml:space="preserve">Muestra que la agroforestería en cárcavas redujo la pérdida de suelo en 37.7% y la escorrentía en 19.1%.</t>
  </si>
  <si>
    <t xml:space="preserve">Mesfin, S. &amp; Haileselassie, H.</t>
  </si>
  <si>
    <t xml:space="preserve">Evaluation of soil physico-chemical properties as affected by canopies of scattered agroforestry trees</t>
  </si>
  <si>
    <t xml:space="preserve">África (Etiopía)</t>
  </si>
  <si>
    <t xml:space="preserve">Suelos bajo dosel de árboles agroforestales</t>
  </si>
  <si>
    <t xml:space="preserve">Muestra que el carbono orgánico del suelo bajo árboles agroforestales dispersos es hasta 91.5% mayor que en suelo abierto.</t>
  </si>
  <si>
    <t xml:space="preserve">Gordon, A. (Propagate)</t>
  </si>
  <si>
    <t xml:space="preserve">How Agroforestry Helps Biodiversity: A Study of Our Work in Kentucky</t>
  </si>
  <si>
    <t xml:space="preserve">Cuantitativo / Caso</t>
  </si>
  <si>
    <t xml:space="preserve">Oferta (Agricultores), Demanda (Inversores Propagate)</t>
  </si>
  <si>
    <t xml:space="preserve">Estados Unidos (Kentucky)</t>
  </si>
  <si>
    <t xml:space="preserve">Huertos de castaños y cultivos (biodiversidad +40%)</t>
  </si>
  <si>
    <t xml:space="preserve">Estudio de caso mostrando que la conversión a agroforestería incrementó la riqueza de aves en 40% e insectos en 103%.</t>
  </si>
  <si>
    <t xml:space="preserve">Globenewswire</t>
  </si>
  <si>
    <t xml:space="preserve">Global Agroforestry Market Size To Exceed USD 194.5 Billion By 2033</t>
  </si>
  <si>
    <t xml:space="preserve">Demanda (Inversores, Agtech), Oferta</t>
  </si>
  <si>
    <t xml:space="preserve">Global ($99.5B mercado)</t>
  </si>
  <si>
    <t xml:space="preserve">Sistemas agroforestales globales</t>
  </si>
  <si>
    <t xml:space="preserve">Valora el mercado global de agroforestería en $99.5B en 2024 con proyección a $194.5B para 2033 (7.9% CAGR).</t>
  </si>
  <si>
    <t xml:space="preserve">Rosenheim, J. A., et al.</t>
  </si>
  <si>
    <t xml:space="preserve">Increasing crop field size does not consistently exacerbate insect pest problems</t>
  </si>
  <si>
    <t xml:space="preserve">Campos agrícolas de monocultivo</t>
  </si>
  <si>
    <t xml:space="preserve">Investigación en PNAS que clarifica la relación entre el tamaño de parcela y el control biológico por insectos benéficos.</t>
  </si>
  <si>
    <t xml:space="preserve">Bodlah, M. A.</t>
  </si>
  <si>
    <t xml:space="preserve">Unveiling Nature’s Guardians: The Crucial Role of Beneficial Insects in Sustainable Agriculture</t>
  </si>
  <si>
    <t xml:space="preserve">Control biológico de plagas e insectos</t>
  </si>
  <si>
    <t xml:space="preserve">Sintetiza la función ecológica de depredadores y polinizadores en la mejora de la estructura del suelo y rendimiento.</t>
  </si>
  <si>
    <t xml:space="preserve">ReAnIn</t>
  </si>
  <si>
    <t xml:space="preserve">Beneficial insects (macrobials) market growth &amp; trends</t>
  </si>
  <si>
    <t xml:space="preserve">Demanda (Empresas de biocontrol, Inversores)</t>
  </si>
  <si>
    <t xml:space="preserve">Global ($850M-$970M)</t>
  </si>
  <si>
    <t xml:space="preserve">Insectos benéficos y macrobianos</t>
  </si>
  <si>
    <t xml:space="preserve">Estima el mercado global de insectos benéficos en $850M-$970M en 2024 con crecimiento proyectado del 11-13% anual.</t>
  </si>
  <si>
    <t xml:space="preserve">Daniel, A.I., et al.</t>
  </si>
  <si>
    <t xml:space="preserve">Biofertilizer: The Future of Food Security and Food Safety</t>
  </si>
  <si>
    <t xml:space="preserve">Microorganismos fijadores de N y solubilizadores de P</t>
  </si>
  <si>
    <t xml:space="preserve">Demuestra que los biofertilizantes reducen la lixiviación de nutrientes, mejoran la estructura del suelo y protegen contra patógenos.</t>
  </si>
  <si>
    <t xml:space="preserve">Janratchakool, W., et al.</t>
  </si>
  <si>
    <t xml:space="preserve">IoT-Enabled Bio-Organic Fertilizer Monitoring for Residual Palm Materials</t>
  </si>
  <si>
    <t xml:space="preserve">Cuantitativo / Tecnológico</t>
  </si>
  <si>
    <t xml:space="preserve">Oferta (Agricultores), Demanda (Agtech)</t>
  </si>
  <si>
    <t xml:space="preserve">Tailandia / Sudeste Asiático</t>
  </si>
  <si>
    <t xml:space="preserve">Residuos de palma y fertilizante bio-orgánico</t>
  </si>
  <si>
    <t xml:space="preserve">Presenta sistemas IoT para monitorear en tiempo real la aplicación óptima de fertilizantes bio-orgánicos.</t>
  </si>
  <si>
    <t xml:space="preserve">Fortune Business Insights</t>
  </si>
  <si>
    <t xml:space="preserve">Biofertilizers market size, share &amp; trends | Growth report</t>
  </si>
  <si>
    <t xml:space="preserve">Demanda (Inversores, Industria biotecnológica)</t>
  </si>
  <si>
    <t xml:space="preserve">Global ($2.5B-$2.8B)</t>
  </si>
  <si>
    <t xml:space="preserve">Biofertilizantes globales</t>
  </si>
  <si>
    <t xml:space="preserve">Valora el mercado global de biofertilizantes en $2.5B-$2.8B en 2024 con proyección a $5.2B-$6.3B para 2030 (12% CAGR).</t>
  </si>
  <si>
    <t xml:space="preserve">USDA</t>
  </si>
  <si>
    <t xml:space="preserve">Benefits and Evolution of Precision Agriculture</t>
  </si>
  <si>
    <t xml:space="preserve">Reguladores/legisladores (USDA), Oferta</t>
  </si>
  <si>
    <t xml:space="preserve">Tecnologías de riego localizado y guiado GPS</t>
  </si>
  <si>
    <t xml:space="preserve">Informe del USDA sobre la evolución de la agricultura de precisión y el ahorro de agua (80% en microgoteo).</t>
  </si>
  <si>
    <t xml:space="preserve">Xing, Y. &amp; Wang, X.</t>
  </si>
  <si>
    <t xml:space="preserve">Precise application of water and fertilizer to crops: challenges and opportunities</t>
  </si>
  <si>
    <t xml:space="preserve">Riego de precisión y fertirrigación</t>
  </si>
  <si>
    <t xml:space="preserve">Analiza los desafíos técnicos de la fertirrigación de precisión para regenerar el suelo y optimizar el ciclo de nutrientes.</t>
  </si>
  <si>
    <t xml:space="preserve">Global Market Insights</t>
  </si>
  <si>
    <t xml:space="preserve">Precision agriculture market size report 2024–2034</t>
  </si>
  <si>
    <t xml:space="preserve">Demanda (Sector financiero, Agtech), Oferta</t>
  </si>
  <si>
    <t xml:space="preserve">Global ($10.5B mercado)</t>
  </si>
  <si>
    <t xml:space="preserve">Sensores, drones y maquinaria GPS de precisión</t>
  </si>
  <si>
    <t xml:space="preserve">Estima el mercado de agricultura de precisión en $10.5B en 2024 proyectando $30.4B para 2034 (11.5% CAGR).</t>
  </si>
  <si>
    <t xml:space="preserve">Precedence Research</t>
  </si>
  <si>
    <t xml:space="preserve">Precision agriculture market size, share and trends 2024–2034</t>
  </si>
  <si>
    <t xml:space="preserve">Equipos y software de agricultura de precisión</t>
  </si>
  <si>
    <t xml:space="preserve">Análisis de mercado sobre las barreras de capital inicial e infraestructura para pequeños agricultores en agricultura de precisión.</t>
  </si>
  <si>
    <t xml:space="preserve">Zhang, W., et al.</t>
  </si>
  <si>
    <t xml:space="preserve">Review of Current Robotic Approaches for Precision Weed Management</t>
  </si>
  <si>
    <t xml:space="preserve">Comunidad científica, Oferta, Demanda</t>
  </si>
  <si>
    <t xml:space="preserve">Robots deshierbadores por microdosis y láser</t>
  </si>
  <si>
    <t xml:space="preserve">Revisión técnica sobre robots agrícolas para deshierbe localizado que reducen el uso de herbicidas hasta en 90%.</t>
  </si>
  <si>
    <t xml:space="preserve">Rial-Lovera, K.</t>
  </si>
  <si>
    <t xml:space="preserve">Agricultural Robots: drivers, barriers and opportunities for adoption</t>
  </si>
  <si>
    <t xml:space="preserve">Robótica e inteligencia artificial en finca</t>
  </si>
  <si>
    <t xml:space="preserve">Analiza los factores impulsores y barreras de capital y capacitación para la adopción de robótica agrícola.</t>
  </si>
  <si>
    <t xml:space="preserve">Future Market Insights</t>
  </si>
  <si>
    <t xml:space="preserve">Agricultural robots market size, share &amp; forecast 2034</t>
  </si>
  <si>
    <t xml:space="preserve">Demanda (Inversores agtech), Oferta</t>
  </si>
  <si>
    <t xml:space="preserve">Global ($14.7B mercado)</t>
  </si>
  <si>
    <t xml:space="preserve">Robots agrícolas y deshierbadores</t>
  </si>
  <si>
    <t xml:space="preserve">Valora el mercado global de robots agrícolas en $14.7B en 2024 proyectando un crecimiento anual cercano al 18%.</t>
  </si>
  <si>
    <t xml:space="preserve">Wildeman, R. (Univ of Twente)</t>
  </si>
  <si>
    <t xml:space="preserve">Vertical Farming: A future perspective or a mere conceptual idea?</t>
  </si>
  <si>
    <t xml:space="preserve">Comunidad científica, Demanda (Agtech), Público</t>
  </si>
  <si>
    <t xml:space="preserve">Europa / Países Bajos</t>
  </si>
  <si>
    <t xml:space="preserve">Terrestre / Urbano</t>
  </si>
  <si>
    <t xml:space="preserve">Cultivos hidropónicos urbanos en interiores</t>
  </si>
  <si>
    <t xml:space="preserve">Estudia la viabilidad técnica y logística de la agricultura vertical urbana para reducir millas de transporte de alimentos.</t>
  </si>
  <si>
    <t xml:space="preserve">How vertical farming can save water and support food security</t>
  </si>
  <si>
    <t xml:space="preserve">Demanda (Inversores, Agtech), Reguladores</t>
  </si>
  <si>
    <t xml:space="preserve">Hidroponía y aeroponía vertical (-98% agua)</t>
  </si>
  <si>
    <t xml:space="preserve">Destaca que la agricultura vertical utiliza hasta 95-98% menos agua y elimina la dependencia de pesticidas químicos.</t>
  </si>
  <si>
    <t xml:space="preserve">Gargaro, M., et al.</t>
  </si>
  <si>
    <t xml:space="preserve">A cradle-to-customer life cycle assessment case study of UK vertical farming</t>
  </si>
  <si>
    <t xml:space="preserve">Comunidad científica, Demanda (Productores de lechuga)</t>
  </si>
  <si>
    <t xml:space="preserve">LCA de lechugas en agricultura vertical</t>
  </si>
  <si>
    <t xml:space="preserve">Análisis de ciclo de vida mostrando que el 40% del impacto climático de granjas verticales británicas proviene de la electricidad.</t>
  </si>
  <si>
    <t xml:space="preserve">Dinneen, J.</t>
  </si>
  <si>
    <t xml:space="preserve">Vertical farm cuts energy use 75 per cent by using sunlight</t>
  </si>
  <si>
    <t xml:space="preserve">Cualitativo / Caso</t>
  </si>
  <si>
    <t xml:space="preserve">Demanda (Inversores), Oferta (Productores)</t>
  </si>
  <si>
    <t xml:space="preserve">Sistemas híbridos de agricultura vertical con luz solar</t>
  </si>
  <si>
    <t xml:space="preserve">Reporta sistemas híbridos de agricultura vertical que combinan luz solar y contenedores reduciendo 75% del consumo eléctrico.</t>
  </si>
  <si>
    <t xml:space="preserve">Vertical Farming Market Size, Share &amp; Industry Analysis 2024-2032</t>
  </si>
  <si>
    <t xml:space="preserve">Demanda (Inversores), Oferta</t>
  </si>
  <si>
    <t xml:space="preserve">Global ($6.9B mercado)</t>
  </si>
  <si>
    <t xml:space="preserve">Sistemas de agricultura vertical</t>
  </si>
  <si>
    <t xml:space="preserve">Valora el mercado de agricultura vertical en $6.9B en 2024 proyectando $50B para 2032 (28.8% CAGR).</t>
  </si>
  <si>
    <t xml:space="preserve">Dyson Farming</t>
  </si>
  <si>
    <t xml:space="preserve">Strawberry Production</t>
  </si>
  <si>
    <t xml:space="preserve">Demanda (Dyson Farming), Público general</t>
  </si>
  <si>
    <t xml:space="preserve">Reino Unido (Lincolnshire)</t>
  </si>
  <si>
    <t xml:space="preserve">Invernaderos de fresa con calor residual y robots UV</t>
  </si>
  <si>
    <t xml:space="preserve">Invernadero tecnológico de 26 acres que produce fresas con energía limpia, reservorios de agua y robots UV.</t>
  </si>
  <si>
    <t xml:space="preserve">Dyson</t>
  </si>
  <si>
    <t xml:space="preserve">Our journey towards sustainability (Reimagine Magazine)</t>
  </si>
  <si>
    <t xml:space="preserve">Demanda (Dyson Farming), Oferta</t>
  </si>
  <si>
    <t xml:space="preserve">Investigación agrícola regenerativa y biodiversidad</t>
  </si>
  <si>
    <t xml:space="preserve">Reporta el incremento de 20 especies de aves raras de la lista roja en tierras agrícolas gestionadas por Dyson Farming.</t>
  </si>
  <si>
    <t xml:space="preserve">Danone North America</t>
  </si>
  <si>
    <t xml:space="preserve">Danone Shares Progress on Regenerative Agriculture Program</t>
  </si>
  <si>
    <t xml:space="preserve">Demanda (Danone), Oferta (64.000 granjas en 12 países)</t>
  </si>
  <si>
    <t xml:space="preserve">150.000 acres de lechería bajo cobertura vegetal</t>
  </si>
  <si>
    <t xml:space="preserve">Reporta que el 69% de su superficie utiliza cultivos de cobertura, reteniendo 54.000 t de carbono y evitando 480.000 t de erosión.</t>
  </si>
  <si>
    <t xml:space="preserve">Novethic</t>
  </si>
  <si>
    <t xml:space="preserve">Danone issues a 300 million-euro pioneer social bond</t>
  </si>
  <si>
    <t xml:space="preserve">Demanda (Danone, Inversores de bonos)</t>
  </si>
  <si>
    <t xml:space="preserve">Financiamiento de agricultura regenerativa (€300M)</t>
  </si>
  <si>
    <t xml:space="preserve">Informa sobre la emisión del bono social pionero de €300M de Danone para financiar agricultura regenerativa.</t>
  </si>
  <si>
    <t xml:space="preserve">BNP Paribas</t>
  </si>
  <si>
    <t xml:space="preserve">Danone’s Positive Incentive Financing Strategy</t>
  </si>
  <si>
    <t xml:space="preserve">Demanda (Danone, BNP Paribas), Reguladores</t>
  </si>
  <si>
    <t xml:space="preserve">Línea de crédito ESG de €2.000M</t>
  </si>
  <si>
    <t xml:space="preserve">Detalla la línea de crédito ESG de €2.000M con márgenes ajustados según la calificación B Corp y desempeño de Danone.</t>
  </si>
  <si>
    <t xml:space="preserve">Climate Asset Management / Pollination</t>
  </si>
  <si>
    <t xml:space="preserve">Climate Asset Management secures commitments in excess of $1 billion</t>
  </si>
  <si>
    <t xml:space="preserve">Demanda (HSBC, Apple, Pollination), Oferta</t>
  </si>
  <si>
    <t xml:space="preserve">Global (&gt;2M ha)</t>
  </si>
  <si>
    <t xml:space="preserve">Proyectos de capital natural y carbono ($1B+)</t>
  </si>
  <si>
    <t xml:space="preserve">Anuncio del cierre de fondos de capital natural y carbono por más de $1.000 millones para restauración y agricultura regenerativa.</t>
  </si>
  <si>
    <t xml:space="preserve">Standard Chartered &amp; ADM</t>
  </si>
  <si>
    <t xml:space="preserve">Standard Chartered and ADM successfully execute USD500m Sustainable Export Letter of Credit</t>
  </si>
  <si>
    <t xml:space="preserve">Demanda (Standard Chartered, ADM), Oferta</t>
  </si>
  <si>
    <t xml:space="preserve">Global / EE. UU. / Asia</t>
  </si>
  <si>
    <t xml:space="preserve">Cadenas de soya, oleaginosas y algodón ($500M)</t>
  </si>
  <si>
    <t xml:space="preserve">Estructuración de carta de crédito de exportación sostenible de $500M para incentivar prácticas agrícolas sostenibles.</t>
  </si>
  <si>
    <t xml:space="preserve">Gulbenkian Foundation</t>
  </si>
  <si>
    <t xml:space="preserve">Gulbenkian Prize for Humanity: Community-Managed Natural Farming</t>
  </si>
  <si>
    <t xml:space="preserve">Reguladores/legisladores, Oferta (1.8M agricultores), Público</t>
  </si>
  <si>
    <t xml:space="preserve">India (Andhra Pradesh)</t>
  </si>
  <si>
    <t xml:space="preserve">Agroecología sin químicos sintéticos (APCNF)</t>
  </si>
  <si>
    <t xml:space="preserve">Premio internacional otorgado al programa APCNF de India por transformar a 1.8 millones de agricultores a la agroecología.</t>
  </si>
  <si>
    <t xml:space="preserve">Berger, I., et al.</t>
  </si>
  <si>
    <t xml:space="preserve">India’s agroecology programme, 'Zero Budget Natural Farming', delivers biodiversity</t>
  </si>
  <si>
    <t xml:space="preserve">Comunidad científica, Oferta (Agricultores en India), Reguladores</t>
  </si>
  <si>
    <t xml:space="preserve">Suelos y biodiversidad (aves +55%, insectos +60%)</t>
  </si>
  <si>
    <t xml:space="preserve">Publicación en Nature Ecology &amp; Evolution demostrando que APCNF incrementó ingresos netos en 56-80% y biodiversidad de aves en 55%.</t>
  </si>
  <si>
    <t xml:space="preserve">KfW</t>
  </si>
  <si>
    <t xml:space="preserve">Agroecology and climate resilience in Andhra Pradesh (investment)</t>
  </si>
  <si>
    <t xml:space="preserve">Reguladores/legisladores (KfW, Gobierno de India), Oferta</t>
  </si>
  <si>
    <t xml:space="preserve">Inversión agroecológica (€91M a 0.45% tasa)</t>
  </si>
  <si>
    <t xml:space="preserve">Financiamiento del banco de desarrollo alemán KfW de €91M para escalar la agricultura regenerativa en Andhra Pradesh.</t>
  </si>
  <si>
    <t xml:space="preserve">Euromoney</t>
  </si>
  <si>
    <t xml:space="preserve">Finance for a Farming Revolution (Sustainable India Finance Facility - SIFF)</t>
  </si>
  <si>
    <t xml:space="preserve">Demanda (PNUMA, BNP Paribas, World Agroforestry), Oferta</t>
  </si>
  <si>
    <t xml:space="preserve">Facilidad financiera agroecológica ($2.3B meta)</t>
  </si>
  <si>
    <t xml:space="preserve">Presenta la alianza SIFF para canalizar hasta $2.300 millones en 6 años para la transición agroecológica de India.</t>
  </si>
  <si>
    <t xml:space="preserve">Ritchie, H. (WEF / Our World in Data)</t>
  </si>
  <si>
    <t xml:space="preserve">50% of all land in the world is used to produce food</t>
  </si>
  <si>
    <t xml:space="preserve">Uso global de la tierra (77% ganadería/pienso)</t>
  </si>
  <si>
    <t xml:space="preserve">Muestra que el 77% de la tierra agrícola global se destina a pastoreo y cultivo de piensos para ganadería.</t>
  </si>
  <si>
    <t xml:space="preserve">Pathways towards lower emissions – A global assessment from livestock agrifood systems</t>
  </si>
  <si>
    <t xml:space="preserve">Sistemas ganaderos globales (12% emisiones GEI)</t>
  </si>
  <si>
    <t xml:space="preserve">Evaluación global de la FAO cifrando en 12% las emisiones de GEI provenientes de la ganadería y opciones de mitigación.</t>
  </si>
  <si>
    <t xml:space="preserve">Smith, P., et al.</t>
  </si>
  <si>
    <t xml:space="preserve">Agricultural methane emissions and the potential for mitigation</t>
  </si>
  <si>
    <t xml:space="preserve">Fermentación entérica y estiércol (30-32% metano)</t>
  </si>
  <si>
    <t xml:space="preserve">Informa en la Royal Society que la ganadería representa entre el 30% y 32% de las emisiones antropogénicas de metano.</t>
  </si>
  <si>
    <t xml:space="preserve">Mekonnen, M.M. &amp; Hoekstra, A.Y.</t>
  </si>
  <si>
    <t xml:space="preserve">A Global Water Footprint Assessment of Production and Consumption</t>
  </si>
  <si>
    <t xml:space="preserve">Cuantitativo / Huella Hídrica</t>
  </si>
  <si>
    <t xml:space="preserve">Recursos hídricos (15.400 L/kg carne vacuna)</t>
  </si>
  <si>
    <t xml:space="preserve">Estudio de huella hídrica mostrando que se requieren 15.400 litros de agua para producir 1 kg de carne de vacuno.</t>
  </si>
  <si>
    <t xml:space="preserve">The Review of the world marine fishery resources</t>
  </si>
  <si>
    <t xml:space="preserve">Reguladores/legisladores, Oferta (Pesquerías), Científicos</t>
  </si>
  <si>
    <t xml:space="preserve">Poblaciones de peces marinos (35.5% sobreexplotadas)</t>
  </si>
  <si>
    <t xml:space="preserve">Informe de la FAO que señala que el 35.5% de las poblaciones de peces marinos globales están sobreexplotadas.</t>
  </si>
  <si>
    <t xml:space="preserve">Costello, C., et al.</t>
  </si>
  <si>
    <t xml:space="preserve">The future of food from the sea</t>
  </si>
  <si>
    <t xml:space="preserve">Pesquerías marinas y acuicultura sostenible</t>
  </si>
  <si>
    <t xml:space="preserve">Publicación en Nature sobre el potencial de la maricultura y gestión pesquera sostenible para alimentar al mundo.</t>
  </si>
  <si>
    <t xml:space="preserve">Hristov, A. N., et al.</t>
  </si>
  <si>
    <t xml:space="preserve">An inhibitor persistently decreased enteric methane emission from dairy cows</t>
  </si>
  <si>
    <t xml:space="preserve">Cuantitativo / PNAS</t>
  </si>
  <si>
    <t xml:space="preserve">Comunidad científica, Oferta (Ganaderos), Demanda</t>
  </si>
  <si>
    <t xml:space="preserve">Ganado lechero y aditivos inhibidores (3-NOP)</t>
  </si>
  <si>
    <t xml:space="preserve">Demuestra en PNAS que inhibidores de metano como 3-NOP reducen emisiones entéricas en vacas lecheras en un 30%.</t>
  </si>
  <si>
    <t xml:space="preserve">Grand View Research</t>
  </si>
  <si>
    <t xml:space="preserve">Ruminant Methane Reduction Market Report</t>
  </si>
  <si>
    <t xml:space="preserve">Demanda (Inversores, Empresas de nutrición animal)</t>
  </si>
  <si>
    <t xml:space="preserve">Global ($2.8B mercado)</t>
  </si>
  <si>
    <t xml:space="preserve">Suplementos reductores de metano (MSFPs)</t>
  </si>
  <si>
    <t xml:space="preserve">Valora el mercado de suplementos de metano entérico en $2.8B en 2024 con proyección a $4.22B para 2030 (6.3% CAGR).</t>
  </si>
  <si>
    <t xml:space="preserve">Whitt, C. (USDA ERS)</t>
  </si>
  <si>
    <t xml:space="preserve">About 40 percent of all cow-calf operations reported using rotational grazing in 2018</t>
  </si>
  <si>
    <t xml:space="preserve">Reguladores/legisladores (USDA), Oferta (Ganaderos)</t>
  </si>
  <si>
    <t xml:space="preserve">Pastizales y ganadería de cría (40% adopción)</t>
  </si>
  <si>
    <t xml:space="preserve">Informa que el 40% de las operaciones de cría vacuna en EE. UU. aplican pastoreo rotacional.</t>
  </si>
  <si>
    <t xml:space="preserve">Liu, Y., et al.</t>
  </si>
  <si>
    <t xml:space="preserve">The impact of different grazing intensity and management measures on soil organic carbon</t>
  </si>
  <si>
    <t xml:space="preserve">Cuantitativo / Nature Sci Rep</t>
  </si>
  <si>
    <t xml:space="preserve">Comunidad científica, Oferta (Pastores)</t>
  </si>
  <si>
    <t xml:space="preserve">China (Zhangye)</t>
  </si>
  <si>
    <t xml:space="preserve">Pastizales templados y densidad de carbono</t>
  </si>
  <si>
    <t xml:space="preserve">Demuestra en Scientific Reports que el pastoreo rotacional controlado incrementa la densidad de carbono orgánico del suelo.</t>
  </si>
  <si>
    <t xml:space="preserve">Colombia - Mainstreaming Sustainable Cattle Ranching Project</t>
  </si>
  <si>
    <t xml:space="preserve">Cuantitativo / Evaluación</t>
  </si>
  <si>
    <t xml:space="preserve">Reguladores/legisladores, Oferta (Ganaderos en Colombia)</t>
  </si>
  <si>
    <t xml:space="preserve">Sistemas silvopastoriles y bosques (decenas de miles ha)</t>
  </si>
  <si>
    <t xml:space="preserve">Proyecto de la ganadería sostenible que aumentó la carga animal en 15% y la producción de leche en 17% restaurando bosques.</t>
  </si>
  <si>
    <t xml:space="preserve">Carleton / ILRI</t>
  </si>
  <si>
    <t xml:space="preserve">Impact assessment confirms Participatory Rangeland Management's positive impact</t>
  </si>
  <si>
    <t xml:space="preserve">Oferta (Comunidades pastoriles), Reguladores, PNUMA</t>
  </si>
  <si>
    <t xml:space="preserve">Kenia / Tanzania</t>
  </si>
  <si>
    <t xml:space="preserve">Pastizales comunitarios (96% mejor salud)</t>
  </si>
  <si>
    <t xml:space="preserve">Evaluación que confirma que la gestión participativa de pastizales mejoró las pasturas en el 96% de comunidades kenianas.</t>
  </si>
  <si>
    <t xml:space="preserve">MarketsandMarkets</t>
  </si>
  <si>
    <t xml:space="preserve">Precision livestock farming market worth $12.12 billion by 2030</t>
  </si>
  <si>
    <t xml:space="preserve">Demanda (Inversores PLF, Agtech), Oferta</t>
  </si>
  <si>
    <t xml:space="preserve">Global ($7.2B-$7.9B)</t>
  </si>
  <si>
    <t xml:space="preserve">Collares GPS, drones y sensores ganaderos (PLF)</t>
  </si>
  <si>
    <t xml:space="preserve">Valora el mercado de ganadería de precisión (PLF) en $7.2B-$7.9B proyectando $12.1B-$19.9B hacia 2030-2033.</t>
  </si>
  <si>
    <t xml:space="preserve">Perfect Day</t>
  </si>
  <si>
    <t xml:space="preserve">Life Cycle Assessment of Perfect Day Protein</t>
  </si>
  <si>
    <t xml:space="preserve">Demanda (Perfect Day, Nestlé), Comunidad científica</t>
  </si>
  <si>
    <t xml:space="preserve">Proteína de suero por fermentación de precisión</t>
  </si>
  <si>
    <t xml:space="preserve">LCA que muestra que la proteína de suero fermentada reduce el uso de agua en 96-99% y emisiones GEI en 91-97% frente a la leche.</t>
  </si>
  <si>
    <t xml:space="preserve">Good Food Institute Europe (GFI)</t>
  </si>
  <si>
    <t xml:space="preserve">What is precision fermentation?</t>
  </si>
  <si>
    <t xml:space="preserve">Demanda (Alternative protein industry), Reguladores</t>
  </si>
  <si>
    <t xml:space="preserve">Proteínas alternativas por biofermentación</t>
  </si>
  <si>
    <t xml:space="preserve">Informe sobre la fermentación de precisión que reduce las emisiones de GEI en 70%, tierra en 95% y agua en 80% frente a la ganadería.</t>
  </si>
  <si>
    <t xml:space="preserve">Microbiology Society</t>
  </si>
  <si>
    <t xml:space="preserve">Mycoprotein production and food sustainability</t>
  </si>
  <si>
    <t xml:space="preserve">Comunidad científica, Demanda (Quorn)</t>
  </si>
  <si>
    <t xml:space="preserve">Micoproteína fúngica (1.14 kg CO2e/kg)</t>
  </si>
  <si>
    <t xml:space="preserve">Reporta la eficiencia de la micoproteína de Quorn que genera solo 1.14 kg CO2e por kg de producto.</t>
  </si>
  <si>
    <t xml:space="preserve">Precision Fermentation Ingredients Market</t>
  </si>
  <si>
    <t xml:space="preserve">Demanda (Inversores, Alimentos), Reguladores</t>
  </si>
  <si>
    <t xml:space="preserve">Global ($5B en 2025)</t>
  </si>
  <si>
    <t xml:space="preserve">Ingredientes de fermentación de precisión</t>
  </si>
  <si>
    <t xml:space="preserve">Estima el mercado global de ingredientes de fermentación de precisión en $5B en 2025 alcanzando $36.3B en 2030 (48.6% CAGR).</t>
  </si>
  <si>
    <t xml:space="preserve">Goda, A.M.AS., et al.</t>
  </si>
  <si>
    <t xml:space="preserve">Optimizing nutrient utilization through freshwater IMTA-aquaponic and hydroponic systems</t>
  </si>
  <si>
    <t xml:space="preserve">Cuantitativo / Sci Rep</t>
  </si>
  <si>
    <t xml:space="preserve">Comunidad científica, Oferta (Acuicultores)</t>
  </si>
  <si>
    <t xml:space="preserve">Egipto / Global</t>
  </si>
  <si>
    <t xml:space="preserve">Sistemas acuapónicos e IMTA de agua dulce</t>
  </si>
  <si>
    <t xml:space="preserve">Demuestra eficiencias de uso de nitrógeno del 83.5% y fósforo del 96.8% en sistemas IMTA acuapónicos cerrados.</t>
  </si>
  <si>
    <t xml:space="preserve">Filbee-Dexter, K., et al.</t>
  </si>
  <si>
    <t xml:space="preserve">Carbon export from seaweed forests to deep ocean sinks</t>
  </si>
  <si>
    <t xml:space="preserve">Cuantitativo / Nat Geosci</t>
  </si>
  <si>
    <t xml:space="preserve">Bosques de algas marinas (56M tC/año exportadas)</t>
  </si>
  <si>
    <t xml:space="preserve">Publicación en Nature Geoscience cifrando en 56 millones de toneladas de carbono exportadas anualmente por bosques de algas al océano profundo.</t>
  </si>
  <si>
    <t xml:space="preserve">Alam, M., et al.</t>
  </si>
  <si>
    <t xml:space="preserve">Potential of integrated multitrophic aquaculture to make prawn farming sustainable in Bangladesh</t>
  </si>
  <si>
    <t xml:space="preserve">Oferta (Acuicultores de camarón), Reguladores</t>
  </si>
  <si>
    <t xml:space="preserve">Bangladés</t>
  </si>
  <si>
    <t xml:space="preserve">Ecosistemas costeros y granjas de langostino IMTA</t>
  </si>
  <si>
    <t xml:space="preserve">Evalúa la factibilidad de acuicultura multitrófica integrada (IMTA) para reducir efluentes tóxicos en Bangladés.</t>
  </si>
  <si>
    <t xml:space="preserve">Seychelles launches World’s First Sovereign Blue Bond</t>
  </si>
  <si>
    <t xml:space="preserve">Reguladores/legisladores (Seychelles), Demanda (Inversores)</t>
  </si>
  <si>
    <t xml:space="preserve">Seychelles</t>
  </si>
  <si>
    <t xml:space="preserve">Áreas marinas protegidas e infraestructura pesquera ($15M)</t>
  </si>
  <si>
    <t xml:space="preserve">Lanzamiento del primer bono azul soberano del mundo ($15M) para financiar pesquerías sostenibles y conservación marina.</t>
  </si>
  <si>
    <t xml:space="preserve">Aquaculture Market Size, Share &amp; Trends Analysis Report</t>
  </si>
  <si>
    <t xml:space="preserve">Demanda (Inversores acuícolas), Oferta</t>
  </si>
  <si>
    <t xml:space="preserve">Global ($310.6B mercado)</t>
  </si>
  <si>
    <t xml:space="preserve">Mercado global de acuicultura</t>
  </si>
  <si>
    <t xml:space="preserve">Valora el mercado global de acuicultura en $310.6B en 2024 con proyección de crecimiento del 5.1% CAGR a 2030.</t>
  </si>
  <si>
    <t xml:space="preserve">Rahayu, S., et al.</t>
  </si>
  <si>
    <t xml:space="preserve">Probiotics application in aquaculture: its potential effects, current status in China</t>
  </si>
  <si>
    <t xml:space="preserve">Bacterias probióticas en granjas de peces (supervivencia 97.8%)</t>
  </si>
  <si>
    <t xml:space="preserve">Demuestra que la aplicación de probióticos eleva la supervivencia de peces al 97.8% frente al 65.6% no tratado.</t>
  </si>
  <si>
    <t xml:space="preserve">Proespraiwong, P., et al.</t>
  </si>
  <si>
    <t xml:space="preserve">Evaluation of Bacillus spp. as Potent Probiotics in Pacific White Shrimp Farms</t>
  </si>
  <si>
    <t xml:space="preserve">Comunidad científica, Oferta (Camaroneros)</t>
  </si>
  <si>
    <t xml:space="preserve">Tailandia</t>
  </si>
  <si>
    <t xml:space="preserve">Camarón blanco y suelos de manglar (Bacillus spp.)</t>
  </si>
  <si>
    <t xml:space="preserve">Demuestra que cepas de Bacillus aisladas de manglares elevan la supervivencia del camarón blanco entre 75-95%.</t>
  </si>
  <si>
    <t xml:space="preserve">Probiotics in animal feed market worth $8.27 billion by 2030</t>
  </si>
  <si>
    <t xml:space="preserve">Global ($5.4B en 2025)</t>
  </si>
  <si>
    <t xml:space="preserve">Probióticos en alimento animal</t>
  </si>
  <si>
    <t xml:space="preserve">Valora el mercado de probióticos en alimento animal en $5.4B en 2025 alcanzando $8.3B-$9.2B para 2030 (8.6% CAGR).</t>
  </si>
  <si>
    <t xml:space="preserve">Green Finance for Latin America and the Caribbean</t>
  </si>
  <si>
    <t xml:space="preserve">Grupo Bimbo announces successful issuance of Sustainability-Linked Bonds</t>
  </si>
  <si>
    <t xml:space="preserve">Demanda (Grupo Bimbo, Inversores de bonos)</t>
  </si>
  <si>
    <t xml:space="preserve">México / América Latina</t>
  </si>
  <si>
    <t xml:space="preserve">Cadenas de suministro de soya y trigo ($850M)</t>
  </si>
  <si>
    <t xml:space="preserve">Emisión de bono vinculado a la sostenibilidad de $850M en México atado a la reducción de emisiones Alcance 3 en supply chain.</t>
  </si>
  <si>
    <t xml:space="preserve">Lewis, I. (impactInvestor)</t>
  </si>
  <si>
    <t xml:space="preserve">€1 billion fund reflects investor appetite for regenerative agriculture</t>
  </si>
  <si>
    <t xml:space="preserve">Demanda (Unilever, AXA, Tikehau Capital), Oferta</t>
  </si>
  <si>
    <t xml:space="preserve">Global / Brasil / Bélgica</t>
  </si>
  <si>
    <t xml:space="preserve">Fondo de agricultura regenerativa (€1.000M)</t>
  </si>
  <si>
    <t xml:space="preserve">Lanzamiento del Regenerative Agriculture Fund (€1B) por Unilever, AXA y Tikehau Capital para financiar empresas agtech.</t>
  </si>
  <si>
    <t xml:space="preserve">How Tikehau Capital supports the transition to regenerative agriculture</t>
  </si>
  <si>
    <t xml:space="preserve">Demanda (Tikehau, BioFirst Group), Oferta</t>
  </si>
  <si>
    <t xml:space="preserve">Bélgica / Brasil / Global</t>
  </si>
  <si>
    <t xml:space="preserve">Adquisición de Biotrop (€120M) por Biobest</t>
  </si>
  <si>
    <t xml:space="preserve">Detalla la inversión de €120M en BioFirst para adquirir Biotrop en Brasil y expandir insumos biológicos sin pesticidas.</t>
  </si>
  <si>
    <t xml:space="preserve">Kinsky, G. (Acclym)</t>
  </si>
  <si>
    <t xml:space="preserve">Scaling Regenerative Agriculture: Why are Food and Beverage Companies Struggling?</t>
  </si>
  <si>
    <t xml:space="preserve">Demanda (Corporaciones de alimentos), Oferta (Pequeños agricultores)</t>
  </si>
  <si>
    <t xml:space="preserve">Cadenas agrícolas corporativas</t>
  </si>
  <si>
    <t xml:space="preserve">Analiza los cuellos de botella financieros y rendimientos iniciales reducidos que frenan el escalamiento de la agricultura regenerativa.</t>
  </si>
  <si>
    <t xml:space="preserve">Wilcox, C., et al. (FAO)</t>
  </si>
  <si>
    <t xml:space="preserve">A review of illegal, unreported and unregulated fishing issues in APFIC</t>
  </si>
  <si>
    <t xml:space="preserve">Reguladores/legisladores, Oferta (Pesquerías Asia-Pacífico)</t>
  </si>
  <si>
    <t xml:space="preserve">Asia-Pacífico</t>
  </si>
  <si>
    <t xml:space="preserve">Ecosistemas marinos e pesca ilegal ($23B/año costo)</t>
  </si>
  <si>
    <t xml:space="preserve">Cuantifica en $23.000 millones anuales el costo de la pesca ilegal, no declarada y no reglamentada (INDNR) en la economía global.</t>
  </si>
  <si>
    <t xml:space="preserve">Zhu, R., et al.</t>
  </si>
  <si>
    <t xml:space="preserve">A global estimate of multiecosystem photosynthesis losses under microplastic pollution</t>
  </si>
  <si>
    <t xml:space="preserve">Fotosíntesis global y cultivos (pérdida hasta 14%)</t>
  </si>
  <si>
    <t xml:space="preserve">Demuestra en PNAS que la contaminación microplástica reduce la fotosíntesis global causando pérdidas de hasta 14% en rendimiento agrícola.</t>
  </si>
  <si>
    <t xml:space="preserve">Ngabala, F. &amp; Emmanuel, J. K.</t>
  </si>
  <si>
    <t xml:space="preserve">Potential Substrates for Biogas Production Through Anaerobic Digestion</t>
  </si>
  <si>
    <t xml:space="preserve">Cuantitativo / Heliyon</t>
  </si>
  <si>
    <t xml:space="preserve">Manure, residuos orgánicos y plantas acuáticas</t>
  </si>
  <si>
    <t xml:space="preserve">Evalúa diferentes sustratos orgánicos para optimizar la digestión anaeróbica y producir biogás y digestato fértil.</t>
  </si>
  <si>
    <t xml:space="preserve">Uddin, MM. &amp; Wright, MM.</t>
  </si>
  <si>
    <t xml:space="preserve">Anaerobic digestion fundamentals, challenges, and technological advances</t>
  </si>
  <si>
    <t xml:space="preserve">Comunidad científica, Demanda (Plantas AD)</t>
  </si>
  <si>
    <t xml:space="preserve">Digestión anaeróbica e infraestructura ($400k-$5M)</t>
  </si>
  <si>
    <t xml:space="preserve">Revisión técnica de los costos de capital ($400k-$5M) y desafíos de gestión de digestatos en plantas de digestión anaeróbica.</t>
  </si>
  <si>
    <t xml:space="preserve">GlobeNewswire (Meticulous Research)</t>
  </si>
  <si>
    <t xml:space="preserve">Anaerobic Digestion Systems Market to be Worth $25.4 Billion by 2030</t>
  </si>
  <si>
    <t xml:space="preserve">Demanda (Inversores, Servicios públicos), Oferta</t>
  </si>
  <si>
    <t xml:space="preserve">Global ($20.2B en 2025)</t>
  </si>
  <si>
    <t xml:space="preserve">Sistemas de digestión anaeróbica</t>
  </si>
  <si>
    <t xml:space="preserve">Valora el mercado global de digestores anaeróbicos en $20.2B en 2025 proyectando $25.4B para 2030 (8% CAGR).</t>
  </si>
  <si>
    <t xml:space="preserve">European Commission (COWI / Utrecht Univ)</t>
  </si>
  <si>
    <t xml:space="preserve">Environmental impact assessments of innovative bio-based product</t>
  </si>
  <si>
    <t xml:space="preserve">Reguladores/legisladores (UE), Demanda (Industria plásticos)</t>
  </si>
  <si>
    <t xml:space="preserve">Polímeros bio-basados (-65% emisiones GEI)</t>
  </si>
  <si>
    <t xml:space="preserve">LCA de la Comisión Europea mostrando que los plásticos bio-basados reducen en promedio más del 65% de emisiones GEI frente a fósiles.</t>
  </si>
  <si>
    <t xml:space="preserve">Jambeck, J.N., et al.</t>
  </si>
  <si>
    <t xml:space="preserve">Plastic waste inputs from land into the ocean</t>
  </si>
  <si>
    <t xml:space="preserve">Cuantitativo / Science</t>
  </si>
  <si>
    <t xml:space="preserve">Comunidad científica, Reguladores, Público</t>
  </si>
  <si>
    <t xml:space="preserve">Residuos plásticos marinos (4.8-12.7M t/año)</t>
  </si>
  <si>
    <t xml:space="preserve">Estudio histórico en Science cifrando entre 4.8 y 12.7 millones de toneladas métricas de plástico vertidas al océano anualmente.</t>
  </si>
  <si>
    <t xml:space="preserve">Devenyns (Food Dive)</t>
  </si>
  <si>
    <t xml:space="preserve">Geltor raises $93.1M to grow animal-free ingredients platform</t>
  </si>
  <si>
    <t xml:space="preserve">Demanda (Geltor, Inversores VC)</t>
  </si>
  <si>
    <t xml:space="preserve">Ingredientes de colágeno vegano sin ganadería</t>
  </si>
  <si>
    <t xml:space="preserve">Informa el levantamiento de $93.1M en Serie B por Geltor para escalar proteínas de colágeno por biofermentación.</t>
  </si>
  <si>
    <t xml:space="preserve">Oller (Food Dive)</t>
  </si>
  <si>
    <t xml:space="preserve">Geltor debuts vegan collagen for food and beverages</t>
  </si>
  <si>
    <t xml:space="preserve">Demanda (Geltor, Industria alimentos/cosmética)</t>
  </si>
  <si>
    <t xml:space="preserve">Colágeno PrimaColl sin ganadería</t>
  </si>
  <si>
    <t xml:space="preserve">Presenta el colágeno vegano PrimaColl producido por fermentación microbiana reduciendo el consumo de agua y suelo.</t>
  </si>
  <si>
    <t xml:space="preserve">IRENA &amp; FAO</t>
  </si>
  <si>
    <t xml:space="preserve">Renewable energy for agri-food systems</t>
  </si>
  <si>
    <t xml:space="preserve">Sistemas agroalimentarios y energía renovable (30% uso)</t>
  </si>
  <si>
    <t xml:space="preserve">Informe de IRENA y FAO señalando que los sistemas agroalimentarios consumen el 30% de la energía global y emiten un tercio del GEI.</t>
  </si>
  <si>
    <t xml:space="preserve">Sergeenko, T. &amp; Duro, E.</t>
  </si>
  <si>
    <t xml:space="preserve">Is synthetic biology the answer to personal care's prayers?</t>
  </si>
  <si>
    <t xml:space="preserve">Comunidad científica, Demanda (Cuidado personal)</t>
  </si>
  <si>
    <t xml:space="preserve">Ingredientes sintéticos biológicos para cosmética</t>
  </si>
  <si>
    <t xml:space="preserve">Analiza los desafíos de costos iniciales y regulación para escalar soluciones de biología sintética en cuidado personal.</t>
  </si>
  <si>
    <t xml:space="preserve">Chu, J. (MIT News)</t>
  </si>
  <si>
    <t xml:space="preserve">Watering the world: Design cuts costs energy drip irrigation</t>
  </si>
  <si>
    <t xml:space="preserve">Comunidad científica (MIT), Oferta (Agricultores)</t>
  </si>
  <si>
    <t xml:space="preserve">Riego por goteo fotovoltaico de bajo costo</t>
  </si>
  <si>
    <t xml:space="preserve">Presenta el diseño del MIT que reduce en un 60% el consumo de energía y agua en sistemas de riego por goteo.</t>
  </si>
  <si>
    <t xml:space="preserve">LF Decentralized Trust</t>
  </si>
  <si>
    <t xml:space="preserve">n.d.</t>
  </si>
  <si>
    <t xml:space="preserve">How Walmart brought unprecedented transparency to the food supply chain with Hyperledger Fabric</t>
  </si>
  <si>
    <t xml:space="preserve">Demanda (Walmart), Reguladores, Público general</t>
  </si>
  <si>
    <t xml:space="preserve">Trazabilidad de mangoes por blockchain (2.2 seg)</t>
  </si>
  <si>
    <t xml:space="preserve">Caso de éxito de Walmart usando blockchain Hyperledger reduciendo el tiempo de trazabilidad de mangos de 7 días a 2.2 segundos.</t>
  </si>
  <si>
    <t xml:space="preserve">Abramov, M.</t>
  </si>
  <si>
    <t xml:space="preserve">AI Drones in Agriculture: Transforming Crop Monitoring and Precision Farming</t>
  </si>
  <si>
    <t xml:space="preserve">Drones agrícolas con IA (-90% pesticidas)</t>
  </si>
  <si>
    <t xml:space="preserve">Presenta avances en drones con algoritmos de IA para aspersión de precisión reduciendo hasta en 90% el uso de pesticidas.</t>
  </si>
  <si>
    <t xml:space="preserve">Not yet built for purpose: Global building sector emissions still high and rising</t>
  </si>
  <si>
    <t xml:space="preserve">Reguladores/legisladores, Demanda (Construcción)</t>
  </si>
  <si>
    <t xml:space="preserve">Edificaciones y construcción (37% emisiones CO2)</t>
  </si>
  <si>
    <t xml:space="preserve">Reporta que el sector de la edificación generó aproximadamente el 37% de las emisiones globales de CO2 en 2022.</t>
  </si>
  <si>
    <t xml:space="preserve">WSP</t>
  </si>
  <si>
    <t xml:space="preserve">The world is facing a water crisis. Here's how the built environment can help</t>
  </si>
  <si>
    <t xml:space="preserve">Demanda (Construcción, Inmobiliario), Reguladores</t>
  </si>
  <si>
    <t xml:space="preserve">Entorno construido y consumo hídrico (15% agua)</t>
  </si>
  <si>
    <t xml:space="preserve">Informa que el entorno construido consume el 15% del agua dulce mundial proponiendo técnicas de reutilización hídrica.</t>
  </si>
  <si>
    <t xml:space="preserve">Torres, A., et al.</t>
  </si>
  <si>
    <t xml:space="preserve">Unearthing the global impact of mining construction minerals on biodiversity</t>
  </si>
  <si>
    <t xml:space="preserve">Cuantitativo / bioRxiv</t>
  </si>
  <si>
    <t xml:space="preserve">Canteras de arena, piedra y arcilla (600 especies en riesgo)</t>
  </si>
  <si>
    <t xml:space="preserve">Demuestra que más de 600 especies en la Lista Roja de UICN están amenazadas por la extracción de minerales de construcción.</t>
  </si>
  <si>
    <t xml:space="preserve">GI Hub</t>
  </si>
  <si>
    <t xml:space="preserve">Global infrastructure investment need to reach USD97 trillion by 2040</t>
  </si>
  <si>
    <t xml:space="preserve">Mercados emergentes ($24.7T)</t>
  </si>
  <si>
    <t xml:space="preserve">Infraestructura global urbana y de transporte</t>
  </si>
  <si>
    <t xml:space="preserve">Cuantifica las necesidades globales de infraestructura e identifica $24.7 billones en oportunidades de mercado emergente.</t>
  </si>
  <si>
    <t xml:space="preserve">Understanding biodiversity net gain</t>
  </si>
  <si>
    <t xml:space="preserve">Desarrollos urbanos e infraestructura (+10% BNG)</t>
  </si>
  <si>
    <t xml:space="preserve">Directriz legal del Reino Unido exigiendo un mínimo del 10% de ganancia neta de biodiversidad en nuevos desarrollos.</t>
  </si>
  <si>
    <t xml:space="preserve">Reguladores/legisladores (Natural England), Demanda</t>
  </si>
  <si>
    <t xml:space="preserve">Bancos de hábitat y registro nacional (30 años)</t>
  </si>
  <si>
    <t xml:space="preserve">Detalla la normativa inglesa BNG que exige mantener los bancos de hábitat registrados por un mínimo de 30 años.</t>
  </si>
  <si>
    <t xml:space="preserve">ECOncrete Harbors Sealife on Critical Marine Structures</t>
  </si>
  <si>
    <t xml:space="preserve">Demanda (Infraestructura portuaria, Inversores BNEF)</t>
  </si>
  <si>
    <t xml:space="preserve">Global (13 países)</t>
  </si>
  <si>
    <t xml:space="preserve">Concreto marino bio-mejorado (-80% huella C)</t>
  </si>
  <si>
    <t xml:space="preserve">Presenta el concreto patentado ECOncrete desplegado en 40 proyectos marinos reduciendo hasta 80% la huella de carbono.</t>
  </si>
  <si>
    <t xml:space="preserve">Marine infrastructure market size, share and trends 2024–2034</t>
  </si>
  <si>
    <t xml:space="preserve">Demanda (Inversores, Construcción marítima)</t>
  </si>
  <si>
    <t xml:space="preserve">Global ($166.3B en 2024)</t>
  </si>
  <si>
    <t xml:space="preserve">Infraestructura marina global</t>
  </si>
  <si>
    <t xml:space="preserve">Valora el mercado global de infraestructura marina en $166.3B en 2024 proyectando un crecimiento del 5.2% CAGR.</t>
  </si>
  <si>
    <t xml:space="preserve">Javeed, Y., et al.</t>
  </si>
  <si>
    <t xml:space="preserve">Microbial self-healing in concrete: A comprehensive exploration of bacterial viability</t>
  </si>
  <si>
    <t xml:space="preserve">Comunidad científica, Demanda (Construcción)</t>
  </si>
  <si>
    <t xml:space="preserve">Concreto autoreparable por bacterias (Bacillus)</t>
  </si>
  <si>
    <t xml:space="preserve">Demuestra el uso de bacterias Bacillus en cápsulas para sellar grietas de concreto de hasta 0.5 mm generando caliza natural.</t>
  </si>
  <si>
    <t xml:space="preserve">Qian C., et al.</t>
  </si>
  <si>
    <t xml:space="preserve">Application of microbial self-healing concrete: Case study</t>
  </si>
  <si>
    <t xml:space="preserve">Comunidad científica, Demanda (Basilisk Schiphol)</t>
  </si>
  <si>
    <t xml:space="preserve">Países Bajos (Aeropuerto Schiphol)</t>
  </si>
  <si>
    <t xml:space="preserve">Pista de bus de Schiphol con mortero autoreparable</t>
  </si>
  <si>
    <t xml:space="preserve">Caso de estudio en Schiphol reduciendo 90% de emisiones de CO2 y extendiendo la vida útil de la pista por 15 años.</t>
  </si>
  <si>
    <t xml:space="preserve">Biocement market | Global market analysis report - 2035</t>
  </si>
  <si>
    <t xml:space="preserve">Demanda (Inversores, Bioconstrucción)</t>
  </si>
  <si>
    <t xml:space="preserve">Global ($1B mercado)</t>
  </si>
  <si>
    <t xml:space="preserve">Bioconcreto y biocemento</t>
  </si>
  <si>
    <t xml:space="preserve">Valora el mercado de biocemento para construcción en $1B en 2025 proyectando un crecimiento del 5.9% CAGR.</t>
  </si>
  <si>
    <t xml:space="preserve">Precision Business Insights</t>
  </si>
  <si>
    <t xml:space="preserve">Biomimetics Market Size, Share, Growth, Trends</t>
  </si>
  <si>
    <t xml:space="preserve">Demanda (Empresas de diseño, Arquitectura)</t>
  </si>
  <si>
    <t xml:space="preserve">Global ($8.3M mercado)</t>
  </si>
  <si>
    <t xml:space="preserve">Diseño biomimético en arquitectura</t>
  </si>
  <si>
    <t xml:space="preserve">Estima el mercado global de diseño biomimético en $8.3M en 2024 con proyección de crecimiento superior al 11% anual.</t>
  </si>
  <si>
    <t xml:space="preserve">5 ways giant termite mounds can help architects create more efficient buildings</t>
  </si>
  <si>
    <t xml:space="preserve">Demanda (Arup, Arquitectos), Público general</t>
  </si>
  <si>
    <t xml:space="preserve">Zimbabue (Eastgate Centre Harare)</t>
  </si>
  <si>
    <t xml:space="preserve">Edificación enfriada por termiteros (-90% energía)</t>
  </si>
  <si>
    <t xml:space="preserve">Presenta el edificio Eastgate Centre inspirado en termiteros que reduce en 90% el uso de aire acondicionado convencional.</t>
  </si>
  <si>
    <t xml:space="preserve">Stamm</t>
  </si>
  <si>
    <t xml:space="preserve">What is Biomimicry? The Train and the Kingfisher</t>
  </si>
  <si>
    <t xml:space="preserve">Demanda (JR West Japan Railway), Público</t>
  </si>
  <si>
    <t xml:space="preserve">Tren bala Shinkansen inspirado en el martín pescador</t>
  </si>
  <si>
    <t xml:space="preserve">Detalla el rediseño aerodinámico del tren Shinkansen que aumentó la velocidad en 10% y redujo el uso eléctrico en 15%.</t>
  </si>
  <si>
    <t xml:space="preserve">Thayer, R.C. &amp; Patel, N.H.</t>
  </si>
  <si>
    <t xml:space="preserve">A meta-analysis of butterfly structural colors: their color range and distribution</t>
  </si>
  <si>
    <t xml:space="preserve">Comunidad científica, Demanda (Fachadas y pinturas)</t>
  </si>
  <si>
    <t xml:space="preserve">Estructura a escala de mariposa Morpho</t>
  </si>
  <si>
    <t xml:space="preserve">Meta-análisis sobre el color estructural en escamas de mariposa para crear recubrimientos y pinturas iridiscentes sin pigmentos tóxicos.</t>
  </si>
  <si>
    <t xml:space="preserve">Biochar</t>
  </si>
  <si>
    <t xml:space="preserve">Comunidad científica, Oferta (Agricultores/Silvicultores)</t>
  </si>
  <si>
    <t xml:space="preserve">Biomasa pirolizada y fijación de C</t>
  </si>
  <si>
    <t xml:space="preserve">Definición técnica del biochar producido por pirolisis de biomasa para secuestro permanente de carbono.</t>
  </si>
  <si>
    <t xml:space="preserve">Werner, C., et al.</t>
  </si>
  <si>
    <t xml:space="preserve">Potential of Land-Neutral Negative Emissions Through Biochar Sequestration</t>
  </si>
  <si>
    <t xml:space="preserve">Secuestro de carbono en biochar (2.62 GtCO2/año)</t>
  </si>
  <si>
    <t xml:space="preserve">Demuestra que los materiales basados en biochar pueden secuestrar hasta 2.62 gigatones de CO2 anualmente sin usar tierra adicional.</t>
  </si>
  <si>
    <t xml:space="preserve">Yadav, D., et al.</t>
  </si>
  <si>
    <t xml:space="preserve">Development and sustainability of bioplastics: A review</t>
  </si>
  <si>
    <t xml:space="preserve">Comunidad científica, Demanda (Industria plásticos)</t>
  </si>
  <si>
    <t xml:space="preserve">Bioplásticos y bio-revestimientos</t>
  </si>
  <si>
    <t xml:space="preserve">Revisa los bioplásticos destacando que requieren un tercio de la energía de los plásticos petroquímicos convencionales.</t>
  </si>
  <si>
    <t xml:space="preserve">Made of Air</t>
  </si>
  <si>
    <t xml:space="preserve">From waste to reversing climate change: This is what we do at MOA</t>
  </si>
  <si>
    <t xml:space="preserve">Demanda (Made of Air, Fachadas Bavaria/Milán)</t>
  </si>
  <si>
    <t xml:space="preserve">Alemania / Italia</t>
  </si>
  <si>
    <t xml:space="preserve">Revestimientos bioplásticos con biochar</t>
  </si>
  <si>
    <t xml:space="preserve">Presenta el revestimiento bioplástico de biochar que almacena 2 toneladas de CO2e por cada tonelada de plástico producido.</t>
  </si>
  <si>
    <t xml:space="preserve">Dezeen</t>
  </si>
  <si>
    <t xml:space="preserve">Atmospheric CO2 is 'our biggest resource' says carbon-negative plastic brand Made of Air</t>
  </si>
  <si>
    <t xml:space="preserve">Cualitativo / Entrevista</t>
  </si>
  <si>
    <t xml:space="preserve">Demanda (Diseñadores, Fachadas), Público</t>
  </si>
  <si>
    <t xml:space="preserve">Alemania / Global</t>
  </si>
  <si>
    <t xml:space="preserve">Paneles de plástico carbono-negativo</t>
  </si>
  <si>
    <t xml:space="preserve">Entrevista sobre el uso de biochar para convertir las fachadas de edificios urbanos en sumideros permanentes de carbono.</t>
  </si>
  <si>
    <t xml:space="preserve">Globe Newswire</t>
  </si>
  <si>
    <t xml:space="preserve">Bioplastics Market Size, Share &amp; Trends Analysis Report 2025-2030</t>
  </si>
  <si>
    <t xml:space="preserve">Demanda (Inversores, Envasado), Reguladores</t>
  </si>
  <si>
    <t xml:space="preserve">Global ($13B en 2023)</t>
  </si>
  <si>
    <t xml:space="preserve">Mercado global de bioplásticos</t>
  </si>
  <si>
    <t xml:space="preserve">Proyecta que el mercado global de bioplásticos alcanzará los $45B para 2030 con un crecimiento del 19.5% CAGR.</t>
  </si>
  <si>
    <t xml:space="preserve">Research and Markets</t>
  </si>
  <si>
    <t xml:space="preserve">Global Mycelium Research Report 2023-2028</t>
  </si>
  <si>
    <t xml:space="preserve">Demanda (Diseño, Aislamiento), Oferta</t>
  </si>
  <si>
    <t xml:space="preserve">Global ($100M mercado)</t>
  </si>
  <si>
    <t xml:space="preserve">Aislamiento y paneles fúngicos de micelio</t>
  </si>
  <si>
    <t xml:space="preserve">Informe de mercado proyectando un crecimiento superior al 9% anual en paneles fúngicos de micelio para aislamiento.</t>
  </si>
  <si>
    <t xml:space="preserve">Espada, J., et al.</t>
  </si>
  <si>
    <t xml:space="preserve">Coupling phytoremediation of Pb-contaminated soil and biomass energy production: A comparative LCA</t>
  </si>
  <si>
    <t xml:space="preserve">Comunidad científica, Demanda (Canteras), Reguladores</t>
  </si>
  <si>
    <t xml:space="preserve">Suelos de cantera contaminados con plomo</t>
  </si>
  <si>
    <t xml:space="preserve">LCA comparativo mostrando que la fitoextracción con biomasa reduce el impacto de GEI entre 30% y 100% frente al lavado de suelo.</t>
  </si>
  <si>
    <t xml:space="preserve">BirdLife International &amp; Heidelberg Materials</t>
  </si>
  <si>
    <t xml:space="preserve">BirdLife and Heidelberg Materials Partnership</t>
  </si>
  <si>
    <t xml:space="preserve">Demanda (Heidelberg Materials), ONG (BirdLife)</t>
  </si>
  <si>
    <t xml:space="preserve">Global (Europa, EE. UU., Asia)</t>
  </si>
  <si>
    <t xml:space="preserve">Fitolimpieza en canteras rehabilitadas</t>
  </si>
  <si>
    <t xml:space="preserve">Alianza hito para aplicar fitorremediación y restauración de biodiversidad en canteras de cemento en tres continentes.</t>
  </si>
  <si>
    <t xml:space="preserve">Cognitive Market Research</t>
  </si>
  <si>
    <t xml:space="preserve">Phytoremediation Market Report 2025 (Global Edition)</t>
  </si>
  <si>
    <t xml:space="preserve">Demanda (Inversores, Industria pesada), Reguladores</t>
  </si>
  <si>
    <t xml:space="preserve">Global ($6.2B en 2023)</t>
  </si>
  <si>
    <t xml:space="preserve">Fitorremediación de canteras e industrias</t>
  </si>
  <si>
    <t xml:space="preserve">Valora el mercado global de fitorremediación en $6.2B en 2023 con crecimiento proyectado del 5% anual a 2030.</t>
  </si>
  <si>
    <t xml:space="preserve">World Meteorological Organization (WMO) / UNEP</t>
  </si>
  <si>
    <t xml:space="preserve">Number of wildfires forecast to rise by 50% by 2100</t>
  </si>
  <si>
    <t xml:space="preserve">Bosques y riesgo de incendios forestales (+30% a 2050)</t>
  </si>
  <si>
    <t xml:space="preserve">Proyecta un aumento del 30% en los incendios forestales extremos a 2050 destruyendo cuencas e infraestructura.</t>
  </si>
  <si>
    <t xml:space="preserve">Forest Action Plan FY16-20</t>
  </si>
  <si>
    <t xml:space="preserve">Reguladores/legisladores, Demanda (Madera), Oferta</t>
  </si>
  <si>
    <t xml:space="preserve">Bosques gestionados (cuadruplicación demanda madera)</t>
  </si>
  <si>
    <t xml:space="preserve">Informa que la demanda de madera como material de construcción sostenible se cuadruplicará entre 2016 y 2046.</t>
  </si>
  <si>
    <t xml:space="preserve">The Nature Conservancy &amp; Willis Towers Watson</t>
  </si>
  <si>
    <t xml:space="preserve">TNC and Willis Launch First-of-Its-Kind Wildfire Resilience Insurance</t>
  </si>
  <si>
    <t xml:space="preserve">Demanda (Aseguradoras Willis, Propietarios), ONG</t>
  </si>
  <si>
    <t xml:space="preserve">Bosques raleados y seguros de riesgo de incendio</t>
  </si>
  <si>
    <t xml:space="preserve">Póliza de seguro pionera en California que reduce primas a propietarios que realizan aclarado ecológico de bosques.</t>
  </si>
  <si>
    <t xml:space="preserve">Blue Forest</t>
  </si>
  <si>
    <t xml:space="preserve">Forest Resilience Bond (FRB)</t>
  </si>
  <si>
    <t xml:space="preserve">Demanda (Inversores de impacto, Servicios de agua), Oferta</t>
  </si>
  <si>
    <t xml:space="preserve">Estados Unidos (California - Sierra Nevada)</t>
  </si>
  <si>
    <t xml:space="preserve">Bosques de montaña y cuencas hídricas</t>
  </si>
  <si>
    <t xml:space="preserve">Bono de resiliencia forestal que financia raleo preventivo de incendios retribuyendo por volumen de agua e incendios evitados.</t>
  </si>
  <si>
    <t xml:space="preserve">Environmental Finance</t>
  </si>
  <si>
    <t xml:space="preserve">PG&amp;E credit upgrade 'not possible' without wildfire recovery bonds</t>
  </si>
  <si>
    <t xml:space="preserve">Demanda (PG&amp;E, Inversores de bonos), Reguladores</t>
  </si>
  <si>
    <t xml:space="preserve">Soterramiento de líneas e infraestructura eléctrica</t>
  </si>
  <si>
    <t xml:space="preserve">Informa que los bonos de recuperación de incendios respaldados por clientes permitieron la mejora crediticia de PG&amp;E.</t>
  </si>
  <si>
    <t xml:space="preserve">NatureMetrics</t>
  </si>
  <si>
    <t xml:space="preserve">eDNA &amp; biodiversity monitoring solutions</t>
  </si>
  <si>
    <t xml:space="preserve">Demanda (Empresas de minería y construcción), Científicos</t>
  </si>
  <si>
    <t xml:space="preserve">Global (600 clientes)</t>
  </si>
  <si>
    <t xml:space="preserve">Análisis genético de eDNA en agua y suelo</t>
  </si>
  <si>
    <t xml:space="preserve">Sistema de eDNA e IA para mapear especies y baseline de biodiversidad en obras de minería y construcción.</t>
  </si>
  <si>
    <t xml:space="preserve">Hundipea</t>
  </si>
  <si>
    <t xml:space="preserve">Surprising discoveries at Hundipea – we have 2,347 unusual neighbours</t>
  </si>
  <si>
    <t xml:space="preserve">Público general, Demanda (Desarrolladores urbanos)</t>
  </si>
  <si>
    <t xml:space="preserve">Estonia (Tallin)</t>
  </si>
  <si>
    <t xml:space="preserve">Mapeo de eDNA urbano (2.347 grupos de organismos)</t>
  </si>
  <si>
    <t xml:space="preserve">Caso de estudio en Tallin donde el mapeo de eDNA identificó 2.347 grupos de organismos en un desarrollo urbano.</t>
  </si>
  <si>
    <t xml:space="preserve">Bloomberg</t>
  </si>
  <si>
    <t xml:space="preserve">UK Startup That Uses DNA to Gauge Biodiversity Raises $25 Million</t>
  </si>
  <si>
    <t xml:space="preserve">Demanda (NatureMetrics, Inversores VC)</t>
  </si>
  <si>
    <t xml:space="preserve">eDNA e inteligencia artificial para biodiversidad</t>
  </si>
  <si>
    <t xml:space="preserve">Informa el levantamiento de $25M en Serie B por la startup NatureMetrics para monitoreo genético de biodiversidad.</t>
  </si>
  <si>
    <t xml:space="preserve">Kang, et al.</t>
  </si>
  <si>
    <t xml:space="preserve">Transformative enhancements in CLT housing: A three-step approach to minimizing energy consumption</t>
  </si>
  <si>
    <t xml:space="preserve">Comunidad científica, Demanda (Arquitectura)</t>
  </si>
  <si>
    <t xml:space="preserve">Madera contralaminada (CLT) vs concreto (1 tCO2/m3)</t>
  </si>
  <si>
    <t xml:space="preserve">Demuestra en LCA que sustituir 1 m3 de concreto por CLT secuestra 1 tonelada de CO2 en la estructura.</t>
  </si>
  <si>
    <t xml:space="preserve">Abed, J., et al.</t>
  </si>
  <si>
    <t xml:space="preserve">A Review of the Performance and Benefits of Mass Timber as an Alternative to Concrete and Steel</t>
  </si>
  <si>
    <t xml:space="preserve">Madera masiva (-30 veces uso de agua)</t>
  </si>
  <si>
    <t xml:space="preserve">Revisión mostrando que la madera masiva utiliza hasta 30 veces menos agua en su producción que el concreto convencional.</t>
  </si>
  <si>
    <t xml:space="preserve">Urban Land</t>
  </si>
  <si>
    <t xml:space="preserve">In Milwaukee, a 25-Story Mass Timber Apartment Building Makes an Ascent</t>
  </si>
  <si>
    <t xml:space="preserve">Demanda (Desarrolladores Ascent), Público</t>
  </si>
  <si>
    <t xml:space="preserve">Estados Unidos (Milwaukee)</t>
  </si>
  <si>
    <t xml:space="preserve">Edificio Ascent de 25 pisos en madera masiva (86.5m)</t>
  </si>
  <si>
    <t xml:space="preserve">Presenta el edificio Ascent en Milwaukee, la estructura de madera masiva más alta del mundo con 86.5 metros.</t>
  </si>
  <si>
    <t xml:space="preserve">Duff, D. (Washington Magazine)</t>
  </si>
  <si>
    <t xml:space="preserve">Cross-laminated timber could 'forge new links between lands and people'</t>
  </si>
  <si>
    <t xml:space="preserve">Oferta (Silvicultores), Demanda (Construcción)</t>
  </si>
  <si>
    <t xml:space="preserve">Estados Unidos (Washington)</t>
  </si>
  <si>
    <t xml:space="preserve">Bosques sostenibles y arquitectura CLT</t>
  </si>
  <si>
    <t xml:space="preserve">Analiza cómo el CLT fomenta cadenas de valor forestales sostenibles y reduce costos de cimentación en 50%.</t>
  </si>
  <si>
    <t xml:space="preserve">GBD Magazine</t>
  </si>
  <si>
    <t xml:space="preserve">This is the World’s Largest CLT Building—and You’d Never Know</t>
  </si>
  <si>
    <t xml:space="preserve">Demanda (Waugh Thistleton Architects), Público</t>
  </si>
  <si>
    <t xml:space="preserve">Reino Unido (Londres - Dalston Works)</t>
  </si>
  <si>
    <t xml:space="preserve">Edificio Dalston Works en CLT</t>
  </si>
  <si>
    <t xml:space="preserve">Caso de estudio de Dalston Works en Londres, una de las mayores estructuras residenciales de madera contralaminada.</t>
  </si>
  <si>
    <t xml:space="preserve">BusinessWire</t>
  </si>
  <si>
    <t xml:space="preserve">BTG Pactual Timberland Investment Group to provide Microsoft with 8 million carbon removal credits</t>
  </si>
  <si>
    <t xml:space="preserve">Demanda (Microsoft, BTG Pactual TIG), Oferta</t>
  </si>
  <si>
    <t xml:space="preserve">Brasil / Uruguay / Chile (300k ha)</t>
  </si>
  <si>
    <t xml:space="preserve">Restauración nativa (135k ha) y silvicultura FSC</t>
  </si>
  <si>
    <t xml:space="preserve">Acuerdo hito de venta de 8 millones de créditos de remoción de carbono a Microsoft respaldando la restauración de 135k ha.</t>
  </si>
  <si>
    <t xml:space="preserve">Real Assets IPE</t>
  </si>
  <si>
    <t xml:space="preserve">BTG Pactual and Meta agree 1.3m in nature-based carbon removal credits</t>
  </si>
  <si>
    <t xml:space="preserve">Demanda (Meta, BTG Pactual TIG), Oferta</t>
  </si>
  <si>
    <t xml:space="preserve">América Latina (Brasil)</t>
  </si>
  <si>
    <t xml:space="preserve">Bosques restaurados (37k ha compradas)</t>
  </si>
  <si>
    <t xml:space="preserve">Acuerdo de venta de 1.3 millones de créditos de remoción de carbono con Meta para la restauración de hábitats nativos.</t>
  </si>
  <si>
    <t xml:space="preserve">PEC Consulting Group</t>
  </si>
  <si>
    <t xml:space="preserve">Environmental and Qualitative Benefits of Supplementary Cementitious Materials</t>
  </si>
  <si>
    <t xml:space="preserve">Comunidad científica, Demanda (Cementeras)</t>
  </si>
  <si>
    <t xml:space="preserve">Materiales cementicios suplementarios (SCMs)</t>
  </si>
  <si>
    <t xml:space="preserve">Demuestra que la sustitución de cemento Portland por cenizas de carbón (SCMs) reduce las emisiones de GEI en más de 20%.</t>
  </si>
  <si>
    <t xml:space="preserve">Eco Material Technologies</t>
  </si>
  <si>
    <t xml:space="preserve">Eco Material Technologies 2022 ESG Report</t>
  </si>
  <si>
    <t xml:space="preserve">Demanda (Eco Material), Reguladores</t>
  </si>
  <si>
    <t xml:space="preserve">Reciclaje de cenizas de carbón (7.7M t desviadas)</t>
  </si>
  <si>
    <t xml:space="preserve">Reporta la desviación de 7.7 millones de toneladas de cenizas de carbón de vertederos previniendo 5.9M tCO2e en 2022.</t>
  </si>
  <si>
    <t xml:space="preserve">AECOM</t>
  </si>
  <si>
    <t xml:space="preserve">A Playbook for Nature-Positive Infrastructure Development: showcasing solutions</t>
  </si>
  <si>
    <t xml:space="preserve">Demanda (AECOM, Ingenieros), Reguladores</t>
  </si>
  <si>
    <t xml:space="preserve">Soluciones basadas en la naturaleza en infraestructura</t>
  </si>
  <si>
    <t xml:space="preserve">Guía de soluciones de infraestructura nature-positive incluyendo cruces de fauna, humedales y reforestación.</t>
  </si>
  <si>
    <t xml:space="preserve">Carbon Future</t>
  </si>
  <si>
    <t xml:space="preserve">Building a Greener Future: How Carbon Removal and Policy Will Decarbonize Construction</t>
  </si>
  <si>
    <t xml:space="preserve">Reguladores/legisladores (NY LECCLA), Demanda</t>
  </si>
  <si>
    <t xml:space="preserve">Estados Unidos (Nueva York)</t>
  </si>
  <si>
    <t xml:space="preserve">Concreto de bajo carbono en compras públicas</t>
  </si>
  <si>
    <t xml:space="preserve">Analiza la ley LECCLA de Nueva York que establece umbrales obligatorios de reducción de GWP en concreto estatal.</t>
  </si>
  <si>
    <t xml:space="preserve">World Bio Market Insights</t>
  </si>
  <si>
    <t xml:space="preserve">Built by Nature awards €250,000 to Widuz for bamboo-based construction materials</t>
  </si>
  <si>
    <t xml:space="preserve">Demanda (Widuz, Built by Nature), Oferta</t>
  </si>
  <si>
    <t xml:space="preserve">Bambú laminado BVL™ (-40% huella C)</t>
  </si>
  <si>
    <t xml:space="preserve">Premia a la startup Widuz por desarrollar bambú laminado BVL™ 3 veces más resistente que la madera e ingeniería ligera.</t>
  </si>
  <si>
    <t xml:space="preserve">PMC.NCBI</t>
  </si>
  <si>
    <t xml:space="preserve">Living walls enhancing the urban realm: a review</t>
  </si>
  <si>
    <t xml:space="preserve">Muros verdes y fachadas de musgo (-10°C temp)</t>
  </si>
  <si>
    <t xml:space="preserve">Revisión mostrando que los muros verdes purifican el aire, secuestran carbono y reducen la temperatura urbana hasta en 10°C.</t>
  </si>
  <si>
    <t xml:space="preserve">Green wall market size: Will grow at a CAGR of 9.80% from 2024 to 2031</t>
  </si>
  <si>
    <t xml:space="preserve">Demanda (Inversores, Construcción), Oferta</t>
  </si>
  <si>
    <t xml:space="preserve">Global ($9.2B en 2024)</t>
  </si>
  <si>
    <t xml:space="preserve">Mercado de muros verdes y jardines verticales</t>
  </si>
  <si>
    <t xml:space="preserve">Valora el mercado de muros verdes en $9.2B en 2024 proyectando $19.5B para 2030 (9.5% CAGR).</t>
  </si>
  <si>
    <t xml:space="preserve">OUCI</t>
  </si>
  <si>
    <t xml:space="preserve">Heavy Metal Phytoremediation by Crop Species at Hebbal Industrial Area</t>
  </si>
  <si>
    <t xml:space="preserve">India (Mysuru)</t>
  </si>
  <si>
    <t xml:space="preserve">Suelos industriales contaminados con metales pesados</t>
  </si>
  <si>
    <t xml:space="preserve">Demuestra que la mostaza india extrae entre el 25% y 39% de metales pesados del suelo en una sola temporada de cultivo.</t>
  </si>
  <si>
    <t xml:space="preserve">PMC</t>
  </si>
  <si>
    <t xml:space="preserve">Bacteria, Fungi and Microalgae for the Bioremediation of Marine Sediments</t>
  </si>
  <si>
    <t xml:space="preserve">Comunidad científica, Demanda (Petroleras)</t>
  </si>
  <si>
    <t xml:space="preserve">Global / Marino</t>
  </si>
  <si>
    <t xml:space="preserve">Acuático / Costero</t>
  </si>
  <si>
    <t xml:space="preserve">Sedimentos marinos contaminados con hidrocarburos</t>
  </si>
  <si>
    <t xml:space="preserve">Demuestra que la bioestimulación microbiana logra hasta un 80% de eliminación de hidrocarburos de petróleo en sedimentos.</t>
  </si>
  <si>
    <t xml:space="preserve">Bioremediation Market Size &amp; Trends</t>
  </si>
  <si>
    <t xml:space="preserve">Demanda (Inversores, Industria pesada)</t>
  </si>
  <si>
    <t xml:space="preserve">Global ($16.3B en 2024)</t>
  </si>
  <si>
    <t xml:space="preserve">Mercado global de biorremediación</t>
  </si>
  <si>
    <t xml:space="preserve">Estima el mercado global de biorremediación en $16.3B en 2024 proyectando un crecimiento del 10.5% CAGR.</t>
  </si>
  <si>
    <t xml:space="preserve">Harrisberg, K. (WEF)</t>
  </si>
  <si>
    <t xml:space="preserve">What are 'sponge cities' and how can they prevent floods?</t>
  </si>
  <si>
    <t xml:space="preserve">Reguladores/legisladores, Demanda (Ciudades), Público</t>
  </si>
  <si>
    <t xml:space="preserve">Global / China / EE. UU.</t>
  </si>
  <si>
    <t xml:space="preserve">Ciudades esponja y drenaje natural (-50% costos)</t>
  </si>
  <si>
    <t xml:space="preserve">Destaca que las ciudades esponja reducen costos de drenaje en 50% y son 28% más efectivas que la infraestructura gris.</t>
  </si>
  <si>
    <t xml:space="preserve">Circle Economy Foundation</t>
  </si>
  <si>
    <t xml:space="preserve">Sponge City Shenzhen</t>
  </si>
  <si>
    <t xml:space="preserve">Reguladores/legisladores (Shenzhen), Público</t>
  </si>
  <si>
    <t xml:space="preserve">China (Shenzhen - 105 acres)</t>
  </si>
  <si>
    <t xml:space="preserve">Parque urbano renovado y manglares (13 ha)</t>
  </si>
  <si>
    <t xml:space="preserve">Caso de estudio en Shenzhen convirtiendo un área agrícola abandonada de 105 acres en parque esponja con manglares.</t>
  </si>
  <si>
    <t xml:space="preserve">Neaspec</t>
  </si>
  <si>
    <t xml:space="preserve">Shenzhen Sponge City Programme in Guangming District</t>
  </si>
  <si>
    <t xml:space="preserve">China (Shenzhen)</t>
  </si>
  <si>
    <t xml:space="preserve">Captura de lluvia urbana (72% tasa)</t>
  </si>
  <si>
    <t xml:space="preserve">Reporta que el programa en el distrito de Guangming capturó el 72% de la lluvia anual evitando inundaciones urbanas.</t>
  </si>
  <si>
    <t xml:space="preserve">Dialogue Earth</t>
  </si>
  <si>
    <t xml:space="preserve">Shenzhen: How China’s most 'futuristic' city restored its mangroves</t>
  </si>
  <si>
    <t xml:space="preserve">Reguladores/legisladores, Oferta (Comunidades), Público</t>
  </si>
  <si>
    <t xml:space="preserve">Bosques de manglar urbano (13 ha restauradas)</t>
  </si>
  <si>
    <t xml:space="preserve">Analiza la restauración de 13 hectáreas de manglares urbanos en Shenzhen para protección costera y carbono.</t>
  </si>
  <si>
    <t xml:space="preserve">TechSci Research</t>
  </si>
  <si>
    <t xml:space="preserve">Stormwater management market by size, share and forecast 2030</t>
  </si>
  <si>
    <t xml:space="preserve">Demanda (Inversores, Municipios), Reguladores</t>
  </si>
  <si>
    <t xml:space="preserve">Global ($17.8B en 2024)</t>
  </si>
  <si>
    <t xml:space="preserve">Acuático / Urbano</t>
  </si>
  <si>
    <t xml:space="preserve">Valora el mercado de infraestructura verde de aguas pluviales en $17.8B en 2024 proyectando $30B para 2030 (9% CAGR).</t>
  </si>
  <si>
    <t xml:space="preserve">Network for Engineering with Nature</t>
  </si>
  <si>
    <t xml:space="preserve">Partner Profile: AECOM</t>
  </si>
  <si>
    <t xml:space="preserve">Demanda (AECOM), Comunidad científica</t>
  </si>
  <si>
    <t xml:space="preserve">Natural Capital Laboratory (medición de rewilding)</t>
  </si>
  <si>
    <t xml:space="preserve">Presenta las plataformas digitales EcoUplift y Natural Capital Laboratory de AECOM para medir restauración.</t>
  </si>
  <si>
    <t xml:space="preserve">RICS</t>
  </si>
  <si>
    <t xml:space="preserve">Digitalisation in construction report 2024</t>
  </si>
  <si>
    <t xml:space="preserve">Demanda (Contratistas), Reguladores, RICS</t>
  </si>
  <si>
    <t xml:space="preserve">Herramientas digitales e IA en construcción</t>
  </si>
  <si>
    <t xml:space="preserve">Encuesta de RICS identificando que el costo inicial y esfuerzo son las principales barreras para adoptar IA en construcción.</t>
  </si>
  <si>
    <t xml:space="preserve">Europe - Germany Eingriffsregelung</t>
  </si>
  <si>
    <t xml:space="preserve">Reguladores/legisladores (Alemania), Demanda</t>
  </si>
  <si>
    <t xml:space="preserve">Eingriffsregelung (No Net Loss desde 1976)</t>
  </si>
  <si>
    <t xml:space="preserve">Reseña el sistema alemán Eingriffsregelung, el esquema de compensación de impacto ambiental más antiguo (desde 1976).</t>
  </si>
  <si>
    <t xml:space="preserve">Biodiversity offsets, their effectiveness and their role in a nature positive future</t>
  </si>
  <si>
    <t xml:space="preserve">Políticas de compensación de biodiversidad</t>
  </si>
  <si>
    <t xml:space="preserve">Revisión en Nature Reviews Biodiversity analizando la efectividad empírica y riesgos de los offsets de biodiversidad.</t>
  </si>
  <si>
    <t xml:space="preserve">Global State of the Market 2024</t>
  </si>
  <si>
    <t xml:space="preserve">Global ($6.9T acumulados)</t>
  </si>
  <si>
    <t xml:space="preserve">Bonos GSS+ (Verdes, Sociales, Sostenibles)</t>
  </si>
  <si>
    <t xml:space="preserve">Informa que la emisión acumulada de bonos GSS+ alcanzó los $6.9 billones a finales de 2024 ($5.7T alineados con CBI).</t>
  </si>
  <si>
    <t xml:space="preserve">2021 Global Status Report For Buildings and Construction</t>
  </si>
  <si>
    <t xml:space="preserve">Eficiencia energética e insumos de edificación</t>
  </si>
  <si>
    <t xml:space="preserve">Reporte global sobre estándares y códigos de edificación sostenible y descarbonización del sector de construcción.</t>
  </si>
  <si>
    <t xml:space="preserve">Ge, M., et al. (WRI)</t>
  </si>
  <si>
    <t xml:space="preserve">Where Do Emissions Come From? 4 Charts Explain Greenhouse Gas Emissions by Sector</t>
  </si>
  <si>
    <t xml:space="preserve">Sector energético global (75.7% GEI)</t>
  </si>
  <si>
    <t xml:space="preserve">Muestra que el sector energético es responsable del 75.7% de las emisiones globales antropogénicas de GEI.</t>
  </si>
  <si>
    <t xml:space="preserve">Mainstreaming biodiversity into Renewable Power Infrastructure</t>
  </si>
  <si>
    <t xml:space="preserve">Reguladores/legisladores, Demanda (Empresas renovables)</t>
  </si>
  <si>
    <t xml:space="preserve">Infraestructura solar y eólica (33% solapamiento)</t>
  </si>
  <si>
    <t xml:space="preserve">Advierte que un tercio de las zonas de alto potencial renovable se solapan con áreas de altísimo valor de biodiversidad.</t>
  </si>
  <si>
    <t xml:space="preserve">Grill, G., et al.</t>
  </si>
  <si>
    <t xml:space="preserve">Mapping the world’s free-flowing rivers</t>
  </si>
  <si>
    <t xml:space="preserve">Cuantitativo / Nature</t>
  </si>
  <si>
    <t xml:space="preserve">Global (60k grandes represas)</t>
  </si>
  <si>
    <t xml:space="preserve">Ríos de flujo libre (solo 1/3 intactos)</t>
  </si>
  <si>
    <t xml:space="preserve">Mapea en Nature que dos tercios de los grandes ríos del mundo están fragmentados por más de 60.000 grandes represas.</t>
  </si>
  <si>
    <t xml:space="preserve">Thieme, M. L., et al.</t>
  </si>
  <si>
    <t xml:space="preserve">Navigating trade-offs between dams and river conservation</t>
  </si>
  <si>
    <t xml:space="preserve">Cuantitativo / Global Sustainability</t>
  </si>
  <si>
    <t xml:space="preserve">Especies de agua dulce (-83% desde 1970)</t>
  </si>
  <si>
    <t xml:space="preserve">Informa que las poblaciones de especies de agua dulce han caído un 83% promedio desde 1970 por represas y alteración hídrica.</t>
  </si>
  <si>
    <t xml:space="preserve">BloombergNEF / TNFD</t>
  </si>
  <si>
    <t xml:space="preserve">When the bee stings: counting the cost of nature-related risks (PG&amp;E)</t>
  </si>
  <si>
    <t xml:space="preserve">Demanda (PG&amp;E, Aseguradoras), Reguladores</t>
  </si>
  <si>
    <t xml:space="preserve">Redes de transmisión e incendios forestales ($5B costo)</t>
  </si>
  <si>
    <t xml:space="preserve">Caso de estudio de PG&amp;E en TNFD mostrando la quiebra por $5B en acuerdos por incendios iniciados por líneas eléctricas.</t>
  </si>
  <si>
    <t xml:space="preserve">McCoy, et al. (NREL)</t>
  </si>
  <si>
    <t xml:space="preserve">Offshore wind market report: 2024 edition</t>
  </si>
  <si>
    <t xml:space="preserve">Reguladores/legisladores, Demanda (Eólica marina)</t>
  </si>
  <si>
    <t xml:space="preserve">Global (68.3 GW instalados)</t>
  </si>
  <si>
    <t xml:space="preserve">Eólica marina flotante y arrecifes artificiales</t>
  </si>
  <si>
    <t xml:space="preserve">Reporta que la capacidad eólica marina global alcanzó 68.3 GW en 2023 incorporando diseños con arrecifes artificiales.</t>
  </si>
  <si>
    <t xml:space="preserve">Bubble Tubing</t>
  </si>
  <si>
    <t xml:space="preserve">Sound Attenuation</t>
  </si>
  <si>
    <t xml:space="preserve">Demanda (Empresas de eólica marina), Científicos</t>
  </si>
  <si>
    <t xml:space="preserve">Acuático / Marino</t>
  </si>
  <si>
    <t xml:space="preserve">Cortinas de burbujas para atenuar ruido subacuático</t>
  </si>
  <si>
    <t xml:space="preserve">Presenta las cortinas de burbujas subacuáticas para mitigar el impacto acústico de la instalación de turbinas en fauna marina.</t>
  </si>
  <si>
    <t xml:space="preserve">NOAA Fisheries</t>
  </si>
  <si>
    <t xml:space="preserve">Protecting Coastal Blue Carbon Through Habitat Conservation</t>
  </si>
  <si>
    <t xml:space="preserve">Reguladores/legisladores (NOAA), Científicos</t>
  </si>
  <si>
    <t xml:space="preserve">Manglares y humedales (10 veces más secuestro C)</t>
  </si>
  <si>
    <t xml:space="preserve">Muestra que los manglares y humedales costeros secuestran carbono a una tasa 10 veces mayor que los bosques tropicales maduros.</t>
  </si>
  <si>
    <t xml:space="preserve">Radinger, J., et al.</t>
  </si>
  <si>
    <t xml:space="preserve">Evident but context-dependent mortality of fish passing hydroelectric turbines</t>
  </si>
  <si>
    <t xml:space="preserve">Peces migratorios en represas (25% mortalidad)</t>
  </si>
  <si>
    <t xml:space="preserve">Meta-análisis que demuestra que las turbinas hidroeléctricas tradicionales matan o lesionan a casi un cuarto de los peces que las cruzan.</t>
  </si>
  <si>
    <t xml:space="preserve">Power Engineering International</t>
  </si>
  <si>
    <t xml:space="preserve">Hydropower making sustainability gains with fish-safe turbines</t>
  </si>
  <si>
    <t xml:space="preserve">Demanda (Empresas hidroeléctricas), Reguladores</t>
  </si>
  <si>
    <t xml:space="preserve">Turbinas hidroeléctricas adaptadas a peces</t>
  </si>
  <si>
    <t xml:space="preserve">Analiza el desarrollo de turbinas de rotación lenta y baja presión que mantienen el 90% de eficiencia hidráulica.</t>
  </si>
  <si>
    <t xml:space="preserve">Olbertz, N.</t>
  </si>
  <si>
    <t xml:space="preserve">Sustainable hydro-power plants with focus on fish-friendly turbine design</t>
  </si>
  <si>
    <t xml:space="preserve">Turbinas hidroeléctricas (96-100% supervivencia)</t>
  </si>
  <si>
    <t xml:space="preserve">Demuestra que las turbinas FishSafe™ logran tasas de supervivencia de peces entre el 96% y 100% reduciendo la acumulación de sedimento.</t>
  </si>
  <si>
    <t xml:space="preserve">Flathead Electric</t>
  </si>
  <si>
    <t xml:space="preserve">Operational and mission changes impacting dams’ power output</t>
  </si>
  <si>
    <t xml:space="preserve">Demanda (Operadores de represas), Reguladores</t>
  </si>
  <si>
    <t xml:space="preserve">Operaciones de represas e impactos ambientales</t>
  </si>
  <si>
    <t xml:space="preserve">Analiza las sanciones y pérdidas de rendimiento por incumplimiento de normas ambientales en plantas hidroeléctricas.</t>
  </si>
  <si>
    <t xml:space="preserve">Hydropower Turbine Market Size</t>
  </si>
  <si>
    <t xml:space="preserve">Demanda (Inversores, Generadoras), Reguladores</t>
  </si>
  <si>
    <t xml:space="preserve">Global ($1.1B-$1.2B turbinas peces)</t>
  </si>
  <si>
    <t xml:space="preserve">Mercado de turbinas hidroeléctricas compatibles</t>
  </si>
  <si>
    <t xml:space="preserve">Valora el mercado de turbinas hidroeléctricas compatibles con peces en $1.1B-$1.2B en 2024 creciendo a 8-9% anual.</t>
  </si>
  <si>
    <t xml:space="preserve">American Bird Conservancy</t>
  </si>
  <si>
    <t xml:space="preserve">How Many Birds Are Killed by Wind Turbines?</t>
  </si>
  <si>
    <t xml:space="preserve">Comunidad científica, ONG, Demanda (Eólica)</t>
  </si>
  <si>
    <t xml:space="preserve">Estados Unidos (681k aves/año)</t>
  </si>
  <si>
    <t xml:space="preserve">Terrestre / Aéreo</t>
  </si>
  <si>
    <t xml:space="preserve">Turbinas eólicas y avifauna</t>
  </si>
  <si>
    <t xml:space="preserve">Informa que aproximadamente 681.000 aves murieron por colisión con turbinas eólicas en EE. UU. en 2021.</t>
  </si>
  <si>
    <t xml:space="preserve">May, R., et al.</t>
  </si>
  <si>
    <t xml:space="preserve">Paint it black: Efficacy of increased wind turbine rotor blade visibility to reduce avian fatalities</t>
  </si>
  <si>
    <t xml:space="preserve">Cuantitativo / Experimento</t>
  </si>
  <si>
    <t xml:space="preserve">Comunidad científica, Demanda (Siemens Gamesa), Reguladores</t>
  </si>
  <si>
    <t xml:space="preserve">Noruega (Smøla)</t>
  </si>
  <si>
    <t xml:space="preserve">Turbinas eólicas con pala pintada de negro (-70% muertes)</t>
  </si>
  <si>
    <t xml:space="preserve">Experimento que demostró que pintar una pala de la turbina eólica de negro reduce las fatalidades de aves en un 70%.</t>
  </si>
  <si>
    <t xml:space="preserve">World Wind Energy Association (WWEA)</t>
  </si>
  <si>
    <t xml:space="preserve">WWEA Annual Report 2024: A Challenging Year for Windpower</t>
  </si>
  <si>
    <t xml:space="preserve">Reguladores/legisladores, Demanda (Eólica)</t>
  </si>
  <si>
    <t xml:space="preserve">Global (1.173 GW instalados)</t>
  </si>
  <si>
    <t xml:space="preserve">Capacidad eólica instalada mundial</t>
  </si>
  <si>
    <t xml:space="preserve">Reporta que la capacidad eólica instalada global alcanzó los 1.173 GW a finales de 2024.</t>
  </si>
  <si>
    <t xml:space="preserve">Hydropower turbine market size, global report 2025–2034</t>
  </si>
  <si>
    <t xml:space="preserve">Demanda (Inversores energía), Reguladores</t>
  </si>
  <si>
    <t xml:space="preserve">Global ($151.8B eólica)</t>
  </si>
  <si>
    <t xml:space="preserve">Mercado eólico e hidroeléctrico global</t>
  </si>
  <si>
    <t xml:space="preserve">Valora el mercado global de turbinas eólicas en $151.8B en 2024 con proyección de crecimiento del 7.4% CAGR.</t>
  </si>
  <si>
    <t xml:space="preserve">Ashour, M., et al.</t>
  </si>
  <si>
    <t xml:space="preserve">Usage of Chlorella and diverse microalgae for CO2 capture: Towards a bioenergy revolution</t>
  </si>
  <si>
    <t xml:space="preserve">Comunidad científica, Demanda (Bioenergia)</t>
  </si>
  <si>
    <t xml:space="preserve">Microalgas (Chlorella) fijación de CO2 (10-50 veces)</t>
  </si>
  <si>
    <t xml:space="preserve">Demuestra que las microalgas fijan carbono a tasas entre 10 y 50 veces superiores a las plantas terrestres.</t>
  </si>
  <si>
    <t xml:space="preserve">Bosnjakovic, M., et al.</t>
  </si>
  <si>
    <t xml:space="preserve">Analysis of Biodiesel from Algae Using the Swot-AHP Method</t>
  </si>
  <si>
    <t xml:space="preserve">Cuantitativo / SWOT</t>
  </si>
  <si>
    <t xml:space="preserve">Biodiésel de algas (-50-70% emisiones GEI)</t>
  </si>
  <si>
    <t xml:space="preserve">Demuestra que el biodiésel de algas reduce las emisiones de GEI de ciclo de vida entre 50% y 70% frente al diésel fósil.</t>
  </si>
  <si>
    <t xml:space="preserve">Hussain, J. &amp; Rittmann, B. E.</t>
  </si>
  <si>
    <t xml:space="preserve">Algae as a source of renewable energy: opportunities, challenges, and recent developments</t>
  </si>
  <si>
    <t xml:space="preserve">Comunidad científica, Demanda (Algenol, Sapphire)</t>
  </si>
  <si>
    <t xml:space="preserve">Fotobiorreactores de algas y depuración de aguas</t>
  </si>
  <si>
    <t xml:space="preserve">Revisión sobre el uso de florecimientos algales nocivos y aguas residuales como insumo de bajo costo para biocombustibles.</t>
  </si>
  <si>
    <t xml:space="preserve">University of the West Indies</t>
  </si>
  <si>
    <t xml:space="preserve">Sargassum Sustains Inventors and Innovators</t>
  </si>
  <si>
    <t xml:space="preserve">Comunidad científica, Oferta (Comunidades del Caribe)</t>
  </si>
  <si>
    <t xml:space="preserve">Caribe (Barbados)</t>
  </si>
  <si>
    <t xml:space="preserve">Algas Sargassum invasoras para biocombustible</t>
  </si>
  <si>
    <t xml:space="preserve">Piloto en Barbados que transforma el alga invasora Sargassum en biocombustible mejorando la calidad del agua costera.</t>
  </si>
  <si>
    <t xml:space="preserve">Market Research</t>
  </si>
  <si>
    <t xml:space="preserve">Global Algae-Based Biofuel Market - 2025-2032</t>
  </si>
  <si>
    <t xml:space="preserve">Demanda (Inversores, Biocombustibles)</t>
  </si>
  <si>
    <t xml:space="preserve">Mercado de biocombustibles de algas</t>
  </si>
  <si>
    <t xml:space="preserve">Valora el mercado de biocombustibles de algas en $9.2B en 2024 proyectando un crecimiento del 9.5% anual.</t>
  </si>
  <si>
    <t xml:space="preserve">Patnaik, R. &amp; Mallick, N.</t>
  </si>
  <si>
    <t xml:space="preserve">Microalgal biodiesel production: Realizing the sustainability index</t>
  </si>
  <si>
    <t xml:space="preserve">Biodiésel microalgal y extracción de lípidos</t>
  </si>
  <si>
    <t xml:space="preserve">Estudio económico proyectando la convergencia de costos del biodiésel microalgal hacia los $3 por galón para 2030.</t>
  </si>
  <si>
    <t xml:space="preserve">Wiatrowski, M., et al. (NREL)</t>
  </si>
  <si>
    <t xml:space="preserve">Opportunities for utilization of low-cost algae resources</t>
  </si>
  <si>
    <t xml:space="preserve">Cuantitativo / NREL</t>
  </si>
  <si>
    <t xml:space="preserve">Recuperación de algas en plantas de tratamiento de agua</t>
  </si>
  <si>
    <t xml:space="preserve">Análisis tecno-económico del NREL sobre el aprovechamiento de algas de aguas residuales para reducir costos de producción.</t>
  </si>
  <si>
    <t xml:space="preserve">Walston, L. J., et al. (InVEST / DOE)</t>
  </si>
  <si>
    <t xml:space="preserve">Modeling the ecosystem services of native vegetation management practices at solar energy facilities</t>
  </si>
  <si>
    <t xml:space="preserve">Cuantitativo / InVEST</t>
  </si>
  <si>
    <t xml:space="preserve">Comunidad científica, Demanda (Parques solares), DOE</t>
  </si>
  <si>
    <t xml:space="preserve">Estados Unidos (Medio Oeste)</t>
  </si>
  <si>
    <t xml:space="preserve">Agrivoltaica y pastizales nativos bajo paneles</t>
  </si>
  <si>
    <t xml:space="preserve">Modela en InVEST que sembrar praderas nativas bajo paneles solares aumenta polinizadores en 200% y retención hídrica en 19%.</t>
  </si>
  <si>
    <t xml:space="preserve">Agrivoltaic Market Size - By System Design, By Harvest Type, 2025-2034</t>
  </si>
  <si>
    <t xml:space="preserve">Demanda (Inversores solares, Agtech), Oferta</t>
  </si>
  <si>
    <t xml:space="preserve">Global ($6.3B en 2024)</t>
  </si>
  <si>
    <t xml:space="preserve">Sistemas agrivoltaicos globales</t>
  </si>
  <si>
    <t xml:space="preserve">Valora el mercado agrivoltaico en $6.3B en 2024 proyectando un crecimiento del 5.6% anual.</t>
  </si>
  <si>
    <t xml:space="preserve">Pruess, K.</t>
  </si>
  <si>
    <t xml:space="preserve">Enhanced geothermal systems (EGS) using CO2 as working fluid</t>
  </si>
  <si>
    <t xml:space="preserve">Cuantitativo / Geotermia</t>
  </si>
  <si>
    <t xml:space="preserve">Comunidad científica, Demanda (Geotermia EGS)</t>
  </si>
  <si>
    <t xml:space="preserve">Terrestre / Subsuperficie</t>
  </si>
  <si>
    <t xml:space="preserve">Rocas secas calientes (HDR) y CO2 como fluido</t>
  </si>
  <si>
    <t xml:space="preserve">Propone el uso de CO2 como fluido de trabajo en sistemas geotérmicos mejorados (EGS) convirtiéndolos en depósitos de C.</t>
  </si>
  <si>
    <t xml:space="preserve">Richter, A. (ThinkGeoEnergy)</t>
  </si>
  <si>
    <t xml:space="preserve">Geothermal energy is least landuse intense source of the renewable energy technologies</t>
  </si>
  <si>
    <t xml:space="preserve">Comunidad científica, Demanda, Público</t>
  </si>
  <si>
    <t xml:space="preserve">Uso del suelo por tecnología renovable (7.5 km2/TWh)</t>
  </si>
  <si>
    <t xml:space="preserve">Muestra que la geotermia es la renovable menos intensiva en suelo (7.5 km2/TWh) frente a la solar (5x) y eólica (10x).</t>
  </si>
  <si>
    <t xml:space="preserve">Majer, E.L., et al.</t>
  </si>
  <si>
    <t xml:space="preserve">2007</t>
  </si>
  <si>
    <t xml:space="preserve">Induced seismicity associated with Enhanced Geothermal Systems</t>
  </si>
  <si>
    <t xml:space="preserve">Suiza (Basilea) / Global</t>
  </si>
  <si>
    <t xml:space="preserve">Estimulación de reservorios geotérmicos y sismicidad</t>
  </si>
  <si>
    <t xml:space="preserve">Analiza los micro-sismos inducidos durante la estimulación hidráulica del proyecto geotérmico de Basilea.</t>
  </si>
  <si>
    <t xml:space="preserve">Next-generation geothermal technologies are heating up</t>
  </si>
  <si>
    <t xml:space="preserve">Demanda (Inversores, Fervo Energy), Reguladores</t>
  </si>
  <si>
    <t xml:space="preserve">Estados Unidos (Utah)</t>
  </si>
  <si>
    <t xml:space="preserve">Sistemas geotérmicos mejorados (EGS)</t>
  </si>
  <si>
    <t xml:space="preserve">Analiza el avance comercial de Fervo Energy en Utah utilizando perforación horizontal de la industria petrolera para EGS.</t>
  </si>
  <si>
    <t xml:space="preserve">Geothermal Energy Market Size, Share and Industry Growth Analysis</t>
  </si>
  <si>
    <t xml:space="preserve">Global ($1.2B EGS)</t>
  </si>
  <si>
    <t xml:space="preserve">Mercado de energía geotérmica EGS</t>
  </si>
  <si>
    <t xml:space="preserve">Valora el mercado de EGS en $1.2B en 2024 proyectando $7.8B-$8.5B para 2033 (23.6% CAGR).</t>
  </si>
  <si>
    <t xml:space="preserve">King, B., Ricks, W., et al. (Rhodium Group)</t>
  </si>
  <si>
    <t xml:space="preserve">The Potential for Geothermal Energy to Meet Growing Data Center Electricity Demand</t>
  </si>
  <si>
    <t xml:space="preserve">Demanda (Tech giants: Google, Microsoft, Data Centers)</t>
  </si>
  <si>
    <t xml:space="preserve">Estados Unidos (15 grandes mercados)</t>
  </si>
  <si>
    <t xml:space="preserve">Sistemas EGS para carga base limpia de Data Centers</t>
  </si>
  <si>
    <t xml:space="preserve">Modela que la geotermia EGS podría cubrir el 100% del crecimiento de demanda eléctrica de centros de datos en 13 mercados de EE. UU..</t>
  </si>
  <si>
    <t xml:space="preserve">Federal Highway Administration (FHWA)</t>
  </si>
  <si>
    <t xml:space="preserve">Pollinators and roadsides: Best management practices for managers and decision makers</t>
  </si>
  <si>
    <t xml:space="preserve">Reguladores/legisladores (FHWA), Oferta, Científicos</t>
  </si>
  <si>
    <t xml:space="preserve">Corredores viales y líneas de transmisión para polinizadores</t>
  </si>
  <si>
    <t xml:space="preserve">Guía de mejores prácticas para convertir franjas viales y corredores de transmisión en hábitats protegidos de polinizadores.</t>
  </si>
  <si>
    <t xml:space="preserve">Kormann, U., et al.</t>
  </si>
  <si>
    <t xml:space="preserve">Corridors restore animal-mediated pollination in fragmented tropical forest landscapes</t>
  </si>
  <si>
    <t xml:space="preserve">Cuantitativo / Proc R Soc B</t>
  </si>
  <si>
    <t xml:space="preserve">Costa Rica (Sur)</t>
  </si>
  <si>
    <t xml:space="preserve">Corredores forestales bajo líneas de transmisión (14.3x colibríes)</t>
  </si>
  <si>
    <t xml:space="preserve">Demuestra en Proceedings B que corredores arbolados bajo redes eléctricas aumentaron la abundancia de polinizadores 14.3 veces.</t>
  </si>
  <si>
    <t xml:space="preserve">International Energy Agency (IEA)</t>
  </si>
  <si>
    <t xml:space="preserve">Lack of ambition and attention risks making electricity grids the weak link in clean energy transitions</t>
  </si>
  <si>
    <t xml:space="preserve">Reguladores/legisladores, Demanda (Utilities)</t>
  </si>
  <si>
    <t xml:space="preserve">Global (80M km de redes)</t>
  </si>
  <si>
    <t xml:space="preserve">Redes eléctricas globales a reemplazar/añadir a 2040</t>
  </si>
  <si>
    <t xml:space="preserve">Informa que se deben reemplazar o añadir 80 millones de km de redes eléctricas en el mundo para 2040.</t>
  </si>
  <si>
    <t xml:space="preserve">Green Car Congress</t>
  </si>
  <si>
    <t xml:space="preserve">Study finds Tiamat Na-ion battery well-suited for high-power energy storage applications</t>
  </si>
  <si>
    <t xml:space="preserve">Comunidad científica, Demanda (Tiamat, Baterías)</t>
  </si>
  <si>
    <t xml:space="preserve">Baterías de sodio (Na-ion) sin litio</t>
  </si>
  <si>
    <t xml:space="preserve">Presenta avances en baterías de sodio que alcanzan el 80% de densidad del litio eliminando la extracción minera en zonas frágiles.</t>
  </si>
  <si>
    <t xml:space="preserve">BIS Research</t>
  </si>
  <si>
    <t xml:space="preserve">Sodium-ion battery market – A global and regional analysis</t>
  </si>
  <si>
    <t xml:space="preserve">Demanda (Inversores, Movilidad), Reguladores</t>
  </si>
  <si>
    <t xml:space="preserve">Global ($270M-$1.47B)</t>
  </si>
  <si>
    <t xml:space="preserve">Mercado global de baterías de sodio</t>
  </si>
  <si>
    <t xml:space="preserve">Proyecta que el mercado de baterías de sodio crecerá desde $270M en 2024 hasta $12B en la década de 2030 (14.5% CAGR).</t>
  </si>
  <si>
    <t xml:space="preserve">Ørsted</t>
  </si>
  <si>
    <t xml:space="preserve">Capital Markets Day: Ørsted confirms its ambition of ~50 GW renewable capacity by 2030</t>
  </si>
  <si>
    <t xml:space="preserve">Demanda (Ørsted), Inversores, Reguladores</t>
  </si>
  <si>
    <t xml:space="preserve">Dinamarca / Global (50 GW meta)</t>
  </si>
  <si>
    <t xml:space="preserve">Eólica marina (30 GW) y arrecifes 3D</t>
  </si>
  <si>
    <t xml:space="preserve">Confirma la meta de 50 GW renovables a 2030 (30 GW eólica marina) e instalación de arrecifes 3D e imágenes de radar para aves.</t>
  </si>
  <si>
    <t xml:space="preserve">Foxwell, D.</t>
  </si>
  <si>
    <t xml:space="preserve">Ørsted ramps up renewable energy target to 50 GW by 2030</t>
  </si>
  <si>
    <t xml:space="preserve">Demanda (Ørsted, Sector eólico)</t>
  </si>
  <si>
    <t xml:space="preserve">Dinamarca / Global</t>
  </si>
  <si>
    <t xml:space="preserve">Eólica marina y parques renovables</t>
  </si>
  <si>
    <t xml:space="preserve">Informa la aceleración del plan de inversión verde de Ørsted para alcanzar 50 GW de capacidad instalada.</t>
  </si>
  <si>
    <t xml:space="preserve">Climate Action</t>
  </si>
  <si>
    <t xml:space="preserve">Ørsted announces biodiversity impact measurement framework</t>
  </si>
  <si>
    <t xml:space="preserve">Demanda (Ørsted), ONG (WWF), Científicos</t>
  </si>
  <si>
    <t xml:space="preserve">Dinamarca / Taiwán (Proyecto ReCoral)</t>
  </si>
  <si>
    <t xml:space="preserve">Arrecifes de coral cálidos sobre cimentaciones de turbinas</t>
  </si>
  <si>
    <t xml:space="preserve">Detalla el marco de medición de impacto en biodiversidad de Ørsted e iniciativas ReCoral en Taiwán.</t>
  </si>
  <si>
    <t xml:space="preserve">Plymouth Marine Laboratory</t>
  </si>
  <si>
    <t xml:space="preserve">Offshore wind farms could cause significant ecosystem, economic and human health risks</t>
  </si>
  <si>
    <t xml:space="preserve">Ecosistemas marinos frágiles y turbinas eólicas</t>
  </si>
  <si>
    <t xml:space="preserve">Advierte sobre los riesgos acumulativos y cambios en la dinámica de sedimentos por parques eólicos marinos masivos.</t>
  </si>
  <si>
    <t xml:space="preserve">CIM Group</t>
  </si>
  <si>
    <t xml:space="preserve">Westlands solar park – one of the largest permitted solar parks in the world starts construction</t>
  </si>
  <si>
    <t xml:space="preserve">Demanda (CIM Group, Westlands Solar), Oferta</t>
  </si>
  <si>
    <t xml:space="preserve">Estados Unidos (California - 21.000 acres)</t>
  </si>
  <si>
    <t xml:space="preserve">Solares sobre tierras agrícolas contaminadas (2.700 MW)</t>
  </si>
  <si>
    <t xml:space="preserve">Proyecto de $3B en 21.000 acres de tierra agrícola contaminada inviable usando pastoreo ovino para control vegetal.</t>
  </si>
  <si>
    <t xml:space="preserve">Hemingway Jaynes, C. (WEF)</t>
  </si>
  <si>
    <t xml:space="preserve">Global freshwater demand will exceed supply 40% by 2030, experts warn</t>
  </si>
  <si>
    <t xml:space="preserve">Recursos de agua dulce globales (40% brecha)</t>
  </si>
  <si>
    <t xml:space="preserve">Advierte que la demanda global de agua dulce superará la oferta en un 40% para 2030 si no cambian los patrones de consumo.</t>
  </si>
  <si>
    <t xml:space="preserve">UNICEF</t>
  </si>
  <si>
    <t xml:space="preserve">Sanitation and Hygiene for All: 'Make a Splash!' Partnership Progress Report</t>
  </si>
  <si>
    <t xml:space="preserve">Global (2.2B sin agua potable)</t>
  </si>
  <si>
    <t xml:space="preserve">Agua potable y saneamiento seguro</t>
  </si>
  <si>
    <t xml:space="preserve">Informa que 2.200 millones de personas carecen de agua potable segura y 3.500 millones no tienen saneamiento adecuado.</t>
  </si>
  <si>
    <t xml:space="preserve">World Meteorological Organization (WMO)</t>
  </si>
  <si>
    <t xml:space="preserve">WMO report highlights growing shortfalls and stress in Global Water Resources</t>
  </si>
  <si>
    <t xml:space="preserve">Ríos mundiales y glaciares (año más seco en 30 años)</t>
  </si>
  <si>
    <t xml:space="preserve">Reporta que 2023 fue el año más seco para los ríos mundiales en más de tres décadas con pérdida récord de glaciares.</t>
  </si>
  <si>
    <t xml:space="preserve">UNESCO World Water Assessment Programme</t>
  </si>
  <si>
    <t xml:space="preserve">The United Nations world water development report 2018: Nature-based solutions for water</t>
  </si>
  <si>
    <t xml:space="preserve">Global (5B personas con escasez a 2050)</t>
  </si>
  <si>
    <t xml:space="preserve">Soluciones basadas en la naturaleza para gestión hídrica</t>
  </si>
  <si>
    <t xml:space="preserve">Informe insignia de la ONU sobre NbS en agua estimando que 5.000 millones de personas enfrentarán escasez de agua a 2050.</t>
  </si>
  <si>
    <t xml:space="preserve">Bolotova, R.</t>
  </si>
  <si>
    <t xml:space="preserve">Private Sector Financing for Sustainable Water Management: Insights from UN Water Conference</t>
  </si>
  <si>
    <t xml:space="preserve">Demanda (Sector privado, Financieros), Reguladores</t>
  </si>
  <si>
    <t xml:space="preserve">Recursos hídricos transfronterizos (60% compartidos)</t>
  </si>
  <si>
    <t xml:space="preserve">Señala que el 60% de los recursos de agua dulce son transfronterizos generando tensiones geopolíticas e inversión privada.</t>
  </si>
  <si>
    <t xml:space="preserve">World Food Program USA</t>
  </si>
  <si>
    <t xml:space="preserve">Worst climate disasters of 2023 and their effects on global hunger</t>
  </si>
  <si>
    <t xml:space="preserve">Zambia / Mozambique (Inundaciones)</t>
  </si>
  <si>
    <t xml:space="preserve">Cuencas hídricas e inundaciones extremas</t>
  </si>
  <si>
    <t xml:space="preserve">Reporta el impacto de inundaciones históricas en Zambia (25k hogares) y Mozambique (123k desplazados) en 2023.</t>
  </si>
  <si>
    <t xml:space="preserve">Mills, M. &amp; Oberthur, A. (Pew Trusts)</t>
  </si>
  <si>
    <t xml:space="preserve">Water system upgrades could require more than $1 trillion over next 20 years</t>
  </si>
  <si>
    <t xml:space="preserve">Estados Unidos ($1.2T necesidad)</t>
  </si>
  <si>
    <t xml:space="preserve">Redes de agua potable y saneamiento en EE. UU.</t>
  </si>
  <si>
    <t xml:space="preserve">Cuantifica en $1.2 billones las necesidades de inversión en infraestructura de agua en EE. UU. en los próximos 20 años.</t>
  </si>
  <si>
    <t xml:space="preserve">Voegele, J., et al. (World Bank)</t>
  </si>
  <si>
    <t xml:space="preserve">Scaling up finance to ensure a water-secure future for all</t>
  </si>
  <si>
    <t xml:space="preserve">Reguladores/legisladores, Demanda (Financieros), MDBs</t>
  </si>
  <si>
    <t xml:space="preserve">Global ($22.6T necesidad a 2050)</t>
  </si>
  <si>
    <t xml:space="preserve">Infraestructura hídrica global a 2050</t>
  </si>
  <si>
    <t xml:space="preserve">Estima en $22.6 billones las necesidades acumuladas de financiamiento en infraestructura hídrica global hacia 2050.</t>
  </si>
  <si>
    <t xml:space="preserve">Apolinário, R. &amp; Castro, R.</t>
  </si>
  <si>
    <t xml:space="preserve">Solar-Powered Desalination as a Sustainable Long-Term Solution for the Water Scarcity Problem</t>
  </si>
  <si>
    <t xml:space="preserve">Comunidad científica, Demanda (Desalinizadoras)</t>
  </si>
  <si>
    <t xml:space="preserve">Desalinización por ósmosis inversa solar (-33% costo)</t>
  </si>
  <si>
    <t xml:space="preserve">Demuestra en Portugal que integrar energía solar con ósmosis inversa reduce los costos unitarios de desalinización en un tercio.</t>
  </si>
  <si>
    <t xml:space="preserve">Business Wire</t>
  </si>
  <si>
    <t xml:space="preserve">Global Desalination Industry Research 2024: A $36.98 billion market by 2032</t>
  </si>
  <si>
    <t xml:space="preserve">Demanda (Inversores, Desalinizadoras)</t>
  </si>
  <si>
    <t xml:space="preserve">Global ($16.2B en 2023)</t>
  </si>
  <si>
    <t xml:space="preserve">Mercado global de desalinización de agua</t>
  </si>
  <si>
    <t xml:space="preserve">Proyecta que el mercado de desalinización de agua crecerá de $16.2B en 2023 a $37B para 2032 (9.6% CAGR).</t>
  </si>
  <si>
    <t xml:space="preserve">WaterAtlas.org</t>
  </si>
  <si>
    <t xml:space="preserve">Water News: Tampa Bay Water, Hillsborough County pursue new south county well</t>
  </si>
  <si>
    <t xml:space="preserve">Reguladores/legisladores (Hillsborough County), Oferta</t>
  </si>
  <si>
    <t xml:space="preserve">Estados Unidos (Florida - Hillsborough)</t>
  </si>
  <si>
    <t xml:space="preserve">Acuático / Subsuperficie</t>
  </si>
  <si>
    <t xml:space="preserve">Inyección de agua regenerada en acuíferos (MAR)</t>
  </si>
  <si>
    <t xml:space="preserve">Proyecto de recarga gestionada de acuíferos (MAR) inyectando agua regenerada para barrera contra intrusión salina.</t>
  </si>
  <si>
    <t xml:space="preserve">Orange County Water District (OCWD)</t>
  </si>
  <si>
    <t xml:space="preserve">GWRS: new water you can count on</t>
  </si>
  <si>
    <t xml:space="preserve">Reguladores/legisladores (OCWD), Público general (1M personas)</t>
  </si>
  <si>
    <t xml:space="preserve">Estados Unidos (California - Orange County)</t>
  </si>
  <si>
    <t xml:space="preserve">GWRS (130M galones/día reciclados - 35% demanda)</t>
  </si>
  <si>
    <t xml:space="preserve">El sistema de purificación de agua para recarga de acuíferos más grande del mundo (130M galones/día, 35% demanda de Orange County).</t>
  </si>
  <si>
    <t xml:space="preserve">USGS</t>
  </si>
  <si>
    <t xml:space="preserve">Case Study: Managed aquifer recharge as an integrated water resource management approach in Hazmieh</t>
  </si>
  <si>
    <t xml:space="preserve">Reguladores/legisladores, Comunidad científica (USGS)</t>
  </si>
  <si>
    <t xml:space="preserve">Líbano (Hazmieh / Beirut)</t>
  </si>
  <si>
    <t xml:space="preserve">Acuíferos costeros y prevención de intrusión salina</t>
  </si>
  <si>
    <t xml:space="preserve">Estudio de piloto MAR de la USGS en Líbano para recargar acuíferos y frenar la salinización de agua subterránea.</t>
  </si>
  <si>
    <t xml:space="preserve">Growth Market Reports</t>
  </si>
  <si>
    <t xml:space="preserve">Managed Aquifer Recharge Market Research Report 2033</t>
  </si>
  <si>
    <t xml:space="preserve">Demanda (Inversores, Utilities)</t>
  </si>
  <si>
    <t xml:space="preserve">Global ($3.2B en 2024)</t>
  </si>
  <si>
    <t xml:space="preserve">Mercado de recarga gestionada de acuíferos (MAR)</t>
  </si>
  <si>
    <t xml:space="preserve">Valora el mercado global de MAR en $3.2B en 2024 con proyección de $6.4B para 2033 (8.2% CAGR).</t>
  </si>
  <si>
    <t xml:space="preserve">Teston, A., et al.</t>
  </si>
  <si>
    <t xml:space="preserve">Impact of Rainwater Harvesting on the Drainage System</t>
  </si>
  <si>
    <t xml:space="preserve">Brasil (Curitiba)</t>
  </si>
  <si>
    <t xml:space="preserve">Sistemas de captación de agua de lluvia (RWH)</t>
  </si>
  <si>
    <t xml:space="preserve">Demuestra que la captación de agua de lluvia reduce los picos de escorrentía urbana e inundaciones entre 13% y 33%.</t>
  </si>
  <si>
    <t xml:space="preserve">Qi, Q., et al.</t>
  </si>
  <si>
    <t xml:space="preserve">Making Rainwater Harvesting a Key Solution for Water Management: The Universality of the Kilimanjaro Concept</t>
  </si>
  <si>
    <t xml:space="preserve">Comunidad científica, Oferta (Comunidades rurales)</t>
  </si>
  <si>
    <t xml:space="preserve">Tanzania / Kenia (Kilimanjaro)</t>
  </si>
  <si>
    <t xml:space="preserve">Capturación de lluvia en techos y micro-cuencas</t>
  </si>
  <si>
    <t xml:space="preserve">Estudia la efectividad social y ecológica del concepto Kilimanjaro para la seguridad hídrica en comunidades de África Oriental.</t>
  </si>
  <si>
    <t xml:space="preserve">International Water Management Institute (IWMI)</t>
  </si>
  <si>
    <t xml:space="preserve">Decentralized Rainwater Harvesting in Madhya Pradesh</t>
  </si>
  <si>
    <t xml:space="preserve">Reguladores/legisladores, Oferta (Agricultores India)</t>
  </si>
  <si>
    <t xml:space="preserve">India (Madhya Pradesh)</t>
  </si>
  <si>
    <t xml:space="preserve">Estructuras descentralizadas de captación de lluvia</t>
  </si>
  <si>
    <t xml:space="preserve">Evaluación de IWMI sobre la recarga de pozos y seguridad hídrica agrícola mediante captación de lluvia descentralizada.</t>
  </si>
  <si>
    <t xml:space="preserve">da Silva, M. B. M., et al.</t>
  </si>
  <si>
    <t xml:space="preserve">Feasibility, seasonality and reliability of rainwater harvesting in buildings</t>
  </si>
  <si>
    <t xml:space="preserve">Brasil (Campina Grande)</t>
  </si>
  <si>
    <t xml:space="preserve">Captación de lluvia universitaria (70% confiabilidad)</t>
  </si>
  <si>
    <t xml:space="preserve">Evalúa la confiabilidad volumétrica de hasta el 70% en sistemas de captación de agua de lluvia universitarios en Brasil.</t>
  </si>
  <si>
    <t xml:space="preserve">Persistence Market Research</t>
  </si>
  <si>
    <t xml:space="preserve">Rainwater harvesting system market to reach USD 3,381.4 million by 2032</t>
  </si>
  <si>
    <t xml:space="preserve">Global ($1.3B en 2025)</t>
  </si>
  <si>
    <t xml:space="preserve">Sistemas de captación de agua de lluvia</t>
  </si>
  <si>
    <t xml:space="preserve">Proyecta que el mercado de sistemas de captación de agua de lluvia alcanzará los $3.38B para 2032 (6.9% CAGR).</t>
  </si>
  <si>
    <t xml:space="preserve">Asian Development Bank (ADB)</t>
  </si>
  <si>
    <t xml:space="preserve">Strengthening the climate resilience and restoration of wetlands in the Yangtze River floodplain</t>
  </si>
  <si>
    <t xml:space="preserve">Reguladores/legisladores (China, ADB), Oferta</t>
  </si>
  <si>
    <t xml:space="preserve">China (Lago Dongting - 12.000 ha)</t>
  </si>
  <si>
    <t xml:space="preserve">Acuático / Humedal</t>
  </si>
  <si>
    <t xml:space="preserve">Humedales continentales de la cuenca del Río Yangtze</t>
  </si>
  <si>
    <t xml:space="preserve">Proyecto de $180M del ADB que restauró 12.000 hectáreas de humedales en la cuenca del Río Yangtze.</t>
  </si>
  <si>
    <t xml:space="preserve">Global Water Partnership (GWP)</t>
  </si>
  <si>
    <t xml:space="preserve">China: Wetland restoration through developing alternative sources of income for farmers</t>
  </si>
  <si>
    <t xml:space="preserve">Reguladores/legisladores, Oferta (Agricultores Yangtze), ONG</t>
  </si>
  <si>
    <t xml:space="preserve">China (Lagos Dongting y Poyang)</t>
  </si>
  <si>
    <t xml:space="preserve">Humedales y ecoturismo (+40% ingresos)</t>
  </si>
  <si>
    <t xml:space="preserve">Demuestra que la compensación ecológica y ecoturismo aumentó los ingresos familiares en 40% reduciendo pesticidas.</t>
  </si>
  <si>
    <t xml:space="preserve">Wastewater – Turning problem to solution: A UNEP rapid response assessment</t>
  </si>
  <si>
    <t xml:space="preserve">Global (1.6% GEI global)</t>
  </si>
  <si>
    <t xml:space="preserve">Aguas residuales y potencial energético (5x)</t>
  </si>
  <si>
    <t xml:space="preserve">Informa que el agua residual contiene 5 veces la energía necesaria para tratarla y genera el 1.6% del GEI mundial.</t>
  </si>
  <si>
    <t xml:space="preserve">Jones, E. R., et al.</t>
  </si>
  <si>
    <t xml:space="preserve">Country-level and gridded estimates of wastewater production, collection, treatment and reuse</t>
  </si>
  <si>
    <t xml:space="preserve">Cuantitativo / ESSD</t>
  </si>
  <si>
    <t xml:space="preserve">Global (50% aguas sin tratar)</t>
  </si>
  <si>
    <t xml:space="preserve">Tratamiento global de aguas residuales</t>
  </si>
  <si>
    <t xml:space="preserve">Mapea cuantitativamente que el 50% de las aguas residuales globales se vierten al medio ambiente sin tratamiento previo.</t>
  </si>
  <si>
    <t xml:space="preserve">Wang J. &amp; Yin, Y.</t>
  </si>
  <si>
    <t xml:space="preserve">Fermentative hydrogen production using pretreated microalgal biomass as feedstock</t>
  </si>
  <si>
    <t xml:space="preserve">Biomasa microalgal para producción de hidrógeno</t>
  </si>
  <si>
    <t xml:space="preserve">Demuestra la viabilidad de usar biomasa microalgal tratada de aguas residuales para producir hidrógeno verde.</t>
  </si>
  <si>
    <t xml:space="preserve">DataM Intelligence</t>
  </si>
  <si>
    <t xml:space="preserve">Algae-based wastewater treatment market size, share, growth insights</t>
  </si>
  <si>
    <t xml:space="preserve">Global ($2.5B en 2024)</t>
  </si>
  <si>
    <t xml:space="preserve">Tratamiento de aguas residuales basado en algas</t>
  </si>
  <si>
    <t xml:space="preserve">Valora el mercado de tratamiento de aguas residuales con algas en $2.5B en 2024 proyectando $4.2B para 2032 (5.9% CAGR).</t>
  </si>
  <si>
    <t xml:space="preserve">Gearheart, R.A. &amp; Higley, D.</t>
  </si>
  <si>
    <t xml:space="preserve">Constructed Open Surface Wetlands: The Water Quality Benefits and Wildlife Benefits</t>
  </si>
  <si>
    <t xml:space="preserve">Reguladores/legisladores (City of Arcata), Público</t>
  </si>
  <si>
    <t xml:space="preserve">Estados Unidos (Arcata, CA)</t>
  </si>
  <si>
    <t xml:space="preserve">Humedales artificiales de tratamiento de Arcata</t>
  </si>
  <si>
    <t xml:space="preserve">Caso histórico de la ciudad de Arcata usando humedales abiertos artificiales para depurar aguas servidas y crear santuario de fauna.</t>
  </si>
  <si>
    <t xml:space="preserve">Yin, X., et al.</t>
  </si>
  <si>
    <t xml:space="preserve">Greenhouse Gases Emissions of Constructed Wetlands: Mechanisms and Affecting Factors</t>
  </si>
  <si>
    <t xml:space="preserve">Humedales artificiales y balances de GEI</t>
  </si>
  <si>
    <t xml:space="preserve">Evalúa los mecanismos de emisión y absorción de gases de efecto invernadero en humedales artificiales construidos.</t>
  </si>
  <si>
    <t xml:space="preserve">Masi, F., et al.</t>
  </si>
  <si>
    <t xml:space="preserve">Constructed wetlands for CSO treatment at Gorla Maggiore</t>
  </si>
  <si>
    <t xml:space="preserve">Reguladores/legisladores (Gorla Maggiore), Público</t>
  </si>
  <si>
    <t xml:space="preserve">Italia (Gorla Maggiore / Olona River)</t>
  </si>
  <si>
    <t xml:space="preserve">Humedal retenedor de desbordamientos del drenaje Olona</t>
  </si>
  <si>
    <t xml:space="preserve">Presenta el humedal artificial de Gorla Maggiore para filtrar desbordamientos de drenaje combinado al Río Olona.</t>
  </si>
  <si>
    <t xml:space="preserve">Liquete, C., et al.</t>
  </si>
  <si>
    <t xml:space="preserve">Integrated valuation of a nature-based solution for water pollution control</t>
  </si>
  <si>
    <t xml:space="preserve">Italia (Río Olona)</t>
  </si>
  <si>
    <t xml:space="preserve">Servicios ecosistémicos de humedales urbanos</t>
  </si>
  <si>
    <t xml:space="preserve">Valoración integrada de la solución basada en la naturaleza en Gorla Maggiore demostrando beneficios socioeconómicos ocultos.</t>
  </si>
  <si>
    <t xml:space="preserve">Stefanakis, A.</t>
  </si>
  <si>
    <t xml:space="preserve">Constructed Wetlands for Sustainable Wastewater Treatment in Hot and Arid Climates</t>
  </si>
  <si>
    <t xml:space="preserve">Comunidad científica, Reguladores (Medio Oriente)</t>
  </si>
  <si>
    <t xml:space="preserve">Oriente Medio (Omán, EAU)</t>
  </si>
  <si>
    <t xml:space="preserve">Acuático / Desértico</t>
  </si>
  <si>
    <t xml:space="preserve">Humedales artificiales para efluentes de petróleo/urbanos</t>
  </si>
  <si>
    <t xml:space="preserve">Analiza el éxito de humedales construidos a gran escala en climas áridos para depurar agua de la industria petrolera.</t>
  </si>
  <si>
    <t xml:space="preserve">Verified Market Reports</t>
  </si>
  <si>
    <t xml:space="preserve">Artificial Wetland Market Report 2025</t>
  </si>
  <si>
    <t xml:space="preserve">Demanda (Inversores, Construcción ambiental)</t>
  </si>
  <si>
    <t xml:space="preserve">Sistemas de tratamiento por humedales artificiales</t>
  </si>
  <si>
    <t xml:space="preserve">Proyecta que el mercado de humedales artificiales pasará de $2.5B en 2024 a $4.8B para 2033 (6.4% CAGR).</t>
  </si>
  <si>
    <t xml:space="preserve">Fries, D.</t>
  </si>
  <si>
    <t xml:space="preserve">Green City, Clean Waters: Philadelphia’s 25-year plan for stormwater management</t>
  </si>
  <si>
    <t xml:space="preserve">Reguladores/legisladores (Philadelphia Water Dept), Público</t>
  </si>
  <si>
    <t xml:space="preserve">Estados Unidos (Filadelfia - $2.4B plan)</t>
  </si>
  <si>
    <t xml:space="preserve">Plan de infraestructura verde urbana (3B galones desviados)</t>
  </si>
  <si>
    <t xml:space="preserve">El plan de $2.4B a 25 años de Filadelfia que desvió más de 3.000 millones de galones de agua contaminada creando 900 empleos.</t>
  </si>
  <si>
    <t xml:space="preserve">Infrahub Africa</t>
  </si>
  <si>
    <t xml:space="preserve">Nyandungu Eco-Park Rwanda</t>
  </si>
  <si>
    <t xml:space="preserve">Reguladores/legisladores (Ruanda), Oferta, Público</t>
  </si>
  <si>
    <t xml:space="preserve">Ruanda (Kigali - Nyandungu)</t>
  </si>
  <si>
    <t xml:space="preserve">Humedal urbano de Nyandungu (62 especies plantas)</t>
  </si>
  <si>
    <t xml:space="preserve">Proyecto de restauración del humedal urbano Nyandungu en Kigali para control de inundaciones y ecoturismo.</t>
  </si>
  <si>
    <t xml:space="preserve">Markets and Data</t>
  </si>
  <si>
    <t xml:space="preserve">Global stormwater management market will grow to USD 37.58 billion by 2032</t>
  </si>
  <si>
    <t xml:space="preserve">Global ($19.2B en 2024)</t>
  </si>
  <si>
    <t xml:space="preserve">Gestión de aguas pluviales e infraestructura verde</t>
  </si>
  <si>
    <t xml:space="preserve">Valora el mercado de gestión de aguas pluviales en $19.2B en 2024 proyectando $37.58B para 2032 (8.8% CAGR).</t>
  </si>
  <si>
    <t xml:space="preserve">Thijs, S., et al.</t>
  </si>
  <si>
    <t xml:space="preserve">Towards an Enhanced Understanding of Plant–Microbiome Interactions to Improve Phytoremediation</t>
  </si>
  <si>
    <t xml:space="preserve">Interacciones planta-microbioma en remediación</t>
  </si>
  <si>
    <t xml:space="preserve">Analiza la ingeniería del metaorganismo planta-microbioma para acelerar la descontaminación de suelos y agua.</t>
  </si>
  <si>
    <t xml:space="preserve">Erftverband Annual Report</t>
  </si>
  <si>
    <t xml:space="preserve">Erftverband Annual Report 2023</t>
  </si>
  <si>
    <t xml:space="preserve">Reguladores/legisladores (Alemania Erftverband), Público</t>
  </si>
  <si>
    <t xml:space="preserve">Alemania (Renania del Norte-Westfalia - 14 ha)</t>
  </si>
  <si>
    <t xml:space="preserve">Fito-descontaminación con álamos (hidrocarburos clorados)</t>
  </si>
  <si>
    <t xml:space="preserve">Caso de éxito de fitorremediación con 14 ha de álamos para degradar hidrocarburos clorados en agua subterránea sin bombeo.</t>
  </si>
  <si>
    <t xml:space="preserve">Ngo MTT., et al.</t>
  </si>
  <si>
    <t xml:space="preserve">Membrane distillation for achieving high water recovery for potable water reuse</t>
  </si>
  <si>
    <t xml:space="preserve">Comunidad científica, Demanda (Utilities)</t>
  </si>
  <si>
    <t xml:space="preserve">Destilación por membrana y ósmosis inversa (98% recuperación)</t>
  </si>
  <si>
    <t xml:space="preserve">Demuestra que combinar destilación por membrana con ósmosis inversa logra un 98% de recuperación de agua potable.</t>
  </si>
  <si>
    <t xml:space="preserve">Membrane Filtration Market Size, Share, and Growth Forecast for 2025-2032</t>
  </si>
  <si>
    <t xml:space="preserve">Demanda (Inversores, Filtros agua), Reguladores</t>
  </si>
  <si>
    <t xml:space="preserve">Sistemas de filtración por membrana (RO, UF, NF)</t>
  </si>
  <si>
    <t xml:space="preserve">Valora el mercado de filtración por membrana en $20.2B en 2025 proyectando $37.6B-$48.1B para 2034-2035 (6.4% CAGR).</t>
  </si>
  <si>
    <t xml:space="preserve">Natural Infrastructure in São Paulo’s Water System</t>
  </si>
  <si>
    <t xml:space="preserve">Cuantitativo / WRI</t>
  </si>
  <si>
    <t xml:space="preserve">Reguladores/legisladores (SABESP, ANA), Oferta, Demanda</t>
  </si>
  <si>
    <t xml:space="preserve">Brasil (São Paulo - Sistema Cantareira / 4.000 ha)</t>
  </si>
  <si>
    <t xml:space="preserve">Reforestación de cuenca (-36% sedimentos / $106M ahorro)</t>
  </si>
  <si>
    <t xml:space="preserve">Demuestra que reforestar 4.000 ha en la cuenca de Cantareira reduce la sedimentación en 36% ahorrando $106M en 30 años (28% ROI).</t>
  </si>
  <si>
    <t xml:space="preserve">International Finance Corporation (IFC)</t>
  </si>
  <si>
    <t xml:space="preserve">IFC’s Blue Loan to SABESP to Improve Access to Water and Sanitation</t>
  </si>
  <si>
    <t xml:space="preserve">Demanda (SABESP, IFC), Reguladores</t>
  </si>
  <si>
    <t xml:space="preserve">Brasil (São Paulo)</t>
  </si>
  <si>
    <t xml:space="preserve">Crédito Azul para saneamiento e infraestructura verde</t>
  </si>
  <si>
    <t xml:space="preserve">Informa sobre el crédito azul otorgado por la IFC a SABESP para ampliar el acceso a agua y saneamiento ecológico.</t>
  </si>
  <si>
    <t xml:space="preserve">United States Environmental Protection Agency (US EPA)</t>
  </si>
  <si>
    <t xml:space="preserve">Financing Resilient and Sustainable Water Infrastructure</t>
  </si>
  <si>
    <t xml:space="preserve">Reguladores/legisladores (US EPA), Demanda, Oferta</t>
  </si>
  <si>
    <t xml:space="preserve">Infraestructura hídrica resiliente y centros de financiamiento</t>
  </si>
  <si>
    <t xml:space="preserve">Guía del centro de financiamiento de la EPA para promover asociaciones público-privadas en infraestructura verde.</t>
  </si>
  <si>
    <t xml:space="preserve">WaterWorld</t>
  </si>
  <si>
    <t xml:space="preserve">Water scarcity project in Sao Paulo secures loan</t>
  </si>
  <si>
    <t xml:space="preserve">Demanda (SABESP, Bancos multilaterales)</t>
  </si>
  <si>
    <t xml:space="preserve">Préstamo condicionado a metas de cuenca</t>
  </si>
  <si>
    <t xml:space="preserve">Informa sobre la aprobación de préstamos condicionados a la restauración de cuencas para la seguridad hídrica de São Paulo.</t>
  </si>
  <si>
    <t xml:space="preserve">Pollachi, A., et al.</t>
  </si>
  <si>
    <t xml:space="preserve">Integration and adaptation in the Alto Tietê Basin (São Paulo): the role of the State Water Resources Fund</t>
  </si>
  <si>
    <t xml:space="preserve">Reguladores/legisladores (FEHIDRO), Oferta (Municipios)</t>
  </si>
  <si>
    <t xml:space="preserve">Brasil (São Paulo - Cuenca Alto Tietê)</t>
  </si>
  <si>
    <t xml:space="preserve">Fondo Estatal de Recursos Hídricos ($20M/año)</t>
  </si>
  <si>
    <t xml:space="preserve">Analiza la redistribución de $20M anuales por tarifas de uso de agua del fondo FEHIDRO hacia conservación municipal.</t>
  </si>
  <si>
    <t xml:space="preserve">Helsinki Commission (HELCOM)</t>
  </si>
  <si>
    <t xml:space="preserve">Inputs of nutrients (nitrogen and phosphorus) to the Baltic Sea 1995–2018</t>
  </si>
  <si>
    <t xml:space="preserve">Reguladores/legisladores (10 países Ártico/Báltico)</t>
  </si>
  <si>
    <t xml:space="preserve">Europa (Mar Báltico / Golfo de Finlandia)</t>
  </si>
  <si>
    <t xml:space="preserve">Reducción de fósforo (-26%) y nitrógeno (-12%)</t>
  </si>
  <si>
    <t xml:space="preserve">Indicador oficial mostrando que el proyecto NDEP redujo los vertidos de fósforo al Mar Báltico en 26% y en 61% al Golfo de Finlandia.</t>
  </si>
  <si>
    <t xml:space="preserve">Murray, C. J., et al.</t>
  </si>
  <si>
    <t xml:space="preserve">Past, present and future eutrophication status of the Baltic Sea</t>
  </si>
  <si>
    <t xml:space="preserve">Cuantitativo / Frontiers</t>
  </si>
  <si>
    <t xml:space="preserve">Europa (Mar Báltico)</t>
  </si>
  <si>
    <t xml:space="preserve">Eutrofización e índices de salud marina</t>
  </si>
  <si>
    <t xml:space="preserve">Demuestra la recuperación paulatina del lecho marino del Golfo de Finlandia (el mejor nivel en 20 años) por la depuración de aguas.</t>
  </si>
  <si>
    <t xml:space="preserve">WestMED Initiative</t>
  </si>
  <si>
    <t xml:space="preserve">Blue Mediterranean Partnership steps up support for sustainable blue economy</t>
  </si>
  <si>
    <t xml:space="preserve">Reguladores/legisladores (BERD, UE), Demanda, Oferta</t>
  </si>
  <si>
    <t xml:space="preserve">Cuenca del Mediterráneo</t>
  </si>
  <si>
    <t xml:space="preserve">Alianza del Mediterráneo Azul para tratamiento de aguas</t>
  </si>
  <si>
    <t xml:space="preserve">Iniciativa multilateral que replica el modelo exitoso NDEP para financiar saneamiento y economía azul en el Mediterráneo.</t>
  </si>
  <si>
    <t xml:space="preserve">Iacuaniello, J. &amp; Bretschger, O. (WEF)</t>
  </si>
  <si>
    <t xml:space="preserve">How tackling wastewater can help corporations achieve climate goals</t>
  </si>
  <si>
    <t xml:space="preserve">Demanda (Corporaciones, WEF), Reguladores</t>
  </si>
  <si>
    <t xml:space="preserve">Tratamiento de aguas servidas corporativas</t>
  </si>
  <si>
    <t xml:space="preserve">Analiza cómo la gestión de aguas residuales corporativas permite cumplir metas net-zero y reducir riesgos hídricos.</t>
  </si>
  <si>
    <t xml:space="preserve">Maus, V., et al. (FINEPRINT)</t>
  </si>
  <si>
    <t xml:space="preserve">The global economy uses more than 100,000 km2 of land for mining</t>
  </si>
  <si>
    <t xml:space="preserve">Comunidad científica, Reguladores, Demanda (Mineras)</t>
  </si>
  <si>
    <t xml:space="preserve">Global (&gt;100k km2 minería)</t>
  </si>
  <si>
    <t xml:space="preserve">Uso del suelo por minería industrial</t>
  </si>
  <si>
    <t xml:space="preserve">Cuantifica que la minería global ocupa directamente más de 100.000 km2 y genera casi 1 millón de km2 de desechos y relaves.</t>
  </si>
  <si>
    <t xml:space="preserve">De Haes, S. &amp; Lucas, P. (PBL)</t>
  </si>
  <si>
    <t xml:space="preserve">Environmental impacts of extraction and processing of raw materials for the energy transition</t>
  </si>
  <si>
    <t xml:space="preserve">Cuantitativo / PBL</t>
  </si>
  <si>
    <t xml:space="preserve">Minerales críticos para la transición energética</t>
  </si>
  <si>
    <t xml:space="preserve">Informe del gobierno holandés sobre los impactos ecológicos indirectos de la extracción de litio, cobalto y cobre.</t>
  </si>
  <si>
    <t xml:space="preserve">Giljum, S., et al.</t>
  </si>
  <si>
    <t xml:space="preserve">A pantropical assessment of deforestation caused by industrial mining</t>
  </si>
  <si>
    <t xml:space="preserve">Global (Trópicos - 3.264 km2 bosque)</t>
  </si>
  <si>
    <t xml:space="preserve">Deforestación por minería industrial en 4 países</t>
  </si>
  <si>
    <t xml:space="preserve">Publicación en PNAS que cuantifica 3.264 km2 de selva tropical destruida directamente por minería entre 2000 y 2019 (80% en 4 países).</t>
  </si>
  <si>
    <t xml:space="preserve">Simon, F. &amp; Messad, P.</t>
  </si>
  <si>
    <t xml:space="preserve">Facing water stress: Chile’s lithium industry under scrutiny in Atacama Desert</t>
  </si>
  <si>
    <t xml:space="preserve">Reguladores/legisladores, Oferta (Comunidades Atacama), Demanda</t>
  </si>
  <si>
    <t xml:space="preserve">Chile (Desierto de Atacama)</t>
  </si>
  <si>
    <t xml:space="preserve">Terrestre / Árido</t>
  </si>
  <si>
    <t xml:space="preserve">Extracción de litio (15.5-32.8 m3 agua/tonelada)</t>
  </si>
  <si>
    <t xml:space="preserve">Reporta que la extracción de litio en Atacama consume entre 15.5 y 32.8 m3 de agua evaporada por tonelada de carbonato de litio.</t>
  </si>
  <si>
    <t xml:space="preserve">Delevingne, L., et al. (McKinsey)</t>
  </si>
  <si>
    <t xml:space="preserve">Climate risk and decarbonization: What every mining CEO needs to know</t>
  </si>
  <si>
    <t xml:space="preserve">Demanda (CEOs mineros, McKinsey), Reguladores</t>
  </si>
  <si>
    <t xml:space="preserve">Global (4-7% GEI global)</t>
  </si>
  <si>
    <t xml:space="preserve">Descarbonización del sector minero</t>
  </si>
  <si>
    <t xml:space="preserve">Informa que la industria minera genera entre el 4% y el 7% de las emisiones antropogénicas globales de GEI.</t>
  </si>
  <si>
    <t xml:space="preserve">Deng, THB., et al.</t>
  </si>
  <si>
    <t xml:space="preserve">Nickel hyperaccumulation mechanisms: a review on the current state of knowledge</t>
  </si>
  <si>
    <t xml:space="preserve">Comunidad científica, Demanda (Fitominería)</t>
  </si>
  <si>
    <t xml:space="preserve">Global (500 especies)</t>
  </si>
  <si>
    <t xml:space="preserve">Mecanismos de plantas hiperacumuladoras de níquel</t>
  </si>
  <si>
    <t xml:space="preserve">Revisión sobre las 500 especies de plantas hiperacumuladoras capaces de concentrar metales tóxicos en sus hojas sin morir.</t>
  </si>
  <si>
    <t xml:space="preserve">Goodbody, A.</t>
  </si>
  <si>
    <t xml:space="preserve">How to grow metals using plants</t>
  </si>
  <si>
    <t xml:space="preserve">Cualitativo / Divulgación</t>
  </si>
  <si>
    <t xml:space="preserve">Demanda (Startups fitominería), Público general</t>
  </si>
  <si>
    <t xml:space="preserve">Global / Malasia</t>
  </si>
  <si>
    <t xml:space="preserve">Fitominería de níquel con árboles (Glochidion)</t>
  </si>
  <si>
    <t xml:space="preserve">Presenta el proceso de fitominería donde especies como Glochidion concentran hasta 2.4% de níquel seco en hojas y 16.9% en savia.</t>
  </si>
  <si>
    <t xml:space="preserve">van der Ent, A., et al.</t>
  </si>
  <si>
    <t xml:space="preserve">Simultaneous hyperaccumulation of nickel and cobalt in the tree Glochidion cf. sericeum</t>
  </si>
  <si>
    <t xml:space="preserve">Malasia (Sabah)</t>
  </si>
  <si>
    <t xml:space="preserve">Hojas de Glochidion e hiperacumulación Ni/Co</t>
  </si>
  <si>
    <t xml:space="preserve">Demuestra en Scientific Reports la concentración simultánea de níquel y cobalto en el árbol Glochidion en suelos ultramáficos.</t>
  </si>
  <si>
    <t xml:space="preserve">Atkinson, J., et al.</t>
  </si>
  <si>
    <t xml:space="preserve">Terrestrial ecosystem restoration increases biodiversity and reduces its variability</t>
  </si>
  <si>
    <t xml:space="preserve">Restauración de suelos de minería (+20% biodiversidad)</t>
  </si>
  <si>
    <t xml:space="preserve">Meta-análisis en Ecology Letters mostrando que la restauración de sitios mineros incrementa la biodiversidad en un 20% promedio.</t>
  </si>
  <si>
    <t xml:space="preserve">Bani, A., et al.</t>
  </si>
  <si>
    <t xml:space="preserve">The effect of plant density in nickelphytomining field experiments with Alyssum murale</t>
  </si>
  <si>
    <t xml:space="preserve">Albania (0.5 ha)</t>
  </si>
  <si>
    <t xml:space="preserve">Fitominería de níquel con Alyssum murale (41-112 kg/ha)</t>
  </si>
  <si>
    <t xml:space="preserve">Experimento en campo en Albania con Alyssum murale logrando cosechar entre 41 y 112 kg de níquel puro por hectárea.</t>
  </si>
  <si>
    <t xml:space="preserve">University of Queensland (SMI)</t>
  </si>
  <si>
    <t xml:space="preserve">Leaders of the energy transition are calling for a sustainable source of critical metals</t>
  </si>
  <si>
    <t xml:space="preserve">Cualitativo / Técnico</t>
  </si>
  <si>
    <t xml:space="preserve">Comunidad científica (SMI), Demanda (Minería limpia)</t>
  </si>
  <si>
    <t xml:space="preserve">Australia / Global (suelos 0.5-1% Ni)</t>
  </si>
  <si>
    <t xml:space="preserve">Fitominería en suelos ultramáficos de baja ley</t>
  </si>
  <si>
    <t xml:space="preserve">Declara la fitominería de níquel lista para escalamiento comercial en suelos con 0.5%-1% de concentración de metal.</t>
  </si>
  <si>
    <t xml:space="preserve">DataString Consulting</t>
  </si>
  <si>
    <t xml:space="preserve">Phytomining market 2025–2034: Trends, growth &amp; forecast</t>
  </si>
  <si>
    <t xml:space="preserve">Demanda (Inversores agtech/mineros), Oferta</t>
  </si>
  <si>
    <t xml:space="preserve">Global ($700M en 2024)</t>
  </si>
  <si>
    <t xml:space="preserve">Mercado global de fitominería</t>
  </si>
  <si>
    <t xml:space="preserve">Valora el mercado de fitominería en $700M en 2024 proyectando $1.2B a 2030 y $1.8B para 2035 (20% CAGR).</t>
  </si>
  <si>
    <t xml:space="preserve">Leonida, C.</t>
  </si>
  <si>
    <t xml:space="preserve">Mining without water</t>
  </si>
  <si>
    <t xml:space="preserve">Demanda (Anglo American, Minería), Científicos</t>
  </si>
  <si>
    <t xml:space="preserve">Procesamiento seco de minerales (recuperación 85% agua)</t>
  </si>
  <si>
    <t xml:space="preserve">Presenta tecnologías CPR y HDS de depuración hidráulica que recuperan el 85% del agua en procesamiento minero.</t>
  </si>
  <si>
    <t xml:space="preserve">Lakshman, S. (WRI)</t>
  </si>
  <si>
    <t xml:space="preserve">More Critical Minerals Mining Could Strain Water Supplies in Stressed Regions</t>
  </si>
  <si>
    <t xml:space="preserve">Reguladores/legisladores, Demanda (Minería), Oferta</t>
  </si>
  <si>
    <t xml:space="preserve">Global (16% minas en estrés hídrico)</t>
  </si>
  <si>
    <t xml:space="preserve">Terrestre / Arido</t>
  </si>
  <si>
    <t xml:space="preserve">Minas de minerales críticos en cuencas con estrés hídrico</t>
  </si>
  <si>
    <t xml:space="preserve">Informa que el 16% de las minas de minerales críticos globales están ubicadas en regiones con severo estrés hídrico.</t>
  </si>
  <si>
    <t xml:space="preserve">Ortiz, L., et al. (Transnational Institute)</t>
  </si>
  <si>
    <t xml:space="preserve">Anglo American's dirty energy lobby and its false climate solutions</t>
  </si>
  <si>
    <t xml:space="preserve">Cualitativo / Crítico</t>
  </si>
  <si>
    <t xml:space="preserve">Oferta (Comunidades afectadas Colombia), Reguladores</t>
  </si>
  <si>
    <t xml:space="preserve">Cuencas hídricas en zonas de minería de carbón/cobre</t>
  </si>
  <si>
    <t xml:space="preserve">Informe crítico de TNI sobre el consumo de millones de litros de agua por mineras en zonas donde comunidades carecen de agua potable.</t>
  </si>
  <si>
    <t xml:space="preserve">Herrera, A.</t>
  </si>
  <si>
    <t xml:space="preserve">Bloom Alert: La startup que con IA y machine learning pisa fuerte en desalación</t>
  </si>
  <si>
    <t xml:space="preserve">Demanda (BHP, Teck, Antofagasta Minerals), Agtech</t>
  </si>
  <si>
    <t xml:space="preserve">Chile (65% capacidad desalación)</t>
  </si>
  <si>
    <t xml:space="preserve">Plataforma de alerta ambiental por IA para desalinización minera</t>
  </si>
  <si>
    <t xml:space="preserve">Plataforma chilena con IA Bloom Alert usada por el 65% de las desalinizadoras mineras (BHP, Teck) para prevenir riesgos en el mar.</t>
  </si>
  <si>
    <t xml:space="preserve">Market.us</t>
  </si>
  <si>
    <t xml:space="preserve">Mineral Processing Equipment Market</t>
  </si>
  <si>
    <t xml:space="preserve">Demanda (Inversores, Minería), Fabricantes</t>
  </si>
  <si>
    <t xml:space="preserve">Global ($16.9B en 2023)</t>
  </si>
  <si>
    <t xml:space="preserve">Equipos de procesamiento de minerales</t>
  </si>
  <si>
    <t xml:space="preserve">Proyecta que el mercado de equipos de procesamiento minero de deshidratación crecerá de $16.9B en 2023 a $28.1B en 2033.</t>
  </si>
  <si>
    <t xml:space="preserve">Centre for Process Innovation (CPI)</t>
  </si>
  <si>
    <t xml:space="preserve">Scaling up e-waste recycling with Descycle investment</t>
  </si>
  <si>
    <t xml:space="preserve">Demanda (DEScycle, GAP Group), Inversores</t>
  </si>
  <si>
    <t xml:space="preserve">Reino Unido (Teesside - 5.000 t/año)</t>
  </si>
  <si>
    <t xml:space="preserve">Solventes eutécticos profundos (DES) para e-waste (99% Cu/Au)</t>
  </si>
  <si>
    <t xml:space="preserve">Startup DEScycle que utiliza solventes eutécticos sin agua a temperatura ambiente para recuperar 99% de metales en e-waste.</t>
  </si>
  <si>
    <t xml:space="preserve">DEScycle</t>
  </si>
  <si>
    <t xml:space="preserve">£10.2m Series A Funding</t>
  </si>
  <si>
    <t xml:space="preserve">Reciclaje químico verde de e-waste</t>
  </si>
  <si>
    <t xml:space="preserve">Informa la ronda Serie A de £10.2M obtenida por DEScycle para construir su planta comercial de reciclaje de e-waste.</t>
  </si>
  <si>
    <t xml:space="preserve">UNITAR</t>
  </si>
  <si>
    <t xml:space="preserve">The global E-waste Monitor 2024</t>
  </si>
  <si>
    <t xml:space="preserve">Cuantitativo / ONU</t>
  </si>
  <si>
    <t xml:space="preserve">Global (62M t e-waste en 2022)</t>
  </si>
  <si>
    <t xml:space="preserve">Residuos electrónicos e infraestructura de reciclaje</t>
  </si>
  <si>
    <t xml:space="preserve">Informe de la ONU que cifra en 62 millones de toneladas el e-waste generado en 2022 proyectando 82M t para 2030.</t>
  </si>
  <si>
    <t xml:space="preserve">Wang, Z., et al.</t>
  </si>
  <si>
    <t xml:space="preserve">Toward a Global Understanding of Chemical Pollution: A First Comprehensive Analysis</t>
  </si>
  <si>
    <t xml:space="preserve">Cuantitativo / Environ Sci Technol</t>
  </si>
  <si>
    <t xml:space="preserve">Global (&gt;350.000 químicos)</t>
  </si>
  <si>
    <t xml:space="preserve">Inventarios nacionales de sustancias químicas</t>
  </si>
  <si>
    <t xml:space="preserve">Análisis global que identifica más de 350.000 sustancias químicas registradas comercialmente y sus riesgos de dispersión.</t>
  </si>
  <si>
    <t xml:space="preserve">IUCN Red List of Threatened Species - Chemical Pollution</t>
  </si>
  <si>
    <t xml:space="preserve">Global (20% especies afectadas)</t>
  </si>
  <si>
    <t xml:space="preserve">Especies amenazadas por contaminación química</t>
  </si>
  <si>
    <t xml:space="preserve">Informa que la contaminación química y por plaguicidas amenaza de extinción al 20% de las especies de la Lista Roja.</t>
  </si>
  <si>
    <t xml:space="preserve">Merck KGaA</t>
  </si>
  <si>
    <t xml:space="preserve">Greener Surfactants</t>
  </si>
  <si>
    <t xml:space="preserve">Demanda (Merck, Detergentes), Científicos</t>
  </si>
  <si>
    <t xml:space="preserve">Tensioactivos biodegradables (&gt;60% en 28 días)</t>
  </si>
  <si>
    <t xml:space="preserve">Presenta tensioactivos verdes no iónicos que se biodegradan más del 60% en 28 días reduciendo bioacumulación en ríos.</t>
  </si>
  <si>
    <t xml:space="preserve">Fact.MR</t>
  </si>
  <si>
    <t xml:space="preserve">Bio-based Surfactants Market Outlook (2024 to 2034)</t>
  </si>
  <si>
    <t xml:space="preserve">Demanda (Inversores, Química verde), Reguladores</t>
  </si>
  <si>
    <t xml:space="preserve">Global ($14.3B en 2023)</t>
  </si>
  <si>
    <t xml:space="preserve">Mercado global de tensioactivos bio-basados</t>
  </si>
  <si>
    <t xml:space="preserve">Valora el mercado de tensioactivos bio-basados en $14.3B en 2023 proyectando $27.7B para 2034 (6% CAGR).</t>
  </si>
  <si>
    <t xml:space="preserve">Progress in implementing resolution 5/11 on enhancing circular economy</t>
  </si>
  <si>
    <t xml:space="preserve">Cualitativo / ONU</t>
  </si>
  <si>
    <t xml:space="preserve">Reguladores/legisladores, Demanda, Público</t>
  </si>
  <si>
    <t xml:space="preserve">Consumo y producción sostenibles en químicos</t>
  </si>
  <si>
    <t xml:space="preserve">Informe de la ONU sobre el avance de la economía circular para sustituir insumos de palma y soya deforestadores.</t>
  </si>
  <si>
    <t xml:space="preserve">Ecolab Inc.</t>
  </si>
  <si>
    <t xml:space="preserve">Implementation of Alliance for Water Stewardship (AWS) Standard case study: Nalco Water Garyville</t>
  </si>
  <si>
    <t xml:space="preserve">Demanda (Ecolab), Reguladores (AWS)</t>
  </si>
  <si>
    <t xml:space="preserve">Estados Unidos (Louisiana / Lerma-Chapala México)</t>
  </si>
  <si>
    <t xml:space="preserve">Cuencas hídricas (-40% extracción agua / $357k ahorro)</t>
  </si>
  <si>
    <t xml:space="preserve">Caso de estudio de Ecolab reduciendo 22M galones de agua de río (-40%) en Garyville y financiando recarga en México.</t>
  </si>
  <si>
    <t xml:space="preserve">Power, L. (G&amp;A Institute)</t>
  </si>
  <si>
    <t xml:space="preserve">Sustainability Challenges and Reporting Frameworks in the Chemical Industry</t>
  </si>
  <si>
    <t xml:space="preserve">Demanda (Industria química), Reguladores</t>
  </si>
  <si>
    <t xml:space="preserve">Marcos de reporte ESG en sector químico</t>
  </si>
  <si>
    <t xml:space="preserve">Analiza los retos de divulgación ESG y contaminación persistente en la industria química global.</t>
  </si>
  <si>
    <t xml:space="preserve">Quantis</t>
  </si>
  <si>
    <t xml:space="preserve">The role of the pharmaceutical industry in advancing planetary health</t>
  </si>
  <si>
    <t xml:space="preserve">Demanda (Industria farmacéutica &gt;$2.4T), Científicos</t>
  </si>
  <si>
    <t xml:space="preserve">Global ($2.4T ingresos)</t>
  </si>
  <si>
    <t xml:space="preserve">Salud planetaria e ingredientes farmacéuticos activos</t>
  </si>
  <si>
    <t xml:space="preserve">Valora la industria farmacéutica en $2.4T a 2030 destacando que el 25% de fármacos provienen de compuestos naturales.</t>
  </si>
  <si>
    <t xml:space="preserve">Vaccine market size, share &amp; industry analysis report</t>
  </si>
  <si>
    <t xml:space="preserve">Demanda (Industria farmacéutica), Reguladores</t>
  </si>
  <si>
    <t xml:space="preserve">Global ($151.9B mercado)</t>
  </si>
  <si>
    <t xml:space="preserve">Mercado global de vacunas y plantas bio-factorías</t>
  </si>
  <si>
    <t xml:space="preserve">Proyecta que el mercado global de vacunas alcanzará los $151.9B para 2033 e impulsará el uso de plantas como bio-factorías.</t>
  </si>
  <si>
    <t xml:space="preserve">CIDRAP</t>
  </si>
  <si>
    <t xml:space="preserve">The Limit of Limits: India’s Hurdles in Regulating Antimicrobial Pollution</t>
  </si>
  <si>
    <t xml:space="preserve">Comunidad científica, Reguladores/legisladores (India)</t>
  </si>
  <si>
    <t xml:space="preserve">India (Hubs farmacéuticos)</t>
  </si>
  <si>
    <t xml:space="preserve">Ríos y efluentes con residuos de antibióticos</t>
  </si>
  <si>
    <t xml:space="preserve">Analiza la vertido de residuos antibióticos en ríos de hubs farmacéuticos indios disparando la resistencia bacteriana.</t>
  </si>
  <si>
    <t xml:space="preserve">Tu, S. S., et al.</t>
  </si>
  <si>
    <t xml:space="preserve">Changes in the Number of Continuation Patents on Drugs Approved by the FDA</t>
  </si>
  <si>
    <t xml:space="preserve">Cuantitativo / JAMA</t>
  </si>
  <si>
    <t xml:space="preserve">Comunidad científica, Demanda (Pharma), Reguladores</t>
  </si>
  <si>
    <t xml:space="preserve">Estados Unidos (FDA)</t>
  </si>
  <si>
    <t xml:space="preserve">Patentes de drogas basadas en conocimiento tradicional</t>
  </si>
  <si>
    <t xml:space="preserve">Publicación en JAMA mostrando un aumento del 200% en patentes farmacéuticas sobre conocimiento tradicional entre 2000 y 2015.</t>
  </si>
  <si>
    <t xml:space="preserve">Alcantara, A. R.</t>
  </si>
  <si>
    <t xml:space="preserve">Biotransformations in Drug Synthesis: A Green and Powerful Tool for Medicinal Chemistry</t>
  </si>
  <si>
    <t xml:space="preserve">Comunidad científica, Demanda (Merck, Pfizer)</t>
  </si>
  <si>
    <t xml:space="preserve">Síntesis biocatalítica enzimática (-19% residuos)</t>
  </si>
  <si>
    <t xml:space="preserve">Muestra que la biocatálisis enzimática de Merck/Codexis para sitagliptina redujo etapas de 8 a 3, subió rendimiento en 13% y cortó 19% residuos.</t>
  </si>
  <si>
    <t xml:space="preserve">Van Arnum, P.</t>
  </si>
  <si>
    <t xml:space="preserve">Advancing Small-Molecule Synthesis</t>
  </si>
  <si>
    <t xml:space="preserve">Comunidad científica, Demanda (Pfizer)</t>
  </si>
  <si>
    <t xml:space="preserve">Síntesis de pregabalina sin solventes orgánicos</t>
  </si>
  <si>
    <t xml:space="preserve">Detalla las mejoras de Pfizer en la síntesis de pregabalina eliminando miles de toneladas de solventes y enfriamiento criogénico.</t>
  </si>
  <si>
    <t xml:space="preserve">Biocatalyst market: Global market analysis report – 2035</t>
  </si>
  <si>
    <t xml:space="preserve">Demanda (Inversores pharma), Científicos</t>
  </si>
  <si>
    <t xml:space="preserve">Global ($626M en 2025)</t>
  </si>
  <si>
    <t xml:space="preserve">Mercado de biocatalizadores enzimáticos</t>
  </si>
  <si>
    <t xml:space="preserve">Valora el mercado de biocatalizadores en $626M en 2025 proyectando $1.1B para la década de 2030 (6.4% CAGR).</t>
  </si>
  <si>
    <t xml:space="preserve">Fabbri, S., et al.</t>
  </si>
  <si>
    <t xml:space="preserve">Evaluation of sugar feedstocks for bio-based chemicals: A consequential LCA</t>
  </si>
  <si>
    <t xml:space="preserve">Insumos de azúcar para fermentación de biocompuestos</t>
  </si>
  <si>
    <t xml:space="preserve">LCA regionalizado evaluando el impacto ambiental de usar sustratos de azúcar como insumo para fermentación química.</t>
  </si>
  <si>
    <t xml:space="preserve">Kung, S. H., et al.</t>
  </si>
  <si>
    <t xml:space="preserve">Approaches and Recent Developments for the Commercial Production of Semi-synthetic Artemisinin</t>
  </si>
  <si>
    <t xml:space="preserve">Comunidad científica, Demanda (Antimaláricos)</t>
  </si>
  <si>
    <t xml:space="preserve">Global / Asia</t>
  </si>
  <si>
    <t xml:space="preserve">Artemisinina semi-sintética con levadura modificada</t>
  </si>
  <si>
    <t xml:space="preserve">Detalla la producción industrial de artemisinina mediante levaduras modificadas evitando la sobrecosecha de la planta silvestre Artemisia.</t>
  </si>
  <si>
    <t xml:space="preserve">Guo, Z., et al.</t>
  </si>
  <si>
    <t xml:space="preserve">Dihydroartemisinic acid dehydrogenase-mediated alternative route for artemisinin biosynthesis</t>
  </si>
  <si>
    <t xml:space="preserve">Cuantitativo / Nat Commun</t>
  </si>
  <si>
    <t xml:space="preserve">Ruta biosintética alternativa de artemisinina</t>
  </si>
  <si>
    <t xml:space="preserve">Publica en Nature Communications una nueva ruta biosintética enzimática para maximizar la producción limpia de artemisinina.</t>
  </si>
  <si>
    <t xml:space="preserve">Sahoo, A., et al.</t>
  </si>
  <si>
    <t xml:space="preserve">Machine learning assisted media optimization for enhanced insulin production</t>
  </si>
  <si>
    <t xml:space="preserve">Células Pseudomonas para producción de insulina</t>
  </si>
  <si>
    <t xml:space="preserve">Presenta la optimización por machine learning de fábricas celulares de Pseudomonas para maximizar rendimientos de insulina.</t>
  </si>
  <si>
    <t xml:space="preserve">Srinivasan, P. &amp; Smolke, C.D.</t>
  </si>
  <si>
    <t xml:space="preserve">Biosynthesis of medicinal tropane alkaloids in yeast</t>
  </si>
  <si>
    <t xml:space="preserve">Comunidad científica, Demanda (Antheia)</t>
  </si>
  <si>
    <t xml:space="preserve">Alcaloides del tropano y cannabinoides biosintetizados</t>
  </si>
  <si>
    <t xml:space="preserve">Publicación en Nature de la biosíntesis completa de alcaloides medicinales en levaduras, origen de la startup Antheia.</t>
  </si>
  <si>
    <t xml:space="preserve">Synthetic biology market size, share &amp; trends report, 2024–2030</t>
  </si>
  <si>
    <t xml:space="preserve">Demanda (Inversores, Biotecnología), Reguladores</t>
  </si>
  <si>
    <t xml:space="preserve">Global ($16.2B en 2024)</t>
  </si>
  <si>
    <t xml:space="preserve">Mercado de biología sintética y APIs microbianas</t>
  </si>
  <si>
    <t xml:space="preserve">Valora el mercado de biología sintética en $16.2B en 2024 proyectando un segmento de APIs microbianas de $96B a 2030 (6% CAGR).</t>
  </si>
  <si>
    <t xml:space="preserve">WWF &amp; GSK</t>
  </si>
  <si>
    <t xml:space="preserve">WWF launches five-year partnership with GSK to conserve freshwater resources</t>
  </si>
  <si>
    <t xml:space="preserve">Demanda (GSK), ONG (WWF), Oferta (Comunidades)</t>
  </si>
  <si>
    <t xml:space="preserve">India / Pakistán (Cuencas Sutlej e Indo - 300k m3)</t>
  </si>
  <si>
    <t xml:space="preserve">Cuencas hídricas y reposición hídrica (100k beneficiarios)</t>
  </si>
  <si>
    <t xml:space="preserve">Alianza a 5 años entre GSK y WWF para reponer 300.000 m3 de agua dulce y restaurar hábitats beneficiando a 100.000 personas.</t>
  </si>
  <si>
    <t xml:space="preserve">GSK</t>
  </si>
  <si>
    <t xml:space="preserve">Responsible Business Performance Report 2024</t>
  </si>
  <si>
    <t xml:space="preserve">Demanda (GSK), Reguladores, Público</t>
  </si>
  <si>
    <t xml:space="preserve">Global (58% compras sostenibles)</t>
  </si>
  <si>
    <t xml:space="preserve">Insumos de alto riesgo (papel, palma, gelatina, lactosa)</t>
  </si>
  <si>
    <t xml:space="preserve">Informa que el 58% del gasto en insumos de alto riesgo cumple estándares sostenibles y 93% de empaques es certificado.</t>
  </si>
  <si>
    <t xml:space="preserve">Ortiz, C., et al.</t>
  </si>
  <si>
    <t xml:space="preserve">Novozym 435: the 'perfect' lipase immobilized biocatalyst?</t>
  </si>
  <si>
    <t xml:space="preserve">Comunidad científica, Demanda (Novonesis)</t>
  </si>
  <si>
    <t xml:space="preserve">Enzimas lipasas inmovilizadas en síntesis</t>
  </si>
  <si>
    <t xml:space="preserve">Demuestra el uso de la biocatalizador Novozym 435 para catalizar reacciones a baja temperatura reduciendo agua y energía en 90%.</t>
  </si>
  <si>
    <t xml:space="preserve">Climate Action Network</t>
  </si>
  <si>
    <t xml:space="preserve">Climate Action Network welcomes decisions on climate-biodiversity alignment</t>
  </si>
  <si>
    <t xml:space="preserve">Reguladores/legisladores (COP16), Oferta (IPLC), ONG</t>
  </si>
  <si>
    <t xml:space="preserve">Fondo de Cali para DSI y derechos indígenas</t>
  </si>
  <si>
    <t xml:space="preserve">Comentario sobre las decisiones de COP16 formalizando el Fondo de Cali para canalizar aportes corporativos de DSI hacia comunidades.</t>
  </si>
  <si>
    <t xml:space="preserve">Uniform Market</t>
  </si>
  <si>
    <t xml:space="preserve">Global Apparel Industry Statistics: Market Size and Trends</t>
  </si>
  <si>
    <t xml:space="preserve">Demanda (Industria textil $1.84T), Público</t>
  </si>
  <si>
    <t xml:space="preserve">Global ($1.84T / 430M empleos)</t>
  </si>
  <si>
    <t xml:space="preserve">Cadenas de valor de fibra, cuero y tinción</t>
  </si>
  <si>
    <t xml:space="preserve">Valora la industria global de la vestimenta en $1.84 billones empleando a más de 430 millones de personas.</t>
  </si>
  <si>
    <t xml:space="preserve">BoortmaltX</t>
  </si>
  <si>
    <t xml:space="preserve">Exploring the lower carbon impact of plant-based leather</t>
  </si>
  <si>
    <t xml:space="preserve">Comunidad científica, Demanda (Moda sostenible)</t>
  </si>
  <si>
    <t xml:space="preserve">Cuero vegetal de micelio vs cuero vacuno (-40x huella)</t>
  </si>
  <si>
    <t xml:space="preserve">LCA comparativo mostrando que el cuero vegetal de micelio reduce la huella de carbono 40 veces frente al cuero vacuno.</t>
  </si>
  <si>
    <t xml:space="preserve">Jones, M., Gandia, A., et al. (Faunalytics)</t>
  </si>
  <si>
    <t xml:space="preserve">Fungi Fashion: The Sustainable Appeal Of Mycelium Leather</t>
  </si>
  <si>
    <t xml:space="preserve">Comunidad científica, Demanda (Moda de lujo)</t>
  </si>
  <si>
    <t xml:space="preserve">Hifas fúngicas comprimidas y recubrimientos PLA</t>
  </si>
  <si>
    <t xml:space="preserve">Analiza las propiedades mecánicas del cuero de micelio cultivado sobre residuos agrícolas y su biodegradabilidad total.</t>
  </si>
  <si>
    <t xml:space="preserve">Williams, E., et al. (MycoWorks)</t>
  </si>
  <si>
    <t xml:space="preserve">Life cycle assessment of MycoWorks’ Reishi: The first low-carbon alternative leather</t>
  </si>
  <si>
    <t xml:space="preserve">Comunidad científica, Demanda (MycoWorks, Hermès)</t>
  </si>
  <si>
    <t xml:space="preserve">Estados Unidos (Carolina del Sur)</t>
  </si>
  <si>
    <t xml:space="preserve">Cuero Reishi™ de micelio (2.76 kg CO2e/m2 -92%)</t>
  </si>
  <si>
    <t xml:space="preserve">LCA publicado en Env. Sci. Europe mostrando que Reishi™ emite solo 2.76 kg CO2e/m2 (92% menos que el cuero vacuno de 30.8 kg).</t>
  </si>
  <si>
    <t xml:space="preserve">Credence Research</t>
  </si>
  <si>
    <t xml:space="preserve">Mycelium leather market size, growth &amp; forecast 2032</t>
  </si>
  <si>
    <t xml:space="preserve">Demanda (Inversores de moda, Lujo), Oferta</t>
  </si>
  <si>
    <t xml:space="preserve">Global ($15M-$44M en 2024)</t>
  </si>
  <si>
    <t xml:space="preserve">Mercado de cuero de micelio y bio-cuero ($145M)</t>
  </si>
  <si>
    <t xml:space="preserve">Valora el segmento de cuero de micelio en $15M-$44M en 2024 proyectando un crecimiento del 22-45% anual hacia 2033.</t>
  </si>
  <si>
    <t xml:space="preserve">Natural Dyes and Pigment Market</t>
  </si>
  <si>
    <t xml:space="preserve">Demanda (Industria textil), Reguladores</t>
  </si>
  <si>
    <t xml:space="preserve">Global ($50M-$150M tinción bio)</t>
  </si>
  <si>
    <t xml:space="preserve">Colorantes naturales y pigmentos microbianos</t>
  </si>
  <si>
    <t xml:space="preserve">Estima el segmento de tinción textil biológica en $50M-$150M en 2025 proyectando $1B-$2B para mediados de 2030 (15-20% CAGR).</t>
  </si>
  <si>
    <t xml:space="preserve">Wilcox, M. (Scientific American)</t>
  </si>
  <si>
    <t xml:space="preserve">A Butterfly's Brilliant Blue Wings Lead to Less Toxic Paint</t>
  </si>
  <si>
    <t xml:space="preserve">Comunidad científica, Demanda (Teijin Morphotex)</t>
  </si>
  <si>
    <t xml:space="preserve">Estructuras fotónicas de mariposa Morpho</t>
  </si>
  <si>
    <t xml:space="preserve">Presenta la fibra Morphotex de Teijin inspirada en las alas de mariposa Morpho para crear color estructural sin tintes químicos.</t>
  </si>
  <si>
    <t xml:space="preserve">Mi, J., et al.</t>
  </si>
  <si>
    <t xml:space="preserve">High-strength and ultra-tough whole spider silk fibers spun from transgenic silkworms</t>
  </si>
  <si>
    <t xml:space="preserve">Cuantitativo / Matter</t>
  </si>
  <si>
    <t xml:space="preserve">Comunidad científica, Demanda (Textil de alta resistencia)</t>
  </si>
  <si>
    <t xml:space="preserve">Seda de araña transgénica (6x más fuerte que Kevlar)</t>
  </si>
  <si>
    <t xml:space="preserve">Publica en Matter la producción de seda de araña biodegradable en gusanos transgénicos con resistencia 6 veces superior al Kevlar.</t>
  </si>
  <si>
    <t xml:space="preserve">Norwich Research Park / Colorifix</t>
  </si>
  <si>
    <t xml:space="preserve">Colorifix proves lower environmental impact at every stage of its biological dyeing process</t>
  </si>
  <si>
    <t xml:space="preserve">Comunidad científica, Demanda (Colorifix, H&amp;M)</t>
  </si>
  <si>
    <t xml:space="preserve">Reino Unido (Norwich)</t>
  </si>
  <si>
    <t xml:space="preserve">Tinción biológica por bacterias (-77% agua, -80% químicos)</t>
  </si>
  <si>
    <t xml:space="preserve">LCA independiente demostrando que el proceso bacteriano de Colorifix reduce el agua en 77%, energía en 53% y químicos en 80%.</t>
  </si>
  <si>
    <t xml:space="preserve">University of Cambridge</t>
  </si>
  <si>
    <t xml:space="preserve">Colorifix: A revolutionary dyeing process to help the textile industry</t>
  </si>
  <si>
    <t xml:space="preserve">Demanda (H&amp;M, Pangaia, IKEA), Científicos</t>
  </si>
  <si>
    <t xml:space="preserve">Reino Unido / Portugal / Asia</t>
  </si>
  <si>
    <t xml:space="preserve">Microbios modificados para fijación de pigmentos</t>
  </si>
  <si>
    <t xml:space="preserve">Presenta la tecnología de Colorifix respaldada por $18M de H&amp;M e IKEA para escalar la tinción bacteriana en tintorerías.</t>
  </si>
  <si>
    <t xml:space="preserve">Melton, L.</t>
  </si>
  <si>
    <t xml:space="preserve">Fashion’s microbial dyeing machines</t>
  </si>
  <si>
    <t xml:space="preserve">Cualitativo / Nat Biotechnol</t>
  </si>
  <si>
    <t xml:space="preserve">Comunidad científica, Demanda (Moda)</t>
  </si>
  <si>
    <t xml:space="preserve">Máquinas de tinción microbiana textil</t>
  </si>
  <si>
    <t xml:space="preserve">Artículo en Nature Biotechnology sobre el despliegue de microorganismos para sintetizar pigmentos bio-basados sin aguas servidas tóxicas.</t>
  </si>
  <si>
    <t xml:space="preserve">Husband, L. (Just Style)</t>
  </si>
  <si>
    <t xml:space="preserve">Colorifix secures $18m to rollout sustainable dyeing process</t>
  </si>
  <si>
    <t xml:space="preserve">Demanda (Inter IKEA, Colorifix), Inversores</t>
  </si>
  <si>
    <t xml:space="preserve">Reino Unido / Europa / Asia</t>
  </si>
  <si>
    <t xml:space="preserve">Inversión Serie B de $18M en tinción sostenible</t>
  </si>
  <si>
    <t xml:space="preserve">Informa la ronda de financiamiento Serie B de $18M liderada por Inter IKEA para instalar la tecnología de Colorifix en fábricas.</t>
  </si>
  <si>
    <t xml:space="preserve">Guidance on nature in transition plans</t>
  </si>
  <si>
    <t xml:space="preserve">Reguladores/legisladores, Demanda (Corporaciones, Bancos)</t>
  </si>
  <si>
    <t xml:space="preserve">Planes de transición nature-positive corporativos</t>
  </si>
  <si>
    <t xml:space="preserve">Guía oficial de TNFD para estructurar planes de transición corporativos alineados con las metas del Marco Mundial de Biodiversidad.</t>
  </si>
  <si>
    <t xml:space="preserve">Access2Markets / European Commission</t>
  </si>
  <si>
    <t xml:space="preserve">Application of EUDR Regulation on deforestation-free products delayed until December 2025</t>
  </si>
  <si>
    <t xml:space="preserve">Reguladores/legisladores (UE), Demanda (Importadores)</t>
  </si>
  <si>
    <t xml:space="preserve">Reglamento EUDR sobre deforestación importada</t>
  </si>
  <si>
    <t xml:space="preserve">Informa la prórroga de un año en la aplicación del reglamento EUDR que exige trazabilidad satelital libre de deforestación.</t>
  </si>
  <si>
    <t xml:space="preserve">Council of European Union</t>
  </si>
  <si>
    <t xml:space="preserve">Deforestation: Council ready to start talks with Parliament on a targeted revision</t>
  </si>
  <si>
    <t xml:space="preserve">Reguladores/legisladores (Consejo UE), Demanda</t>
  </si>
  <si>
    <t xml:space="preserve">Revisión legislativa del reglamento EUDR</t>
  </si>
  <si>
    <t xml:space="preserve">Comunicado sobre el proceso de revisión legislativa y plazos finales de cumplimiento del reglamento EUDR.</t>
  </si>
  <si>
    <t xml:space="preserve">Green policies promote the transformation of agrifood systems in Asia</t>
  </si>
  <si>
    <t xml:space="preserve">Cualitativo / FAO</t>
  </si>
  <si>
    <t xml:space="preserve">Reguladores/legisladores, Oferta (Agricultores Asia)</t>
  </si>
  <si>
    <t xml:space="preserve">Sistemas agroalimentarios verdes</t>
  </si>
  <si>
    <t xml:space="preserve">Plataforma técnica de la FAO promoviendo incentivos de agricultura verde y sustitución de fertilizantes sintéticos en Asia.</t>
  </si>
  <si>
    <t xml:space="preserve">Higgings, K. (impactInvestor)</t>
  </si>
  <si>
    <t xml:space="preserve">Triodos Bank announces first BNG private sector loan</t>
  </si>
  <si>
    <t xml:space="preserve">Demanda (Triodos Bank, Restore), Oferta</t>
  </si>
  <si>
    <t xml:space="preserve">Reino Unido (£725k préstamo)</t>
  </si>
  <si>
    <t xml:space="preserve">Restauración de hábitat a 100 años (BNG)</t>
  </si>
  <si>
    <t xml:space="preserve">Anuncio del primer préstamo privado de Triodos Bank (£725k) a la empresa Restore respaldado por créditos de biodiversidad BNG.</t>
  </si>
  <si>
    <t xml:space="preserve">World Agroforestry (ICRAF)</t>
  </si>
  <si>
    <t xml:space="preserve">Technical support to formulate a National Agroforestry Policy for Nepal</t>
  </si>
  <si>
    <t xml:space="preserve">Reguladores/legisladores (Nepal), Oferta, ICRAF</t>
  </si>
  <si>
    <t xml:space="preserve">Nepal</t>
  </si>
  <si>
    <t xml:space="preserve">Política nacional de agroforestería</t>
  </si>
  <si>
    <t xml:space="preserve">Asistencia técnica para la formulación de la Política Nacional de Agroforestería de Nepal para aumentar la cobertura arbórea.</t>
  </si>
  <si>
    <t xml:space="preserve">Global Fishing Watch</t>
  </si>
  <si>
    <t xml:space="preserve">Sharp decline in foreign fishing boats in Indonesian waters</t>
  </si>
  <si>
    <t xml:space="preserve">Cuantitativo / Satelital</t>
  </si>
  <si>
    <t xml:space="preserve">Reguladores/legisladores (Indonesia), Oferta (Pesca local)</t>
  </si>
  <si>
    <t xml:space="preserve">Indonesia (Mar de Arafura / EEZ)</t>
  </si>
  <si>
    <t xml:space="preserve">Control de pesca extranjera ilegal (-90% barcos)</t>
  </si>
  <si>
    <t xml:space="preserve">Análisis con datos satelitales mostrando una caída del 90% en la presencia de barcos pesqueros extranjeros ilegales en Indonesia.</t>
  </si>
  <si>
    <t xml:space="preserve">ANTARA News</t>
  </si>
  <si>
    <t xml:space="preserve">Indonesia seeks international marine conservation collaboration</t>
  </si>
  <si>
    <t xml:space="preserve">Reguladores/legisladores (Indonesia), Público</t>
  </si>
  <si>
    <t xml:space="preserve">Indonesia (97.5M ha meta MPA)</t>
  </si>
  <si>
    <t xml:space="preserve">Áreas Marinas Protegidas (30% meta a 2045)</t>
  </si>
  <si>
    <t xml:space="preserve">Informa que Indonesia ampliará sus Áreas Marinas Protegidas hasta alcanzar el 30% del territorio marino (97.5M ha) para 2045.</t>
  </si>
  <si>
    <t xml:space="preserve">Conservation Evidence</t>
  </si>
  <si>
    <t xml:space="preserve">Introduce an overall catch limit (quota cap or total allowable catch)</t>
  </si>
  <si>
    <t xml:space="preserve">Cualitativo / Evidencia</t>
  </si>
  <si>
    <t xml:space="preserve">Reguladores/legisladores (Namibia), Oferta</t>
  </si>
  <si>
    <t xml:space="preserve">Namibia / Global</t>
  </si>
  <si>
    <t xml:space="preserve">Cuotas totales de captura permitida (TAC)</t>
  </si>
  <si>
    <t xml:space="preserve">Evalúa la efectividad de los límites máximos de captura (TAC) basados en ciencia para recuperar pesquerías en Namibia.</t>
  </si>
  <si>
    <t xml:space="preserve">David and Lucile Packard Foundation</t>
  </si>
  <si>
    <t xml:space="preserve">Chile Marine Strategy 2019-2021</t>
  </si>
  <si>
    <t xml:space="preserve">Cualitativo / Estrategia</t>
  </si>
  <si>
    <t xml:space="preserve">Reguladores/legisladores (Chile), Oferta, ONG</t>
  </si>
  <si>
    <t xml:space="preserve">Red de Áreas Marinas Protegidas sin extracción</t>
  </si>
  <si>
    <t xml:space="preserve">Estrategia marina de Chile para consolidar parques marinos no extractivos y apoyar pesquerías de pequeña escala.</t>
  </si>
  <si>
    <t xml:space="preserve">Jong, HN. (Mongabay)</t>
  </si>
  <si>
    <t xml:space="preserve">Upgrade of Indonesian palm oil certification falls short, observers say</t>
  </si>
  <si>
    <t xml:space="preserve">Reguladores/legisladores (Indonesia ISPO), Oferta, ONG</t>
  </si>
  <si>
    <t xml:space="preserve">Certificación obligatoria ISPO para aceite de palma</t>
  </si>
  <si>
    <t xml:space="preserve">Análisis crítico sobre la certificación obligatoria ISPO en Indonesia y sus vacíos sobre deforestación secundaria.</t>
  </si>
  <si>
    <t xml:space="preserve">The Edge Malaysia</t>
  </si>
  <si>
    <t xml:space="preserve">MSPO 2.0 certification meets EUDR requirements, says CEO</t>
  </si>
  <si>
    <t xml:space="preserve">Reguladores/legisladores (Malasia MSPO), Demanda</t>
  </si>
  <si>
    <t xml:space="preserve">Malasia</t>
  </si>
  <si>
    <t xml:space="preserve">Certificación MSPO 2.0 (corte de deforestación 2019)</t>
  </si>
  <si>
    <t xml:space="preserve">Informa que el estándar actualizado MSPO 2.0 incluye fecha de corte de deforestación en 2019 para alinearse con el EUDR.</t>
  </si>
  <si>
    <t xml:space="preserve">Vatn, A.</t>
  </si>
  <si>
    <t xml:space="preserve">Markets in Environmental Governance. From Theory to Practice</t>
  </si>
  <si>
    <t xml:space="preserve">Marco teórico fundamental sobre la economía institucional y la transición de la teoría a la práctica en gobernanza ambiental.</t>
  </si>
  <si>
    <t xml:space="preserve">Harvey, D.</t>
  </si>
  <si>
    <t xml:space="preserve">A Brief History of Neoliberalism</t>
  </si>
  <si>
    <t xml:space="preserve">Análisis histórico e ideológico del auge del neoliberalismo y la mercantilización de bienes comunes.</t>
  </si>
  <si>
    <t xml:space="preserve">Pirard, R. &amp; Lapeyre, R.</t>
  </si>
  <si>
    <t xml:space="preserve">Classifying Market-Based Instruments for Ecosystem Services: A Guide to the Literature Jungle</t>
  </si>
  <si>
    <t xml:space="preserve">Desarrolla una tipología de referencia para ordenar y clasificar la diversidad de instrumentos de mercado para servicios ecosistémicos.</t>
  </si>
  <si>
    <t xml:space="preserve">Gómez-Baggethun, E. &amp; Muradian, R.</t>
  </si>
  <si>
    <t xml:space="preserve">In Markets We Trust? Setting the Boundaries of Market-Based Instruments in Ecosystem Services Governance</t>
  </si>
  <si>
    <t xml:space="preserve">Servicios ecosistémicos generales</t>
  </si>
  <si>
    <t xml:space="preserve">Discute críticamente los límites éticos e institucionales de los MBI y la interacción entre regulación y mercado.</t>
  </si>
  <si>
    <t xml:space="preserve">Gatto, P., Pettenella, D., &amp; Secco, L.</t>
  </si>
  <si>
    <t xml:space="preserve">Payments for Forest Environmental Services: Organisational Models and Related Experiences in Italy</t>
  </si>
  <si>
    <t xml:space="preserve">Oferta (Silvicultores, Propietarios forestales), Reguladores</t>
  </si>
  <si>
    <t xml:space="preserve">Italia (Europa)</t>
  </si>
  <si>
    <t xml:space="preserve">Analiza modelos organizativos de esquemas PES forestales locales y regionales en Italia.</t>
  </si>
  <si>
    <t xml:space="preserve">Ecosystems and Human Well-being: Synthesis</t>
  </si>
  <si>
    <t xml:space="preserve">Evaluación global hito que popularizó el concepto de servicios ecosistémicos y la regulación del clima por biomasa.</t>
  </si>
  <si>
    <t xml:space="preserve">Katila, M.</t>
  </si>
  <si>
    <t xml:space="preserve">Markets for Forest Environmental Services: Reality and Potential</t>
  </si>
  <si>
    <t xml:space="preserve">Oferta (Silvicultores), Demanda (Inversores), Reguladores</t>
  </si>
  <si>
    <t xml:space="preserve">Evalúa el potencial comercial y las barreras institucionales iniciales para los servicios ambientales forestales.</t>
  </si>
  <si>
    <t xml:space="preserve">Sutter, C. &amp; Parreño, J.C.</t>
  </si>
  <si>
    <t xml:space="preserve">Does the Current Clean Development Mechanism (CDM) Deliver Its Sustainable Development Claim?</t>
  </si>
  <si>
    <t xml:space="preserve">Reguladores/legisladores, Demanda (Países Anexo B), Oferta (Países en desarrollo)</t>
  </si>
  <si>
    <t xml:space="preserve">Proyectos de aforestación/reforestación MDL</t>
  </si>
  <si>
    <t xml:space="preserve">Evaluación cuantitativa de proyectos registrados en el Mecanismo de Desarrollo Limpio y su impacto en desarrollo sostenible.</t>
  </si>
  <si>
    <t xml:space="preserve">McElwee, P. et al.</t>
  </si>
  <si>
    <t xml:space="preserve">Using REDD+ Policy to Facilitate Climate Adaptation at the Local Level: Synergies and Challenges in Vietnam</t>
  </si>
  <si>
    <t xml:space="preserve">Vietnam (Asia del Sudeste)</t>
  </si>
  <si>
    <t xml:space="preserve">Bosques tropicales y de montaña</t>
  </si>
  <si>
    <t xml:space="preserve">Estudia sinergias entre mitigación y adaptación climática local a través de programas REDD+ en Vietnam.</t>
  </si>
  <si>
    <t xml:space="preserve">Bottaro, G., Gatto, P., &amp; Pettenella, D.</t>
  </si>
  <si>
    <t xml:space="preserve">Inventory of Innovative Mechanisms in Europe (SINCERE Project Deliverable 1.2)</t>
  </si>
  <si>
    <t xml:space="preserve">Reguladores/legisladores, Demanda, Oferta (Silvicultores)</t>
  </si>
  <si>
    <t xml:space="preserve">Bosques europeos</t>
  </si>
  <si>
    <t xml:space="preserve">Inventario exhaustivo del proyecto SINCERE sobre mecanismos económicos e innovaciones en servicios ecosistémicos forestales.</t>
  </si>
  <si>
    <t xml:space="preserve">Payments for Environmental Services and the Poor: Concepts and Preliminary Evidence</t>
  </si>
  <si>
    <t xml:space="preserve">Oferta (Comunidades locales, pobres rurales), Reguladores</t>
  </si>
  <si>
    <t xml:space="preserve">Definición conceptual clásica de PES e investigación sobre sus impactos en el alivio de la pobreza rural.</t>
  </si>
  <si>
    <t xml:space="preserve">Ezzine-De-Blas, D. et al.</t>
  </si>
  <si>
    <t xml:space="preserve">Global Patterns in the Implementation of Payments for Environmental Services</t>
  </si>
  <si>
    <t xml:space="preserve">Global (47 iniciativas)</t>
  </si>
  <si>
    <t xml:space="preserve">Bosques y cuencas hidrográficas</t>
  </si>
  <si>
    <t xml:space="preserve">Meta-análisis cuantitativo global sobre patrones de diseño e implementación de programas de PES.</t>
  </si>
  <si>
    <t xml:space="preserve">Ring, I. &amp; Schröter-Schlaack, C.</t>
  </si>
  <si>
    <t xml:space="preserve">Instrument Mixes for Biodiversity Policies</t>
  </si>
  <si>
    <t xml:space="preserve">Desarrolla el concepto de mezcla de políticas (policy mix) para la conservación de la biodiversidad.</t>
  </si>
  <si>
    <t xml:space="preserve">Barton, D.N., Ring, I., &amp; Rusch, G.M.</t>
  </si>
  <si>
    <t xml:space="preserve">Policy Mixes: Aligning Instruments for Biodiversity Conservation and Ecosystem Service Provision</t>
  </si>
  <si>
    <t xml:space="preserve">Europa / América Latina</t>
  </si>
  <si>
    <t xml:space="preserve">Analiza cómo alinear instrumentos regulatorios, económicos e informativos en mezclas de políticas efectivas.</t>
  </si>
  <si>
    <t xml:space="preserve">Barton, D.N. et al.</t>
  </si>
  <si>
    <t xml:space="preserve">Payments for Ecosystem Services as a Policy Mix: Demonstrating the IAD Framework</t>
  </si>
  <si>
    <t xml:space="preserve">Reguladores/legisladores, Oferta (Agricultores, Propietarios)</t>
  </si>
  <si>
    <t xml:space="preserve">Bosques tropicales y sistemas agroforestales</t>
  </si>
  <si>
    <t xml:space="preserve">Aplica el marco IAD de Ostrom para demostrar que el programa de PES de Costa Rica es una mezcla institucional compleja.</t>
  </si>
  <si>
    <t xml:space="preserve">Berthet, A., Vincent, A., &amp; Fleury, P.</t>
  </si>
  <si>
    <t xml:space="preserve">Water Quality Issues and Agriculture: An International Review of Innovative Policy Schemes</t>
  </si>
  <si>
    <t xml:space="preserve">Reguladores/legisladores, Oferta (Agricultores), Demanda (Agencias hídricas)</t>
  </si>
  <si>
    <t xml:space="preserve">Cuencas hídricas y suelos agrícolas</t>
  </si>
  <si>
    <t xml:space="preserve">Revisión internacional sobre esquemas de política innovadores para la protección de la calidad del agua en agricultura.</t>
  </si>
  <si>
    <t xml:space="preserve">Welfens, P.J.J. et al.</t>
  </si>
  <si>
    <t xml:space="preserve">The ETS in China and Europe: Dynamics, Policy Options and Global Sustainability Perspectives</t>
  </si>
  <si>
    <t xml:space="preserve">China y Unión Europea</t>
  </si>
  <si>
    <t xml:space="preserve">Sistemas industriales y forestales</t>
  </si>
  <si>
    <t xml:space="preserve">Compara la dinámica y opciones de política de los sistemas de comercio de emisiones (ETS) en China y la UE.</t>
  </si>
  <si>
    <t xml:space="preserve">Raes, L. et al.</t>
  </si>
  <si>
    <t xml:space="preserve">Towards Market- or Command-Based Governance? Evolution of PES in Andean and Mesoamerican Countries</t>
  </si>
  <si>
    <t xml:space="preserve">América Latina (Países Andinos y Mesoamérica)</t>
  </si>
  <si>
    <t xml:space="preserve">Analiza la evolución de los esquemas de PES entre enfoques de mercado puro y gobernanza estatal en Latinoamérica.</t>
  </si>
  <si>
    <t xml:space="preserve">Matzdorf, B., Sattler, C., &amp; Engel, S.</t>
  </si>
  <si>
    <t xml:space="preserve">Institutional Frameworks and Governance Structures of PES Schemes</t>
  </si>
  <si>
    <t xml:space="preserve">Bosques y tierras agrícolas</t>
  </si>
  <si>
    <t xml:space="preserve">Examina la estructura de gobernanza y los marcos institucionales que sustentan la efectividad de los PES.</t>
  </si>
  <si>
    <t xml:space="preserve">Loft, L., Pham, T.T., &amp; Luttrell, C.</t>
  </si>
  <si>
    <t xml:space="preserve">Lessons from Payments for Ecosystem Services for REDD+ Benefit-Sharing Mechanisms</t>
  </si>
  <si>
    <t xml:space="preserve">Oferta (Comunidades locales, IPLC), Reguladores</t>
  </si>
  <si>
    <t xml:space="preserve">Extrae lecciones de los esquemas de PES para diseñar mecanismos de distribución equitativa de beneficios en REDD+.</t>
  </si>
  <si>
    <t xml:space="preserve">An Institutional Analysis of Payments for Environmental Services</t>
  </si>
  <si>
    <t xml:space="preserve">Bosques y servicios ecosistémicos</t>
  </si>
  <si>
    <t xml:space="preserve">Análisis institucional que cuestiona la conceptualización de PES como mercados puros e identifica los costos de transacción.</t>
  </si>
  <si>
    <t xml:space="preserve">Bayon, R. &amp; Jenkins, M.</t>
  </si>
  <si>
    <t xml:space="preserve">The Business of Biodiversity</t>
  </si>
  <si>
    <t xml:space="preserve">Examina el surgimiento de mercados e inversiones privadas para la conservación de la biodiversidad.</t>
  </si>
  <si>
    <t xml:space="preserve">Pirard, R., De Buren, G., &amp; Lapeyre, R.</t>
  </si>
  <si>
    <t xml:space="preserve">Do PES Improve the Governance of Forest Restoration?</t>
  </si>
  <si>
    <t xml:space="preserve">Bosques degradados</t>
  </si>
  <si>
    <t xml:space="preserve">Evalúa el impacto de los esquemas de PES en la gobernanza y ejecución de proyectos de restauración forestal.</t>
  </si>
  <si>
    <t xml:space="preserve">Grima, N. et al.</t>
  </si>
  <si>
    <t xml:space="preserve">Payment for Ecosystem Services (PES) in Latin America: Analysing the Performance of 40 Case Studies</t>
  </si>
  <si>
    <t xml:space="preserve">América Latina (40 casos)</t>
  </si>
  <si>
    <t xml:space="preserve">Bosques tropicales y cuencas</t>
  </si>
  <si>
    <t xml:space="preserve">Meta-análisis sobre el desempeño ambiental y socioeconómico de 40 casos de PES en América Latina.</t>
  </si>
  <si>
    <t xml:space="preserve">PRISMA Group</t>
  </si>
  <si>
    <t xml:space="preserve">PRISMA Statement: Preferred Reporting Items for Systematic Reviews and Meta-Analyses</t>
  </si>
  <si>
    <t xml:space="preserve">Metodología de revisión</t>
  </si>
  <si>
    <t xml:space="preserve">Guía metodológica estándar para la conducción y reporte transparente de revisiones sistemáticas.</t>
  </si>
  <si>
    <t xml:space="preserve">Aguilar-Gómez, C.R. et al.</t>
  </si>
  <si>
    <t xml:space="preserve">Differentiated Payments for Environmental Services: A Review of the Literature</t>
  </si>
  <si>
    <t xml:space="preserve">Reguladores/legisladores, Oferta (Propietarios forestales)</t>
  </si>
  <si>
    <t xml:space="preserve">Bosques y terrenos agrícolas</t>
  </si>
  <si>
    <t xml:space="preserve">Revisión sobre la aplicación de pagos diferenciados según costo de oportunidad e importancia ecológica.</t>
  </si>
  <si>
    <t xml:space="preserve">Maier, C. et al.</t>
  </si>
  <si>
    <t xml:space="preserve">Innovations for Securing Forest Ecosystem Service Provision in Europe—A Systematic Literature Review</t>
  </si>
  <si>
    <t xml:space="preserve">Revisión sistemática de innovaciones institucionales y mecanismos de mercado para servicios forestales en Europa.</t>
  </si>
  <si>
    <t xml:space="preserve">Newig, J. &amp; Rose, M.</t>
  </si>
  <si>
    <t xml:space="preserve">Cumulating Evidence in Environmental Governance, Policy and Planning Research</t>
  </si>
  <si>
    <t xml:space="preserve">Gobernanza ambiental</t>
  </si>
  <si>
    <t xml:space="preserve">Discute métodos para sintetizar evidencia empírica en investigación sobre gobernanza ambiental.</t>
  </si>
  <si>
    <t xml:space="preserve">Martin-Ortega, J., Ojea, E., &amp; Roux, C.</t>
  </si>
  <si>
    <t xml:space="preserve">Payments for Water Ecosystem Services in Latin America: A Literature Review and Conceptual Model</t>
  </si>
  <si>
    <t xml:space="preserve">Reguladores/legisladores, Oferta (Comunidades cuenca alta), Demanda</t>
  </si>
  <si>
    <t xml:space="preserve">Cuencas hidrográficas y bosques de protección</t>
  </si>
  <si>
    <t xml:space="preserve">Revisión y modelo conceptual de esquemas de pagos por servicios ambientales hídricos en Latinoamérica.</t>
  </si>
  <si>
    <t xml:space="preserve">Jolliffe, I.T.</t>
  </si>
  <si>
    <t xml:space="preserve">Principal Component Analysis (2nd ed.)</t>
  </si>
  <si>
    <t xml:space="preserve">Texto fundamental sobre Análisis de Componentes Principales (PCA) empleado en la reducción multivariada.</t>
  </si>
  <si>
    <t xml:space="preserve">Everitt, B. &amp; Hothorn, T.</t>
  </si>
  <si>
    <t xml:space="preserve">An Introduction to Applied Multivariate Analysis with R</t>
  </si>
  <si>
    <t xml:space="preserve">Manual de técnicas multivariadas y análisis de clúster aplicado en R.</t>
  </si>
  <si>
    <t xml:space="preserve">R Core Team</t>
  </si>
  <si>
    <t xml:space="preserve">R: A Language and Environment for Statistical Computing</t>
  </si>
  <si>
    <t xml:space="preserve">Software de cómputo</t>
  </si>
  <si>
    <t xml:space="preserve">Entorno de software estadístico utilizado para el Análisis de Correspondencias Múltiples (MCA).</t>
  </si>
  <si>
    <t xml:space="preserve">Lê, S., Josse, J., &amp; Husson, F.</t>
  </si>
  <si>
    <t xml:space="preserve">FactoMineR: An R Package for Multivariate Analysis</t>
  </si>
  <si>
    <t xml:space="preserve">Software estadístico</t>
  </si>
  <si>
    <t xml:space="preserve">Paquete de R utilizado para la ejecución del análisis multivariado MCA y jerárquico.</t>
  </si>
  <si>
    <t xml:space="preserve">Pagiola, S. et al.</t>
  </si>
  <si>
    <t xml:space="preserve">Paying for the Environmental Services of Silvopastoral Practices in Nicaragua</t>
  </si>
  <si>
    <t xml:space="preserve">Oferta (Ganaderos, Agricultores), Reguladores (Banco Mundial)</t>
  </si>
  <si>
    <t xml:space="preserve">Nicaragua</t>
  </si>
  <si>
    <t xml:space="preserve">Sistemas silvopastoriles y bosques secundarios</t>
  </si>
  <si>
    <t xml:space="preserve">Estudio empírico de valoración y adopción de prácticas silvopastoriles incentivadas mediante PES.</t>
  </si>
  <si>
    <t xml:space="preserve">Matthews, R.B. et al.</t>
  </si>
  <si>
    <t xml:space="preserve">Implementing REDD+: Evidence on Governance, Evaluation and Impacts from the REDD-ALERT Project</t>
  </si>
  <si>
    <t xml:space="preserve">Evidencia empírica sobre gobernanza e impactos del proyecto REDD-ALERT en países tropicales.</t>
  </si>
  <si>
    <t xml:space="preserve">Thompson, B.S.</t>
  </si>
  <si>
    <t xml:space="preserve">Payments for Ecosystem Services and Corporate Social Responsibility in Thailand</t>
  </si>
  <si>
    <t xml:space="preserve">Demanda (Empresas embotelladoras, Servicios hídricos), Oferta</t>
  </si>
  <si>
    <t xml:space="preserve">Tailandia (Asia del Sudeste)</t>
  </si>
  <si>
    <t xml:space="preserve">Cuencas de Mae Rim y Mae Taeng</t>
  </si>
  <si>
    <t xml:space="preserve">Analiza la articulación entre responsabilidad social corporativa (CSR) y pagos por servicios hídricos en cuencas tailandesas.</t>
  </si>
  <si>
    <t xml:space="preserve">Wunder, S., Feder, S., Pettenella, D., &amp; Bottaro, G.</t>
  </si>
  <si>
    <t xml:space="preserve">State-of-the-Art Synthesis Report about Best-Practice Design and Implementation of PES in Europe (SINCERE Project)</t>
  </si>
  <si>
    <t xml:space="preserve">Síntesis de mejores prácticas para el diseño e implementación de PES y mecanismos de mercado en Europa.</t>
  </si>
  <si>
    <t xml:space="preserve">Bond, J., Millar, J., &amp; Ramos, J.</t>
  </si>
  <si>
    <t xml:space="preserve">Livelihood Benefits and Challenges of Community Reforestation in Timor Leste</t>
  </si>
  <si>
    <t xml:space="preserve">Oferta (Comunidades locales, Pequeños agricultores), ONG</t>
  </si>
  <si>
    <t xml:space="preserve">Timor Oriental</t>
  </si>
  <si>
    <t xml:space="preserve">Bosques comunales y áreas reforestadas</t>
  </si>
  <si>
    <t xml:space="preserve">Evalúa los beneficios en medios de vida y desafíos de esquemas pequeños de carbono comunitario.</t>
  </si>
  <si>
    <t xml:space="preserve">Naegele, H.</t>
  </si>
  <si>
    <t xml:space="preserve">Offset Credits in the EU ETS: A Quantile Estimation of Firm-Level Transaction Costs</t>
  </si>
  <si>
    <t xml:space="preserve">Demanda (Empresas industriales), Reguladores/legisladores</t>
  </si>
  <si>
    <t xml:space="preserve">Mercado regulado de emisiones</t>
  </si>
  <si>
    <t xml:space="preserve">Cuantifica los costos de transacción a nivel de empresa en el uso de créditos de compensación dentro del EU ETS.</t>
  </si>
  <si>
    <t xml:space="preserve">Wunder, S., Engel, S., &amp; Pagiola, S.</t>
  </si>
  <si>
    <t xml:space="preserve">Taking Stock: A Comparative Analysis of Payments for Environmental Services Programs in Developed and Developing Countries</t>
  </si>
  <si>
    <t xml:space="preserve">Reguladores/legisladores, Oferta, Demanda, Comunidad científica</t>
  </si>
  <si>
    <t xml:space="preserve">Global (Países desarrollados y en desarrollo)</t>
  </si>
  <si>
    <t xml:space="preserve">Bosques, cuencas y biodiversidad</t>
  </si>
  <si>
    <t xml:space="preserve">Análisis comparativo hito entre programas de PES impulsados por usuarios vs. liderados por gobiernos.</t>
  </si>
  <si>
    <t xml:space="preserve">Thorsen, B.J. et al.</t>
  </si>
  <si>
    <t xml:space="preserve">The Provision of Forest Ecosystem Services Volume II: Assessing Cost of Provision and Designing Economic Instruments</t>
  </si>
  <si>
    <t xml:space="preserve">Europa (EFI)</t>
  </si>
  <si>
    <t xml:space="preserve">Evalúa costos de provisión y diseño de instrumentos económicos para valorar servicios forestales en Europa.</t>
  </si>
  <si>
    <t xml:space="preserve">The Concept of Standards, Certification and Labelling</t>
  </si>
  <si>
    <t xml:space="preserve">Reguladores/legisladores, Demanda (Consumidores), Oferta</t>
  </si>
  <si>
    <t xml:space="preserve">Cadenas de suministro agrícolas y forestales</t>
  </si>
  <si>
    <t xml:space="preserve">Documento técnico de la FAO que define los conceptos de estándares, certificación y eco-etiquetado.</t>
  </si>
  <si>
    <t xml:space="preserve">Richards, C. &amp; Lyons, K.</t>
  </si>
  <si>
    <t xml:space="preserve">The New Corporate Enclosures: Plantation Forestry, Carbon Markets and Financialised Solutions</t>
  </si>
  <si>
    <t xml:space="preserve">Demanda (Empresas corporativas), Oferta (Comunidades locales), Reguladores</t>
  </si>
  <si>
    <t xml:space="preserve">Uganda (Kachung)</t>
  </si>
  <si>
    <t xml:space="preserve">Estudio crítico sobre la financiarización del carbono y plantaciones forestales certificadas por CCBA en Uganda.</t>
  </si>
  <si>
    <t xml:space="preserve">Jaza Folefack, A.J. &amp; Darr, D.</t>
  </si>
  <si>
    <t xml:space="preserve">Promoting Cocoa Agroforestry under Conditions of Separated Ownership of Land and Trees in Cameroon</t>
  </si>
  <si>
    <t xml:space="preserve">Oferta (Agricultores de cacao), Reguladores tradicionales</t>
  </si>
  <si>
    <t xml:space="preserve">Camerún (África Central)</t>
  </si>
  <si>
    <t xml:space="preserve">Sistemas agroforestales de cacao</t>
  </si>
  <si>
    <t xml:space="preserve">Examina la promoción de la agroforestería de cacao y la tenencia consuetudinaria bajo certificación Rainforest Alliance.</t>
  </si>
  <si>
    <t xml:space="preserve">Baumber, A., Berry, E., &amp; Metternicht, G.</t>
  </si>
  <si>
    <t xml:space="preserve">Synergies between Land Degradation Neutrality Goals and Existing Market-Based Instruments</t>
  </si>
  <si>
    <t xml:space="preserve">Suelos y tierras degradadas</t>
  </si>
  <si>
    <t xml:space="preserve">Analiza las sinergias entre las metas de Neutralidad en Degradación de Tierras y los instrumentos de mercado existentes.</t>
  </si>
  <si>
    <t xml:space="preserve">Fouqueray, T. et al.</t>
  </si>
  <si>
    <t xml:space="preserve">Efficient, Sustainable, and Multifunctional Carbon Offsetting to Boost Forest Management</t>
  </si>
  <si>
    <t xml:space="preserve">Oferta (Propietarios forestales), Demanda (Empresas), Reguladores</t>
  </si>
  <si>
    <t xml:space="preserve">Francia (Programa Sylv'ACCTES)</t>
  </si>
  <si>
    <t xml:space="preserve">Bosques templados gestionados</t>
  </si>
  <si>
    <t xml:space="preserve">Estudio de caso comparativo sobre el programa Sylv'ACCTES en Francia que combina compensación voluntaria con gestión forestal.</t>
  </si>
  <si>
    <t xml:space="preserve">Eberhard-Harribey, L.</t>
  </si>
  <si>
    <t xml:space="preserve">Corporate Social Responsibility as a New Paradigm in the European Policy</t>
  </si>
  <si>
    <t xml:space="preserve">Demanda (Empresas corporativas), Reguladores/legisladores</t>
  </si>
  <si>
    <t xml:space="preserve">Marcos corporativos</t>
  </si>
  <si>
    <t xml:space="preserve">Discute la Responsabilidad Social Corporativa (CSR) como nuevo paradigma de gobernanza en la política europea.</t>
  </si>
  <si>
    <t xml:space="preserve">Corporate Finance Institute (CFI)</t>
  </si>
  <si>
    <t xml:space="preserve">ESG (Environmental, Social and Governance)—Overview and Framework</t>
  </si>
  <si>
    <t xml:space="preserve">Demanda (Sector financiero, Inversores, Empresas)</t>
  </si>
  <si>
    <t xml:space="preserve">Inversión financiera corporativa</t>
  </si>
  <si>
    <t xml:space="preserve">Guía conceptual sobre los criterios ESG y los riesgos materiales de sostenibilidad para el sector financiero.</t>
  </si>
  <si>
    <t xml:space="preserve">Montagnini, F. &amp; Finney, C.</t>
  </si>
  <si>
    <t xml:space="preserve">Payments for Environmental Services in Latin America as a Tool for Restoration and Rural Development</t>
  </si>
  <si>
    <t xml:space="preserve">Oferta (Comunidades rurales), Reguladores, Demanda</t>
  </si>
  <si>
    <t xml:space="preserve">América Latina (Costa Rica)</t>
  </si>
  <si>
    <t xml:space="preserve">Evalúa el papel de los PES en América Latina como herramienta de restauración forestal y desarrollo rural.</t>
  </si>
  <si>
    <t xml:space="preserve">Concession Contracts and Public Procurement Rules</t>
  </si>
  <si>
    <t xml:space="preserve">Reguladores/legisladores, Demanda (Empresas concesionarias)</t>
  </si>
  <si>
    <t xml:space="preserve">Bienes e infraestructuras públicas</t>
  </si>
  <si>
    <t xml:space="preserve">Marco legal sobre contratos de concesión para la movilización de capital privado en proyectos de interés público.</t>
  </si>
  <si>
    <t xml:space="preserve">Sangha, K.K. et al.</t>
  </si>
  <si>
    <t xml:space="preserve">Assessing the Value of Ecosystem Services Delivered by Prescribed Fire Management in Australian Tropical Savannas</t>
  </si>
  <si>
    <t xml:space="preserve">Oferta (Pueblos Indígenas / IPLC), Reguladores</t>
  </si>
  <si>
    <t xml:space="preserve">Australia (Sabana Tropical)</t>
  </si>
  <si>
    <t xml:space="preserve">Sabanas tropicales y manejo de incendios</t>
  </si>
  <si>
    <t xml:space="preserve">Valora económicamente los servicios de reducción de emisiones mediante quemas tradicionales bajo la CFI de Australia.</t>
  </si>
  <si>
    <t xml:space="preserve">Busch, J.</t>
  </si>
  <si>
    <t xml:space="preserve">Monitoring and Evaluating the Payment-for-Performance Premise of REDD+: The Case of India’s Ecological Fiscal Transfers</t>
  </si>
  <si>
    <t xml:space="preserve">Reguladores/legisladores (Gobiernos subnacionales)</t>
  </si>
  <si>
    <t xml:space="preserve">Bosques estatales de la India</t>
  </si>
  <si>
    <t xml:space="preserve">Evalúa las transferencias fiscales ecológicas (EFT) de la India como incentivo de pago por desempeño forestal.</t>
  </si>
  <si>
    <t xml:space="preserve">Daigneault, A.J., Sohngen, B.L., &amp; Sedjo, R.</t>
  </si>
  <si>
    <t xml:space="preserve">Carbon and Market Effects of U.S. Forest Taxation Policy</t>
  </si>
  <si>
    <t xml:space="preserve">Oferta (Silvicultores privados), Reguladores/legisladores</t>
  </si>
  <si>
    <t xml:space="preserve">Bosques privados comerciales</t>
  </si>
  <si>
    <t xml:space="preserve">Modela el impacto de los incentivos fiscales y exenciones de impuestos a la propiedad en el secuestro de carbono forestal.</t>
  </si>
  <si>
    <t xml:space="preserve">Avelino, F. &amp; Wittmayer, J.M.</t>
  </si>
  <si>
    <t xml:space="preserve">Shifting Power Relations in Sustainability Transitions: A Multi-Actor Perspective</t>
  </si>
  <si>
    <t xml:space="preserve">Comunidad científica, Reguladores, Mercado, Comunidad, Sociedad Civil</t>
  </si>
  <si>
    <t xml:space="preserve">Sistemas de gobernanza</t>
  </si>
  <si>
    <t xml:space="preserve">Desarrolla el modelo 'Welfare Mix' de 4 cuadrantes (Estado, Mercado, Comunidad, Sociedad Civil) para gobernanza ambiental.</t>
  </si>
  <si>
    <t xml:space="preserve">Pestoff, V.A.</t>
  </si>
  <si>
    <t xml:space="preserve">Third Sector and Co-Operative Services—An Alternative to Privatization</t>
  </si>
  <si>
    <t xml:space="preserve">Comunidad científica, Sociedad civil, Estado</t>
  </si>
  <si>
    <t xml:space="preserve">Economía social y servicios públicos</t>
  </si>
  <si>
    <t xml:space="preserve">Texto de referencia sobre la relación entre el tercer sector, las cooperativas y las administraciones públicas.</t>
  </si>
  <si>
    <t xml:space="preserve">IPBES (Brondizio et al., eds.)</t>
  </si>
  <si>
    <t xml:space="preserve">The Global Assessment Report Biodiversity and Ecosystem Services</t>
  </si>
  <si>
    <t xml:space="preserve">Informe global de evaluación que mapea los tipos de actores y motores de cambio en la pérdida de biodiversidad.</t>
  </si>
  <si>
    <t xml:space="preserve">Montoya-Zumaeta, J.G., Wunder, S., &amp; Tacconi, L.</t>
  </si>
  <si>
    <t xml:space="preserve">Incentive-Based Conservation in Peru: Assessing the State of Six Ongoing PES and REDD+ Initiatives</t>
  </si>
  <si>
    <t xml:space="preserve">Oferta (Comunidades nativas), Reguladores (PNCBM), Científicos</t>
  </si>
  <si>
    <t xml:space="preserve">Perú (Amazonía)</t>
  </si>
  <si>
    <t xml:space="preserve">Selva alta y baja amazónica</t>
  </si>
  <si>
    <t xml:space="preserve">Evaluación empírica de 6 iniciativas activas de PES y REDD+ en la Amazonía peruana y la delimitación de derechos.</t>
  </si>
  <si>
    <t xml:space="preserve">Jurczyk, T.</t>
  </si>
  <si>
    <t xml:space="preserve">Clustering with Scikit-Learn in Python</t>
  </si>
  <si>
    <t xml:space="preserve">Algoritmos de aprendizaje automático</t>
  </si>
  <si>
    <t xml:space="preserve">Metodología de optimización de inercias en algoritmos de agrupación K-means empleada en clústeres.</t>
  </si>
  <si>
    <t xml:space="preserve">Ostrom, E.</t>
  </si>
  <si>
    <t xml:space="preserve">A General Framework for Analyzing Sustainability of Social-Ecological Systems</t>
  </si>
  <si>
    <t xml:space="preserve">Comunidad científica, Reguladores, Comunidad local</t>
  </si>
  <si>
    <t xml:space="preserve">Sistemas socioecológicos (SES)</t>
  </si>
  <si>
    <t xml:space="preserve">Marco teórico cumbre de Elinor Ostrom en *Science* para el análisis integrador de la sostenibilidad en sistemas socioecológicos.</t>
  </si>
  <si>
    <t xml:space="preserve">Marion Suiseeya, K.R. &amp; Caplow, S.</t>
  </si>
  <si>
    <t xml:space="preserve">In Pursuit of Procedural Justice: Lessons from an Analysis of 56 Forest Carbon Project Designs</t>
  </si>
  <si>
    <t xml:space="preserve">Global (56 proyectos)</t>
  </si>
  <si>
    <t xml:space="preserve">Evalúa la justicia procedimental e inclusión de comunidades locales en el diseño de 56 proyectos de carbono forestal.</t>
  </si>
  <si>
    <t xml:space="preserve">Sattler, C. et al.</t>
  </si>
  <si>
    <t xml:space="preserve">Multi-Classification of Payments for Ecosystem Services: How Do Classification Characteristics Relate to Overall Success?</t>
  </si>
  <si>
    <t xml:space="preserve">Relaciona las características de diseño institucional con los indicadores de éxito ambiental y social en PES.</t>
  </si>
  <si>
    <t xml:space="preserve">McGinnis, M.D. &amp; Ostrom, E.</t>
  </si>
  <si>
    <t xml:space="preserve">Social-Ecological System Framework: Initial Changes and Continuing Challenges</t>
  </si>
  <si>
    <t xml:space="preserve">Marco conceptual SES</t>
  </si>
  <si>
    <t xml:space="preserve">Actualización del marco SES para analizar interacciones entre sistemas de recursos, unidades, gobernanza y actores.</t>
  </si>
  <si>
    <t xml:space="preserve">Chenost, C. et al. (UNEP)</t>
  </si>
  <si>
    <t xml:space="preserve">Bringing Forest Carbon Projects to the Market</t>
  </si>
  <si>
    <t xml:space="preserve">Guía práctica del PNUMA sobre desarrollo de proyectos de carbono forestal y su colocación en mercados regulados y voluntarios.</t>
  </si>
  <si>
    <t xml:space="preserve">Turpie, J.K., Marais, C., &amp; Blignaut, J.N.</t>
  </si>
  <si>
    <t xml:space="preserve">The Working for Water Programme: Evolution of a PES Mechanism Addressing Poverty and Ecosystem Delivery in South Africa</t>
  </si>
  <si>
    <t xml:space="preserve">Reguladores/legisladores, Oferta (Trabajadores desempleados, Comunidades)</t>
  </si>
  <si>
    <t xml:space="preserve">Cuencas hídricas y control de vegetación invasora</t>
  </si>
  <si>
    <t xml:space="preserve">Estudio del programa 'Working for Water' en Sudáfrica que combina erradicación de plantas invasoras con alivio de la pobreza.</t>
  </si>
  <si>
    <t xml:space="preserve">Sarira, T.V. et al.</t>
  </si>
  <si>
    <t xml:space="preserve">Co-Benefits of Forest Carbon Projects in Southeast Asia</t>
  </si>
  <si>
    <t xml:space="preserve">Comunidad científica, Demanda, Oferta (Comunidades locales)</t>
  </si>
  <si>
    <t xml:space="preserve">Asia del Sudeste</t>
  </si>
  <si>
    <t xml:space="preserve">Bosques tropicales de alta biodiversidad</t>
  </si>
  <si>
    <t xml:space="preserve">Modela en *Nature Sustainability* los cobeneficios de biodiversidad y agua en proyectos de carbono forestal en el Sudeste Asiático.</t>
  </si>
  <si>
    <t xml:space="preserve">Larson, A.M. et al.</t>
  </si>
  <si>
    <t xml:space="preserve">Land Tenure and REDD+: The Good, the Bad and the Ugly</t>
  </si>
  <si>
    <t xml:space="preserve">América Latina, África y Asia (CIFOR)</t>
  </si>
  <si>
    <t xml:space="preserve">Bosques tropicales comunales</t>
  </si>
  <si>
    <t xml:space="preserve">Estudio comparativo de CIFOR sobre los desafíos de tenencia de la tierra para la implementación justa de REDD+.</t>
  </si>
  <si>
    <t xml:space="preserve">Sunderlin, W.D. et al.</t>
  </si>
  <si>
    <t xml:space="preserve">How Are REDD+ Proponents Addressing Tenure Problems? Evidence from Brazil, Cameroon, Tanzania, Indonesia, and Vietnam</t>
  </si>
  <si>
    <t xml:space="preserve">Oferta (Comunidades forestales, IPLC), Reguladores, ONG</t>
  </si>
  <si>
    <t xml:space="preserve">Brasil, Camerún, Tanzania, Indonesia y Vietnam</t>
  </si>
  <si>
    <t xml:space="preserve">Bosques tropicales en 23 proyectos</t>
  </si>
  <si>
    <t xml:space="preserve">Analiza cómo los promotores de 23 proyectos REDD+ abordan los traslapes de derechos de propiedad y tenencia en 5 países.</t>
  </si>
  <si>
    <t xml:space="preserve">Lambin, E.F. et al.</t>
  </si>
  <si>
    <t xml:space="preserve">Effectiveness and Synergies of Policy Instruments for Land Use Governance in Tropical Regions</t>
  </si>
  <si>
    <t xml:space="preserve">Reguladores/legisladores, Demanda, Oferta (Agricultores, Silvicultores)</t>
  </si>
  <si>
    <t xml:space="preserve">Regiones Tropicales (Global)</t>
  </si>
  <si>
    <t xml:space="preserve">Fronteras agrícolas y boscosas</t>
  </si>
  <si>
    <t xml:space="preserve">Analiza la efectividad y sinergia entre instrumentos de mandato y control, incentivos de mercado y compromisos privados.</t>
  </si>
  <si>
    <t xml:space="preserve">Liu, X. et al.</t>
  </si>
  <si>
    <t xml:space="preserve">Difference in Carbon Budget from Marshlands to Transformed Paddy Fields in the Sanjiang Plain, Northeast China</t>
  </si>
  <si>
    <t xml:space="preserve">China (Llanura de Sanjiang)</t>
  </si>
  <si>
    <t xml:space="preserve">Humedales y campos de arroz transformados</t>
  </si>
  <si>
    <t xml:space="preserve">Cuantifica el balance de carbono en la conversión de humedales a arrozales bajo el Programa Natural Forest Conservation.</t>
  </si>
  <si>
    <t xml:space="preserve">Rival, L.M.</t>
  </si>
  <si>
    <t xml:space="preserve">From Carbon Projects to Better Land-Use Planning: Three Latin American Initiatives</t>
  </si>
  <si>
    <t xml:space="preserve">Oferta (Comunidades locales, Reserva Bolsa Floresta), Reguladores</t>
  </si>
  <si>
    <t xml:space="preserve">América Latina (Brasil, Ecuador, Guayana Francesa)</t>
  </si>
  <si>
    <t xml:space="preserve">Bosques amazónicos y reservas de desarrollo</t>
  </si>
  <si>
    <t xml:space="preserve">Estudia el programa Bolsa Floresta en Brasil e iniciativas latinoamericanas que combinan PES con ordenamiento territorial.</t>
  </si>
  <si>
    <t xml:space="preserve">Börner, J., Marinho, E., &amp; Wunder, S.</t>
  </si>
  <si>
    <t xml:space="preserve">Mixing Carrots and Sticks to Conserve Forests in the Brazilian Amazon: A Spatial Probabilistic Modeling Approach</t>
  </si>
  <si>
    <t xml:space="preserve">Reguladores/legisladores, Oferta (Agricultores amazónicos)</t>
  </si>
  <si>
    <t xml:space="preserve">Modela en PLOS ONE el impacto de combinar 'zanahorias' (PES) y 'garrotes' (sanciones legales) para reducir deforestación.</t>
  </si>
  <si>
    <t xml:space="preserve">Bennear, L.S. &amp; Stavins, R.N.</t>
  </si>
  <si>
    <t xml:space="preserve">Second-Best Theory and the Use of Multiple Policy Instruments</t>
  </si>
  <si>
    <t xml:space="preserve">Teoría económica ambiental</t>
  </si>
  <si>
    <t xml:space="preserve">Demuestra la teoría del 'segundo mejor' (second-best) para justificar el empleo de múltiples instrumentos de política.</t>
  </si>
  <si>
    <t xml:space="preserve">Corporate Payments for Ecosystem Services in Theory and Practice: Links to Economics, Business, and Sustainability</t>
  </si>
  <si>
    <t xml:space="preserve">Demanda (Empresas corporativas, Sector privado), Oferta</t>
  </si>
  <si>
    <t xml:space="preserve">Analiza los pagos corporativos por servicios ecosistémicos (CPES) y la vinculación con la sostenibilidad del sector privado.</t>
  </si>
  <si>
    <t xml:space="preserve">Ring, I. &amp; Barton, D.N.</t>
  </si>
  <si>
    <t xml:space="preserve">Economic Instruments in Policy Mixes for Biodiversity Conservation and Ecosystem Governance</t>
  </si>
  <si>
    <t xml:space="preserve">Capítulo del Handbook de Economía Ecológica sobre el papel de los instrumentos económicos dentro de mezclas de políticas.</t>
  </si>
  <si>
    <t xml:space="preserve">Blackstock, K.L. et al.</t>
  </si>
  <si>
    <t xml:space="preserve">Policy Instruments for Environmental Public Goods: Interdependencies and Hybridity</t>
  </si>
  <si>
    <t xml:space="preserve">Bienes públicos ambientales y tierras agrícolas</t>
  </si>
  <si>
    <t xml:space="preserve">Analiza la interdependencia e hibridez de los instrumentos de política pública para la provisión de bienes ambientales.</t>
  </si>
  <si>
    <t xml:space="preserve">Pahl-Wostl, C.</t>
  </si>
  <si>
    <t xml:space="preserve">The Role of Governance Modes and Meta-Governance in the Transformation towards Sustainable Water Governance</t>
  </si>
  <si>
    <t xml:space="preserve">Cuencas hídricas</t>
  </si>
  <si>
    <t xml:space="preserve">Examina la meta-gobernanza y los modos híbridos en la transformación hacia la gestión sostenible de recursos.</t>
  </si>
  <si>
    <t xml:space="preserve">Shin, S. et al.</t>
  </si>
  <si>
    <t xml:space="preserve">The Structure and Pattern of Global Partnerships in the REDD+ Mechanism</t>
  </si>
  <si>
    <t xml:space="preserve">Reguladores/legisladores, ONG, Demanda (Socios internacionales)</t>
  </si>
  <si>
    <t xml:space="preserve">Análisis de redes que revela la estructura y patrones de las alianzas globales y ONGs en el mecanismo REDD+.</t>
  </si>
  <si>
    <t xml:space="preserve">Wells, G. et al.</t>
  </si>
  <si>
    <t xml:space="preserve">Rethinking Monitoring in Smallholder Carbon Payments for Ecosystem Service Schemes</t>
  </si>
  <si>
    <t xml:space="preserve">Oferta (Pequeños agricultores, Proyecto ECOTRUST), ONG</t>
  </si>
  <si>
    <t xml:space="preserve">Uganda (Trees for Global Benefits)</t>
  </si>
  <si>
    <t xml:space="preserve">Sistemas agroforestales comunitarios</t>
  </si>
  <si>
    <t xml:space="preserve">Propone descentralizar el monitoreo en pequeños agricultores para reducir costos en el proyecto Trees for Global Benefits.</t>
  </si>
  <si>
    <t xml:space="preserve">Kongsager, R. &amp; Corbera, E.</t>
  </si>
  <si>
    <t xml:space="preserve">Linking Mitigation and Adaptation in Carbon Forestry Projects: Evidence from Belize</t>
  </si>
  <si>
    <t xml:space="preserve">Oferta (Comunidades locales), Reguladores, Asesores (TNC)</t>
  </si>
  <si>
    <t xml:space="preserve">Belice (Proyecto Rio Bravo)</t>
  </si>
  <si>
    <t xml:space="preserve">Bosques tropicales protegidos</t>
  </si>
  <si>
    <t xml:space="preserve">Analiza la vinculación entre mitigación y adaptación en el proyecto de acción climática Río Bravo en Belice.</t>
  </si>
  <si>
    <t xml:space="preserve">Jayachandran, S. et al.</t>
  </si>
  <si>
    <t xml:space="preserve">Cash for Carbon: A Randomized Trial of Payments for Ecosystem Services to Reduce Deforestation</t>
  </si>
  <si>
    <t xml:space="preserve">Oferta (Propietarios forestales en Uganda), Reguladores</t>
  </si>
  <si>
    <t xml:space="preserve">Bosques privados comunitarios</t>
  </si>
  <si>
    <t xml:space="preserve">Experimento aleatorio de control (RCT) en *Science* que demuestra la efectividad de pagos en efectivo para reducir la deforestación.</t>
  </si>
  <si>
    <t xml:space="preserve">Scaling up Community Participation in Forest Management through REDD+ in Zambia</t>
  </si>
  <si>
    <t xml:space="preserve">Oferta (Comunidades locales, IPLC), Reguladores (FAO)</t>
  </si>
  <si>
    <t xml:space="preserve">Zambia (África Subsahariana)</t>
  </si>
  <si>
    <t xml:space="preserve">Bosques de Miombo</t>
  </si>
  <si>
    <t xml:space="preserve">Informe de la FAO sobre la ampliación de la participación comunitaria en la gestión forestal mediante REDD+.</t>
  </si>
  <si>
    <t xml:space="preserve">Davide, M.</t>
  </si>
  <si>
    <t xml:space="preserve">Technical Guidance Handbook—Setting up and Implementing Result-Based Carbon Farming Mechanisms in the EU</t>
  </si>
  <si>
    <t xml:space="preserve">Reguladores/legisladores (Comisión Europea), Oferta (Agricultores, Silvicultores)</t>
  </si>
  <si>
    <t xml:space="preserve">Suelos agrícolas y bosques europeos</t>
  </si>
  <si>
    <t xml:space="preserve">Manual de orientación técnica de la UE para establecer esquemas de agricultura de carbono (*carbon farming*) basados en resultados.</t>
  </si>
  <si>
    <t xml:space="preserve">Buckley Biggs, N. et al.</t>
  </si>
  <si>
    <t xml:space="preserve">Payments for Ecosystem Services within the Hybrid Governance Model: Evaluating California Rangelands</t>
  </si>
  <si>
    <t xml:space="preserve">Oferta (Ganaderos de pastizales), Reguladores</t>
  </si>
  <si>
    <t xml:space="preserve">Pastizales y dehesas de California</t>
  </si>
  <si>
    <t xml:space="preserve">Evalúa la alineación y complementariedad de políticas de PES dentro del modelo de gobernanza híbrida en pastizales de California.</t>
  </si>
  <si>
    <t xml:space="preserve">Ravikumar, A. et al.</t>
  </si>
  <si>
    <t xml:space="preserve">Multilevel Governance Challenges in Transitioning towards a National Approach for REDD+: Evidence from 23 Initiatives</t>
  </si>
  <si>
    <t xml:space="preserve">Reguladores/legisladores (Gobiernos subnacionales y nacionales), Oferta</t>
  </si>
  <si>
    <t xml:space="preserve">Brasil, Indonesia, Perú, Tanzania, México</t>
  </si>
  <si>
    <t xml:space="preserve">Bosques tropicales en 23 iniciativas</t>
  </si>
  <si>
    <t xml:space="preserve">Identifica los desafíos de gobernanza multinivel en la transición de proyectos REDD+ subnacionales hacia enfoques jurisdiccionales.</t>
  </si>
  <si>
    <t xml:space="preserve">van der Hoff, R., Rajão, R., &amp; Leroy, P.</t>
  </si>
  <si>
    <t xml:space="preserve">Can REDD+ Still Become a Market? Ruptured Dependencies and Market Logics in Brazil</t>
  </si>
  <si>
    <t xml:space="preserve">Reguladores/legisladores (Fondo Amazonía), Demanda, Oferta</t>
  </si>
  <si>
    <t xml:space="preserve">Selva húmeda amazónica</t>
  </si>
  <si>
    <t xml:space="preserve">Analiza las rupturas y lógicas de mercado en la evolución del programa REDD+ de Brasil e iniciativas jurisdiccionales.</t>
  </si>
  <si>
    <t xml:space="preserve">Dator, J., Pratt, D., &amp; Seo, Y.</t>
  </si>
  <si>
    <t xml:space="preserve">Fairness, Globalization, and Public Institutions: East Asia and Beyond</t>
  </si>
  <si>
    <t xml:space="preserve">Instituciones públicas y globalización</t>
  </si>
  <si>
    <t xml:space="preserve">Estudia el papel de las instituciones públicas y la equidad en el marco de la globalización.</t>
  </si>
  <si>
    <t xml:space="preserve">Tegegne, Y.T. et al.</t>
  </si>
  <si>
    <t xml:space="preserve">REDD+ and Equity Outcomes: Two Cases from Cameroon</t>
  </si>
  <si>
    <t xml:space="preserve">Oferta (Comunidades locales de Ngoyla-Mintom), Reguladores</t>
  </si>
  <si>
    <t xml:space="preserve">Bosques tropicales de Camerún</t>
  </si>
  <si>
    <t xml:space="preserve">Evalúa los resultados de equidad y los efectos del marco regulatorio camerunés en la creación de entidades legales locales para REDD+.</t>
  </si>
  <si>
    <t xml:space="preserve">Benjaminsen, G. &amp; Kaarhus, R.</t>
  </si>
  <si>
    <t xml:space="preserve">Commodification of Forest Carbon: REDD+ and Socially Embedded Forest Practices in Zanzibar</t>
  </si>
  <si>
    <t xml:space="preserve">Oferta (Comunidades de Zanzíbar), Reguladores, ONG</t>
  </si>
  <si>
    <t xml:space="preserve">Bosques y manglares insulares</t>
  </si>
  <si>
    <t xml:space="preserve">Estudia la mercantilización del carbono forestal y su interacción con las prácticas comunitarias locales en Zanzíbar.</t>
  </si>
  <si>
    <t xml:space="preserve">Shames, S. et al.</t>
  </si>
  <si>
    <t xml:space="preserve">Building Local Institutional Capacity to Implement Agricultural Carbon Projects in Kenya and Uganda</t>
  </si>
  <si>
    <t xml:space="preserve">Oferta (Agricultores locales, Vi Agroforestry, ECOTRUST), Reguladores</t>
  </si>
  <si>
    <t xml:space="preserve">Kenia y Uganda (África Oriental)</t>
  </si>
  <si>
    <t xml:space="preserve">Sistemas agrícolas y agroforestales</t>
  </si>
  <si>
    <t xml:space="preserve">Investigación-acción participativa sobre la creación de capacidad institucional local para ejecutar proyectos de carbono agrícola.</t>
  </si>
  <si>
    <t xml:space="preserve">Poffenberger, M.</t>
  </si>
  <si>
    <t xml:space="preserve">Restoring and Conserving Khasi Forests: A Community-Based REDD Strategy from Northeast India</t>
  </si>
  <si>
    <t xml:space="preserve">Oferta (Comunidad Khasi), Reguladores (Gobierno de India), ONG</t>
  </si>
  <si>
    <t xml:space="preserve">India (Noreste - Colinas Khasi)</t>
  </si>
  <si>
    <t xml:space="preserve">Bosques sagrados y comunitarios Khasi</t>
  </si>
  <si>
    <t xml:space="preserve">Analiza la estrategia REDD+ comunitaria en las colinas Khasi y los trámites de aprobación gubernamental impuestos a ONGs.</t>
  </si>
  <si>
    <t xml:space="preserve">Peterson St-Laurent, G., Hagerman, S., &amp; Hoberg, G.</t>
  </si>
  <si>
    <t xml:space="preserve">Emergence and Influence of a New Policy Regime: The Case of Forest Carbon Offsets in British Columbia</t>
  </si>
  <si>
    <t xml:space="preserve">Reguladores/legisladores (FCOP), Demanda, Oferta (Silvicultores)</t>
  </si>
  <si>
    <t xml:space="preserve">Canadá (Colombia Británica)</t>
  </si>
  <si>
    <t xml:space="preserve">Bosques templados de coníferas</t>
  </si>
  <si>
    <t xml:space="preserve">Estudia el protocolo FCOP en Colombia Británica y el rol del gobierno como agregador público de créditos de carbono forestal.</t>
  </si>
  <si>
    <t xml:space="preserve">Peng, J. et al.</t>
  </si>
  <si>
    <t xml:space="preserve">Simulating the Impact of Grain-for-Green Programme on Ecosystem Services Trade-Offs in Yunnan, China</t>
  </si>
  <si>
    <t xml:space="preserve">Reguladores/legisladores (Gobierno chino), Oferta (Hogares rurales)</t>
  </si>
  <si>
    <t xml:space="preserve">China (Yunnan)</t>
  </si>
  <si>
    <t xml:space="preserve">Tierras de cultivo reconvertidas a bosque</t>
  </si>
  <si>
    <t xml:space="preserve">Modela el impacto del programa Grain-for-Green sobre los compromisos entre servicios ecosistémicos en el noroeste de Yunnan.</t>
  </si>
  <si>
    <t xml:space="preserve">Jones, K.W. et al.</t>
  </si>
  <si>
    <t xml:space="preserve">Measuring the Net Benefits of Payments for Hydrological Services Programs in Mexico</t>
  </si>
  <si>
    <t xml:space="preserve">Reguladores/legisladores (CONAFOR), Oferta (Ejidos), Demanda</t>
  </si>
  <si>
    <t xml:space="preserve">Bosques de niebla y cuencas hidrográficas</t>
  </si>
  <si>
    <t xml:space="preserve">Evaluación de impacto de los beneficios netos del programa de pagos por servicios ambientales hídricos (PSAH) de la CONAFOR.</t>
  </si>
  <si>
    <t xml:space="preserve">le Coq, J.F. et al.</t>
  </si>
  <si>
    <t xml:space="preserve">Understanding the Governance of the Payment for Environmental Services Programme in Costa Rica</t>
  </si>
  <si>
    <t xml:space="preserve">Reguladores/legisladores (FONAFIFO), Oferta (Propietarios), Demanda</t>
  </si>
  <si>
    <t xml:space="preserve">Bosques tropicales privados y reservas</t>
  </si>
  <si>
    <t xml:space="preserve">Análisis del proceso de política pública y gobernanza del programa PPSA administrado por FONAFIFO en Costa Rica.</t>
  </si>
  <si>
    <t xml:space="preserve">Havemann, T., Negra, C., &amp; Werneck, F.</t>
  </si>
  <si>
    <t xml:space="preserve">Blended Finance for Agriculture: Exploring Constraints and Possibilities for Sustainable Transitions</t>
  </si>
  <si>
    <t xml:space="preserve">Sistemas agrícolas y forestales</t>
  </si>
  <si>
    <t xml:space="preserve">Explora el uso de financiamiento combinado (blended finance) uniendo capital público inicial con inversión privada.</t>
  </si>
  <si>
    <t xml:space="preserve">Bonn, A. et al.</t>
  </si>
  <si>
    <t xml:space="preserve">Investing in Nature: Developing Ecosystem Service Markets for Peatland Restoration</t>
  </si>
  <si>
    <t xml:space="preserve">Reguladores/legisladores (MoorFutures), Oferta, Demanda</t>
  </si>
  <si>
    <t xml:space="preserve">Alemania (Programa MoorFutures)</t>
  </si>
  <si>
    <t xml:space="preserve">Turberas restauradas</t>
  </si>
  <si>
    <t xml:space="preserve">Analiza el desarrollo del proyecto de inversión en turberas MoorFutures financiado inicialmente por autoridades regionales en Alemania.</t>
  </si>
  <si>
    <t xml:space="preserve">Suich, H. et al.</t>
  </si>
  <si>
    <t xml:space="preserve">Payments for Ecosystem Services in Indonesia</t>
  </si>
  <si>
    <t xml:space="preserve">Oferta (Comunidades locales, Parque Nacional), Demanda, Reguladores</t>
  </si>
  <si>
    <t xml:space="preserve">Indonesia (Reserva Rimba Raya)</t>
  </si>
  <si>
    <t xml:space="preserve">Bosques de turbera y hábitat de orangutanes</t>
  </si>
  <si>
    <t xml:space="preserve">Analiza los programas de distribución de ingresos entre autoridades de parques nacionales y comunidades locales en Rimba Raya.</t>
  </si>
  <si>
    <t xml:space="preserve">Winkel, G. et al.</t>
  </si>
  <si>
    <t xml:space="preserve">Governing Europe’s Forests for Multiple Ecosystem Services: Opportunities, Challenges, and Policy Options</t>
  </si>
  <si>
    <t xml:space="preserve">Reguladores/legisladores (Nueva Estrategia Forestal UE), Silvicultores</t>
  </si>
  <si>
    <t xml:space="preserve">Bosques multifuncionales europeos</t>
  </si>
  <si>
    <t xml:space="preserve">Revisa las opciones de política para la gobernanza de bosques europeos e inclusión en la Iniciativa de Agricultura de Carbono.</t>
  </si>
  <si>
    <t xml:space="preserve">What You Need to Know About Article 6 of the Paris Agreement</t>
  </si>
  <si>
    <t xml:space="preserve">Reguladores/legisladores (Partes de la CMNUCC), Demanda, Oferta</t>
  </si>
  <si>
    <t xml:space="preserve">Mercados de carbono bajo gobernanza internacional</t>
  </si>
  <si>
    <t xml:space="preserve">Explicación oficial del Banco Mundial sobre el Artículo 6 del Acuerdo de París para la transferencia internacional de resultados de mitigación (ITMOs).</t>
  </si>
  <si>
    <t xml:space="preserve">Strengthening the Paris Agreement by Holding Non-State Actors Accountable</t>
  </si>
  <si>
    <t xml:space="preserve">Reguladores/legisladores, Demanda (Actores no estatales, Empresas)</t>
  </si>
  <si>
    <t xml:space="preserve">Gobernanza climática internacional</t>
  </si>
  <si>
    <t xml:space="preserve">Analiza los vínculos normativos entre alianzas transnacionales y la implementación del Acuerdo de París.</t>
  </si>
  <si>
    <t xml:space="preserve">Mansbridge, J.</t>
  </si>
  <si>
    <t xml:space="preserve">The Role of the State in Governing the Commons</t>
  </si>
  <si>
    <t xml:space="preserve">Bienes comunes</t>
  </si>
  <si>
    <t xml:space="preserve">Discute el papel de la estructura estatal e instituciones públicas en la facilitación de negociaciones locales sobre bienes comunes.</t>
  </si>
  <si>
    <t xml:space="preserve">Sikor, T. et al.</t>
  </si>
  <si>
    <t xml:space="preserve">REDD-plus, Forest People’s Rights and Nested Climate Governance</t>
  </si>
  <si>
    <t xml:space="preserve">Oferta (Pueblos forestales, IPLC), Reguladores/legisladores</t>
  </si>
  <si>
    <t xml:space="preserve">Bosques comunitarios tropicales</t>
  </si>
  <si>
    <t xml:space="preserve">Propone un marco de gobernanza climática anidada (*nested governance*) para salvaguardar los derechos de las comunidades forestales en REDD+.</t>
  </si>
  <si>
    <t xml:space="preserve">The Economic Times</t>
  </si>
  <si>
    <t xml:space="preserve">s/f</t>
  </si>
  <si>
    <t xml:space="preserve">Carbon Credit: Understanding the Concept, Its Evolution, and Implications</t>
  </si>
  <si>
    <t xml:space="preserve">Demanda (Empresas), Reguladores/legisladores, Público general</t>
  </si>
  <si>
    <t xml:space="preserve">Mercado de carbono / Sectores industriales</t>
  </si>
  <si>
    <t xml:space="preserve">Artículo divulgativo que analiza la evolución del concepto de crédito de carbono e implicaciones de la bolsa de carbono de India.</t>
  </si>
  <si>
    <t xml:space="preserve">Nationally Determined Contributions (NDCs)</t>
  </si>
  <si>
    <t xml:space="preserve">Reguladores/legisladores, Público general, Comunidad científica</t>
  </si>
  <si>
    <t xml:space="preserve">Atmósfera global y compromisos nacionales climáticos</t>
  </si>
  <si>
    <t xml:space="preserve">Portal oficial del Marco de París sobre las Contribuciones Determinadas a Nivel Nacional (NDCs) para la reducción de emisiones.</t>
  </si>
  <si>
    <t xml:space="preserve">Transferencias internacionales de mitigación (ITMOs)</t>
  </si>
  <si>
    <t xml:space="preserve">Guía explicativa del Banco Mundial sobre el Artículo 6 del Acuerdo de París para la transferencia voluntaria de créditos de carbono.</t>
  </si>
  <si>
    <t xml:space="preserve">Tergo</t>
  </si>
  <si>
    <t xml:space="preserve">Comparison of Carbon Credits: CER, VER, TER</t>
  </si>
  <si>
    <t xml:space="preserve">Demanda (Empresas), Certificadores, Intermediarios</t>
  </si>
  <si>
    <t xml:space="preserve">Mercados de carbono voluntario y regulado</t>
  </si>
  <si>
    <t xml:space="preserve">Análisis comparativo de las distintas tipologías de créditos de carbono (CERs regulados, VERs voluntarios y TERs).</t>
  </si>
  <si>
    <t xml:space="preserve">Carbon Brief</t>
  </si>
  <si>
    <t xml:space="preserve">Q&amp;A: What Does India's Updated Paris Agreement Pledge Mean for Climate Change?</t>
  </si>
  <si>
    <t xml:space="preserve">Energías renovables e intensidad de emisiones del PIB</t>
  </si>
  <si>
    <t xml:space="preserve">Análisis sobre la actualización de la NDC de India comprometiéndose a reducir la intensidad de emisiones en 45% hacia 2030.</t>
  </si>
  <si>
    <t xml:space="preserve">United Nations (UNFCCC)</t>
  </si>
  <si>
    <t xml:space="preserve">1992</t>
  </si>
  <si>
    <t xml:space="preserve">The United Nations Framework Convention on Climate Change</t>
  </si>
  <si>
    <t xml:space="preserve">Sistema climático global</t>
  </si>
  <si>
    <t xml:space="preserve">Tratado internacional fundacional para estabilizar las concentraciones de gases de efecto invernadero en la atmósfera.</t>
  </si>
  <si>
    <t xml:space="preserve">Resources for the Future (RFF)</t>
  </si>
  <si>
    <t xml:space="preserve">Social Cost of Carbon 101</t>
  </si>
  <si>
    <t xml:space="preserve">Economía del clima / Daño marginal por ton de CO2</t>
  </si>
  <si>
    <t xml:space="preserve">Documento técnico sobre el cálculo y aplicación del Costo Social del Carbono en la formulación de políticas públicas.</t>
  </si>
  <si>
    <t xml:space="preserve">Nationally Determined Contributions (NDCs) [Duplicate]</t>
  </si>
  <si>
    <t xml:space="preserve">Compromisos climáticos globales</t>
  </si>
  <si>
    <t xml:space="preserve">Registro institucional de compromisos climáticos bajo el Acuerdo de París.</t>
  </si>
  <si>
    <t xml:space="preserve">Google Search / Reference</t>
  </si>
  <si>
    <t xml:space="preserve">Common But Differentiated Responsibilities (CBDR)</t>
  </si>
  <si>
    <t xml:space="preserve">Derecho ambiental internacional</t>
  </si>
  <si>
    <t xml:space="preserve">Concepto jurídico de Responsabilidades Comunes Pero Diferenciadas en la gobernanza climática global.</t>
  </si>
  <si>
    <t xml:space="preserve">The Clean Development Mechanism (CDM)</t>
  </si>
  <si>
    <t xml:space="preserve">Reguladores/legisladores, Demanda (Países Anexo I), Oferta (Países en desarrollo)</t>
  </si>
  <si>
    <t xml:space="preserve">Proyectos de mitigación y créditos CER</t>
  </si>
  <si>
    <t xml:space="preserve">Mecanismo de Desarrollo Limpio del Protocolo de Kioto para financiar proyectos de mitigación en el Sur Global.</t>
  </si>
  <si>
    <t xml:space="preserve">BYJU'S Free IAS Prep</t>
  </si>
  <si>
    <t xml:space="preserve">Kyoto Protocol</t>
  </si>
  <si>
    <t xml:space="preserve">Régimen climático internacional (1997-2012)</t>
  </si>
  <si>
    <t xml:space="preserve">Síntesis educativa sobre las metas vinculantes de reducción del Protocolo de Kioto y sus mecanismos de flexibilidad.</t>
  </si>
  <si>
    <t xml:space="preserve">Social Cost of Carbon 101 [Duplicate]</t>
  </si>
  <si>
    <t xml:space="preserve">Valoración económica de daños climáticos</t>
  </si>
  <si>
    <t xml:space="preserve">Metodología de monetización de externalidades de emisiones de gases de efecto invernadero.</t>
  </si>
  <si>
    <t xml:space="preserve">The EU Emissions Trading System (EU ETS) and the International Carbon Market</t>
  </si>
  <si>
    <t xml:space="preserve">Reguladores/legisladores, Demanda (Sectores industriales, Energía), Financieros</t>
  </si>
  <si>
    <t xml:space="preserve">Energía, generación eléctrica e industria pesada</t>
  </si>
  <si>
    <t xml:space="preserve">Descripción del sistema cap-and-trade de la UE y sus mecanismos de integración en el mercado internacional.</t>
  </si>
  <si>
    <t xml:space="preserve">China Dialogue</t>
  </si>
  <si>
    <t xml:space="preserve">The First Year of China's National Carbon Market, Reviewed</t>
  </si>
  <si>
    <t xml:space="preserve">Reguladores/legisladores, Demanda (Generadoras eléctricas), Científicos</t>
  </si>
  <si>
    <t xml:space="preserve">Sector eléctrico e instalaciones térmicas de carbón</t>
  </si>
  <si>
    <t xml:space="preserve">Evaluación del primer año del ETS nacional de China basado en intensidad de carbono en el sector eléctrico.</t>
  </si>
  <si>
    <t xml:space="preserve">Refinitiv Perspectives</t>
  </si>
  <si>
    <t xml:space="preserve">China's ETS</t>
  </si>
  <si>
    <t xml:space="preserve">Demanda (Empresas emisoras, Sector financiero), Analistas</t>
  </si>
  <si>
    <t xml:space="preserve">Mercado de derechos de emisión y volumen de transacciones</t>
  </si>
  <si>
    <t xml:space="preserve">Análisis cuantitativo de precios, liquidez y volumen operado en el sistema de comercio de emisiones chino.</t>
  </si>
  <si>
    <t xml:space="preserve">Energy Monitor</t>
  </si>
  <si>
    <t xml:space="preserve">Carbon Trading: The Chinese Way</t>
  </si>
  <si>
    <t xml:space="preserve">Reguladores/legisladores, Demanda (Empresas estatales), Científicos</t>
  </si>
  <si>
    <t xml:space="preserve">Eficiencia energética e instalaciones industriales</t>
  </si>
  <si>
    <t xml:space="preserve">Examina el enfoque de intensidad de carbono único del ETS chino frente al modelo cap-and-trade tradicional.</t>
  </si>
  <si>
    <t xml:space="preserve">China Emissions Trading Scheme</t>
  </si>
  <si>
    <t xml:space="preserve">Reguladores/legisladores, Comunidad científica, Demanda (Energía)</t>
  </si>
  <si>
    <t xml:space="preserve">Generación de energía y emisiones de CO2</t>
  </si>
  <si>
    <t xml:space="preserve">Informe de la AIE sobre el marco regulatorio del ETS chino cubriendo 4,500 millones de toneladas de CO2 anuales.</t>
  </si>
  <si>
    <t xml:space="preserve">CSIS / Pandey, D.</t>
  </si>
  <si>
    <t xml:space="preserve">China's New National Carbon Trading Market: Between Promise and Pessimism</t>
  </si>
  <si>
    <t xml:space="preserve">Sector eléctrico y transición energética de carbón</t>
  </si>
  <si>
    <t xml:space="preserve">Análisis geopolítico sobre las fortalezas y limitaciones iniciales del mercado nacional de carbono de China.</t>
  </si>
  <si>
    <t xml:space="preserve">Proposal for a Regulation Establishing the European Climate Law [COM(2021) 962 final]</t>
  </si>
  <si>
    <t xml:space="preserve">Reguladores/legisladores, Demanda (Industria), Público general</t>
  </si>
  <si>
    <t xml:space="preserve">Neutralidad climática a 2050 y paquete Fit for 55</t>
  </si>
  <si>
    <t xml:space="preserve">Propuesta legislativa de la UE para consagrar el objetivo vinculante de neutralidad climática al año 2050.</t>
  </si>
  <si>
    <t xml:space="preserve">EU Emissions Trading System (EU ETS)</t>
  </si>
  <si>
    <t xml:space="preserve">Reguladores/legisladores, Demanda (Empresas industriales, Aviación, Marítimo)</t>
  </si>
  <si>
    <t xml:space="preserve">Sectores electrointensivos, transporte marítimo y aviación</t>
  </si>
  <si>
    <t xml:space="preserve">Portal oficial del sistema de comercio de derechos de emisión de la UE y sus fases normativas (2005-2030).</t>
  </si>
  <si>
    <t xml:space="preserve">Trading Economics</t>
  </si>
  <si>
    <t xml:space="preserve">Carbon Price (EU Carbon Permits)</t>
  </si>
  <si>
    <t xml:space="preserve">Demanda (Inversores, Empresas), Sector financiero</t>
  </si>
  <si>
    <t xml:space="preserve">Mercados de materias primas / Permisos de CO2</t>
  </si>
  <si>
    <t xml:space="preserve">Serie temporal del precio de los derechos de emisión de la UE (EUA), mostrando el alza de &lt;10€ a &gt;100€/tCO2.</t>
  </si>
  <si>
    <t xml:space="preserve">Ministry of Environment, Forest &amp; Climate Change / PIB India</t>
  </si>
  <si>
    <t xml:space="preserve">India Approves Methodologies for Carbon Markets under the India Climate Model (ICM)</t>
  </si>
  <si>
    <t xml:space="preserve">Reguladores/legisladores, Oferta, Demanda (Empresas de India)</t>
  </si>
  <si>
    <t xml:space="preserve">Sectores de alta intensidad energética</t>
  </si>
  <si>
    <t xml:space="preserve">Comunicado oficial que aprueba las metodologías del Mercado Doméstico de Carbono de India (CCTS/ICM) a iniciar en 2025.</t>
  </si>
  <si>
    <t xml:space="preserve">World Bank Approves $625 Million to Support Grid-Connected Rooftop Solar Program in India</t>
  </si>
  <si>
    <t xml:space="preserve">Reguladores/legisladores, Sector financiero (Banco Mundial), Oferta (Consumidores)</t>
  </si>
  <si>
    <t xml:space="preserve">Energía solar fotovoltaica sobre cubiertas</t>
  </si>
  <si>
    <t xml:space="preserve">Aprobación de financiamiento multilateral para expandir la capacidad solar fotovoltaica residencial y comercial en India.</t>
  </si>
  <si>
    <t xml:space="preserve">Cyril Amarchand Mangaldas</t>
  </si>
  <si>
    <t xml:space="preserve">The Energy Conservation (Amendment) Act, 2022: Key Highlights</t>
  </si>
  <si>
    <t xml:space="preserve">Reguladores/legisladores, Demanda (Empresas), Asesores legales</t>
  </si>
  <si>
    <t xml:space="preserve">Marco legal para el esquema CCTS y certificados</t>
  </si>
  <si>
    <t xml:space="preserve">Análisis legal de la Enmienda a la Ley de Conservación de Energía que otorga poder al gobierno de India para crear el CCTS.</t>
  </si>
  <si>
    <t xml:space="preserve">Investopedia</t>
  </si>
  <si>
    <t xml:space="preserve">Renewable Energy Certificates (RECs)</t>
  </si>
  <si>
    <t xml:space="preserve">Demanda (Empresas), Oferta (Generadores limpios), Reguladores</t>
  </si>
  <si>
    <t xml:space="preserve">Global / EE. UU. / India</t>
  </si>
  <si>
    <t xml:space="preserve">Generación de electricidad renovable (MWh)</t>
  </si>
  <si>
    <t xml:space="preserve">Definición financiera de los Certificados de Energía Renovable (RECs) negociables por cada MWh generado.</t>
  </si>
  <si>
    <t xml:space="preserve">ISPPI Policy Review</t>
  </si>
  <si>
    <t xml:space="preserve">India's Climate Change Policy: Challenges and Recommendations</t>
  </si>
  <si>
    <t xml:space="preserve">Política energética nacional e industria</t>
  </si>
  <si>
    <t xml:space="preserve">Revisión crítica de las políticas climáticas de India recomendando reformas institucionales para acelerar la transición.</t>
  </si>
  <si>
    <t xml:space="preserve">Renewable Energy Certificates (RECs) [Duplicate]</t>
  </si>
  <si>
    <t xml:space="preserve">Atributos ambientales de electricidad limpia</t>
  </si>
  <si>
    <t xml:space="preserve">Mercado de RECs e instrumentos de cumplimiento para Obligaciones de Compra Renovable (RPO).</t>
  </si>
  <si>
    <t xml:space="preserve">India's Climate Change Policy: Challenges and Recommendations [Duplicate]</t>
  </si>
  <si>
    <t xml:space="preserve">Reguladores/legisladores, Científicos</t>
  </si>
  <si>
    <t xml:space="preserve">Gobernanza climática nacional</t>
  </si>
  <si>
    <t xml:space="preserve">Recomendaciones de política pública para la descarbonización de la industria pesada en India.</t>
  </si>
  <si>
    <t xml:space="preserve">Bureau of Energy Efficiency (BEE)</t>
  </si>
  <si>
    <t xml:space="preserve">Perform, Achieve, and Trade (PAT)</t>
  </si>
  <si>
    <t xml:space="preserve">Reguladores/legisladores (BEE), Demanda (Consumidores Designados/Industria)</t>
  </si>
  <si>
    <t xml:space="preserve">Industrias intensivas en energía (aluminio, siderurgia, cemento)</t>
  </si>
  <si>
    <t xml:space="preserve">Esquema regulatorio insignia de India de comercio de certificados de ahorro energético (ESCerts) por eficiencia.</t>
  </si>
  <si>
    <t xml:space="preserve">Google Search / BEE Reference</t>
  </si>
  <si>
    <t xml:space="preserve">Bureau of Energy Efficiency (BEE) India</t>
  </si>
  <si>
    <t xml:space="preserve">Administración del esquema PAT y CCTS</t>
  </si>
  <si>
    <t xml:space="preserve">Registro del organismo estatal de India encargado de la regulación de eficiencia energética.</t>
  </si>
  <si>
    <t xml:space="preserve">Ministry of Environment / PIB India</t>
  </si>
  <si>
    <t xml:space="preserve">India Approves Methodologies for Carbon Markets under ICM [Duplicate]</t>
  </si>
  <si>
    <t xml:space="preserve">Reguladores/legisladores, Demanda (Industria de India)</t>
  </si>
  <si>
    <t xml:space="preserve">Estructura del Mercado de Créditos de Carbono (CCC)</t>
  </si>
  <si>
    <t xml:space="preserve">Aprobación de la hoja de ruta para la creación del mercado voluntario y obligatorio de carbono de India.</t>
  </si>
  <si>
    <t xml:space="preserve">Confederation of Indian Industry (CII)</t>
  </si>
  <si>
    <t xml:space="preserve">Indian Carbon Credit Market</t>
  </si>
  <si>
    <t xml:space="preserve">Demanda (Sector privado de India, Empresas), Reguladores</t>
  </si>
  <si>
    <t xml:space="preserve">Iniciativas corporativas de descarbonización</t>
  </si>
  <si>
    <t xml:space="preserve">Visión de la industria india sobre las oportunidades de negocio en el emergente mercado doméstico de carbono.</t>
  </si>
  <si>
    <t xml:space="preserve">Perform, Achieve, and Trade (PAT) Scheme Framework [Duplicate]</t>
  </si>
  <si>
    <t xml:space="preserve">Reguladores/legisladores, Demanda (Consumidores Designados)</t>
  </si>
  <si>
    <t xml:space="preserve">Ciclos regulatorios del PAT</t>
  </si>
  <si>
    <t xml:space="preserve">Reglas de asignación y cumplimiento para la emisión y comercio de certificados de ahorro energético (ESCerts).</t>
  </si>
  <si>
    <t xml:space="preserve">Bureau of Energy Efficiency (BEE) Portal [Duplicate]</t>
  </si>
  <si>
    <t xml:space="preserve">Reguladores/legisladores</t>
  </si>
  <si>
    <t xml:space="preserve">Plataforma de gestión de certificados de ahorro</t>
  </si>
  <si>
    <t xml:space="preserve">Portal oficial del Bureau de Eficiencia Energética de India.</t>
  </si>
  <si>
    <t xml:space="preserve">Mongabay India</t>
  </si>
  <si>
    <t xml:space="preserve">India Prepares for a Domestic Carbon Market with Release of a Draft Carbon Trading Scheme</t>
  </si>
  <si>
    <t xml:space="preserve">Borrador del esquema CCTS de India</t>
  </si>
  <si>
    <t xml:space="preserve">Análisis periodístico sobre la publicación del borrador del esquema de comercio de carbono de India regulado por el BEE.</t>
  </si>
  <si>
    <t xml:space="preserve">The Times of India</t>
  </si>
  <si>
    <t xml:space="preserve">PAT Scheme Sets Industries on Path of Energy Efficiency</t>
  </si>
  <si>
    <t xml:space="preserve">Demanda (Industrias de Andhra Pradesh), Reguladores, Público</t>
  </si>
  <si>
    <t xml:space="preserve">Unidades industriales y ahorro de 3340M unidades de energía</t>
  </si>
  <si>
    <t xml:space="preserve">Reporte sobre los logros en reducción de emisiones CO2 (1,38M t) en el estado de Andhra Pradesh mediante el esquema PAT.</t>
  </si>
  <si>
    <t xml:space="preserve">Indian Energy Exchange (IEX)</t>
  </si>
  <si>
    <t xml:space="preserve">ESCerts Market</t>
  </si>
  <si>
    <t xml:space="preserve">Demanda (Consumidores Designados), Sector financiero, Operadores</t>
  </si>
  <si>
    <t xml:space="preserve">Bolsa de energía e intercambio de Certificados ESCerts</t>
  </si>
  <si>
    <t xml:space="preserve">Plataforma oficial de negociación de Certificados de Ahorro Energético (ESCerts) de la bolsa de energía de India.</t>
  </si>
  <si>
    <t xml:space="preserve">Statista</t>
  </si>
  <si>
    <t xml:space="preserve">Cement Production Growth Rate in India from FY 2013 to FY 2020</t>
  </si>
  <si>
    <t xml:space="preserve">Demanda (Industria del cemento), Analistas</t>
  </si>
  <si>
    <t xml:space="preserve">Producción industrial de cemento</t>
  </si>
  <si>
    <t xml:space="preserve">Serie de datos estadísticos sobre las tasas de crecimiento anual de la producción de cemento en India durante el esquema PAT.</t>
  </si>
  <si>
    <t xml:space="preserve">Ministry of MSME / PIB India</t>
  </si>
  <si>
    <t xml:space="preserve">PM Launches National Programme on Energy Efficiency of MSMEs</t>
  </si>
  <si>
    <t xml:space="preserve">Reguladores/legisladores, Oferta/Demanda (Pymes / MSMEs de India)</t>
  </si>
  <si>
    <t xml:space="preserve">Micro, pequeñas y medianas empresas industriales</t>
  </si>
  <si>
    <t xml:space="preserve">Iniciativa nacional para promover tecnologías limpias y eficiencia en pequeñas y medianas empresas industriales.</t>
  </si>
  <si>
    <t xml:space="preserve">Ministry of Power / PIB India</t>
  </si>
  <si>
    <t xml:space="preserve">India Saves 17 Million Tonnes of Oil Equivalent per Year under PAT Scheme</t>
  </si>
  <si>
    <t xml:space="preserve">Reguladores/legisladores (Ministerio de Energía), Demanda (Industrias)</t>
  </si>
  <si>
    <t xml:space="preserve">Ahorro energético y mitigación de 87M tCO2/año</t>
  </si>
  <si>
    <t xml:space="preserve">Comunicado oficial informando el ahorro de 17M TEP/año y reducción de 87M tCO2 bajo las fases del esquema PAT.</t>
  </si>
  <si>
    <t xml:space="preserve">Down To Earth / CSE</t>
  </si>
  <si>
    <t xml:space="preserve">PAT Centre's Decarbonisation Scheme Not Effective Enough, Says New CSE Report</t>
  </si>
  <si>
    <t xml:space="preserve">Comunidad científica (CSE), Reguladores/legisladores, Demanda (Centrales térmicas)</t>
  </si>
  <si>
    <t xml:space="preserve">Centrales térmicas de carbón y objetivos de descarbonización</t>
  </si>
  <si>
    <t xml:space="preserve">Informe crítico del Center for Science and Environment cuestionando la laxitud de metas en el sector térmico bajo el PAT.</t>
  </si>
  <si>
    <t xml:space="preserve">Ministry of Power, India</t>
  </si>
  <si>
    <t xml:space="preserve">Energy Efficiency</t>
  </si>
  <si>
    <t xml:space="preserve">Presupuesto y programas de eficiencia de la BEE</t>
  </si>
  <si>
    <t xml:space="preserve">Sección informativa del Ministerio de Energía sobre programas nacionales y asignación presupuestaria a la BEE.</t>
  </si>
  <si>
    <t xml:space="preserve">Asian Development Bank Institute / Zha &amp; Zhang</t>
  </si>
  <si>
    <t xml:space="preserve">Promoting Energy Efficiency in India's Small and Medium-Sized Enterprises [ADBI Working Paper 1177]</t>
  </si>
  <si>
    <t xml:space="preserve">Comunidad científica, Reguladores/legisladores, Demanda (Pymes)</t>
  </si>
  <si>
    <t xml:space="preserve">Pymes industriales y financiamiento verde</t>
  </si>
  <si>
    <t xml:space="preserve">Estudio del Banco Asiático de Desarrollo sobre incentivos financieros para la adopción de tecnologías limpias en Pymes indias.</t>
  </si>
  <si>
    <t xml:space="preserve">India Brand Equity Foundation (IBEF)</t>
  </si>
  <si>
    <t xml:space="preserve">Indian Steel Industry</t>
  </si>
  <si>
    <t xml:space="preserve">Demanda (Industria siderúrgica), Sector financiero</t>
  </si>
  <si>
    <t xml:space="preserve">Producción de acero y balanza comercial de exportaciones</t>
  </si>
  <si>
    <t xml:space="preserve">Reporte sobre la capacidad, producción y comercio de exportación de la industria siderúrgica en India.</t>
  </si>
  <si>
    <t xml:space="preserve">Outcomes PAT Cycle-II (2016-17 to 2018-19)</t>
  </si>
  <si>
    <t xml:space="preserve">621 Consumidores Designados de 11 sectores</t>
  </si>
  <si>
    <t xml:space="preserve">Informe oficial de resultados del Ciclo II del PAT logrando un ahorro superior a la meta objetivo (14.08M TEP).</t>
  </si>
  <si>
    <t xml:space="preserve">Trade Promotion Council of India (TPCI)</t>
  </si>
  <si>
    <t xml:space="preserve">Aluminium Industry Dying a Slow Death</t>
  </si>
  <si>
    <t xml:space="preserve">Demanda (Industria del aluminio), Reguladores, Público</t>
  </si>
  <si>
    <t xml:space="preserve">Sector del aluminio y dependencia de importaciones</t>
  </si>
  <si>
    <t xml:space="preserve">Análisis sobre la paradoja del sector del aluminio en India que sobrecumple en PAT pero incrementa su dependencia de importaciones.</t>
  </si>
  <si>
    <t xml:space="preserve">Carbon Trade</t>
  </si>
  <si>
    <t xml:space="preserve">Demanda (Empresas), Sector financiero, Público general</t>
  </si>
  <si>
    <t xml:space="preserve">Principios económicos del comercio de permisos de contaminación</t>
  </si>
  <si>
    <t xml:space="preserve">Explicación general de los mecanismos de mercado para el intercambio de créditos e intensidades de carbono.</t>
  </si>
  <si>
    <t xml:space="preserve">Booklet: Achievements under PAT (May 2017)</t>
  </si>
  <si>
    <t xml:space="preserve">Reguladores/legisladores, Demanda (Sectores industriales)</t>
  </si>
  <si>
    <t xml:space="preserve">Resultados del Ciclo I del PAT por sector industrial</t>
  </si>
  <si>
    <t xml:space="preserve">Folleto conmemorativo de los logros del Ciclo I del programa PAT en la reducción de consumo específico de energía.</t>
  </si>
  <si>
    <t xml:space="preserve">Mace &amp; Lande</t>
  </si>
  <si>
    <t xml:space="preserve">Assessing extinction threats: toward a reevaluation of IUCN threatened species categories</t>
  </si>
  <si>
    <t xml:space="preserve">Especies amenazadas y genética de poblaciones</t>
  </si>
  <si>
    <t xml:space="preserve">Modelo ecológico pionero para la reevaluación cuantitativa del riesgo de extinción de especies.</t>
  </si>
  <si>
    <t xml:space="preserve">Quantification of extinction risk: IUCN’s system for classifying threatened species</t>
  </si>
  <si>
    <t xml:space="preserve">Especies amenazadas y Lista Roja UICN</t>
  </si>
  <si>
    <t xml:space="preserve">Consolida el sistema científico estandarizado de la UICN para categorizar especies en riesgo.</t>
  </si>
  <si>
    <t xml:space="preserve">Hockings et al.</t>
  </si>
  <si>
    <t xml:space="preserve">The IUCN Green List of Protected and Conserved Areas: setting the standard for effective conservation</t>
  </si>
  <si>
    <t xml:space="preserve">Reguladores/legisladores, Oferta (Gestores de áreas protegidas), Científicos</t>
  </si>
  <si>
    <t xml:space="preserve">Áreas protegidas y conservadas</t>
  </si>
  <si>
    <t xml:space="preserve">Establece el estándar de la Lista Verde de la UICN para evaluar la efectividad de la conservación.</t>
  </si>
  <si>
    <t xml:space="preserve">Grace et al.</t>
  </si>
  <si>
    <t xml:space="preserve">Testing a global standard for quantifying species recovery and assessing conservation impact</t>
  </si>
  <si>
    <t xml:space="preserve">Estado Verde de las Especies y recuperación</t>
  </si>
  <si>
    <t xml:space="preserve">Valida el estándar global para medir la recuperación de especies y el impacto de las intervenciones.</t>
  </si>
  <si>
    <t xml:space="preserve">Watson, R. T.</t>
  </si>
  <si>
    <t xml:space="preserve">The science-policy interface: the role of scientific assessments: UK national ecosystem assessment</t>
  </si>
  <si>
    <t xml:space="preserve">Evaluación nacional de ecosistemas del Reino Unido</t>
  </si>
  <si>
    <t xml:space="preserve">Sintetiza la interfaz ciencia-política mediante la Evaluación Nacional de Ecosistemas del Reino Unido.</t>
  </si>
  <si>
    <t xml:space="preserve">Bateman et al.</t>
  </si>
  <si>
    <t xml:space="preserve">Bringing ecosystem services into economic decision-making: land use in the United Kingdom</t>
  </si>
  <si>
    <t xml:space="preserve">Reguladores/legisladores, Oferta (Agricultores/propietarios), Científicos</t>
  </si>
  <si>
    <t xml:space="preserve">Uso del suelo agrícola, forestal y recreativo</t>
  </si>
  <si>
    <t xml:space="preserve">Modela en Science la integración de servicios ecosistémicos en decisiones de uso del suelo en el R.U.</t>
  </si>
  <si>
    <t xml:space="preserve">Mace, Norris &amp; Fitter</t>
  </si>
  <si>
    <t xml:space="preserve">Biodiversity and ecosystem services: a multilayered relationship</t>
  </si>
  <si>
    <t xml:space="preserve">Relación entre biodiversidad y servicios ecosistémicos</t>
  </si>
  <si>
    <t xml:space="preserve">Clarifica la relación conceptual multinivel entre biodiversidad y provisión de servicios ecosistémicos.</t>
  </si>
  <si>
    <t xml:space="preserve">Baillie et al.</t>
  </si>
  <si>
    <t xml:space="preserve">Toward monitoring global biodiversity</t>
  </si>
  <si>
    <t xml:space="preserve">Indicadores y monitoreo de tendencias globales</t>
  </si>
  <si>
    <t xml:space="preserve">Propone un sistema coordinado para el monitoreo y seguimiento de las tendencias de la biodiversidad.</t>
  </si>
  <si>
    <t xml:space="preserve">Burgess et al.</t>
  </si>
  <si>
    <t xml:space="preserve">Global metrics for terrestrial biodiversity</t>
  </si>
  <si>
    <t xml:space="preserve">Métricas e indicadores globales de biodiversidad terrestre</t>
  </si>
  <si>
    <t xml:space="preserve">Revisión exhaustiva de métricas globales para cuantificar la biodiversidad terrestre y sus limitaciones.</t>
  </si>
  <si>
    <t xml:space="preserve">Christie et al.</t>
  </si>
  <si>
    <t xml:space="preserve">Valuing the diversity of biodiversity</t>
  </si>
  <si>
    <t xml:space="preserve">Cuantitativo / Valoración contingente</t>
  </si>
  <si>
    <t xml:space="preserve">Público general, Comunidad científica, Reguladores</t>
  </si>
  <si>
    <t xml:space="preserve">Valoración económica de la diversidad ecológica</t>
  </si>
  <si>
    <t xml:space="preserve">Aplica técnicas de valoración contingente para estimar el valor económico asignado a la diversidad biológica.</t>
  </si>
  <si>
    <t xml:space="preserve">Purvis &amp; Hector</t>
  </si>
  <si>
    <t xml:space="preserve">Getting the measure of biodiversity</t>
  </si>
  <si>
    <t xml:space="preserve">Medición y dimensiones de la biodiversidad</t>
  </si>
  <si>
    <t xml:space="preserve">Analiza las complejas dimensiones de la biodiversidad y la imposibilidad de reducirla a una sola medida.</t>
  </si>
  <si>
    <t xml:space="preserve">State of finance for nature 2023: the big nature turnaround</t>
  </si>
  <si>
    <t xml:space="preserve">Flujos de financiamiento público y privado para la naturaleza</t>
  </si>
  <si>
    <t xml:space="preserve">Cuantifica en $7 billones los flujos negativos hacia la naturaleza frente a $200B en conservación.</t>
  </si>
  <si>
    <t xml:space="preserve">IAPB consultation on archetypes: executive summary</t>
  </si>
  <si>
    <t xml:space="preserve">Arquetipos y modelos de mercado para biocréditos</t>
  </si>
  <si>
    <t xml:space="preserve">Presenta los modelos y arquetipos de mercado del Panel Asesor Internacional para créditos de biodiversidad.</t>
  </si>
  <si>
    <t xml:space="preserve">Theis et al.</t>
  </si>
  <si>
    <t xml:space="preserve">Compliance with and ecosystem function of biodiversity offsets in North American and European freshwaters</t>
  </si>
  <si>
    <t xml:space="preserve">Cuantitativo / Empírico</t>
  </si>
  <si>
    <t xml:space="preserve">América del Norte y Europa</t>
  </si>
  <si>
    <t xml:space="preserve">Cumplimiento y función de ecosistemas de agua dulce bajo offsets</t>
  </si>
  <si>
    <t xml:space="preserve">Demuestra la baja tasa de cumplimiento de funciones ecológicas en compensaciones de agua dulce.</t>
  </si>
  <si>
    <t xml:space="preserve">Evans, M. C.</t>
  </si>
  <si>
    <t xml:space="preserve">Backloading to extinction: coping with values conflict in the administration of Australia’s federal biodiversity offset policy</t>
  </si>
  <si>
    <t xml:space="preserve">Reguladores/legisladores (Gobierno de Australia), Demanda</t>
  </si>
  <si>
    <t xml:space="preserve">Administración de la política federal de compensación de biodiversidad</t>
  </si>
  <si>
    <t xml:space="preserve">Examina las fallas administrativas y conflictos de valor en la política de offsets de Australia.</t>
  </si>
  <si>
    <t xml:space="preserve">Compensating for lost nature values through biodiversity offsetting – where is the evidence?</t>
  </si>
  <si>
    <t xml:space="preserve">Cuantitativo / Revisión de evidencia</t>
  </si>
  <si>
    <t xml:space="preserve">Europa / Suecia / Global</t>
  </si>
  <si>
    <t xml:space="preserve">Evidencia empírica sobre efectividad de compensaciones de biodiversidad</t>
  </si>
  <si>
    <t xml:space="preserve">Cuestiona la falta de evidencia científica robusta sobre la capacidad de compensar pérdidas biológicas.</t>
  </si>
  <si>
    <t xml:space="preserve">Procton, A. (Ecosystem Marketplace)</t>
  </si>
  <si>
    <t xml:space="preserve">State of the voluntary carbon market 2024: on the path to maturity</t>
  </si>
  <si>
    <t xml:space="preserve">Demanda (Empresas, Sector financiero), Oferta, Certificadores</t>
  </si>
  <si>
    <t xml:space="preserve">Volúmenes, precios y tendencias del mercado voluntario de carbono</t>
  </si>
  <si>
    <t xml:space="preserve">Reporte anual con datos de transacciones, precios y caída de volumen en el mercado voluntario de carbono.</t>
  </si>
  <si>
    <t xml:space="preserve">James, S. P.</t>
  </si>
  <si>
    <t xml:space="preserve">How nature matters: culture, identity and environmental value</t>
  </si>
  <si>
    <t xml:space="preserve">Cualitativo / Filosofía ambiental</t>
  </si>
  <si>
    <t xml:space="preserve">Público general, Oferta (Comunidades / IPLC), Científicos</t>
  </si>
  <si>
    <t xml:space="preserve">Valores culturales, identidad y valores relacionales de la naturaleza</t>
  </si>
  <si>
    <t xml:space="preserve">Examina las dimensiones culturales y relacionales de la naturaleza irreductibles a un número.</t>
  </si>
  <si>
    <t xml:space="preserve">Gao et al.</t>
  </si>
  <si>
    <t xml:space="preserve">Analyzing the outcomes of China’s ecological compensation scheme for development‐related biodiversity loss</t>
  </si>
  <si>
    <t xml:space="preserve">Reguladores/legisladores (China), Demanda, Oferta</t>
  </si>
  <si>
    <t xml:space="preserve">Esquema de compensación ecológica por pérdida de biodiversidad en China</t>
  </si>
  <si>
    <t xml:space="preserve">Analiza los resultados del programa nacional de compensación ecológica de China.</t>
  </si>
  <si>
    <t xml:space="preserve">Exploring the ecological outcomes of mandatory biodiversity net gain using evidence from early‐adopter jurisdictions in England</t>
  </si>
  <si>
    <t xml:space="preserve">Cuantitativo / Análisis de datos</t>
  </si>
  <si>
    <t xml:space="preserve">Resultados ecológicos en jurisdicciones pioneras de Biodiversity Net Gain</t>
  </si>
  <si>
    <t xml:space="preserve">Demuestra la pérdida neta de superficie de hábitat nativo en la fase inicial del esquema BNG en Inglaterra.</t>
  </si>
  <si>
    <t xml:space="preserve">Burgass et al.</t>
  </si>
  <si>
    <t xml:space="preserve">Navigating uncertainty in environmental composite indicators</t>
  </si>
  <si>
    <t xml:space="preserve">Indicadores compuestos ambientales y navegación de incertidumbre</t>
  </si>
  <si>
    <t xml:space="preserve">Analiza la construcción de indicadores compuestos y las trampas en la agregación de métricas ecológicas.</t>
  </si>
  <si>
    <t xml:space="preserve">Nardo et al. (OECD)</t>
  </si>
  <si>
    <t xml:space="preserve">Handbook on constructing composite indicators: methodology and user guide</t>
  </si>
  <si>
    <t xml:space="preserve">Cuantitativo / Metodológico</t>
  </si>
  <si>
    <t xml:space="preserve">Reguladores/legisladores (OCDE), Comunidad científica</t>
  </si>
  <si>
    <t xml:space="preserve">Guía metodológica para la construcción de índices compuestos</t>
  </si>
  <si>
    <t xml:space="preserve">Manual estándar de la OCDE para normalizar, ponderar y agregar indicadores en índices compuestos.</t>
  </si>
  <si>
    <t xml:space="preserve">Buckland et al.</t>
  </si>
  <si>
    <t xml:space="preserve">Monitoring change in biodiversity through composite indices</t>
  </si>
  <si>
    <t xml:space="preserve">Índices compuestos para monitorear tendencias de biodiversidad</t>
  </si>
  <si>
    <t xml:space="preserve">Examina el uso de índices estadísticos compuestos para detectar tendencias temporales de biodiversidad.</t>
  </si>
  <si>
    <t xml:space="preserve">Cuff et al.</t>
  </si>
  <si>
    <t xml:space="preserve">A roadmap for biomonitoring in the 21st century: merging methods into metrics via ecological networks</t>
  </si>
  <si>
    <t xml:space="preserve">Biomonitoreo de redes ecológicas y nuevas tecnologías</t>
  </si>
  <si>
    <t xml:space="preserve">Propone una hoja de ruta para integrar eDNA y monitoreo tecnológico en métricas de redes ecológicas.</t>
  </si>
  <si>
    <t xml:space="preserve">Luque-Lora, R.</t>
  </si>
  <si>
    <t xml:space="preserve">The trouble with relational values</t>
  </si>
  <si>
    <t xml:space="preserve">Cualitativo / Filosofía</t>
  </si>
  <si>
    <t xml:space="preserve">Valores relacionales en la ética ambiental</t>
  </si>
  <si>
    <t xml:space="preserve">Examina las dificultades teóricas de incorporar valores relacionales en marcos de evaluación ambiental.</t>
  </si>
  <si>
    <t xml:space="preserve">Deere et al.</t>
  </si>
  <si>
    <t xml:space="preserve">Selecting umbrella species as mammal biodiversity indicators in tropical forest</t>
  </si>
  <si>
    <t xml:space="preserve">Comunidad científica, Oferta (Gestores)</t>
  </si>
  <si>
    <t xml:space="preserve">Indonesia (Sudeste Asiático)</t>
  </si>
  <si>
    <t xml:space="preserve">Bosques tropicales y selección de mamíferos paraguas</t>
  </si>
  <si>
    <t xml:space="preserve">Demuestra empíricamente las limitaciones de usar mamíferos paraguas como indicadores de condición.</t>
  </si>
  <si>
    <t xml:space="preserve">Implications of zero‐deforestation commitments: forest quality and hunting pressure limit mammal persistence...</t>
  </si>
  <si>
    <t xml:space="preserve">Demanda (Empresas cero deforestación), Científicos</t>
  </si>
  <si>
    <t xml:space="preserve">Tropicos / Indonesia</t>
  </si>
  <si>
    <t xml:space="preserve">Calidad forestal, presión de caza y compromiso cero deforestación</t>
  </si>
  <si>
    <t xml:space="preserve">Muestra que los compromisos cero deforestación no garantizan la conservación si persiste la degradación o caza.</t>
  </si>
  <si>
    <t xml:space="preserve">Greco et al.</t>
  </si>
  <si>
    <t xml:space="preserve">On the methodological framework of composite indices: a review of the issues of weighting, aggregation, and robustness</t>
  </si>
  <si>
    <t xml:space="preserve">Ponderación y agregación en índices compuestos</t>
  </si>
  <si>
    <t xml:space="preserve">Revisión crítica de las metodologías de ponderación y agregación en índices sintéticos.</t>
  </si>
  <si>
    <t xml:space="preserve">O’Neill, J.</t>
  </si>
  <si>
    <t xml:space="preserve">Pluralism and incommensurability</t>
  </si>
  <si>
    <t xml:space="preserve">Cualitativo / Economía ecológica</t>
  </si>
  <si>
    <t xml:space="preserve">Pluralismo de valores e inconmensurabilidad de la naturaleza</t>
  </si>
  <si>
    <t xml:space="preserve">Fundamenta la inconmensurabilidad pluralista de los valores de la naturaleza frente al monismo de mercado.</t>
  </si>
  <si>
    <t xml:space="preserve">Trisos, Merow &amp; Pigot</t>
  </si>
  <si>
    <t xml:space="preserve">The projected timing of abrupt ecological disruption from climate change</t>
  </si>
  <si>
    <t xml:space="preserve">Colapso ecológico repentino por cambio climático</t>
  </si>
  <si>
    <t xml:space="preserve">Modela en Nature el horizonte temporal de colapso repentino de ecosistemas por calentamiento global.</t>
  </si>
  <si>
    <t xml:space="preserve">Committed terrestrial ecosystem changes due to climate change</t>
  </si>
  <si>
    <t xml:space="preserve">Cambios irreversibles en ecosistemas terrestres</t>
  </si>
  <si>
    <t xml:space="preserve">Cuantifica los cambios comprometidos e irreversibles en biomas terrestres por emisiones acumuladas.</t>
  </si>
  <si>
    <t xml:space="preserve">Dornelas et al.</t>
  </si>
  <si>
    <t xml:space="preserve">A balance of winners and losers in the anthropocene</t>
  </si>
  <si>
    <t xml:space="preserve">Cuantitativo / Series temporales</t>
  </si>
  <si>
    <t xml:space="preserve">Reemplazo de especies y dinámicas de biodiversidad</t>
  </si>
  <si>
    <t xml:space="preserve">Demuestra la alta tasa de recambio de especies (ganadores y perdedores) en ensamblajes ecológicos.</t>
  </si>
  <si>
    <t xml:space="preserve">Westwood, Reuchlin-Hugenholtz &amp; Keith</t>
  </si>
  <si>
    <t xml:space="preserve">Re-defining recovery: a generalized framework for assessing species recovery</t>
  </si>
  <si>
    <t xml:space="preserve">Marcos de evaluación de recuperación de especies</t>
  </si>
  <si>
    <t xml:space="preserve">Propone un marco conceptual renovado para definir y medir la recuperación real de especies amenazadas.</t>
  </si>
  <si>
    <t xml:space="preserve">Gwinn et al.</t>
  </si>
  <si>
    <t xml:space="preserve">Evaluating estimators of species richness: the importance of considering statistical error rates</t>
  </si>
  <si>
    <t xml:space="preserve">Estimadores de riqueza de especies y errores estadísticos</t>
  </si>
  <si>
    <t xml:space="preserve">Demuestra la elevada tasa de error en los estimadores habituales de riqueza de especies.</t>
  </si>
  <si>
    <t xml:space="preserve">Kowalewski et al.</t>
  </si>
  <si>
    <t xml:space="preserve">Accuracy or precision: implications of sample design and methodology on abundance estimation</t>
  </si>
  <si>
    <t xml:space="preserve">Diseño muestral y precisión en estimación de abundancia</t>
  </si>
  <si>
    <t xml:space="preserve">Evalúa el impacto del diseño muestral en el sesgo e imprecisión de las métricas de abundancia.</t>
  </si>
  <si>
    <t xml:space="preserve">Wood et al.</t>
  </si>
  <si>
    <t xml:space="preserve">Survey coverage, recording duration and community composition affect observed species richness in passive acoustic surveys</t>
  </si>
  <si>
    <t xml:space="preserve">Cuantitativo / Monitoreo bioacústico</t>
  </si>
  <si>
    <t xml:space="preserve">Monitoreo acústico pasivo y riqueza observada</t>
  </si>
  <si>
    <t xml:space="preserve">Cuantifica las fuentes de incertidumbre y sesgo muestral en el monitoreo bioacústico pasivo.</t>
  </si>
  <si>
    <t xml:space="preserve">Gilbert et al.</t>
  </si>
  <si>
    <t xml:space="preserve">Abundance estimation of unmarked animals based on camera-trap data</t>
  </si>
  <si>
    <t xml:space="preserve">Cuantitativo / Fototrampeo</t>
  </si>
  <si>
    <t xml:space="preserve">Fototrampeo y estimación de abundancia sin marcas</t>
  </si>
  <si>
    <t xml:space="preserve">Evalúa la incertidumbre estadística al estimar abundancia poblacional a partir de fototrampeo.</t>
  </si>
  <si>
    <t xml:space="preserve">Thomas, J. A.</t>
  </si>
  <si>
    <t xml:space="preserve">Monitoring change in the abundance and distribution of insects using butterflies and other indicator groups</t>
  </si>
  <si>
    <t xml:space="preserve">Comunidad científica, Público general (Voluntarios)</t>
  </si>
  <si>
    <t xml:space="preserve">Monitoreo de mariposas como indicadores de biodiversidad</t>
  </si>
  <si>
    <t xml:space="preserve">Demuestra la necesidad de series temporales largas para separar ruido estacional de tendencias reales.</t>
  </si>
  <si>
    <t xml:space="preserve">Ferraro, P. J.</t>
  </si>
  <si>
    <t xml:space="preserve">Counterfactual thinking and impact evaluation in environmental policy</t>
  </si>
  <si>
    <t xml:space="preserve">Cualitativo / Evaluación de impacto</t>
  </si>
  <si>
    <t xml:space="preserve">Análisis contrafáctico en evaluación de políticas ambientales</t>
  </si>
  <si>
    <t xml:space="preserve">Establece los fundamentos econométricos del análisis contrafáctico para evaluar la aditividad.</t>
  </si>
  <si>
    <t xml:space="preserve">Meli et al.</t>
  </si>
  <si>
    <t xml:space="preserve">A global review of past land use, climate, and active vs. passive restoration effects on forest recovery</t>
  </si>
  <si>
    <t xml:space="preserve">Comunidad científica, Oferta (Restauradores)</t>
  </si>
  <si>
    <t xml:space="preserve">Restauración activa vs. pasiva en la recuperación forestal</t>
  </si>
  <si>
    <t xml:space="preserve">Meta-análisis global que demuestra que la regeneración pasiva supera a menudo a la restauración activa.</t>
  </si>
  <si>
    <t xml:space="preserve">Oferta (Propietarios rurales), Reguladores, Científicos</t>
  </si>
  <si>
    <t xml:space="preserve">Auto-selección y costos de oportunidad en programas de PES</t>
  </si>
  <si>
    <t xml:space="preserve">Demuestra en PNAS que los propietarios que se alistan espontáneamente en PES son los que menos amenazaban el bosque.</t>
  </si>
  <si>
    <t xml:space="preserve">Australian human-induced native forest regeneration carbon offset projects have limited impact...</t>
  </si>
  <si>
    <t xml:space="preserve">Proyectos de regeneración humana de bosque nativo e impacto limitado</t>
  </si>
  <si>
    <t xml:space="preserve">Demuestra en Communications Earth &amp; Environment el impacto casi nulo de proyectos de regeneración humana.</t>
  </si>
  <si>
    <t xml:space="preserve">Guizar-Coutiño et al.</t>
  </si>
  <si>
    <t xml:space="preserve">A global evaluation of the effectiveness of voluntary REDD+ projects at reducing deforestation...</t>
  </si>
  <si>
    <t xml:space="preserve">Global / Trópicos húmedos</t>
  </si>
  <si>
    <t xml:space="preserve">Evaluación global de efectividad de REDD+ en bosques tropicales</t>
  </si>
  <si>
    <t xml:space="preserve">Evaluación empírica global mostrando que los proyectos REDD+ voluntarios reducen muy poco la deforestación.</t>
  </si>
  <si>
    <t xml:space="preserve">Narain &amp; Maron</t>
  </si>
  <si>
    <t xml:space="preserve">Cost shifting and other perverse incentives in biodiversity offsetting in India</t>
  </si>
  <si>
    <t xml:space="preserve">Reguladores/legisladores (India), Demanda, Oferta</t>
  </si>
  <si>
    <t xml:space="preserve">Desplazamiento de costos de conservación pública a privada e incentivos perversos</t>
  </si>
  <si>
    <t xml:space="preserve">Demuestra cómo los fondos de compensación en India provocaron que el Estado redujera su presupuesto público.</t>
  </si>
  <si>
    <t xml:space="preserve">Henders &amp; Ostwald</t>
  </si>
  <si>
    <t xml:space="preserve">Accounting methods for international land-related leakage and distant deforestation drivers</t>
  </si>
  <si>
    <t xml:space="preserve">Métodos de contabilidad para fuga de tierras y deforestación teleconectada</t>
  </si>
  <si>
    <t xml:space="preserve">Examina métodos econométricos para contabilizar la fuga indirecta de uso de suelo a escala global.</t>
  </si>
  <si>
    <t xml:space="preserve">REDD+ and leakage: debunking myths and promoting integrated solutions</t>
  </si>
  <si>
    <t xml:space="preserve">Fuga en REDD+ y soluciones de gobernanza integrada</t>
  </si>
  <si>
    <t xml:space="preserve">Desmitifica la fuga en proyectos REDD+ y aboga por enfoques jurisdiccionales integrados.</t>
  </si>
  <si>
    <t xml:space="preserve">Marland, Fruit &amp; Sedjo</t>
  </si>
  <si>
    <t xml:space="preserve">Accounting for sequestered carbon: the question of permanence</t>
  </si>
  <si>
    <t xml:space="preserve">Permanencia y contabilidad del carbono secuestrado</t>
  </si>
  <si>
    <t xml:space="preserve">Estudio fundacional sobre la no-permanencia del carbono forestal y mecanismos de reserva.</t>
  </si>
  <si>
    <t xml:space="preserve">Damiens, Backstrom &amp; Gordon</t>
  </si>
  <si>
    <t xml:space="preserve">Governing for 'no net loss' of biodiversity over the long term: challenges and pathways forward</t>
  </si>
  <si>
    <t xml:space="preserve">Gobernanza a largo plazo para asegurar el logro de No Net Loss</t>
  </si>
  <si>
    <t xml:space="preserve">Identifica los desafíos de gobernanza para garantizar la permanencia de las ganancias de compensación.</t>
  </si>
  <si>
    <t xml:space="preserve">How much compensation is enough? A framework for incorporating uncertainty and time discounting...</t>
  </si>
  <si>
    <t xml:space="preserve">Cuantitativo / Matemático</t>
  </si>
  <si>
    <t xml:space="preserve">Ratios de compensación, descuento temporal e incertidumbre</t>
  </si>
  <si>
    <t xml:space="preserve">Desarrolla el marco matemático de 'offsets robustos' incorporando descuento temporal y riesgo ecológico.</t>
  </si>
  <si>
    <t xml:space="preserve">A method for calculating minimum biodiversity offset multipliers accounting for time discounting...</t>
  </si>
  <si>
    <t xml:space="preserve">Cálculo de multiplicadores mínimos en compensación de biodiversidad</t>
  </si>
  <si>
    <t xml:space="preserve">Método para calcular multiplicadores mínimos que compensen los retrasos temporales en la restauración.</t>
  </si>
  <si>
    <t xml:space="preserve">Milner-Gulland &amp; Shea</t>
  </si>
  <si>
    <t xml:space="preserve">Embracing uncertainty in applied ecology</t>
  </si>
  <si>
    <t xml:space="preserve">Manejo explícito de la incertidumbre en ecología aplicada</t>
  </si>
  <si>
    <t xml:space="preserve">Aboga por incorporar la incertidumbre de forma transparente en la toma de decisiones ecológicas.</t>
  </si>
  <si>
    <t xml:space="preserve">Navarro et al.</t>
  </si>
  <si>
    <t xml:space="preserve">Monitoring biodiversity change through effective global coordination</t>
  </si>
  <si>
    <t xml:space="preserve">Variables Esenciales de Biodiversidad (EBVs) y monitoreo global</t>
  </si>
  <si>
    <t xml:space="preserve">Propone la coordinación internacional de Variables Esenciales de Biodiversidad (EBVs) para el monitoreo.</t>
  </si>
  <si>
    <t xml:space="preserve">Should payments for biodiversity conservation be based on action or results?</t>
  </si>
  <si>
    <t xml:space="preserve">Reguladores/legisladores, Oferta (Propietarios), Científicos</t>
  </si>
  <si>
    <t xml:space="preserve">Pagos por acción vs. pagos por resultados en conservación</t>
  </si>
  <si>
    <t xml:space="preserve">Compara la eficiencia de pagos basados en acciones de gestión frente a pagos basados en resultados medidos.</t>
  </si>
  <si>
    <t xml:space="preserve">The efficiency of payments for environmental services in tropical conservation</t>
  </si>
  <si>
    <t xml:space="preserve">Cualitativo / Económico</t>
  </si>
  <si>
    <t xml:space="preserve">Trópicos / América Latina / Asia</t>
  </si>
  <si>
    <t xml:space="preserve">Eficiencia económica de los PES en conservación tropical</t>
  </si>
  <si>
    <t xml:space="preserve">Analiza los factores institucionales y de diseño que determinan la eficiencia de los esquemas PES.</t>
  </si>
  <si>
    <t xml:space="preserve">Phelps, Webb &amp; Agrawal</t>
  </si>
  <si>
    <t xml:space="preserve">Land use: does REDD+ threaten to recentralize forest governance?</t>
  </si>
  <si>
    <t xml:space="preserve">Reguladores/legisladores, Oferta (Comunidades locales / IPLC)</t>
  </si>
  <si>
    <t xml:space="preserve">Riesgo de recentralización de la gobernanza forestal bajo REDD+</t>
  </si>
  <si>
    <t xml:space="preserve">Alerta en Science sobre el riesgo de que los incentivos financieros de REDD+ recentralicen el control forestal.</t>
  </si>
  <si>
    <t xml:space="preserve">Wells et al.</t>
  </si>
  <si>
    <t xml:space="preserve">Confronting deep uncertainty in the forest carbon industry</t>
  </si>
  <si>
    <t xml:space="preserve">Incertidumbre profunda e irreductible en la industria de carbono forestal</t>
  </si>
  <si>
    <t xml:space="preserve">Plantea en Science que la industria de carbono forestal enfrenta una incertidumbre profunda e ineliminable.</t>
  </si>
  <si>
    <t xml:space="preserve">Aguilar-Støen, M.</t>
  </si>
  <si>
    <t xml:space="preserve">Better safe than sorry? Indigenous peoples, carbon cowboys and the governance of redd in the amazon</t>
  </si>
  <si>
    <t xml:space="preserve">Oferta (Pueblos Indígenas), Intermediarios (Carbon cowboys), Reguladores</t>
  </si>
  <si>
    <t xml:space="preserve">América Latina (Amazonía / Colombia / Brasil)</t>
  </si>
  <si>
    <t xml:space="preserve">Criptogobernanza, 'cowboys del carbono' y derechos de comunidades indígenas</t>
  </si>
  <si>
    <t xml:space="preserve">Estudia las prácticas especulativas de los 'carbon cowboys' en territorios indígenas amazónicos.</t>
  </si>
  <si>
    <t xml:space="preserve">Christophers, B.</t>
  </si>
  <si>
    <t xml:space="preserve">Our lives in their portfolios: why asset managers own the world</t>
  </si>
  <si>
    <t xml:space="preserve">Cualitativo / Economía política</t>
  </si>
  <si>
    <t xml:space="preserve">Demanda (Administradores de activos, Fondos de inversión), Público</t>
  </si>
  <si>
    <t xml:space="preserve">Financiarización de activos físicos e infraestructura de naturaleza</t>
  </si>
  <si>
    <t xml:space="preserve">Examina el avance del capital financiero privado y los administradores de activos sobre la naturaleza.</t>
  </si>
  <si>
    <t xml:space="preserve">Young, D.</t>
  </si>
  <si>
    <t xml:space="preserve">Beyond offsets: people and planet-centred responses to the climate and biodiversity crisis</t>
  </si>
  <si>
    <t xml:space="preserve">Oferta (Pueblos Indígenas / IPLC), Reguladores, Donantes</t>
  </si>
  <si>
    <t xml:space="preserve">Global / Cuenca del Congo / Amazonía</t>
  </si>
  <si>
    <t xml:space="preserve">Respuestas centradas en las personas frente a la crisis ambiental</t>
  </si>
  <si>
    <t xml:space="preserve">Informe de Rainforest Foundation UK que aboga por alternativas de financiamiento directo a comunidades.</t>
  </si>
  <si>
    <t xml:space="preserve">Poudyal et al.</t>
  </si>
  <si>
    <t xml:space="preserve">Can REDD+ social safeguards reach the ‘right’ people? lessons from Madagascar</t>
  </si>
  <si>
    <t xml:space="preserve">Oferta (Comunidades locales marginadas), Reguladores, Donantes</t>
  </si>
  <si>
    <t xml:space="preserve">Salvaguardas sociales de REDD+ y compensación de costos de oportunidad</t>
  </si>
  <si>
    <t xml:space="preserve">Analiza las fallas de las salvaguardas de REDD+ para llegar a las poblaciones locales más vulnerables.</t>
  </si>
  <si>
    <t xml:space="preserve">Gorring &amp; Hutchinson</t>
  </si>
  <si>
    <t xml:space="preserve">Leading for nature</t>
  </si>
  <si>
    <t xml:space="preserve">Demanda (Líderes corporativos, Financieros), Reguladores</t>
  </si>
  <si>
    <t xml:space="preserve">Liderazgo corporativo e inversión en naturaleza</t>
  </si>
  <si>
    <t xml:space="preserve">Guía corporativa del grupo Pollination para articular estrategias empresariales alineadas con la naturaleza.</t>
  </si>
  <si>
    <t xml:space="preserve">Communities and nature markets: building just partnerships in biodiversity credits</t>
  </si>
  <si>
    <t xml:space="preserve">Oferta (Pueblos Indígenas / IPLC), Demanda, Reguladores</t>
  </si>
  <si>
    <t xml:space="preserve">Alianzas justas y salvaguardas para IPLC en mercados de biocréditos</t>
  </si>
  <si>
    <t xml:space="preserve">Directrices de la BCA para garantizar la co-propiedad y consentimiento libre, previo e informado de IPLC.</t>
  </si>
  <si>
    <t xml:space="preserve">Spash, C. L.</t>
  </si>
  <si>
    <t xml:space="preserve">Bulldozing biodiversity: the economics of offsets and trading-in nature</t>
  </si>
  <si>
    <t xml:space="preserve">Crítica económica y ética a la mercantilización y compensación de biodiversidad</t>
  </si>
  <si>
    <t xml:space="preserve">Crítica teórica fundamental en Biological Conservation contra la lógica económica de sustituibilidad biológica.</t>
  </si>
  <si>
    <t xml:space="preserve">Funding forests’ climate potential without carbon offsets</t>
  </si>
  <si>
    <t xml:space="preserve">Financiación de bosques mediante el modelo de contribución sin offsets</t>
  </si>
  <si>
    <t xml:space="preserve">Propone en One Earth el modelo de 'contribución' para financiar bosques sin utilizar créditos como offsets.</t>
  </si>
  <si>
    <t xml:space="preserve">Demand for low-quality offsets by major companies undermines climate integrity...</t>
  </si>
  <si>
    <t xml:space="preserve">Demanda corporativa de créditos de baja calidad y destrucción de la integridad</t>
  </si>
  <si>
    <t xml:space="preserve">Demuestra en Nature Communications que la compra de créditos baratos de baja calidad erosiona la descarbonización.</t>
  </si>
  <si>
    <t xml:space="preserve">Milner-Gulland, E. J.</t>
  </si>
  <si>
    <t xml:space="preserve">Don’t dilute the term nature positive</t>
  </si>
  <si>
    <t xml:space="preserve">Definición estricta del concepto Nature Positive</t>
  </si>
  <si>
    <t xml:space="preserve">Llama en Nature Ecology &amp; Evolution a no diluir el rigor científico del término 'Nature Positive'.</t>
  </si>
  <si>
    <t xml:space="preserve">Cariño &amp; Ferrari</t>
  </si>
  <si>
    <t xml:space="preserve">Negotiating the futures of nature and cultures: perspectives from indigenous peoples...</t>
  </si>
  <si>
    <t xml:space="preserve">Oferta (Pueblos Indígenas y comunidades locales / IPLC), Reguladores</t>
  </si>
  <si>
    <t xml:space="preserve">Negociaciones del CDB y derechos territoriales e intelectuales de IPLC</t>
  </si>
  <si>
    <t xml:space="preserve">Presenta la perspectiva de los Pueblos Indígenas en la negociación del Marco Mundial de Biodiversidad.</t>
  </si>
  <si>
    <t xml:space="preserve">Reforzamiento del paso de 'Evitación' en la jerarquía de mitigación</t>
  </si>
  <si>
    <t xml:space="preserve">Propone mecanismos prácticos para hacer cumplir el paso prioritario de evitación en proyectos de desarrollo.</t>
  </si>
  <si>
    <t xml:space="preserve">Dunne &amp; Quiroz (Carbon Brief)</t>
  </si>
  <si>
    <t xml:space="preserve">Mapped: the impacts of carbon-offset projects around the world</t>
  </si>
  <si>
    <t xml:space="preserve">Cualitativo / Mapeo de casos</t>
  </si>
  <si>
    <t xml:space="preserve">Público general, Oferta (Comunidades afectadas), Demanda</t>
  </si>
  <si>
    <t xml:space="preserve">Mapeo global de proyectos de compensación de carbono e impactos sociales</t>
  </si>
  <si>
    <t xml:space="preserve">Mapeo interactivo de Carbon Brief documentando conflictos sociales y ambientales en proyectos de carbono.</t>
  </si>
  <si>
    <t xml:space="preserve">Supplementary material from: What is a unit of nature? Measurement challenges in the emerging biodiversity credit market</t>
  </si>
  <si>
    <t xml:space="preserve">Material suplementario con revisión sistemática de 16 metodologías de biocréditos</t>
  </si>
  <si>
    <t xml:space="preserve">Base de datos comparativa suplementaria analizando 16 metodologías comerciales de biocréditos.</t>
  </si>
  <si>
    <t xml:space="preserve">Castro, M. (Banco Mundial)</t>
  </si>
  <si>
    <t xml:space="preserve">Supply and demand of carbon credits</t>
  </si>
  <si>
    <t xml:space="preserve">Demanda (Empresas corporativas, Sector financiero), Oferta (Desarrolladores de proyectos de carbono), Reguladores/legisladores</t>
  </si>
  <si>
    <t xml:space="preserve">Global (Países en desarrollo y desarrollados)</t>
  </si>
  <si>
    <t xml:space="preserve">Bosques tropicales, uso del suelo y proyectos REDD+ / compensación de carbono</t>
  </si>
  <si>
    <t xml:space="preserve">Analiza la oferta y demanda global de créditos de carbono, la evolución de los precios, la liquidez del mercado voluntario y las dinámicas de compra corporativa.</t>
  </si>
  <si>
    <t xml:space="preserve">Ceglar, A., Jwaideh, M., O’Donnell, E., Danieli, F., Pasqua, C., Hutchinson, J., et al. (BCE)</t>
  </si>
  <si>
    <t xml:space="preserve">Nature at risk: Implications for the euro area economy and financial stability (Occasional Paper Series No. 380)</t>
  </si>
  <si>
    <t xml:space="preserve">Demanda (Sector financiero, Bancos de la Eurozona), Reguladores/legisladores (BCE, Autoridades bancarias)</t>
  </si>
  <si>
    <t xml:space="preserve">Europa / Eurozona</t>
  </si>
  <si>
    <t xml:space="preserve">Servicios ecosistémicos integrados (agua, polinización, protección contra erosión) que sustentan la economía europea</t>
  </si>
  <si>
    <t xml:space="preserve">Demuestra empíricamente que el 75% de los préstamos bancarios corporativos en la eurozona dependen fuertemente de al menos un servicio ecosistémico y evalúa los riesgos de estabilidad financiera.</t>
  </si>
  <si>
    <t xml:space="preserve">Evison, W., Ping Low, L., &amp; O’Brien, D. (Strategy&amp; / PwC)</t>
  </si>
  <si>
    <t xml:space="preserve">Managing nature risks: From understanding to action</t>
  </si>
  <si>
    <t xml:space="preserve">Demanda (Empresas globales, Sector financiero), Reguladores/legisladores</t>
  </si>
  <si>
    <t xml:space="preserve">Servicios ecosistémicos globales y cadenas de valor corporativas</t>
  </si>
  <si>
    <t xml:space="preserve">Cuantifica que el 55% del PIB mundial ($44 billones) depende de forma moderada o alta de la naturaleza y los servicios ecosistémicos, orientando la gestión de riesgos corporativos.</t>
  </si>
  <si>
    <t xml:space="preserve">The Global Risks Report 2025 (20th Edition)</t>
  </si>
  <si>
    <t xml:space="preserve">Reguladores/legisladores, Demanda (Líderes empresariales globales, Sector financiero), Público general</t>
  </si>
  <si>
    <t xml:space="preserve">Sistemas ecológicos globales y salud planetaria</t>
  </si>
  <si>
    <t xml:space="preserve">Posiciona la pérdida de biodiversidad y el colapso de los ecosistemas como el segundo riesgo global más severo e impactante para la próxima década.</t>
  </si>
  <si>
    <t xml:space="preserve">Demand-side sources and motivation for biodiversity credits (Issue Paper No. 1)</t>
  </si>
  <si>
    <t xml:space="preserve">Cualitativo / Cuantitativo (Encuesta 29 empresas)</t>
  </si>
  <si>
    <t xml:space="preserve">Demanda (Empresas corporativas, Sector financiero), Oferta (IPLC, Propietarios), Reguladores/legisladores</t>
  </si>
  <si>
    <t xml:space="preserve">Diversos ecosistemas terrestres, marinos y de agua dulce</t>
  </si>
  <si>
    <t xml:space="preserve">Explora las motivaciones y fuentes de demanda corporativa para adquirir créditos de biodiversidad voluntarios, identificando la gestión de reputación y ESG.</t>
  </si>
  <si>
    <t xml:space="preserve">Roadmap towards nature credits [COM(2025) 374 final]</t>
  </si>
  <si>
    <t xml:space="preserve">Reguladores/legisladores (Comisión Europea, Estados Miembros), Demanda (Empresas, Financieros), Oferta</t>
  </si>
  <si>
    <t xml:space="preserve">Ecosistemas europeos terrestres, marinos, urbanos y agrícolas bajo el Reglamento de Restauración</t>
  </si>
  <si>
    <t xml:space="preserve">Establece la hoja de ruta de la Comisión Europea para definir estándares de integridad, gobernanza y metodologías de certificación de créditos de naturaleza en la UE hacia 2027.</t>
  </si>
  <si>
    <t xml:space="preserve">European Union (European Parliament &amp; Council)</t>
  </si>
  <si>
    <t xml:space="preserve">Nature Restoration Regulation (NRR) [Regulation (EU) 2024/1991]</t>
  </si>
  <si>
    <t xml:space="preserve">Cualitativo / Normativo (Reglamento Vinculante)</t>
  </si>
  <si>
    <t xml:space="preserve">Reguladores/legisladores (UE y 27 Estados Miembros), Oferta (Agricultores, Silvicultores, Municipios), Demanda</t>
  </si>
  <si>
    <t xml:space="preserve">Turberas, ríos, bosques, áreas agrícolas, zonas urbanas y ecosistemas marinos europeos</t>
  </si>
  <si>
    <t xml:space="preserve">Norma vinculante que exige a los Estados Miembros restaurar al menos el 20% de las zonas terrestres y marinas de la UE para 2030 y todos los ecosistemas degradados para 2050.</t>
  </si>
  <si>
    <t xml:space="preserve">Gobierno de Francia (Loi Industrie Verte - Dispositivo SNCRR)</t>
  </si>
  <si>
    <t xml:space="preserve">Loi n° 2023-973 relative à l'industrie verte (Dispositif Site Naturel de Compensation, Restauration et Renaturation)</t>
  </si>
  <si>
    <t xml:space="preserve">Cualitativo / Marco Legal Regulatorio</t>
  </si>
  <si>
    <t xml:space="preserve">Reguladores/legisladores (Gobierno de Francia, DREAL, OFB), Oferta (Operadores SNCRR, CDC Biodiversité), Demanda</t>
  </si>
  <si>
    <t xml:space="preserve">Sitios de restauración de hábitats degradados a 30 años (p. ej. Cossure y Cros-du-Mouton)</t>
  </si>
  <si>
    <t xml:space="preserve">Crea el marco legal francés de Sitios Naturales de Compensación, Restauración y Renaturación (SNCRR) y la emisión de certificados de biodiversidad de alta integridad a 30 años.</t>
  </si>
  <si>
    <t xml:space="preserve">Science Based Targets Network (SBTN)</t>
  </si>
  <si>
    <t xml:space="preserve">SBTs for Nature: Initial guidance for corporates</t>
  </si>
  <si>
    <t xml:space="preserve">Demanda (Empresas corporativas), Comunidad científica, Reguladores/legisladores</t>
  </si>
  <si>
    <t xml:space="preserve">Uso del suelo, sistemas de agua dulce y biodiversidad terrestre</t>
  </si>
  <si>
    <t xml:space="preserve">Define metodologías basadas en la ciencia para que las empresas establezcan metas cuantitativas de reducción de impacto sobre el suelo, agua dulce y biodiversidad.</t>
  </si>
  <si>
    <t xml:space="preserve">European Investment Bank &amp; CDC Biodiversité (EIB)</t>
  </si>
  <si>
    <t xml:space="preserve">Scaling biodiversity markets: A market study [QH-01-26-018-EN-N]</t>
  </si>
  <si>
    <t xml:space="preserve">Mixto (Cuantitativo encuesta 36 empresas + Cualitativo 37 entrevistas)</t>
  </si>
  <si>
    <t xml:space="preserve">Demanda (Gestores de activos, Bancos, Aseguradoras, Corporaciones de 9 sectores), Oferta (CDC Biodiversité / SNCRR), Reguladores (EIB, Comisión Europea)</t>
  </si>
  <si>
    <t xml:space="preserve">Francia / Unión Europea</t>
  </si>
  <si>
    <t xml:space="preserve">Bosques (71%), ecosistemas terrestres (53%), agrícolas (53%), conectividad de ríos (41%), urbanos (35%) y marinos (35%)</t>
  </si>
  <si>
    <t xml:space="preserve">Estudio empírico de mercado de la BEI sobre la demanda privada de certificados de biodiversidad de alta integridad (SNCRR), formulando 6 recomendaciones de política e infraestructura para la UE.</t>
  </si>
  <si>
    <t xml:space="preserve">IPBES Secretariat</t>
  </si>
  <si>
    <t xml:space="preserve">Media Release: IPBES Nexus Assessment</t>
  </si>
  <si>
    <t xml:space="preserve">Biodiversidad, agua, alimentos y salud planetaria</t>
  </si>
  <si>
    <t xml:space="preserve">Evaluación científica sobre las interconexiones clave entre la pérdida de biodiversidad, agua, alimentos y cambio climático.</t>
  </si>
  <si>
    <t xml:space="preserve">Living Planet Report 2024</t>
  </si>
  <si>
    <t xml:space="preserve">Ecosistemas terrestres, marinos y de agua dulce (caída del 73% en vertebrados)</t>
  </si>
  <si>
    <t xml:space="preserve">Reporte insignia que registra una caída promedio del 73% en las poblaciones monitoreadas de vida silvestre a nivel global.</t>
  </si>
  <si>
    <t xml:space="preserve">Fires Drove Record-breaking Tropical Forest Loss in 2024</t>
  </si>
  <si>
    <t xml:space="preserve">Cuantitativo / Geoespacial</t>
  </si>
  <si>
    <t xml:space="preserve">Países tropicales (Global)</t>
  </si>
  <si>
    <t xml:space="preserve">Análisis de datos satelitales que demuestra pérdidas récord de bosques tropicales impulsadas por incendios y cambio climático.</t>
  </si>
  <si>
    <t xml:space="preserve">Rockström et al. / Steffen et al.</t>
  </si>
  <si>
    <t xml:space="preserve">Planetary boundaries: Guiding human development on a changing planet</t>
  </si>
  <si>
    <t xml:space="preserve">Sistema Tierra (6 de 9 límites planetarios sobrepasados)</t>
  </si>
  <si>
    <t xml:space="preserve">Marco de límites planetarios que alerta que seis de los nueve límites críticos ecológicos han sido superados.</t>
  </si>
  <si>
    <t xml:space="preserve">EY</t>
  </si>
  <si>
    <t xml:space="preserve">Are you harnessing the growth and resilience of private capital?</t>
  </si>
  <si>
    <t xml:space="preserve">Demanda (Sector financiero, Inversores privados), Empresas</t>
  </si>
  <si>
    <t xml:space="preserve">Mercados privados globales ($24 billones AUM)</t>
  </si>
  <si>
    <t xml:space="preserve">Análisis sobre la asignación de $24 billones en mercados privados y la ínfima participación asignada a la naturaleza.</t>
  </si>
  <si>
    <t xml:space="preserve">Bank of Jiangsu</t>
  </si>
  <si>
    <t xml:space="preserve">GEP-backed Credit Line for Dongtai Tiaozini Wetland Restoration Project</t>
  </si>
  <si>
    <t xml:space="preserve">Demanda (Bank of Jiangsu), Oferta (Proyecto Tiaozini), Reguladores</t>
  </si>
  <si>
    <t xml:space="preserve">China (Dongtai, Jiangsu)</t>
  </si>
  <si>
    <t xml:space="preserve">Humedales costeros Tiaozini (RMB 500M / US$70M)</t>
  </si>
  <si>
    <t xml:space="preserve">Caso práctico pionero de una línea de crédito de $70M usando el Producto Ecosistémico Bruto (GEP) como colateral.</t>
  </si>
  <si>
    <t xml:space="preserve">African Development Bank (AfDB)</t>
  </si>
  <si>
    <t xml:space="preserve">Measuring the Green Wealth of Nations: Natural Capital and Economic Productivity in Africa</t>
  </si>
  <si>
    <t xml:space="preserve">Cuantitativo / Macroeconométrico</t>
  </si>
  <si>
    <t xml:space="preserve">Reguladores/legisladores (Ministerios de Finanzas), Demanda (Inversores, Ratings)</t>
  </si>
  <si>
    <t xml:space="preserve">África (54 países / DRC, Gabón, Congo, etc.)</t>
  </si>
  <si>
    <t xml:space="preserve">Bosques de la Cuenca del Congo, cuencas y sumideros de carbono</t>
  </si>
  <si>
    <t xml:space="preserve">Estudio de AfDB que demuestra que incluir la captura de carbono eleva el PIB africano en $66.000 millones de dólares.</t>
  </si>
  <si>
    <t xml:space="preserve">Oosthuyse &amp; Giliam</t>
  </si>
  <si>
    <t xml:space="preserve">A people-centred approach to managing Africa's forests as a carbon sink</t>
  </si>
  <si>
    <t xml:space="preserve">África (Cuenca del Congo)</t>
  </si>
  <si>
    <t xml:space="preserve">Bosques de la Cuenca del Congo (46 GtCO2 almacenadas)</t>
  </si>
  <si>
    <t xml:space="preserve">Propone un enfoque centrado en las personas para gestionar la Cuenca del Congo como sumidero global de carbono.</t>
  </si>
  <si>
    <t xml:space="preserve">Coastal Protection from Mangroves in West Africa</t>
  </si>
  <si>
    <t xml:space="preserve">Reguladores/legisladores, Oferta (Comunidades costeras), Demanda (Aseguradoras)</t>
  </si>
  <si>
    <t xml:space="preserve">África Occidental</t>
  </si>
  <si>
    <t xml:space="preserve">Manglares costeros</t>
  </si>
  <si>
    <t xml:space="preserve">Calcula que la presencia de manglares evita más de $65 millones anuales en daños por inundaciones en África Occidental.</t>
  </si>
  <si>
    <t xml:space="preserve">CBD COP15 / PNUMA</t>
  </si>
  <si>
    <t xml:space="preserve">Kunming-Montreal Global Biodiversity Framework (GBF Targets 15, 18)</t>
  </si>
  <si>
    <t xml:space="preserve">Cualitativo / Tratado Internacional</t>
  </si>
  <si>
    <t xml:space="preserve">Reguladores/legisladores (190+ países), Demanda (Empresas, Financieros), Oferta</t>
  </si>
  <si>
    <t xml:space="preserve">Ecosistemas planetarios (Meta $200B/año a 2030)</t>
  </si>
  <si>
    <t xml:space="preserve">Marco mundial de biodiversidad que mandata movilizar $200B/año y eliminar $500B/año en subsidios perjudiciales (Meta 18).</t>
  </si>
  <si>
    <t xml:space="preserve">Capitals Coalition / PNUMA</t>
  </si>
  <si>
    <t xml:space="preserve">Reforming Environmentally Harmful Subsidies: A Playbook</t>
  </si>
  <si>
    <t xml:space="preserve">Agroecosistemas, pesquerías y energía</t>
  </si>
  <si>
    <t xml:space="preserve">Cuantifica en $2 billones al año los subsidios que destruyen la naturaleza proponiendo su reorientación hacia incentivos verdes.</t>
  </si>
  <si>
    <t xml:space="preserve">Inter-American Development Bank (IDB)</t>
  </si>
  <si>
    <t xml:space="preserve">Natural Capital and Biodiversity Mainstreaming Action Plan 2024-2025</t>
  </si>
  <si>
    <t xml:space="preserve">Cualitativo / Plan Estratégico</t>
  </si>
  <si>
    <t xml:space="preserve">Reguladores/legisladores (Países prestatarios del BID), Demanda (Sector financiero)</t>
  </si>
  <si>
    <t xml:space="preserve">Capital natural y biodiversidad regional</t>
  </si>
  <si>
    <t xml:space="preserve">Plan del BID para integrar el capital natural en las finanzas públicas y planificación de infraestructura de América Latina.</t>
  </si>
  <si>
    <t xml:space="preserve">IFRS Foundation &amp; TNFD</t>
  </si>
  <si>
    <t xml:space="preserve">Formal Collaboration for Nature-related Disclosures</t>
  </si>
  <si>
    <t xml:space="preserve">Demanda (Empresas, Sector financiero, ISSB), Reguladores</t>
  </si>
  <si>
    <t xml:space="preserve">Mercados de capitales y reporte corporativo</t>
  </si>
  <si>
    <t xml:space="preserve">Acuerdo hito para incorporar los estándares de divulgación sobre naturaleza del TNFD dentro de la norma global ISSB.</t>
  </si>
  <si>
    <t xml:space="preserve">UNEP FI &amp; WWF</t>
  </si>
  <si>
    <t xml:space="preserve">Navigating Nature-related Regulations for Banks</t>
  </si>
  <si>
    <t xml:space="preserve">Cualitativo / Guía Regulatoria</t>
  </si>
  <si>
    <t xml:space="preserve">Demanda (Bancos comerciales), Reguladores (Supervisores financieros)</t>
  </si>
  <si>
    <t xml:space="preserve">Carteras de crédito y gestión de riesgo bancario</t>
  </si>
  <si>
    <t xml:space="preserve">Guía práctica para ayudar a los bancos comerciales a evaluar y adaptarse a las nuevas regulaciones financieras de naturaleza.</t>
  </si>
  <si>
    <t xml:space="preserve">European Bank for Reconstruction and Development (EBRD)</t>
  </si>
  <si>
    <t xml:space="preserve">Approach to Nature 2023-2030</t>
  </si>
  <si>
    <t xml:space="preserve">Cualitativo / Marco Estratégico</t>
  </si>
  <si>
    <t xml:space="preserve">Demanda (Clientes bancarios del EBRD), Reguladores, Científicos (GBIF)</t>
  </si>
  <si>
    <t xml:space="preserve">Europa del Este, Asia Central y Mediterráneo</t>
  </si>
  <si>
    <t xml:space="preserve">Infraestructura regional y biodiversidad</t>
  </si>
  <si>
    <t xml:space="preserve">Estrategia institucional del EBRD para reportar bajo TNFD y compartir datos primarios de biodiversidad a través de GBIF.</t>
  </si>
  <si>
    <t xml:space="preserve">Sino-Turkish Studies</t>
  </si>
  <si>
    <t xml:space="preserve">Guizhou Green Expo Park PPP (Duyun City, China)</t>
  </si>
  <si>
    <t xml:space="preserve">Reguladores (Municipio de Duyun), Demanda (Inversores 25%), Público (1.2M visitantes)</t>
  </si>
  <si>
    <t xml:space="preserve">China (Duyun, Guizhou)</t>
  </si>
  <si>
    <t xml:space="preserve">Parque ecológico urbano de 396 ha (US$400M)</t>
  </si>
  <si>
    <t xml:space="preserve">Caso de estudio de una APP urbana de $400M que combinó turismo ecológico, 58% áreas verdes y 560 empleos locales.</t>
  </si>
  <si>
    <t xml:space="preserve">EBRD &amp; Gobierno de Suiza</t>
  </si>
  <si>
    <t xml:space="preserve">Fayzobod Water and Wastewater Project (Tajikistan)</t>
  </si>
  <si>
    <t xml:space="preserve">Oferta (33.000 residentes de Fayzobod), Reguladores, Demanda (EBRD loan €1.8M)</t>
  </si>
  <si>
    <t xml:space="preserve">Tayikistán (Fayzobod / Ríos Loyak y Elok)</t>
  </si>
  <si>
    <t xml:space="preserve">Cuencas fluviales y saneamiento hídrico</t>
  </si>
  <si>
    <t xml:space="preserve">Proyecto de infraestructura hídrica que redujo la contaminación en los ríos Loyak y Elok fortaleciendo la resiliencia.</t>
  </si>
  <si>
    <t xml:space="preserve">Champions Nature-Based Solutions for Sub-Saharan Africa at COP16</t>
  </si>
  <si>
    <t xml:space="preserve">Cualitativo / Político</t>
  </si>
  <si>
    <t xml:space="preserve">Reguladores/legisladores, Oferta (Comunidades vulnerables), Demanda</t>
  </si>
  <si>
    <t xml:space="preserve">África Subsahariana</t>
  </si>
  <si>
    <t xml:space="preserve">Cuencas, suelos y zonas costeras</t>
  </si>
  <si>
    <t xml:space="preserve">Posicionamiento de AfDB para integrar soluciones basadas en la naturaleza en compras públicas y planes de desarrollo.</t>
  </si>
  <si>
    <t xml:space="preserve">World Bank / GFDRR</t>
  </si>
  <si>
    <t xml:space="preserve">Growing Resilience: Unlocking the Potential of NbS for Climate Resilience in Sub-Saharan Africa</t>
  </si>
  <si>
    <t xml:space="preserve">Cuantitativo / Inventario</t>
  </si>
  <si>
    <t xml:space="preserve">Reguladores, Demanda (Financieros), Oferta (Comunidades)</t>
  </si>
  <si>
    <t xml:space="preserve">África Subsahariana (300 proyectos)</t>
  </si>
  <si>
    <t xml:space="preserve">Ecosistemas africanos (US$21 billones comprometidos)</t>
  </si>
  <si>
    <t xml:space="preserve">Inventario que registra $21.000 millones de dólares comprometidos en 300 proyectos NbS en África entre 2012 y 2023.</t>
  </si>
  <si>
    <t xml:space="preserve">IDB Invest &amp; World Bank</t>
  </si>
  <si>
    <t xml:space="preserve">Launching Amazonia Bonds for Conservation</t>
  </si>
  <si>
    <t xml:space="preserve">Demanda (Inversores de bonos, IDB Invest), Oferta (Productores sostenibles)</t>
  </si>
  <si>
    <t xml:space="preserve">Selva tropical amazónica (BRL 50M / US$9M)</t>
  </si>
  <si>
    <t xml:space="preserve">Emisión del primer Bono Amazonía por $9M de dólares para financiar alternativas sostenibles frente a la deforestación.</t>
  </si>
  <si>
    <t xml:space="preserve">Demand-side Sources and Motivation for Biodiversity Credits / Definition</t>
  </si>
  <si>
    <t xml:space="preserve">Demanda (Empresas), Oferta (IPLC, Comunidades), Reguladores</t>
  </si>
  <si>
    <t xml:space="preserve">Biodiversidad y estado condicional de hábitats</t>
  </si>
  <si>
    <t xml:space="preserve">Establece la definición oficial de crédito de biodiversidad como unidad de contribución positiva no compensatoria.</t>
  </si>
  <si>
    <t xml:space="preserve">The Reality of Biodiversity Credits</t>
  </si>
  <si>
    <t xml:space="preserve">Demanda (Inversores corporativos), Reguladores, Científicos</t>
  </si>
  <si>
    <t xml:space="preserve">Métricas y mercados de biodiversidad</t>
  </si>
  <si>
    <t xml:space="preserve">Análisis sobre los costos de transacción y MRV en biocréditos frente a la inversión directa en conservación.</t>
  </si>
  <si>
    <t xml:space="preserve">Terrasos (Colombia)</t>
  </si>
  <si>
    <t xml:space="preserve">Habitat Banks and Tebu Voluntary Biodiversity Credits</t>
  </si>
  <si>
    <t xml:space="preserve">Demanda (Desarrolladores obligados / Empresas ESG), Oferta (Propietarios), Reguladores</t>
  </si>
  <si>
    <t xml:space="preserve">Colombia (7.000 ha en 5 ecosistemas)</t>
  </si>
  <si>
    <t xml:space="preserve">Bosques secos, andinos y sabanas ($10k/ha obligatorio, $25 voluntario)</t>
  </si>
  <si>
    <t xml:space="preserve">Modelo de Bancos de Hábitat en Colombia con títulos a 30 años que emiten créditos de compensación y voluntarios.</t>
  </si>
  <si>
    <t xml:space="preserve">US EPA</t>
  </si>
  <si>
    <t xml:space="preserve">Wetlands and Stream Mitigation Banking under CWA Section 404</t>
  </si>
  <si>
    <t xml:space="preserve">Cuantitativo / Regulatorio</t>
  </si>
  <si>
    <t xml:space="preserve">Reguladores (USACE, EPA), Demanda (Desarrolladores), Oferta (Banqueros)</t>
  </si>
  <si>
    <t xml:space="preserve">Humedales y arroyos protegidos por la Clean Water Act</t>
  </si>
  <si>
    <t xml:space="preserve">El mercado de compensación de biodiversidad más grande del mundo mediante banca de mitigación de humedales.</t>
  </si>
  <si>
    <t xml:space="preserve">Understanding Biodiversity Net Gain (BNG)</t>
  </si>
  <si>
    <t xml:space="preserve">Cualitativo / Regulatorio</t>
  </si>
  <si>
    <t xml:space="preserve">Reguladores (UK DEFRA), Demanda (Desarrolladores), Oferta (Propietarios)</t>
  </si>
  <si>
    <t xml:space="preserve">Hábitats urbanos y rurales (10% ganancia neta obligatoria)</t>
  </si>
  <si>
    <t xml:space="preserve">Regulación obligatoria de BNG en Inglaterra que exige a desarrolladores un incremento del 10% en biodiversidad a 30 años.</t>
  </si>
  <si>
    <t xml:space="preserve">High Integrity Biodiversity Credit Markets Framework</t>
  </si>
  <si>
    <t xml:space="preserve">Cualitativo / Principios</t>
  </si>
  <si>
    <t xml:space="preserve">Ecosistemas locales no fungibles</t>
  </si>
  <si>
    <t xml:space="preserve">Establece principios de alta integridad: prohibición de offsetting internacional, no-revistas y co-propiedad comunitaria.</t>
  </si>
  <si>
    <t xml:space="preserve">Asian Infrastructure Investment Bank (AIIB)</t>
  </si>
  <si>
    <t xml:space="preserve">Nature Finance Accelerator Program (NFAP)</t>
  </si>
  <si>
    <t xml:space="preserve">Demanda (Bank of Jiangsu, Bank of Huzhou, Tencent), Reguladores, MDBs</t>
  </si>
  <si>
    <t xml:space="preserve">China (Huzhou, Jiangsu)</t>
  </si>
  <si>
    <t xml:space="preserve">Bosques y humedales urbanos e industriales</t>
  </si>
  <si>
    <t xml:space="preserve">Programa de intermediación financiera del AIIB con bancos locales para canalizar créditos a proyectos de naturaleza.</t>
  </si>
  <si>
    <t xml:space="preserve">European Environment Agency (EEA)</t>
  </si>
  <si>
    <t xml:space="preserve">The Importance of Restoring Nature in Europe</t>
  </si>
  <si>
    <t xml:space="preserve">Reguladores/legisladores (Comisión Europea), Comunidad científica, Público</t>
  </si>
  <si>
    <t xml:space="preserve">Ecosistemas europeos degradados</t>
  </si>
  <si>
    <t xml:space="preserve">Demuestra que cada 1€ invertido en restauración de la naturaleza en la UE rinde entre 8€ y 38€ en beneficios ecosistémicos.</t>
  </si>
  <si>
    <t xml:space="preserve">Convergence Blended Finance</t>
  </si>
  <si>
    <t xml:space="preserve">The State of Blended Finance 2024</t>
  </si>
  <si>
    <t xml:space="preserve">Demanda (Inversores institucionales, Filantropía), MDBs</t>
  </si>
  <si>
    <t xml:space="preserve">Global / Países emergentes</t>
  </si>
  <si>
    <t xml:space="preserve">Ecosistemas y proyectos de desarrollo</t>
  </si>
  <si>
    <t xml:space="preserve">Informe sobre el despliegue de capital mixto concesional para movilizar inversión privada en conservación y clima.</t>
  </si>
  <si>
    <t xml:space="preserve">Green Guarantee Group (GGG)</t>
  </si>
  <si>
    <t xml:space="preserve">Scaling Up Green Guarantees Flagship Report</t>
  </si>
  <si>
    <t xml:space="preserve">Demanda (Bancos comerciales), Reguladores (Supervisores financieros), MDBs</t>
  </si>
  <si>
    <t xml:space="preserve">Países emergentes (EMDEs / Nigeria, África)</t>
  </si>
  <si>
    <t xml:space="preserve">Infraestructura verde y de naturaleza</t>
  </si>
  <si>
    <t xml:space="preserve">Informe estratégico sobre garantías verdes parciales para liberar requerimientos de capital bancario bajo Basilea.</t>
  </si>
  <si>
    <t xml:space="preserve">InfraCredit Nigeria</t>
  </si>
  <si>
    <t xml:space="preserve">Guarantee Mechanisms in Emerging Markets</t>
  </si>
  <si>
    <t xml:space="preserve">Cuantitativo / Caso Financiero</t>
  </si>
  <si>
    <t xml:space="preserve">Demanda (Fondos de pensiones de Nigeria), Reguladores, MDBs (GuarantCo, NSIA)</t>
  </si>
  <si>
    <t xml:space="preserve">Infraestructura local en moneda nacional (Naira)</t>
  </si>
  <si>
    <t xml:space="preserve">Modelo de garantía de crédito local en Nigeria que otorga grado de inversión a bonos de infraestructura atrayendo pensiones.</t>
  </si>
  <si>
    <t xml:space="preserve">Global State of the Market Report 2024</t>
  </si>
  <si>
    <t xml:space="preserve">Demanda (Inversores de bonos ESG), Reguladores, Emisores</t>
  </si>
  <si>
    <t xml:space="preserve">Global ($47B SLBs, $2T SLLs)</t>
  </si>
  <si>
    <t xml:space="preserve">Bonos verdes, azules y ligados a sostenibilidad</t>
  </si>
  <si>
    <t xml:space="preserve">Reporte de emisiones mundiales de bonos etiquetados (GSS+) y de deuda vinculada a métricas de sostenibilidad.</t>
  </si>
  <si>
    <t xml:space="preserve">Swiss Federal Railways (SBB)</t>
  </si>
  <si>
    <t xml:space="preserve">Sustainability-Linked Reinsurance Pilot</t>
  </si>
  <si>
    <t xml:space="preserve">Cuantitativo / Caso de Reaseguro</t>
  </si>
  <si>
    <t xml:space="preserve">Demanda (SBB Insurance AG, AXA XL, Zurich, Helvetia), Reguladores</t>
  </si>
  <si>
    <t xml:space="preserve">Red ferroviaria e infraestructura de transporte</t>
  </si>
  <si>
    <t xml:space="preserve">Primer contrato de reaseguro ligado a metas de descarbonización (50% al 2030) con descuentos en primas.</t>
  </si>
  <si>
    <t xml:space="preserve">The Nature Conservancy (TNC) &amp; WTW</t>
  </si>
  <si>
    <t xml:space="preserve">California Wildfire Resilience Insurance</t>
  </si>
  <si>
    <t xml:space="preserve">Cuantitativo / Caso de Seguro</t>
  </si>
  <si>
    <t xml:space="preserve">Oferta (Propietarios), Demanda (Aseguradora WTW/TNC), Reguladores</t>
  </si>
  <si>
    <t xml:space="preserve">Bosques templados y zona urbano-forestal</t>
  </si>
  <si>
    <t xml:space="preserve">Póliza de seguro contra incendios forestales que redujo primas en 41% a comunidades con manejo forestal ecológico.</t>
  </si>
  <si>
    <t xml:space="preserve">Public Rural Insurance Policies in Brazil (PSR Program)</t>
  </si>
  <si>
    <t xml:space="preserve">Cuantitativo / Político</t>
  </si>
  <si>
    <t xml:space="preserve">Oferta (Agricultores brasileños), Reguladores/legisladores (Gobierno de Brasil)</t>
  </si>
  <si>
    <t xml:space="preserve">Tierras agrícolas, silvicultura y acuicultura</t>
  </si>
  <si>
    <t xml:space="preserve">Análisis de la subvención pública del 40% a primas de seguro rural vinculada a prácticas agrícolas regenerativas.</t>
  </si>
  <si>
    <t xml:space="preserve">PepsiCo &amp; Precision Conservation Management</t>
  </si>
  <si>
    <t xml:space="preserve">Regenerative Crop Insurance Incentive Program</t>
  </si>
  <si>
    <t xml:space="preserve">Cuantitativo / Caso Corporativo</t>
  </si>
  <si>
    <t xml:space="preserve">Demanda (PepsiCo), Oferta (Agricultores de soya y maíz), Reguladores</t>
  </si>
  <si>
    <t xml:space="preserve">Agroecosistemas de soya y maíz</t>
  </si>
  <si>
    <t xml:space="preserve">Programa corporativo que subsidia el seguro de cosecha a agricultores que adoptan cultivos de cobertura.</t>
  </si>
  <si>
    <t xml:space="preserve">Insurance Development Forum (IDF)</t>
  </si>
  <si>
    <t xml:space="preserve">From Risk to Resilience: Closing the Protection Gap</t>
  </si>
  <si>
    <t xml:space="preserve">Cuantitativo / Resumen de Mercado</t>
  </si>
  <si>
    <t xml:space="preserve">Demanda (Sector asegurador global), Reguladores, Oferta (Países EMDE)</t>
  </si>
  <si>
    <t xml:space="preserve">Global (90% brecha de protección en EMDEs)</t>
  </si>
  <si>
    <t xml:space="preserve">Riesgos climáticos y catastróficos</t>
  </si>
  <si>
    <t xml:space="preserve">Estudio que cifra en 90% la brecha de seguro en países en desarrollo y propone bonos catastróficos y microseguros.</t>
  </si>
  <si>
    <t xml:space="preserve">Swiss Re Institute</t>
  </si>
  <si>
    <t xml:space="preserve">Natural Catastrophes Trend: Sigma Report</t>
  </si>
  <si>
    <t xml:space="preserve">Demanda (Reaseguradoras), Reguladores, Público general</t>
  </si>
  <si>
    <t xml:space="preserve">Pérdidas catastróficas por clima y naturaleza (5-7%/año)</t>
  </si>
  <si>
    <t xml:space="preserve">Reporte estadístico de pérdidas económicas globales por catástrofes naturales e impacto en primas de seguro.</t>
  </si>
  <si>
    <t xml:space="preserve">Conservation International / RISCO</t>
  </si>
  <si>
    <t xml:space="preserve">Restoration Insurance Service Company for Mangroves</t>
  </si>
  <si>
    <t xml:space="preserve">Cuantitativo / Modelo de Seguro</t>
  </si>
  <si>
    <t xml:space="preserve">Demanda (Aseguradoras costeras), Oferta (Comunidades costeras), Reguladores</t>
  </si>
  <si>
    <t xml:space="preserve">Empresa de reaseguro que financia la restauración de manglares mediante ahorros generados en seguros de inundación.</t>
  </si>
  <si>
    <t xml:space="preserve">Hawaii Parametric Coral Reef Insurance Policy</t>
  </si>
  <si>
    <t xml:space="preserve">Cuantitativo / Seguro Paramétrico</t>
  </si>
  <si>
    <t xml:space="preserve">Demanda (TNC, Sector turístico), Oferta (Brigadas de arrecifes), Reguladores</t>
  </si>
  <si>
    <t xml:space="preserve">Estados Unidos (Hawái)</t>
  </si>
  <si>
    <t xml:space="preserve">Arrecifes de coral</t>
  </si>
  <si>
    <t xml:space="preserve">Póliza paramétrica que desembolsa fondos inmediatos tras un huracán para reparar arrecifes de coral en Hawái.</t>
  </si>
  <si>
    <t xml:space="preserve">UNDP &amp; Río Uruguay Seguros</t>
  </si>
  <si>
    <t xml:space="preserve">Jaguar Protection Insurance</t>
  </si>
  <si>
    <t xml:space="preserve">Cuantitativo / Microseguro</t>
  </si>
  <si>
    <t xml:space="preserve">Oferta (Ganaderos de Misiones), Reguladores, Demanda (PNUD, Río Uruguay Seguros)</t>
  </si>
  <si>
    <t xml:space="preserve">Argentina (Provincia de Misiones)</t>
  </si>
  <si>
    <t xml:space="preserve">Selva paranaense y hábitat del jaguar</t>
  </si>
  <si>
    <t xml:space="preserve">Microseguro para ganaderos que cubre pérdidas de ganado por depredación de jaguar a cambio de evitar la cazar el felino.</t>
  </si>
  <si>
    <t xml:space="preserve">Howden</t>
  </si>
  <si>
    <t xml:space="preserve">Carbon Credit Warranty &amp; Indemnity (W&amp;I) Insurance Policy</t>
  </si>
  <si>
    <t xml:space="preserve">Cuantitativo / Seguro de Carbono</t>
  </si>
  <si>
    <t xml:space="preserve">Demanda (Inversores de carbono, Mere Plantations), Reguladores</t>
  </si>
  <si>
    <t xml:space="preserve">Reforestación de bosques degradados</t>
  </si>
  <si>
    <t xml:space="preserve">Primer seguro de garantía e indemnización para reforestación que protege ante fallos de entrega de créditos de carbono.</t>
  </si>
  <si>
    <t xml:space="preserve">Microinsurance Catastrophe Risk Organisation (MiCRO)</t>
  </si>
  <si>
    <t xml:space="preserve">Parametric Loss-of-Income Insurance for Smallholders</t>
  </si>
  <si>
    <t xml:space="preserve">Cuantitativo / Microseguro Paramétrico</t>
  </si>
  <si>
    <t xml:space="preserve">Oferta (Hogares rurales vulnerables y pequeños agricultores), Reguladores</t>
  </si>
  <si>
    <t xml:space="preserve">América Central (Guatemala, El Salvador, Colombia)</t>
  </si>
  <si>
    <t xml:space="preserve">Cultivos de subsistencia y cuencas secas</t>
  </si>
  <si>
    <t xml:space="preserve">Microseguro paramétrico que otorga cobertura de pérdida de ingresos a agricultores vulnerables ante sequías.</t>
  </si>
  <si>
    <t xml:space="preserve">Lawsuit Against Shell Board of Directors for Climate Risk Management</t>
  </si>
  <si>
    <t xml:space="preserve">Cualitativo / Litigio</t>
  </si>
  <si>
    <t xml:space="preserve">Demanda (Inversores activistas, ClientEarth), Reguladores, Directivos de Shell</t>
  </si>
  <si>
    <t xml:space="preserve">Reino Unido / Países Bajos</t>
  </si>
  <si>
    <t xml:space="preserve">Efecto invernadero y gobernanza corporativa</t>
  </si>
  <si>
    <t xml:space="preserve">Demanda contra la junta directiva de Shell por responsabilidad personal en la mala gestión de riesgos climáticos.</t>
  </si>
  <si>
    <t xml:space="preserve">The Nature Conservancy (TNC) &amp; DFC</t>
  </si>
  <si>
    <t xml:space="preserve">Belize Debt-for-Nature Swap &amp; Blue Bond</t>
  </si>
  <si>
    <t xml:space="preserve">Reguladores/legisladores (Gobierno de Belice), Demanda (Inversores de Bonos Azules), TNC</t>
  </si>
  <si>
    <t xml:space="preserve">Belice (Arrecife de Belice / Mar Caribe)</t>
  </si>
  <si>
    <t xml:space="preserve">Arrecifes de coral y áreas marinas protegidas ($553M reestructurados)</t>
  </si>
  <si>
    <t xml:space="preserve">Canje de deuda por naturaleza de $553M que generó $180M para conservación marina a 20 años respaldado por seguro DFC.</t>
  </si>
  <si>
    <t xml:space="preserve">LEAF Coalition (Emergent)</t>
  </si>
  <si>
    <t xml:space="preserve">Lowering Emissions by Accelerating Forest Finance (ERPAs)</t>
  </si>
  <si>
    <t xml:space="preserve">Demanda (30 corporaciones globales + donantes), Oferta (Naciones forestales), Reguladores</t>
  </si>
  <si>
    <t xml:space="preserve">Países tropicales (Global / Costa Rica, Ghana, Nepal, etc.)</t>
  </si>
  <si>
    <t xml:space="preserve">Bosques tropicales (2.5M ha)</t>
  </si>
  <si>
    <t xml:space="preserve">Coalición de $1.000M de dólares que pre-compra créditos de carbono jurisdiccionales REDD+ a países tropicales.</t>
  </si>
  <si>
    <t xml:space="preserve">Governo do Brasil (Ministério da Fazenda)</t>
  </si>
  <si>
    <t xml:space="preserve">Tropical Forest Forever Facility (TFFF) Concept Note 3.0</t>
  </si>
  <si>
    <t xml:space="preserve">Cuantitativo / Estructuración Financiera</t>
  </si>
  <si>
    <t xml:space="preserve">Reguladores (Brasil, G20, Países tropicales), Demanda (Inversores, MDBs), Oferta (IPLC)</t>
  </si>
  <si>
    <t xml:space="preserve">Países con bosques tropicales (Global / Brasil, DRC, Indonesia)</t>
  </si>
  <si>
    <t xml:space="preserve">Selvas y bosques tropicales (Meta $125.000M)</t>
  </si>
  <si>
    <t xml:space="preserve">Fondo de $125.000M promovido por Brasil para pagar estipendios anuales (~$4.000M) a países que conserven bosques.</t>
  </si>
  <si>
    <t xml:space="preserve">Public-Private Partnerships Reference Guide</t>
  </si>
  <si>
    <t xml:space="preserve">Reguladores/legisladores, Demanda (Inversores privados), MDBs</t>
  </si>
  <si>
    <t xml:space="preserve">Infraestructura pública</t>
  </si>
  <si>
    <t xml:space="preserve">Marco de referencia del Banco Mundial para el diseño, licitación y gestión de contratos de APP e infraestructura.</t>
  </si>
  <si>
    <t xml:space="preserve">Guangzhou Municipal Government &amp; Vanke</t>
  </si>
  <si>
    <t xml:space="preserve">Yongqing Fang Heritage Regeneration &amp; Knowledge City Cooling PPP</t>
  </si>
  <si>
    <t xml:space="preserve">Reguladores (Municipio de Guangzhou), Demanda (Vanke BOT lease), Público general</t>
  </si>
  <si>
    <t xml:space="preserve">China (Guangzhou, Guangdong)</t>
  </si>
  <si>
    <t xml:space="preserve">Infraestructura verde urbana y enfriamiento natural (178 km2)</t>
  </si>
  <si>
    <t xml:space="preserve">Proyecto urbano que integró Soluciones Basadas en la Naturaleza (SBN) mediante contratos BOT y bonos verdes.</t>
  </si>
  <si>
    <t xml:space="preserve">Making Nature Markets Work for People and Planet</t>
  </si>
  <si>
    <t xml:space="preserve">Cualitativo / Marco de Gobernanza</t>
  </si>
  <si>
    <t xml:space="preserve">Demanda, Oferta (IPLC), Reguladores/legisladores, Comunidad científica</t>
  </si>
  <si>
    <t xml:space="preserve">Mercados de commodities, carbono y biodiversidad</t>
  </si>
  <si>
    <t xml:space="preserve">Marco de gobernanza para garantizar que los mercados de naturaleza eviten lógicas extractivas y protejan derechos indígenas.</t>
  </si>
  <si>
    <t xml:space="preserve">Manuell, Roy (Carbon Pulse)</t>
  </si>
  <si>
    <t xml:space="preserve">Developed biodiversity market schemes have seen $8 mln pledged for credits – report</t>
  </si>
  <si>
    <t xml:space="preserve">Cuantitativo / Periodístico</t>
  </si>
  <si>
    <t xml:space="preserve">Demanda (Empresas), Oferta (Desarrolladores de proyectos)</t>
  </si>
  <si>
    <t xml:space="preserve">Mercado incipiente de créditos de biodiversidad</t>
  </si>
  <si>
    <t xml:space="preserve">Cifra en $8 millones el volumen inicial comprometido en esquemas piloto de biocréditos a nivel mundial.</t>
  </si>
  <si>
    <t xml:space="preserve">Natural Climate Solutions Alliance &amp; Capitals Coalition</t>
  </si>
  <si>
    <t xml:space="preserve">A Buyer’s Guide to Natural Climate Solutions Carbon Credits &amp; Natural Capital Protocol</t>
  </si>
  <si>
    <t xml:space="preserve">Demanda (Empresas), Sector financiero, Comunidad científica</t>
  </si>
  <si>
    <t xml:space="preserve">Soluciones Basadas en la Naturaleza (NbS) y capital natural</t>
  </si>
  <si>
    <t xml:space="preserve">Define el protocolo de capital natural y guías para compradores de créditos de soluciones climáticas naturales.</t>
  </si>
  <si>
    <t xml:space="preserve">State of Finance for Nature 2022</t>
  </si>
  <si>
    <t xml:space="preserve">Reguladores/legisladores, Demanda (Sector financiero, Inversores)</t>
  </si>
  <si>
    <t xml:space="preserve">Financiamiento de Soluciones Basadas en la Naturaleza</t>
  </si>
  <si>
    <t xml:space="preserve">Cuantifica en $330.000 millones la brecha anual de financiamiento en NbS requerida para limitar el cambio climático a 1,5 °C.</t>
  </si>
  <si>
    <t xml:space="preserve">Definition of a Biodiversity Credit and Core Principles (SIDA, UNEP, UNDP)</t>
  </si>
  <si>
    <t xml:space="preserve">Ecosistemas protegidos y restaurados a nivel mundial</t>
  </si>
  <si>
    <t xml:space="preserve">Establece la definición estándar internacional del crédito de biodiversidad como unidad evidencia de ganancia neta.</t>
  </si>
  <si>
    <t xml:space="preserve">VCMI (Voluntary Carbon Markets Integrity Initiative)</t>
  </si>
  <si>
    <t xml:space="preserve">Claims Code of Practice: Building integrity in voluntary carbon markets</t>
  </si>
  <si>
    <t xml:space="preserve">Cualitativo / Código de conducta</t>
  </si>
  <si>
    <t xml:space="preserve">Demanda (Empresas compradoras), Reguladores/legisladores, Certificadores</t>
  </si>
  <si>
    <t xml:space="preserve">Proyectos de mitigación climática y sumideros de carbono</t>
  </si>
  <si>
    <t xml:space="preserve">Código de buenas prácticas que regula la validez de las alegaciones corporativas basadas en compra de créditos de carbono.</t>
  </si>
  <si>
    <t xml:space="preserve">Finance for Biodiversity Pledge</t>
  </si>
  <si>
    <t xml:space="preserve">Cualitativo / Compromiso corporativo</t>
  </si>
  <si>
    <t xml:space="preserve">Demanda (140 instituciones financieras e inversores)</t>
  </si>
  <si>
    <t xml:space="preserve">Carteras de inversión y gestión de activos globales</t>
  </si>
  <si>
    <t xml:space="preserve">Compromiso de 140 instituciones financieras para evaluar impactos, fijar metas y reportar sobre biodiversidad antes de 2025.</t>
  </si>
  <si>
    <t xml:space="preserve">Business for Nature, Capitals Coalition, CDP</t>
  </si>
  <si>
    <t xml:space="preserve">Make It Mandatory: the case for mandatory corporate assessment and disclosure on nature</t>
  </si>
  <si>
    <t xml:space="preserve">Cualitativo / Propuesta de política</t>
  </si>
  <si>
    <t xml:space="preserve">Demanda (330+ grandes empresas), Reguladores/legisladores</t>
  </si>
  <si>
    <t xml:space="preserve">Cadenas de suministro globales e impacto corporativo</t>
  </si>
  <si>
    <t xml:space="preserve">Campaña que logró incluir la divulgación corporativa obligatoria sobre naturaleza en la Meta 15 del GBF.</t>
  </si>
  <si>
    <t xml:space="preserve">Where the world’s largest companies stand on nature</t>
  </si>
  <si>
    <t xml:space="preserve">Demanda (Top 500 empresas mundiales), Sector financiero</t>
  </si>
  <si>
    <t xml:space="preserve">Muestra que el 51% de las Top 500 empresas reconoce la pérdida de biodiversidad, pero solo el 5% ha fijado metas concretas.</t>
  </si>
  <si>
    <t xml:space="preserve">Murray, J. &amp; Jones, J. (CIFOR)</t>
  </si>
  <si>
    <t xml:space="preserve">Safeguarding Biodiversity in REDD+: Necessary but not sufficient</t>
  </si>
  <si>
    <t xml:space="preserve">Comunidad científica, Reguladores/legisladores, Oferta (Comunidades forestales)</t>
  </si>
  <si>
    <t xml:space="preserve">Demuestra que las salvaguardas ambientales en REDD+ son insuficientes por sí solas para prevenir pérdidas de biodiversidad.</t>
  </si>
  <si>
    <t xml:space="preserve">Jover, N., Todd, K. &amp; Maniatis, D. (UN-REDD)</t>
  </si>
  <si>
    <t xml:space="preserve">Recognizing the role of high forest cover &amp; low deforestation (HFLD) in developing countries</t>
  </si>
  <si>
    <t xml:space="preserve">Reguladores/legisladores, Oferta (Países HFLD), Demanda</t>
  </si>
  <si>
    <t xml:space="preserve">Países en desarrollo (Biomas HFLD: Cuenca del Congo, Guayanas)</t>
  </si>
  <si>
    <t xml:space="preserve">Bosques tropicales primarios intactos de alta cobertura</t>
  </si>
  <si>
    <t xml:space="preserve">Subraya la falta de mecanismos financieros tradicionales para retribuir la conservación en países HFLD sin deforestación histórica alta.</t>
  </si>
  <si>
    <t xml:space="preserve">Dawes, A., McGeady, C. &amp; Majkut, J. (CSIS)</t>
  </si>
  <si>
    <t xml:space="preserve">Voluntary Carbon Markets: A Review of Global Initiatives and Evolving Models</t>
  </si>
  <si>
    <t xml:space="preserve">Demanda (Empresas), Reguladores/legisladores, Certificadores</t>
  </si>
  <si>
    <t xml:space="preserve">Mercado voluntario de carbono y gobernanza multilateral</t>
  </si>
  <si>
    <t xml:space="preserve">Analiza la evolución del mercado voluntario de carbono tras el Artículo 6 del Acuerdo de París e iniciativas de integridad.</t>
  </si>
  <si>
    <t xml:space="preserve">Greenfield, Patrick (The Guardian)</t>
  </si>
  <si>
    <t xml:space="preserve">Revealed: more than 90% of rainforest carbon offsets by biggest certifier are worthless</t>
  </si>
  <si>
    <t xml:space="preserve">Cuantitativo / Periodismo de investigación</t>
  </si>
  <si>
    <t xml:space="preserve">Público general, Demanda (Empresas), Certificadores (Verra), Científicos</t>
  </si>
  <si>
    <t xml:space="preserve">Global / Bosques tropicales</t>
  </si>
  <si>
    <t xml:space="preserve">Selvas tropicales en proyectos REDD+ de Verra</t>
  </si>
  <si>
    <t xml:space="preserve">Investigación periodística que expuso fallas metodológicas graves en el 90% de los créditos de carbono forestales de Verra.</t>
  </si>
  <si>
    <t xml:space="preserve">Dakos, V. et al.</t>
  </si>
  <si>
    <t xml:space="preserve">Ecosystem tipping points in an evolving world</t>
  </si>
  <si>
    <t xml:space="preserve">Arrecifes, selvas amazónicas, bosques boreales y sistemas hídricos</t>
  </si>
  <si>
    <t xml:space="preserve">Análisis en Nature Ecology &amp; Evolution sobre los puntos de inflexión ecológica y la irreversibilidad del colapso ecosistémico.</t>
  </si>
  <si>
    <t xml:space="preserve">The Global Risks Report 2023 (18th Edition)</t>
  </si>
  <si>
    <t xml:space="preserve">Cuantitativo / Evaluación de riesgos</t>
  </si>
  <si>
    <t xml:space="preserve">Reguladores/legisladores, Demanda (Líderes globales), Público general</t>
  </si>
  <si>
    <t xml:space="preserve">Biosfera y estabilidad socioeconómica planetaria</t>
  </si>
  <si>
    <t xml:space="preserve">Clasifica la pérdida de biodiversidad y el colapso ecosistémico como una de las 5 mayores amenazas globales a 10 años.</t>
  </si>
  <si>
    <t xml:space="preserve">McKinsey &amp; Company &amp; NielsenIQ</t>
  </si>
  <si>
    <t xml:space="preserve">Consumers care about sustainability—and back it up with their wallets</t>
  </si>
  <si>
    <t xml:space="preserve">Cuantitativo / Estudio de mercado</t>
  </si>
  <si>
    <t xml:space="preserve">Público general (Consumidores), Demanda (Empresas de bienes de consumo)</t>
  </si>
  <si>
    <t xml:space="preserve">Productos sostenibles y consumo verde</t>
  </si>
  <si>
    <t xml:space="preserve">Demuestra con datos de ventas reales el sobreprecio verde (green premium) que los consumidores pagan por marcas sostenibles.</t>
  </si>
  <si>
    <t xml:space="preserve">Leape, Sebastian et al. (McKinsey Quarterly)</t>
  </si>
  <si>
    <t xml:space="preserve">More than a mission statement: How the 5Ps embed purpose to deliver value</t>
  </si>
  <si>
    <t xml:space="preserve">Demanda (Ejecutivos, Empleados corporativos)</t>
  </si>
  <si>
    <t xml:space="preserve">Cultura y propósito corporativo</t>
  </si>
  <si>
    <t xml:space="preserve">Examina cómo conectar el propósito ambiental corporativo con la atracción y retención del talento humano.</t>
  </si>
  <si>
    <t xml:space="preserve">McGowan, J. et al.</t>
  </si>
  <si>
    <t xml:space="preserve">Conservation prioritization can resolve the flagship species conundrum</t>
  </si>
  <si>
    <t xml:space="preserve">Cuantitativo / Priorización espacial</t>
  </si>
  <si>
    <t xml:space="preserve">Comunidad científica, Donantes, Reguladores/legisladores</t>
  </si>
  <si>
    <t xml:space="preserve">Hábitats de especies insignia amenazadas</t>
  </si>
  <si>
    <t xml:space="preserve">Demuestra en Nature Communications cómo optimizar las donaciones para especies bandera para maximizar cobeneficios de biodiversidad.</t>
  </si>
  <si>
    <t xml:space="preserve">Regulation (EU) 2023/1115 on deforestation-free products (EUDR)</t>
  </si>
  <si>
    <t xml:space="preserve">Cualitativo / Normativo vinculante</t>
  </si>
  <si>
    <t xml:space="preserve">Reguladores/legisladores (UE), Demanda (Importadores), Oferta (Exportadores agrícolas/forestales)</t>
  </si>
  <si>
    <t xml:space="preserve">Unión Europea / Países exportadores (Brasil, Indonesia, etc.)</t>
  </si>
  <si>
    <t xml:space="preserve">Bosques tropicales y primarios (soja, carne, madera, cacao, café, palma, caucho)</t>
  </si>
  <si>
    <t xml:space="preserve">Reglamento comunitario vinculante que prohíbe la comercialización en la UE de materias primas vinculadas a deforestación.</t>
  </si>
  <si>
    <t xml:space="preserve">Comisión Europea</t>
  </si>
  <si>
    <t xml:space="preserve">Corporate Sustainability Reporting Directive (CSRD) &amp; SFDR</t>
  </si>
  <si>
    <t xml:space="preserve">Cualitativo / Directiva legal</t>
  </si>
  <si>
    <t xml:space="preserve">Reguladores/legisladores (UE), Demanda (Empresas, Inversores financieros)</t>
  </si>
  <si>
    <t xml:space="preserve">Reportes corporativos ESG y taxonomía verde</t>
  </si>
  <si>
    <t xml:space="preserve">Directiva europea que exige a grandes empresas divulgar obligatoriamente sus impactos y dependencias sobre biodiversidad.</t>
  </si>
  <si>
    <t xml:space="preserve">República Francesa</t>
  </si>
  <si>
    <t xml:space="preserve">Loi no 2019-1147 relative à l'énergie et au climat (Article 29)</t>
  </si>
  <si>
    <t xml:space="preserve">Cualitativo / Ley nacional</t>
  </si>
  <si>
    <t xml:space="preserve">Reguladores/legisladores (Francia), Demanda (Gestores de activos, Aseguradoras)</t>
  </si>
  <si>
    <t xml:space="preserve">Carteras de inversión de actores financieros</t>
  </si>
  <si>
    <t xml:space="preserve">Norma francesa pionera que obliga a las entidades financieras a reportar sus riesgos climáticos y de biodiversidad.</t>
  </si>
  <si>
    <t xml:space="preserve">WindEurope</t>
  </si>
  <si>
    <t xml:space="preserve">The Netherlands run another successful auction based on non-price criteria</t>
  </si>
  <si>
    <t xml:space="preserve">Cualitativo / Licitación pública</t>
  </si>
  <si>
    <t xml:space="preserve">Reguladores/legisladores (Países Bajos), Demanda (Desarrolladores eólicos)</t>
  </si>
  <si>
    <t xml:space="preserve">Países Bajos / Mar del Norte</t>
  </si>
  <si>
    <t xml:space="preserve">Ecosistemas marinos de eólica marina (offshore wind)</t>
  </si>
  <si>
    <t xml:space="preserve">Muestra el uso de criterios no monetarios (restauración ecológica marina) en subastas públicas eólicas en Holanda.</t>
  </si>
  <si>
    <t xml:space="preserve">Ioannou, I., Kassinis, G. &amp; Papagiannakis, G.</t>
  </si>
  <si>
    <t xml:space="preserve">The Impact of Perceived Greenwashing on Customer Satisfaction</t>
  </si>
  <si>
    <t xml:space="preserve">Público general (Consumidores), Demanda (Empresas)</t>
  </si>
  <si>
    <t xml:space="preserve">Reputación de marca e integridad ambiental</t>
  </si>
  <si>
    <t xml:space="preserve">Demuestra en Journal of Business Ethics la penalización económica y pérdida de confianza por alegaciones de greenwashing.</t>
  </si>
  <si>
    <t xml:space="preserve">Proposal for a Directive on Green Claims (Directive on explicit environmental claims)</t>
  </si>
  <si>
    <t xml:space="preserve">Reguladores/legisladores (UE), Demanda (Empresas), Público general</t>
  </si>
  <si>
    <t xml:space="preserve">Comercio de bienes y servicios sostenibles</t>
  </si>
  <si>
    <t xml:space="preserve">Propuesta de directiva europea que exige verificación científica independiente previa para cualquier afirmación de neutralidad.</t>
  </si>
  <si>
    <t xml:space="preserve">Kraft, T., Valdes, L. &amp; Zheng, Y.</t>
  </si>
  <si>
    <t xml:space="preserve">Supply Chain Visibility and Social Responsibility: Investigating Consumers’ Behaviors</t>
  </si>
  <si>
    <t xml:space="preserve">Cuantitativo / M&amp;SOM</t>
  </si>
  <si>
    <t xml:space="preserve">Público general (Consumidores), Demanda (Cadenas de suministro)</t>
  </si>
  <si>
    <t xml:space="preserve">Cadenas de suministro transparentes</t>
  </si>
  <si>
    <t xml:space="preserve">Demuestra empíricamente la disposición de pago adicional de los consumidores ante cadenas de suministro transparentes.</t>
  </si>
  <si>
    <t xml:space="preserve">Bukoski, J. J. et al.</t>
  </si>
  <si>
    <t xml:space="preserve">Rates and drivers of aboveground carbon accumulation in global monoculture plantation forests</t>
  </si>
  <si>
    <t xml:space="preserve">Comunidad científica, Demanda (Compradores de créditos), Oferta (Silvicultores)</t>
  </si>
  <si>
    <t xml:space="preserve">Plantaciones forestales monocultivo vs. bosques nativos</t>
  </si>
  <si>
    <t xml:space="preserve">Muestra en Nature Communications los riesgos ecológicos y reputacionales de comprar créditos basados en monocultivos.</t>
  </si>
  <si>
    <t xml:space="preserve">A Global Goal for Nature: Nature Positive by 2030</t>
  </si>
  <si>
    <t xml:space="preserve">Cualitativo / Coalición de ONG</t>
  </si>
  <si>
    <t xml:space="preserve">Demanda (Empresas), Reguladores/legisladores, ONG, Científicos</t>
  </si>
  <si>
    <t xml:space="preserve">Ecosistemas globales bajo restauración y conservación</t>
  </si>
  <si>
    <t xml:space="preserve">Coalición global que define las métricas científicas para medir la contribución corporativa al objetivo 'Nature Positive'.</t>
  </si>
  <si>
    <t xml:space="preserve">Sinclair, S. et al. / CDB</t>
  </si>
  <si>
    <t xml:space="preserve">The Conservation Hierarchy Underpinning the Post-2020 Biodiversity Framework</t>
  </si>
  <si>
    <t xml:space="preserve">Cualitativo / Marco de mitigación</t>
  </si>
  <si>
    <t xml:space="preserve">Jerarquía de conservación (Evitar, Reducir, Restaurar, Compensar)</t>
  </si>
  <si>
    <t xml:space="preserve">Formaliza la aplicación de la Jerarquía de Conservación para estructurar las decisiones de mitigación ambiental.</t>
  </si>
  <si>
    <t xml:space="preserve">IEMA</t>
  </si>
  <si>
    <t xml:space="preserve">Nature Positive Business Pledge Officially Launched</t>
  </si>
  <si>
    <t xml:space="preserve">Demanda (Empresas, Profesionales de sostenibilidad)</t>
  </si>
  <si>
    <t xml:space="preserve">Estrategias de sostenibilidad empresarial</t>
  </si>
  <si>
    <t xml:space="preserve">Lanzamiento oficial del compromiso de negocios positivos para la naturaleza bajo el marco AR3T de SBTN.</t>
  </si>
  <si>
    <t xml:space="preserve">Litovsky, A. et al. (Earth Security &amp; HSBC)</t>
  </si>
  <si>
    <t xml:space="preserve">Cloud Forest Assets: Financing a Valuable Nature-Based Solution</t>
  </si>
  <si>
    <t xml:space="preserve">Demanda (Bancos, HSBC, Utilities hídricas), Oferta, Reguladores</t>
  </si>
  <si>
    <t xml:space="preserve">Global (25 países con bosques nublados: Colombia, Costa Rica, Indonesia, etc.)</t>
  </si>
  <si>
    <t xml:space="preserve">Bosques nublados tropicales y cuencas hidrográficas de represas hidroeléctricas</t>
  </si>
  <si>
    <t xml:space="preserve">Modela la estructuración financiera de bonos de resiliencia para proteger bosques nublados que alimentan represas.</t>
  </si>
  <si>
    <t xml:space="preserve">Global Corporate Sustainability Assessment 2022</t>
  </si>
  <si>
    <t xml:space="preserve">Cuantitativo / ESG Rating</t>
  </si>
  <si>
    <t xml:space="preserve">Demanda (Corporaciones globales, Inversores financieros)</t>
  </si>
  <si>
    <t xml:space="preserve">Evaluación corporativa de sostenibilidad global</t>
  </si>
  <si>
    <t xml:space="preserve">Evaluación ESG que reveló que el 86% de las empresas tiene metas climáticas pero solo el 5% evalúa biodiversidad.</t>
  </si>
  <si>
    <t xml:space="preserve">Recommendations of the Taskforce on Nature-related Financial Disclosures (v1.0)</t>
  </si>
  <si>
    <t xml:space="preserve">Cualitativo / Marco de divulgación</t>
  </si>
  <si>
    <t xml:space="preserve">Marco LEAP (Localizar, Evaluar, Evaluar, Preparar) para biomas globales</t>
  </si>
  <si>
    <t xml:space="preserve">Marco estándar definitivo para que empresas e instituciones financieras evalúen y divulguen riesgos y dependencias de la naturaleza.</t>
  </si>
  <si>
    <t xml:space="preserve">Reklev, Stian (Carbon Pulse)</t>
  </si>
  <si>
    <t xml:space="preserve">Swedish bank buys first European biodiversity credits (Swedbank &amp; Orsa Besparingsskog)</t>
  </si>
  <si>
    <t xml:space="preserve">Cualitativo / Periodístico</t>
  </si>
  <si>
    <t xml:space="preserve">Demanda (Swedbank), Oferta (Cooperativa forestal Orsa Besparingsskog)</t>
  </si>
  <si>
    <t xml:space="preserve">Bosques boreales suecos</t>
  </si>
  <si>
    <t xml:space="preserve">Reporta la primera transacción bancaria de biocréditos en Europa (91 créditos comprados por Swedbank).</t>
  </si>
  <si>
    <t xml:space="preserve">The British Academy</t>
  </si>
  <si>
    <t xml:space="preserve">Principles for Purposeful Business: How to deliver the framework for the Future of the Corporation</t>
  </si>
  <si>
    <t xml:space="preserve">Demanda (Empresas, Ejecutivos), Reguladores/legisladores</t>
  </si>
  <si>
    <t xml:space="preserve">Gobernanza corporativa e impacto social</t>
  </si>
  <si>
    <t xml:space="preserve">Establece los principios para redefinir el propósito corporativo alineando el beneficio económico con la sostenibilidad.</t>
  </si>
  <si>
    <t xml:space="preserve">Bauluz, L., Govind, Y. &amp; Novokmet, F. (World Inequality Lab)</t>
  </si>
  <si>
    <t xml:space="preserve">Global Land Inequality (WID.world Working Paper No. 2020/10)</t>
  </si>
  <si>
    <t xml:space="preserve">Oferta (Agricultores, IPLC), Reguladores/legisladores</t>
  </si>
  <si>
    <t xml:space="preserve">Global / América Latina / Asia del Sur</t>
  </si>
  <si>
    <t xml:space="preserve">Tierras agrícolas y distribución de la propiedad</t>
  </si>
  <si>
    <t xml:space="preserve">Muestra que en América Latina y Asia del Sur el 10% más rico posee hasta el 75% de las tierras agrícolas.</t>
  </si>
  <si>
    <t xml:space="preserve">Davis, Josh (Natural History Museum)</t>
  </si>
  <si>
    <t xml:space="preserve">Environmental DNA: What is it and how can it help us protect wildlife?</t>
  </si>
  <si>
    <t xml:space="preserve">Cualitativo / Divulgación tecnológica</t>
  </si>
  <si>
    <t xml:space="preserve">Comunidad científica, Oferta (Desarrolladores MRV), Demanda</t>
  </si>
  <si>
    <t xml:space="preserve">Muestreo genético de eDNA en agua, suelo y aire</t>
  </si>
  <si>
    <t xml:space="preserve">Explica la aplicación de la tecnología eDNA para abaratar y acelerar el monitoreo holístico de biodiversidad.</t>
  </si>
  <si>
    <t xml:space="preserve">Monahan, Katherine (Carbon Pulse)</t>
  </si>
  <si>
    <t xml:space="preserve">eDNA growing as key tool to support biodiversity credit market</t>
  </si>
  <si>
    <t xml:space="preserve">Comunidad científica, Oferta, Demanda, Certificadores</t>
  </si>
  <si>
    <t xml:space="preserve">Monitoreo eDNA en proyectos de biocréditos</t>
  </si>
  <si>
    <t xml:space="preserve">Analiza la adopción acelerada del eDNA como estándar MRV clave para validar aumentos de biodiversidad.</t>
  </si>
  <si>
    <t xml:space="preserve">Global Reporting Initiative (GRI)</t>
  </si>
  <si>
    <t xml:space="preserve">GRI Topic Standard: Biodiversity (Revision 2023)</t>
  </si>
  <si>
    <t xml:space="preserve">Cualitativo / Estándar de reporte</t>
  </si>
  <si>
    <t xml:space="preserve">Demanda (Empresas multinacionales), Reguladores, Público</t>
  </si>
  <si>
    <t xml:space="preserve">Divulgación de impactos en la cadena de valor</t>
  </si>
  <si>
    <t xml:space="preserve">Estándar global revisado para reportar impactos directos e indirectos de empresas sobre hábitats y especies.</t>
  </si>
  <si>
    <t xml:space="preserve">CDP (Carbon Disclosure Project)</t>
  </si>
  <si>
    <t xml:space="preserve">CDP Disclosure Platform: Forests, Water Security and Climate Questionnaires</t>
  </si>
  <si>
    <t xml:space="preserve">Cuantitativo / Divulgación</t>
  </si>
  <si>
    <t xml:space="preserve">Demanda (18.000+ empresas e inversores), Reguladores</t>
  </si>
  <si>
    <t xml:space="preserve">Bosques, cuencas hídricas y clima</t>
  </si>
  <si>
    <t xml:space="preserve">Plataforma de reporte ambiental que recopila datos estandarizados sobre riesgos hídricos y deforestación.</t>
  </si>
  <si>
    <t xml:space="preserve">Capitals Coalition</t>
  </si>
  <si>
    <t xml:space="preserve">Natural Capital Protocol: Natural Capital Approach for Business</t>
  </si>
  <si>
    <t xml:space="preserve">Cualitativo / Marco de gestión</t>
  </si>
  <si>
    <t xml:space="preserve">Valoración de capital natural y servicios ecosistémicos</t>
  </si>
  <si>
    <t xml:space="preserve">Marco operativo estandarizado para identificar, medir y valorar impactos y dependencias sobre el capital natural.</t>
  </si>
  <si>
    <t xml:space="preserve">Science Based Targets for Nature: Initial Guidance for Business (Land and Freshwater)</t>
  </si>
  <si>
    <t xml:space="preserve">Cualitativo / Metodología de metas</t>
  </si>
  <si>
    <t xml:space="preserve">Demanda (Empresas), Comunidad científica, Reguladores</t>
  </si>
  <si>
    <t xml:space="preserve">Uso de suelo, agua dulce, biodiversidad y océanos</t>
  </si>
  <si>
    <t xml:space="preserve">Guía metodológica para que las empresas fijen metas basadas en la ciencia alineadas con los límites planetarios.</t>
  </si>
  <si>
    <t xml:space="preserve">UN PRI &amp; Inevitable Policy Response (IPR)</t>
  </si>
  <si>
    <t xml:space="preserve">Forecast Policy Scenario: Preparing financial markets for climate- and nature-related risks</t>
  </si>
  <si>
    <t xml:space="preserve">Cuantitativo / Escenarios geopolíticos</t>
  </si>
  <si>
    <t xml:space="preserve">Demanda (Inversores institucionales, Bancos), Reguladores</t>
  </si>
  <si>
    <t xml:space="preserve">Mercados financieros y políticas de regulación de uso de suelo</t>
  </si>
  <si>
    <t xml:space="preserve">Modela el impacto de políticas de naturaleza en mercados financieros calculando que el 30% de proyectos de carbono apilarán biocréditos.</t>
  </si>
  <si>
    <t xml:space="preserve">Corporate Sustainability Due Diligence Directive (CSDDD / CS3D)</t>
  </si>
  <si>
    <t xml:space="preserve">Cualitativo / Directiva vinculante</t>
  </si>
  <si>
    <t xml:space="preserve">Reguladores/legisladores (UE), Demanda (Multinacionales &gt;500 emp), Oferta</t>
  </si>
  <si>
    <t xml:space="preserve">Unión Europea / Cadenas de suministro globales</t>
  </si>
  <si>
    <t xml:space="preserve">Cadenas de valor globales y derechos humanos/ambientales</t>
  </si>
  <si>
    <t xml:space="preserve">Directiva europea vinculante que impone responsabilidad legal a las multinacionales por violaciones ambientales en sus cadenas de suministro.</t>
  </si>
  <si>
    <t xml:space="preserve">Climate, Community &amp; Biodiversity Alliance (CCBA)</t>
  </si>
  <si>
    <t xml:space="preserve">Climate, Community &amp; Biodiversity (CCB) Standards</t>
  </si>
  <si>
    <t xml:space="preserve">Cualitativo / Estándar de cobeneficios</t>
  </si>
  <si>
    <t xml:space="preserve">Oferta (Comunidades locales, IPLC), Demanda, Certificadores (Verra)</t>
  </si>
  <si>
    <t xml:space="preserve">Bosques tropicales y proyectos NbS con cobeneficios comunitarios</t>
  </si>
  <si>
    <t xml:space="preserve">Estándar de certificación que valida que el 30% de los proyectos de carbono de Verra entregan cobeneficios reales de biodiversidad.</t>
  </si>
  <si>
    <t xml:space="preserve">Droste, N., Olsson, J., Hanson, H. et al.</t>
  </si>
  <si>
    <t xml:space="preserve">A global review of biodiversity offsetting governance</t>
  </si>
  <si>
    <t xml:space="preserve">Cuantitativo / Revisión sistemática</t>
  </si>
  <si>
    <t xml:space="preserve">Reguladores/legisladores, Comunidad científica, Demanda (Minería e infraestructura)</t>
  </si>
  <si>
    <t xml:space="preserve">Global (Sistemas de compensación regulados)</t>
  </si>
  <si>
    <t xml:space="preserve">Mercados de compensación obligatorios ($6 billones/año)</t>
  </si>
  <si>
    <t xml:space="preserve">Revisión global en Journal of Environmental Management que cifra en $6.000M/año el mercado regulado de compensaciones de biodiversidad.</t>
  </si>
  <si>
    <t xml:space="preserve">Recio, E. &amp; Hestad, D. (IISD)</t>
  </si>
  <si>
    <t xml:space="preserve">Indigenous Peoples: Defending an Environment for All (Still One Earth Report)</t>
  </si>
  <si>
    <t xml:space="preserve">Cualitativo / Reporte de políticas</t>
  </si>
  <si>
    <t xml:space="preserve">Oferta (Pueblos Indígenas / IPLC), Reguladores/legisladores, Público</t>
  </si>
  <si>
    <t xml:space="preserve">Territorios indígenas que albergaban el 80% de la biodiversidad remanente</t>
  </si>
  <si>
    <t xml:space="preserve">Documenta que los territorios indígenas custodian el 80% de la biodiversidad planetaria remanente exigiendo sus derechos de propiedad.</t>
  </si>
  <si>
    <t xml:space="preserve">Le Bihan, Jeanne (Le Monde / Land Matrix)</t>
  </si>
  <si>
    <t xml:space="preserve">In Africa, large land acquisitions still lack transparency</t>
  </si>
  <si>
    <t xml:space="preserve">Cualitativo / Reportaje</t>
  </si>
  <si>
    <t xml:space="preserve">Oferta (Comunidades locales en África), Demanda (Inversores extranjeros)</t>
  </si>
  <si>
    <t xml:space="preserve">África subsahariana</t>
  </si>
  <si>
    <t xml:space="preserve">Tierras agrícolas y forestales acaparadas</t>
  </si>
  <si>
    <t xml:space="preserve">Advierte sobre los riesgos de acaparamiento de tierras (land grabbing) en África por inversores remotos bajo la promesa de créditos.</t>
  </si>
  <si>
    <t xml:space="preserve">Adrees et al.</t>
  </si>
  <si>
    <t xml:space="preserve">The effect of excess copper on growth and physiology of important food crops: a review</t>
  </si>
  <si>
    <t xml:space="preserve">Suelos agrícolas y cultivos alimentarios</t>
  </si>
  <si>
    <t xml:space="preserve">Revisión sobre la toxicidad por exceso de cobre en el crecimiento y fisiología de cultivos agrícolas.</t>
  </si>
  <si>
    <t xml:space="preserve">Alloway, B.J.</t>
  </si>
  <si>
    <t xml:space="preserve">Zinc in Soils and Crop Nutrition</t>
  </si>
  <si>
    <t xml:space="preserve">Suelos agrícolas y nutrición de cultivos</t>
  </si>
  <si>
    <t xml:space="preserve">Establece los niveles de deficiencia y suficiencia de zinc en suelos agrícolas para la salud vegetal.</t>
  </si>
  <si>
    <t xml:space="preserve">Argento et al.</t>
  </si>
  <si>
    <t xml:space="preserve">Investigating two solutions to balance revenues and N surplus in Swiss winter wheat</t>
  </si>
  <si>
    <t xml:space="preserve">Oferta (Agricultores de trigo), Reguladores/legisladores, Científicos</t>
  </si>
  <si>
    <t xml:space="preserve">Agroecosistemas (Trigo de invierno)</t>
  </si>
  <si>
    <t xml:space="preserve">Modela el equilibrio entre ingresos agrícolas y la reducción del excedente de nitrógeno (umbral de 30 kg N/ha/año).</t>
  </si>
  <si>
    <t xml:space="preserve">Ballabio et al.</t>
  </si>
  <si>
    <t xml:space="preserve">Copper distribution in European topsoils: An assessment based on LUCAS soil survey</t>
  </si>
  <si>
    <t xml:space="preserve">Comunidad científica, Reguladores/legisladores (UE), Oferta</t>
  </si>
  <si>
    <t xml:space="preserve">Unión Europea (UE24 + UK)</t>
  </si>
  <si>
    <t xml:space="preserve">Suelos agrícolas y capa arable (LUCAS Topsoil)</t>
  </si>
  <si>
    <t xml:space="preserve">Mapeo geoespacial de la distribución y concentración de cobre en la capa arable de Europa.</t>
  </si>
  <si>
    <t xml:space="preserve">Ballabio, C. et al.</t>
  </si>
  <si>
    <t xml:space="preserve">Comunidad científica, Reguladores/legisladores (UE)</t>
  </si>
  <si>
    <t xml:space="preserve">Suelos agrícolas y contaminación por cobre (Cu)</t>
  </si>
  <si>
    <t xml:space="preserve">Evaluación del cobre en la capa arable europea identificando riesgos ecotóxicos por uso fungicida agrícola.</t>
  </si>
  <si>
    <t xml:space="preserve">A spatial assessment of mercury content in the European Union topsoil</t>
  </si>
  <si>
    <t xml:space="preserve">Unión Europea (UE27 + UK)</t>
  </si>
  <si>
    <t xml:space="preserve">Suelos agrícolas y capa arable</t>
  </si>
  <si>
    <t xml:space="preserve">Mapeo de la presencia y stocks de mercurio en los suelos continentales europeos.</t>
  </si>
  <si>
    <t xml:space="preserve">Unión Europea (LUCAS)</t>
  </si>
  <si>
    <t xml:space="preserve">Suelos y contaminación por mercurio (Hg)</t>
  </si>
  <si>
    <t xml:space="preserve">Mapeo y evaluación espacial del contenido de mercurio en la capa arable de suelos de la UE mediante LUCAS.</t>
  </si>
  <si>
    <t xml:space="preserve">Barredo, Vizzarri &amp; Kuželová</t>
  </si>
  <si>
    <t xml:space="preserve">Archetypal typology of European forest ecosystems integrating management intensity and naturalness</t>
  </si>
  <si>
    <t xml:space="preserve">Ecosistemas forestales (44 subtipos biogeográficos)</t>
  </si>
  <si>
    <t xml:space="preserve">Desarrolla la tipología arquetípica de bosques europeos integrando intensidad de manejo y naturalidad.</t>
  </si>
  <si>
    <t xml:space="preserve">Barredo, J. I., Vizzarri, M. &amp; Kuželová, K.</t>
  </si>
  <si>
    <t xml:space="preserve">Bosques y tipología arquetípica</t>
  </si>
  <si>
    <t xml:space="preserve">Integra la intensidad de gestión forestal y la naturalidad para establecer tipologías de condición forestal.</t>
  </si>
  <si>
    <t xml:space="preserve">Batool et al.</t>
  </si>
  <si>
    <t xml:space="preserve">Long-term annual soil nitrogen surplus across Europe (1850–2019)</t>
  </si>
  <si>
    <t xml:space="preserve">Europa (Serie histórica 1850-2019)</t>
  </si>
  <si>
    <t xml:space="preserve">Suelos agrícolas y balance de nutrientes</t>
  </si>
  <si>
    <t xml:space="preserve">Reconstrucción histórica del excedente de nitrógeno en suelos agrícolas europeos.</t>
  </si>
  <si>
    <t xml:space="preserve">Benton, Vickery &amp; Wilson</t>
  </si>
  <si>
    <t xml:space="preserve">Farmland biodiversity: is habitat heterogeneity the key?</t>
  </si>
  <si>
    <t xml:space="preserve">Agroecosistemas y paisajes agrícolas</t>
  </si>
  <si>
    <t xml:space="preserve">Demuestra que la heterogeneidad del paisaje es el determinante clave para conservar la biodiversidad agrícola.</t>
  </si>
  <si>
    <t xml:space="preserve">Borrelli et al.</t>
  </si>
  <si>
    <t xml:space="preserve">Policy implications of multiple concurrent soil erosion processes in European farmland</t>
  </si>
  <si>
    <t xml:space="preserve">Reguladores/legisladores (UE), Comunidad científica, Oferta</t>
  </si>
  <si>
    <t xml:space="preserve">Suelos agrícolas y procesos de erosión hídrica</t>
  </si>
  <si>
    <t xml:space="preserve">Evalúa las implicaciones de política pública sobre la erosión del suelo y la degradación en tierras de cultivo.</t>
  </si>
  <si>
    <t xml:space="preserve">Bub et al.</t>
  </si>
  <si>
    <t xml:space="preserve">Trends of total applied pesticide toxicity in German agriculture</t>
  </si>
  <si>
    <t xml:space="preserve">Agroecosistemas y toxicidad aplicada</t>
  </si>
  <si>
    <t xml:space="preserve">Mide las tendencias de toxicidad total aplicada por plaguicidas en la agricultura alemana.</t>
  </si>
  <si>
    <t xml:space="preserve">Catarino et al.</t>
  </si>
  <si>
    <t xml:space="preserve">Applying the Pesticide Load Index (PLI) to characterize ecotoxicological impact from pesticide use in the EU</t>
  </si>
  <si>
    <t xml:space="preserve">Reguladores/legisladores (JRC/UE), Comunidad científica, Oferta</t>
  </si>
  <si>
    <t xml:space="preserve">Unión Europea (EU27)</t>
  </si>
  <si>
    <t xml:space="preserve">Agroecosistemas y fauna no objetivo (ecotoxicología)</t>
  </si>
  <si>
    <t xml:space="preserve">Desarrolla el indicador PLECO para evaluar la carga ecotóxica de plaguicidas en 8 taxones no objetivo.</t>
  </si>
  <si>
    <t xml:space="preserve">Czúcz et al.</t>
  </si>
  <si>
    <t xml:space="preserve">Selection criteria for ecosystem condition indicators</t>
  </si>
  <si>
    <t xml:space="preserve">Comunidad científica, Reguladores/legisladores (ONU / SEEA EA)</t>
  </si>
  <si>
    <t xml:space="preserve">Marcos de contabilidad ecosistémica SEEA EA</t>
  </si>
  <si>
    <t xml:space="preserve">Establece los criterios de selección de indicadores de condición ecosistémica compatibles con el SEEA EA.</t>
  </si>
  <si>
    <t xml:space="preserve">Czúcz, B. et al.</t>
  </si>
  <si>
    <t xml:space="preserve">Comunidad científica, Reguladores/legisladores (JRC/UE)</t>
  </si>
  <si>
    <t xml:space="preserve">Indicadores de condición ecosistémica</t>
  </si>
  <si>
    <t xml:space="preserve">Formula los 12 criterios de selección (conceptuales, prácticos y de conjunto) para indicadores de condición SEEA EA.</t>
  </si>
  <si>
    <t xml:space="preserve">SELINA D3.3 Report on definition of reference conditions that describe good ecosystem condition</t>
  </si>
  <si>
    <t xml:space="preserve">Comunidad científica, Reguladores/legisladores (UE SELINA)</t>
  </si>
  <si>
    <t xml:space="preserve">Niveles de referencia para bosques y agroecosistemas</t>
  </si>
  <si>
    <t xml:space="preserve">Define metodológicamente las condiciones de referencia (pessimal, umbral, optimal) para el estado ecológico.</t>
  </si>
  <si>
    <t xml:space="preserve">Dainese et al.</t>
  </si>
  <si>
    <t xml:space="preserve">A global synthesis reveals biodiversity-mediated benefits for crop production</t>
  </si>
  <si>
    <t xml:space="preserve">Ecosistemas agrícolas, polinizadores y enemigos naturales</t>
  </si>
  <si>
    <t xml:space="preserve">Demuestra cuantitativamente cómo la biodiversidad mejora la polinización y el control biológico en cultivos.</t>
  </si>
  <si>
    <t xml:space="preserve">de Brogniez et al.</t>
  </si>
  <si>
    <t xml:space="preserve">A map of the topsoil organic carbon content of Europe generated by a generalized additive model</t>
  </si>
  <si>
    <t xml:space="preserve">Cuantitativo / GAM</t>
  </si>
  <si>
    <t xml:space="preserve">Unión Europea (EU25)</t>
  </si>
  <si>
    <t xml:space="preserve">Suelos minerales y carbono orgánico (SOC)</t>
  </si>
  <si>
    <t xml:space="preserve">Genera el mapa europeo de carbono orgánico en la capa arable a partir de muestras del estudio LUCAS.</t>
  </si>
  <si>
    <t xml:space="preserve">do Rosário Cameira et al.</t>
  </si>
  <si>
    <t xml:space="preserve">Translating the agricultural N surplus hazard into groundwater pollution risk: Implications for mitigation measures</t>
  </si>
  <si>
    <t xml:space="preserve">Portugal / Europa</t>
  </si>
  <si>
    <t xml:space="preserve">Acuíferos y zonas vulnerables a nitratos</t>
  </si>
  <si>
    <t xml:space="preserve">Establece el umbral de 25 kg N/ha/año de excedente como límite para evitar la contaminación de aguas subterráneas.</t>
  </si>
  <si>
    <t xml:space="preserve">Estimating co-extinction threats in terrestrial ecosystems</t>
  </si>
  <si>
    <t xml:space="preserve">Redes tróficas e interacciones ecológicas</t>
  </si>
  <si>
    <t xml:space="preserve">Modela las amenazas de coextinción en ecosistemas terrestres debido a la pérdida de especies clave.</t>
  </si>
  <si>
    <t xml:space="preserve">Dudley et al.</t>
  </si>
  <si>
    <t xml:space="preserve">How should conservationists respond to pesticides as a driver of biodiversity loss in agroecosystems?</t>
  </si>
  <si>
    <t xml:space="preserve">Agroecosistemas y biodiversidad</t>
  </si>
  <si>
    <t xml:space="preserve">Analiza los plaguicidas como motores principales de pérdida de biodiversidad agrícola y propone respuestas de conservación.</t>
  </si>
  <si>
    <t xml:space="preserve">European Commission (DG ENV &amp; INFSO)</t>
  </si>
  <si>
    <t xml:space="preserve">Corine land cover – Technical guide</t>
  </si>
  <si>
    <t xml:space="preserve">Reguladores/legisladores (UE), Científicos</t>
  </si>
  <si>
    <t xml:space="preserve">Clasificación de coberturas del suelo CORINE (CLC)</t>
  </si>
  <si>
    <t xml:space="preserve">Guía técnica estandarizada para la cartografía y clasificación de usos del suelo en Europa.</t>
  </si>
  <si>
    <t xml:space="preserve">European Commission (JRC, Vallecillo et al.)</t>
  </si>
  <si>
    <t xml:space="preserve">EU-wide methodology to map and assess ecosystem condition – Towards a common approach consistent with SEEA EA</t>
  </si>
  <si>
    <t xml:space="preserve">Reguladores/legisladores (UE / JRC), Comunidad científica</t>
  </si>
  <si>
    <t xml:space="preserve">Marco de evaluación de condición de ecosistemas de la UE</t>
  </si>
  <si>
    <t xml:space="preserve">Metodología oficial de la UE para mapear y evaluar la condición de ecosistemas bajo el estándar SEEA EA.</t>
  </si>
  <si>
    <t xml:space="preserve">European Commission (JRC, Blujdea et al.)</t>
  </si>
  <si>
    <t xml:space="preserve">The JRC Forest Carbon Model – Description of EU-CBM-HAT</t>
  </si>
  <si>
    <t xml:space="preserve">Reguladores/legisladores (UE), Comunidad científica, Silvicultores</t>
  </si>
  <si>
    <t xml:space="preserve">Bosques y balance de carbono forestal</t>
  </si>
  <si>
    <t xml:space="preserve">Describe el modelo CBM para la simulación del balance de carbono en bosques europeos bajo escenarios.</t>
  </si>
  <si>
    <t xml:space="preserve">Proposal for a Directive on Soil Monitoring and Resilience (Soil Monitoring Law) [COM(2023) 416 final]</t>
  </si>
  <si>
    <t xml:space="preserve">Reguladores/legisladores (UE), Oferta (Agricultores), Científicos</t>
  </si>
  <si>
    <t xml:space="preserve">Suelos agrícolas y forestales (descriptores de salud)</t>
  </si>
  <si>
    <t xml:space="preserve">Propuesta legislativa europea que fija descriptores de salud del suelo y la relación SOC/Arcilla (1:10) como umbral.</t>
  </si>
  <si>
    <t xml:space="preserve">European Commission (JRC, Grizzetti et al.)</t>
  </si>
  <si>
    <t xml:space="preserve">Knowledge for Integrated Nutrient Management Action Plan (INMAP)</t>
  </si>
  <si>
    <t xml:space="preserve">Nutrientes en agricultura y calidad de agua</t>
  </si>
  <si>
    <t xml:space="preserve">Base de conocimiento para el plan de acción de gestión integrada de nutrientes en la UE (umbral de 50 kg N/ha/año).</t>
  </si>
  <si>
    <t xml:space="preserve">Grizzetti, B. et al. (INMAP)</t>
  </si>
  <si>
    <t xml:space="preserve">Reguladores/legisladores (JRC/UE), Oferta (Agricultores)</t>
  </si>
  <si>
    <t xml:space="preserve">Cuencas hídricas y suelos expuestos a nitrógeno/fósforo</t>
  </si>
  <si>
    <t xml:space="preserve">Base de conocimientos del JRC para el Plan de Acción de Gestión Integrada de Nutrientes de la UE.</t>
  </si>
  <si>
    <t xml:space="preserve">CORINE land cover technical guide – Addendum 2000</t>
  </si>
  <si>
    <t xml:space="preserve">Reguladores/legisladores (AEMA), Científicos</t>
  </si>
  <si>
    <t xml:space="preserve">Actualización de coberturas del suelo CORINE 2000</t>
  </si>
  <si>
    <t xml:space="preserve">Addendum técnico para la actualización del inventario CORINE Land Cover 2000.</t>
  </si>
  <si>
    <t xml:space="preserve">Biogeographical regions in Europe</t>
  </si>
  <si>
    <t xml:space="preserve">Cualitativo / Geoespacial</t>
  </si>
  <si>
    <t xml:space="preserve">Europa (11 regiones biogeográficas)</t>
  </si>
  <si>
    <t xml:space="preserve">Regiones biogeográficas (Alpina, Boreal, Mediterránea, etc.)</t>
  </si>
  <si>
    <t xml:space="preserve">Delimitación espacial de las 11 regiones biogeográficas de Europa para estratificación de la conservación.</t>
  </si>
  <si>
    <t xml:space="preserve">Soil monitoring in Europe – Indicators and thresholds for soil quality assessments</t>
  </si>
  <si>
    <t xml:space="preserve">Reguladores/legisladores (AEMA), Comunidad científica, Oferta</t>
  </si>
  <si>
    <t xml:space="preserve">Suelos agrícolas y parámetros de contaminación/erosión</t>
  </si>
  <si>
    <t xml:space="preserve">Informe técnico que compila indicadores y valores umbral (SSVs) para la evaluación de la calidad del suelo.</t>
  </si>
  <si>
    <t xml:space="preserve">EEA – ETC/BD</t>
  </si>
  <si>
    <t xml:space="preserve">I.20 CAP Indicator Factsheet: Enhancing biodiversity protection</t>
  </si>
  <si>
    <t xml:space="preserve">Reguladores/legisladores (PAC / AEMA), Oferta, Científicos</t>
  </si>
  <si>
    <t xml:space="preserve">Especies y hábitats vinculados a la agricultura (Directiva Hábitats)</t>
  </si>
  <si>
    <t xml:space="preserve">Ficha del indicador I.20 de la PAC sobre el estado de conservación de 225 especies agrícolas de interés comunitario.</t>
  </si>
  <si>
    <t xml:space="preserve">Eglington, Noble &amp; Fuller</t>
  </si>
  <si>
    <t xml:space="preserve">A meta-analysis of spatial relationships in species richness across taxa: Birds as indicators</t>
  </si>
  <si>
    <t xml:space="preserve">Regiones templadas / Europa</t>
  </si>
  <si>
    <t xml:space="preserve">Aves agrícolas como bioindicadoras de biodiversidad amplia</t>
  </si>
  <si>
    <t xml:space="preserve">Demuestra mediante meta-análisis que las aves de pastizal/cultivo son paraguas eficaces de la biodiversidad general.</t>
  </si>
  <si>
    <t xml:space="preserve">EMEP</t>
  </si>
  <si>
    <t xml:space="preserve">Transboundary particulate matter, photo-oxidants, acidifying and eutrophying components (Status Report 1/2024)</t>
  </si>
  <si>
    <t xml:space="preserve">Cuantitativo / Atmosférico</t>
  </si>
  <si>
    <t xml:space="preserve">Reguladores/legisladores (CLRTAP), Comunidad científica</t>
  </si>
  <si>
    <t xml:space="preserve">Europa (Países EMEP)</t>
  </si>
  <si>
    <t xml:space="preserve">Dosis de ozono fitotóxico (POD) y eutrofización</t>
  </si>
  <si>
    <t xml:space="preserve">Informe de monitoreo transfronterizo de contaminación atmosférica y flujos de ozono en vegetación.</t>
  </si>
  <si>
    <t xml:space="preserve">Regulation (EU) No 1307/2013 establishing rules for direct payments to farmers under the CAP</t>
  </si>
  <si>
    <t xml:space="preserve">Cualitativo / Legis</t>
  </si>
  <si>
    <t xml:space="preserve">Reguladores/legisladores (UE), Oferta (Agricultores)</t>
  </si>
  <si>
    <t xml:space="preserve">Tierras de cultivo, barbecho y diversificación de cultivos</t>
  </si>
  <si>
    <t xml:space="preserve">Reglamento de la PAC que estableció el reverdecimiento (*greening*) y la diversificación de cultivos (mínimo 3 cultivos).</t>
  </si>
  <si>
    <t xml:space="preserve">Regulation (EU) 2024/1991 on nature restoration (Nature Restoration Law)</t>
  </si>
  <si>
    <t xml:space="preserve">Cualitativo / Vinculante</t>
  </si>
  <si>
    <t xml:space="preserve">Reguladores/legisladores (UE / 27 Estados), Oferta, Demanda, Público</t>
  </si>
  <si>
    <t xml:space="preserve">Restauración de ecosistemas agrícolas, forestales y urbanos</t>
  </si>
  <si>
    <t xml:space="preserve">Ley europea de restauración de la naturaleza que mandata metas vinculantes de restauración y elementos del paisaje.</t>
  </si>
  <si>
    <t xml:space="preserve">European Commission (Maes et al.)</t>
  </si>
  <si>
    <t xml:space="preserve">Mapping and assessment of ecosystems and their services – Analytical framework for ecosystem condition (MAES Paper 5)</t>
  </si>
  <si>
    <t xml:space="preserve">Cualitativo / Marco conceptual</t>
  </si>
  <si>
    <t xml:space="preserve">Marco de mapeo y evaluación MAES de la UE</t>
  </si>
  <si>
    <t xml:space="preserve">Documento de discusión MAES que sentó las bases para evaluar la condición de los ecosistemas en la UE.</t>
  </si>
  <si>
    <t xml:space="preserve">Proceedings of the Global Symposium on Soil Pollution 2018</t>
  </si>
  <si>
    <t xml:space="preserve">Reguladores/legisladores (FAO/ONU), Comunidad científica, Oferta</t>
  </si>
  <si>
    <t xml:space="preserve">Suelos agrícolas y contaminación por metales/plaguicidas</t>
  </si>
  <si>
    <t xml:space="preserve">Simposio mundial sobre contaminación del suelo destacando tanto la toxicidad como la deficiencia de oligoelementos.</t>
  </si>
  <si>
    <t xml:space="preserve">Fendrich et al.</t>
  </si>
  <si>
    <t xml:space="preserve">Modeling arsenic in European topsoils with a coupled semiparametric model for censored data</t>
  </si>
  <si>
    <t xml:space="preserve">Suelos agrícolas y concentración de arsénico</t>
  </si>
  <si>
    <t xml:space="preserve">Modelación geoespacial del contenido de arsénico en la capa arable de Europa (umbral de 20 mg/kg).</t>
  </si>
  <si>
    <t xml:space="preserve">Filotas et al.</t>
  </si>
  <si>
    <t xml:space="preserve">Viewing forests through the lens of complex systems science</t>
  </si>
  <si>
    <t xml:space="preserve">Comunidad científica, Silvicultores</t>
  </si>
  <si>
    <t xml:space="preserve">Ecosistemas forestales complejas</t>
  </si>
  <si>
    <t xml:space="preserve">Conceptualiza los bosques como sistemas adaptativos complejos caracterizados por autoorganización.</t>
  </si>
  <si>
    <t xml:space="preserve">Goulson, D.</t>
  </si>
  <si>
    <t xml:space="preserve">The insect apocalypse, and why it matters</t>
  </si>
  <si>
    <t xml:space="preserve">Poblaciones de insectos y agroecosistemas</t>
  </si>
  <si>
    <t xml:space="preserve">Alerta sobre el declive masivo de insectos por intensificación agrícola y uso de plaguicidas.</t>
  </si>
  <si>
    <t xml:space="preserve">Guinet et al.</t>
  </si>
  <si>
    <t xml:space="preserve">Fostering temporal crop diversification to reduce pesticide use</t>
  </si>
  <si>
    <t xml:space="preserve">Rotación de cultivos y reducción de plaguicidas</t>
  </si>
  <si>
    <t xml:space="preserve">Demuestra en Nature Communications que la diversificación temporal de cultivos reduce el uso de plaguicidas.</t>
  </si>
  <si>
    <t xml:space="preserve">Hagemeijer &amp; Blair (EBCC)</t>
  </si>
  <si>
    <t xml:space="preserve">The EBCC Atlas of European Breeding Birds</t>
  </si>
  <si>
    <t xml:space="preserve">Cuantitativo / Atlas</t>
  </si>
  <si>
    <t xml:space="preserve">Comunidad científica, Ornithólogos, Reguladores</t>
  </si>
  <si>
    <t xml:space="preserve">Europa (EBBA1)</t>
  </si>
  <si>
    <t xml:space="preserve">Aves reproductoras en hábitats agrícolas</t>
  </si>
  <si>
    <t xml:space="preserve">Primer atlas europeo de aves reproductoras que sirvió de línea de base histórica (década de 1980).</t>
  </si>
  <si>
    <t xml:space="preserve">Herrando et al.</t>
  </si>
  <si>
    <t xml:space="preserve">Mapping farmland bird indicators across the European Union (EU28)</t>
  </si>
  <si>
    <t xml:space="preserve">Unión Europea (EU28)</t>
  </si>
  <si>
    <t xml:space="preserve">Aves agrícolas y riqueza de especies</t>
  </si>
  <si>
    <t xml:space="preserve">Mapeo a cuadrícula de 10 km2 del indicador de aves agrícolas en la Unión Europea.</t>
  </si>
  <si>
    <t xml:space="preserve">Herrando, S.</t>
  </si>
  <si>
    <t xml:space="preserve">Changes in farmland birds over 30 years of changes in farmland</t>
  </si>
  <si>
    <t xml:space="preserve">Reguladores/legisladores (JRC), Comunidad científica, Oferta</t>
  </si>
  <si>
    <t xml:space="preserve">Unión Europea (30 años de tendencia)</t>
  </si>
  <si>
    <t xml:space="preserve">Tendencias poblacionales de aves en tierras agrícolas</t>
  </si>
  <si>
    <t xml:space="preserve">Analiza los cambios en la riqueza de aves agrícolas en Europa durante 30 años comparando EBBA1 y EBBA2.</t>
  </si>
  <si>
    <t xml:space="preserve">Horálek et al.</t>
  </si>
  <si>
    <t xml:space="preserve">European air quality maps for 2019: PM10, PM2.5, Ozone, NO2 and NOx</t>
  </si>
  <si>
    <t xml:space="preserve">Reguladores/legisladores (AEMA), Comunidad científica</t>
  </si>
  <si>
    <t xml:space="preserve">Calidad del aire y exposición a ozono en pastizales</t>
  </si>
  <si>
    <t xml:space="preserve">Mapas de calidad del aire e índices de ozono utilizados para evaluar la dosis fitotóxica en vegetación.</t>
  </si>
  <si>
    <t xml:space="preserve">Jakobsson et al.</t>
  </si>
  <si>
    <t xml:space="preserve">Setting reference levels and limits for good ecological condition in terrestrial ecosystems</t>
  </si>
  <si>
    <t xml:space="preserve">Comunidad científica, Reguladores/legisladores (Noruega)</t>
  </si>
  <si>
    <t xml:space="preserve">Noruega / Europa</t>
  </si>
  <si>
    <t xml:space="preserve">Ecosistemas terrestres (Método IBECA)</t>
  </si>
  <si>
    <t xml:space="preserve">Aplica el método IBECA fijando el umbral de 0,6 para distinguir la condición ecológica buena de la mala.</t>
  </si>
  <si>
    <t xml:space="preserve">Johannes et al.</t>
  </si>
  <si>
    <t xml:space="preserve">Optimal organic carbon values for soil structure quality of arable soils. Does clay content matter?</t>
  </si>
  <si>
    <t xml:space="preserve">Suiza / Europa Occidental</t>
  </si>
  <si>
    <t xml:space="preserve">Suelos arables y estructura física (Relación SOC/Arcilla)</t>
  </si>
  <si>
    <t xml:space="preserve">Establece la relación SOC/Arcilla (1:10) como indicador clave de calidad de la estructura física del suelo.</t>
  </si>
  <si>
    <t xml:space="preserve">JRC (Swartjes, D'Alessandro &amp; Carlon)</t>
  </si>
  <si>
    <t xml:space="preserve">Derivation methods of soil screening values in Europe – A review of national procedures</t>
  </si>
  <si>
    <t xml:space="preserve">Cualitativo / Comparativo</t>
  </si>
  <si>
    <t xml:space="preserve">Reguladores/legisladores (JRC / Estados Miembros), Científicos</t>
  </si>
  <si>
    <t xml:space="preserve">Suelos y metodologías de derivación de valores de cribado</t>
  </si>
  <si>
    <t xml:space="preserve">Revisión de los métodos nacionales para definir valores de cribado de suelos (SSVs) en la UE.</t>
  </si>
  <si>
    <t xml:space="preserve">Jordan‐Meille et al.</t>
  </si>
  <si>
    <t xml:space="preserve">An overview of fertilizer‐P recommendations in Europe: soil testing, calibration and recommendations</t>
  </si>
  <si>
    <t xml:space="preserve">Europa (Múltiples países)</t>
  </si>
  <si>
    <t xml:space="preserve">Suelos agrícolas y balance de fósforo (P Olsen)</t>
  </si>
  <si>
    <t xml:space="preserve">Sintetiza las recomendaciones europeas de fertilización con fósforo fijando umbrales de exceso (50 mg/kg) y déficit (20 mg/kg).</t>
  </si>
  <si>
    <t xml:space="preserve">Karr, J.R.</t>
  </si>
  <si>
    <t xml:space="preserve">Defining and assessing ecological integrity: Beyond water quality</t>
  </si>
  <si>
    <t xml:space="preserve">Integridad ecológica de ecosistemas</t>
  </si>
  <si>
    <t xml:space="preserve">Artículo fundacional sobre la definición y evaluación de la integridad ecológica más allá de la calidad del agua.</t>
  </si>
  <si>
    <t xml:space="preserve">Karr, Larson &amp; Chu</t>
  </si>
  <si>
    <t xml:space="preserve">Ecological integrity is both real and valuable</t>
  </si>
  <si>
    <t xml:space="preserve">Integridad ecológica e intactitud</t>
  </si>
  <si>
    <t xml:space="preserve">Reafirma el valor operativo y conceptual de la integridad ecológica para guiar la conservación.</t>
  </si>
  <si>
    <t xml:space="preserve">Keller, V.</t>
  </si>
  <si>
    <t xml:space="preserve">EBBA2 - A New European Atlas of Breeding Birds</t>
  </si>
  <si>
    <t xml:space="preserve">Comunidad científica, EBCC, Reguladores</t>
  </si>
  <si>
    <t xml:space="preserve">Aves reproductoras en Europa</t>
  </si>
  <si>
    <t xml:space="preserve">Presentación del segundo Atlas Europeo de Aves Reproductoras (EBBA2).</t>
  </si>
  <si>
    <t xml:space="preserve">Keller et al. (EBCC)</t>
  </si>
  <si>
    <t xml:space="preserve">European Breeding Bird Atlas 2: Distribution, Abundance and Change</t>
  </si>
  <si>
    <t xml:space="preserve">Comunidad científica, EBCC &amp; Lynx Edicions, Reguladores</t>
  </si>
  <si>
    <t xml:space="preserve">Europa (EBBA2)</t>
  </si>
  <si>
    <t xml:space="preserve">Distribución y cambios de abundancia de aves europeas</t>
  </si>
  <si>
    <t xml:space="preserve">Publicación del atlas EBBA2 que detalla la distribución y cambios poblacionales de aves en tierras agrícolas.</t>
  </si>
  <si>
    <t xml:space="preserve">Kirk et al.</t>
  </si>
  <si>
    <t xml:space="preserve">Defining specialism and functional species groups in birds: First steps toward a farmland bird indicator</t>
  </si>
  <si>
    <t xml:space="preserve">Canadá / América del Norte / Europa</t>
  </si>
  <si>
    <t xml:space="preserve">Grupos funcionales de aves en agroecosistemas</t>
  </si>
  <si>
    <t xml:space="preserve">Define el especialismo y grupos funcionales de aves agrícolas para afinar el indicador de condición de hábitat.</t>
  </si>
  <si>
    <t xml:space="preserve">Kleeschulte et al. (ETC DI)</t>
  </si>
  <si>
    <t xml:space="preserve">Quantification of landscape features in agricultural areas using Copernicus products</t>
  </si>
  <si>
    <t xml:space="preserve">Cuantitativo / Remote Sensing</t>
  </si>
  <si>
    <t xml:space="preserve">Reguladores/legisladores (AEMA / Copernicus), Científicos</t>
  </si>
  <si>
    <t xml:space="preserve">Elementos leñosos del paisaje (Woody Vegetation Mask)</t>
  </si>
  <si>
    <t xml:space="preserve">Aplica la máscara de vegetación leñosa (WVM a 5m) para cuantificar pequeños elementos leñosos (SWF) en tierras agrícolas.</t>
  </si>
  <si>
    <t xml:space="preserve">Kudsk, Jørgensen &amp; Ørum</t>
  </si>
  <si>
    <t xml:space="preserve">Pesticide Load—A new Danish pesticide risk indicator with multiple applications</t>
  </si>
  <si>
    <t xml:space="preserve">Reguladores/legisladores (Dinamarca), Oferta, Científicos</t>
  </si>
  <si>
    <t xml:space="preserve">Dinamarca / Europa</t>
  </si>
  <si>
    <t xml:space="preserve">Agroecosistemas e indicador de carga de plaguicidas (PLI)</t>
  </si>
  <si>
    <t xml:space="preserve">Desarrolla el Pesticide Load Index (PLI) combinando ecotoxicología (PLECO), destino ambiental y salud humana.</t>
  </si>
  <si>
    <t xml:space="preserve">La Notte et al.</t>
  </si>
  <si>
    <t xml:space="preserve">Ecosystem condition underpins the generation of ecosystem services: an accounting perspective</t>
  </si>
  <si>
    <t xml:space="preserve">Cualitativo / Conceptual</t>
  </si>
  <si>
    <t xml:space="preserve">Comunidad científica, Reguladores/legisladores (SEEA EA)</t>
  </si>
  <si>
    <t xml:space="preserve">Relación condición de ecosistemas y servicios ecosistémicos</t>
  </si>
  <si>
    <t xml:space="preserve">Demuestra desde la contabilidad ambiental que la condición buena es la premisa para sostener el flujo de servicios.</t>
  </si>
  <si>
    <t xml:space="preserve">La Notte, A. et al.</t>
  </si>
  <si>
    <t xml:space="preserve">Cuantitativo / SEEA EA</t>
  </si>
  <si>
    <t xml:space="preserve">Comunidad científica, Reguladores/legisladores (JRC)</t>
  </si>
  <si>
    <t xml:space="preserve">Sistemas de contabilidad natural INCA / SEEA EA</t>
  </si>
  <si>
    <t xml:space="preserve">Demuestra desde la contabilidad ambiental que la condición ecosistémica sustenta la capacidad de provisión de servicios.</t>
  </si>
  <si>
    <t xml:space="preserve">Leip et al.</t>
  </si>
  <si>
    <t xml:space="preserve">Linking an economic model for European agriculture with a mechanistic model to estimate nitrogen and carbon losses</t>
  </si>
  <si>
    <t xml:space="preserve">Cuantitativo / CAPRI-DNDC</t>
  </si>
  <si>
    <t xml:space="preserve">Suelos agrícolas y balance de nitrógeno/carbono</t>
  </si>
  <si>
    <t xml:space="preserve">Vincula el modelo económico CAPRI con DNDC para mapear las pérdidas de nitrógeno a resolución de 1 km2 (CAPRI HSU).</t>
  </si>
  <si>
    <t xml:space="preserve">Lewis &amp; Tzilivakis</t>
  </si>
  <si>
    <t xml:space="preserve">Development of a Data Set of Pesticide Dissipation Rates for the Pesticide Properties Database (PPDB)</t>
  </si>
  <si>
    <t xml:space="preserve">Cuantitativo / Base de datos</t>
  </si>
  <si>
    <t xml:space="preserve">Base de datos PPDB de propiedades de plaguicidas</t>
  </si>
  <si>
    <t xml:space="preserve">Desarrolla la base de datos PPDB con tasas de disipación y valores de toxicidad (LD50/LC50) para 148 sustancias activas.</t>
  </si>
  <si>
    <t xml:space="preserve">Lindsay, W. L.</t>
  </si>
  <si>
    <t xml:space="preserve">Zinc in soils and plant nutrition</t>
  </si>
  <si>
    <t xml:space="preserve">Suelos y nutrición vegetal de zinc</t>
  </si>
  <si>
    <t xml:space="preserve">Establece el rango de 10-30 mg/kg como nivel bajo de zinc en suelo susceptible de causar deficiencia en cultivos.</t>
  </si>
  <si>
    <t xml:space="preserve">Löw, Osterburg &amp; Klages</t>
  </si>
  <si>
    <t xml:space="preserve">Comparison of regulatory approaches for determining application limits for nitrogen fertilizer use in Germany</t>
  </si>
  <si>
    <t xml:space="preserve">Reguladores/legisladores (Alemania), Oferta (Agricultores), Científicos</t>
  </si>
  <si>
    <t xml:space="preserve">Suelos agrícolas y regulación de fertilizantes</t>
  </si>
  <si>
    <t xml:space="preserve">Compara enfoques regulatorios en Alemania citando la meta federal de un excedente máximo de 70 kg N/ha/año.</t>
  </si>
  <si>
    <t xml:space="preserve">Maes et al.</t>
  </si>
  <si>
    <t xml:space="preserve">Accounting for forest condition in Europe based on an international statistical standard</t>
  </si>
  <si>
    <t xml:space="preserve">Comunidad científica, Reguladores/legisladores (UE / JRC), Silvicultores</t>
  </si>
  <si>
    <t xml:space="preserve">Unión Europea (44 subtipos forestales)</t>
  </si>
  <si>
    <t xml:space="preserve">Bosques europeos (Índice de condición 2000-2018)</t>
  </si>
  <si>
    <t xml:space="preserve">Estudio hito publicado en Nature Communications que calcula el índice de condición forestal europeo en 0,585 (2018).</t>
  </si>
  <si>
    <t xml:space="preserve">Comunidad científica, Reguladores/legisladores (JRC), Silvicultores</t>
  </si>
  <si>
    <t xml:space="preserve">Bosques europeos (44 subtipos)</t>
  </si>
  <si>
    <t xml:space="preserve">Estudio hito en Nature Communications que calcula el índice geoespacial de condición forestal europeo en 0,585.</t>
  </si>
  <si>
    <t xml:space="preserve">Massawe, Mayes &amp; Cheng</t>
  </si>
  <si>
    <t xml:space="preserve">Crop Diversity: An Unexploited Treasure Trove for Food Security</t>
  </si>
  <si>
    <t xml:space="preserve">Diversidad de cultivos y agroecosistemas</t>
  </si>
  <si>
    <t xml:space="preserve">Resalta la riqueza de cultivos como factor esencial para la resiliencia del sistema alimentario y la seguridad alimentaria.</t>
  </si>
  <si>
    <t xml:space="preserve">Mayer et al.</t>
  </si>
  <si>
    <t xml:space="preserve">Tamm Review: Influence of forest management activities on soil organic carbon stocks: A knowledge synthesis</t>
  </si>
  <si>
    <t xml:space="preserve">Cuantitativo / Síntesis</t>
  </si>
  <si>
    <t xml:space="preserve">Comunidad científica, Silvicultores, Reguladores</t>
  </si>
  <si>
    <t xml:space="preserve">Europa / Templado</t>
  </si>
  <si>
    <t xml:space="preserve">Suelos forestales y stocks de carbono orgánico (SOC)</t>
  </si>
  <si>
    <t xml:space="preserve">Demuestra cómo las actividades de gestión forestal afectan los stocks de carbono orgánico en suelos europeos.</t>
  </si>
  <si>
    <t xml:space="preserve">McGlynn, T.</t>
  </si>
  <si>
    <t xml:space="preserve">Effects of Biogeography on Community Diversity</t>
  </si>
  <si>
    <t xml:space="preserve">Biogeografía y patrones de riqueza de especies</t>
  </si>
  <si>
    <t xml:space="preserve">Analiza los efectos de la latitud, elevación y área en la diversidad de comunidades biológicas.</t>
  </si>
  <si>
    <t xml:space="preserve">Mills et al.</t>
  </si>
  <si>
    <t xml:space="preserve">New stomatal flux-based critical levels for ozone effects on vegetation</t>
  </si>
  <si>
    <t xml:space="preserve">Comunidad científica, Reguladores/legisladores (CLRTAP)</t>
  </si>
  <si>
    <t xml:space="preserve">Pastizales y dosis fitotóxica de ozono (PODy)</t>
  </si>
  <si>
    <t xml:space="preserve">Establece los niveles críticos estomáticos de ozono (POD) para evitar pérdidas del 10% en floración/biomasa de pastizales.</t>
  </si>
  <si>
    <t xml:space="preserve">Mills et al. (ICP Vegetation)</t>
  </si>
  <si>
    <t xml:space="preserve">Chapter III: Mapping critical levels for vegetation</t>
  </si>
  <si>
    <t xml:space="preserve">Cuantitativo / Manual</t>
  </si>
  <si>
    <t xml:space="preserve">Reguladores/legisladores (CLRTAP / CEH), Científicos</t>
  </si>
  <si>
    <t xml:space="preserve">Niveles críticos de ozono en vegetación semi-natural</t>
  </si>
  <si>
    <t xml:space="preserve">Manual del ICP Vegetation para el mapeo de niveles críticos de ozono estomático en ecosistemas templados y mediterráneos.</t>
  </si>
  <si>
    <t xml:space="preserve">Muntwyler et al.</t>
  </si>
  <si>
    <t xml:space="preserve">Assessing the phosphorus cycle in European agricultural soils: Looking beyond current national phosphorus budgets</t>
  </si>
  <si>
    <t xml:space="preserve">Unión Europea (55 experimentos de largo plazo)</t>
  </si>
  <si>
    <t xml:space="preserve">Suelos agrícolas y fósforo disponible (22 mg P/kg)</t>
  </si>
  <si>
    <t xml:space="preserve">Establece el umbral de 22 mg P/kg para garantizar un rendimiento relativo del 95% evitando deficiencias en suelos arables.</t>
  </si>
  <si>
    <t xml:space="preserve">Musselman et al.</t>
  </si>
  <si>
    <t xml:space="preserve">A critical review and analysis of the use of exposure-and flux-based ozone indices for predicting vegetation effects</t>
  </si>
  <si>
    <t xml:space="preserve">Global / EE. UU. / Europa</t>
  </si>
  <si>
    <t xml:space="preserve">Flujo estomático y desintoxicación Y de ozono</t>
  </si>
  <si>
    <t xml:space="preserve">Demuestra la superioridad de los índices basados en flujo estomático frente a los de concentración ambiental (AOT40).</t>
  </si>
  <si>
    <t xml:space="preserve">Nabuurs, Schelhaas &amp; Pussinen</t>
  </si>
  <si>
    <t xml:space="preserve">Validation of the European Forest Information Scenario Model (EFISCEN) and a projection of Finnish forests</t>
  </si>
  <si>
    <t xml:space="preserve">Cuantitativo / EFISCEN</t>
  </si>
  <si>
    <t xml:space="preserve">Comunidad científica, Reguladores/legisladores, Silvicultores</t>
  </si>
  <si>
    <t xml:space="preserve">Finlandia / Europa</t>
  </si>
  <si>
    <t xml:space="preserve">Bosques y proyección de escenarios de producción de madera</t>
  </si>
  <si>
    <t xml:space="preserve">Valida el modelo EFISCEN mostrando que los bosques europeos son los más intensamente gestionados del mundo.</t>
  </si>
  <si>
    <t xml:space="preserve">Pesticide use negatively affects bumble bees across European landscapes</t>
  </si>
  <si>
    <t xml:space="preserve">Cuantitativo / Experimentos</t>
  </si>
  <si>
    <t xml:space="preserve">Europa (Múltiples paisajes)</t>
  </si>
  <si>
    <t xml:space="preserve">Ajorros (*Bombus*) y polinizadores en agroecosistemas</t>
  </si>
  <si>
    <t xml:space="preserve">Demuestra en Nature que el uso de plaguicidas afecta negativamente el desarrollo de colonias de abejorros en Europa.</t>
  </si>
  <si>
    <t xml:space="preserve">Panagos, Borrelli &amp; Poesen</t>
  </si>
  <si>
    <t xml:space="preserve">Soil loss due to crop harvesting in the European Union: A first estimation of an underrated geomorphic process</t>
  </si>
  <si>
    <t xml:space="preserve">Suelos agrícolas y pérdida por cosecha de tubérculos/raíces</t>
  </si>
  <si>
    <t xml:space="preserve">Primera estimación europea del impacto de la pérdida de suelo asociada a la cosecha de cultivos de raíces.</t>
  </si>
  <si>
    <t xml:space="preserve">Panagos et al.</t>
  </si>
  <si>
    <t xml:space="preserve">A soil erosion indicator for supporting agricultural, environmental and climate policies in the European Union (RUSLE2015)</t>
  </si>
  <si>
    <t xml:space="preserve">Cuantitativo / RUSLE2015</t>
  </si>
  <si>
    <t xml:space="preserve">Reguladores/legisladores (UE / JRC), Oferta, Científicos</t>
  </si>
  <si>
    <t xml:space="preserve">Unión Europea (EU27 + UK)</t>
  </si>
  <si>
    <t xml:space="preserve">Suelos agrícolas y erosión hídrica (umbral 2 t/ha/año)</t>
  </si>
  <si>
    <t xml:space="preserve">Mapeo oficial de erosión hídrica RUSLE2015 fijando el umbral de erosión tolerable en 2 t/ha/año.</t>
  </si>
  <si>
    <t xml:space="preserve">Improving the phosphorus budget of European agricultural soils</t>
  </si>
  <si>
    <t xml:space="preserve">Suelos agrícolas y stocks/presupuesto de fósforo</t>
  </si>
  <si>
    <t xml:space="preserve">Mapeo a 100m de los stocks de fósforo P-Olsen y balance en suelos agrícolas europeos.</t>
  </si>
  <si>
    <t xml:space="preserve">Mercury in European topsoils: Anthropogenic sources, stocks and fluxes</t>
  </si>
  <si>
    <t xml:space="preserve">Suelos agrícolas y mercurio (500 µg/kg)</t>
  </si>
  <si>
    <t xml:space="preserve">Evalúa las fuentes antropogénicas y stocks de mercurio en la capa arable de Europa.</t>
  </si>
  <si>
    <t xml:space="preserve">Pimentel, Westra &amp; Noss</t>
  </si>
  <si>
    <t xml:space="preserve">Ecological Integrity: Integrating Environment, Conservation and Health</t>
  </si>
  <si>
    <t xml:space="preserve">Cualitativo / Libro</t>
  </si>
  <si>
    <t xml:space="preserve">Integridad ecológica global</t>
  </si>
  <si>
    <t xml:space="preserve">Obra de referencia sobre la integración de la integridad ecológica en la conservación y salud planetaria.</t>
  </si>
  <si>
    <t xml:space="preserve">Pistocchi et al.</t>
  </si>
  <si>
    <t xml:space="preserve">A screening study of the spatial distribution and cumulative toxicity of agricultural pesticides in EU waters</t>
  </si>
  <si>
    <t xml:space="preserve">Aguas superficiales y toxicidad acumulada de plaguicidas</t>
  </si>
  <si>
    <t xml:space="preserve">Mapea a resolución de 1 km2 la distribución espacial y toxicidad acumulada de 148 sustancias activas.</t>
  </si>
  <si>
    <t xml:space="preserve">Poeplau &amp; Don</t>
  </si>
  <si>
    <t xml:space="preserve">Sensitivity of soil organic carbon stocks and fractions to different land-use changes across Europe</t>
  </si>
  <si>
    <t xml:space="preserve">Suelos agrícolas/forestales y cambio de uso de suelo</t>
  </si>
  <si>
    <t xml:space="preserve">Demuestra la elevada sensibilidad del SOC ante la conversión de pastizales/bosques a cultivos arables.</t>
  </si>
  <si>
    <t xml:space="preserve">Prăvălie et al.</t>
  </si>
  <si>
    <t xml:space="preserve">A unifying modelling of multiple land degradation pathways in Europe</t>
  </si>
  <si>
    <t xml:space="preserve">Cuantitativo / LMI Model</t>
  </si>
  <si>
    <t xml:space="preserve">Tierras agrícolas y vías de degradación concurrente (LMI)</t>
  </si>
  <si>
    <t xml:space="preserve">Desarrolla el modelo Land Multi-degradation Index (LMI) evaluando 12 amenazas concurrentes en Europa.</t>
  </si>
  <si>
    <t xml:space="preserve">Prout et al.</t>
  </si>
  <si>
    <t xml:space="preserve">What is a good level of soil organic matter? An index based on organic carbon to clay ratio</t>
  </si>
  <si>
    <t xml:space="preserve">Inglaterra y Gales / Europa</t>
  </si>
  <si>
    <t xml:space="preserve">Suelos arables e índice de vulnerabilidad física</t>
  </si>
  <si>
    <t xml:space="preserve">Formaliza el índice de vulnerabilidad de estructura del suelo basado en la relación SOC/Arcilla (1:8 óptimo, 1:10 umbral).</t>
  </si>
  <si>
    <t xml:space="preserve">Reimann &amp; de Caritat</t>
  </si>
  <si>
    <t xml:space="preserve">Chemical elements in the environment: factsheets for the geochemist and environmental scientist</t>
  </si>
  <si>
    <t xml:space="preserve">Elementos químicos y geoquímica ambiental</t>
  </si>
  <si>
    <t xml:space="preserve">Fichas geoquímicas sobre la concentración natural de elementos químicos en el medio ambiente.</t>
  </si>
  <si>
    <t xml:space="preserve">Reimann et al. (GEMAS)</t>
  </si>
  <si>
    <t xml:space="preserve">GEMAS: Establishing geochemical background and threshold for 53 chemical elements in European agricultural soil</t>
  </si>
  <si>
    <t xml:space="preserve">Cuantitativo / GEMAS</t>
  </si>
  <si>
    <t xml:space="preserve">Europa (Suelos agrícolas)</t>
  </si>
  <si>
    <t xml:space="preserve">Suelos agrícolas y fondo geoquímico natural de 53 elementos</t>
  </si>
  <si>
    <t xml:space="preserve">Demuestra que la variación de fondo geoquímico natural es mayor que el impacto antropogénico en suelos agrícolas de Europa.</t>
  </si>
  <si>
    <t xml:space="preserve">Rendon et al.</t>
  </si>
  <si>
    <t xml:space="preserve">Analysis of trends in mapping and assessment of ecosystem condition in Europe</t>
  </si>
  <si>
    <t xml:space="preserve">Comunidad científica, Reguladores/legisladores (MAES)</t>
  </si>
  <si>
    <t xml:space="preserve">Tendencias en mapeo y evaluación de la condición de ecosistemas</t>
  </si>
  <si>
    <t xml:space="preserve">Analiza las tendencias en la aplicación de indicadores de condición de ecosistemas en los Estados Miembros.</t>
  </si>
  <si>
    <t xml:space="preserve">Ricci et al.</t>
  </si>
  <si>
    <t xml:space="preserve">Local pesticide use intensity conditions landscape effects on biological pest control</t>
  </si>
  <si>
    <t xml:space="preserve">Control biológico de plagas y paisajes agrícolas</t>
  </si>
  <si>
    <t xml:space="preserve">Demuestra en Proc. R. Soc. B que la intensidad de plaguicidas locales anula los beneficios del control biológico.</t>
  </si>
  <si>
    <t xml:space="preserve">Sauquet, A.</t>
  </si>
  <si>
    <t xml:space="preserve">Ex post analysis of the crop diversification measure of CAP greening in France</t>
  </si>
  <si>
    <t xml:space="preserve">Reguladores/legisladores (PAC / Francia), Oferta (Agricultores)</t>
  </si>
  <si>
    <t xml:space="preserve">Tierras de cultivo y medida de diversificación de la PAC</t>
  </si>
  <si>
    <t xml:space="preserve">Análisis ex-post de la medida de diversificación de la PAC mostrando un impacto modesto en la riqueza de cultivos (mínimo 3 cultivos).</t>
  </si>
  <si>
    <t xml:space="preserve">Schmidt-Jeffris, R. A.</t>
  </si>
  <si>
    <t xml:space="preserve">Nontarget pesticide impacts on pest natural enemies: progress and gaps in current knowledge</t>
  </si>
  <si>
    <t xml:space="preserve">Enemigos naturales de plagas y plaguicidas no objetivo</t>
  </si>
  <si>
    <t xml:space="preserve">Sintetiza el conocimiento y vacíos sobre el impacto de plaguicidas en depredadores y parasitoides naturales.</t>
  </si>
  <si>
    <t xml:space="preserve">Schulz et al.</t>
  </si>
  <si>
    <t xml:space="preserve">Applied pesticide toxicity shifts toward plants and invertebrates, even in GM crops</t>
  </si>
  <si>
    <t xml:space="preserve">Toxicidad aplicada acumulada (ATAT) en plantas e invertebrados</t>
  </si>
  <si>
    <t xml:space="preserve">Demuestra en Science que la toxicidad de plaguicidas aplicados se ha desplazado hacia plantas e invertebrados no objetivo.</t>
  </si>
  <si>
    <t xml:space="preserve">Steinfurth et al.</t>
  </si>
  <si>
    <t xml:space="preserve">Thresholds of target phosphorus fertility classes in European fertilizer recommendations</t>
  </si>
  <si>
    <t xml:space="preserve">Europa (8 países / 55 experimentos)</t>
  </si>
  <si>
    <t xml:space="preserve">Suelos agrícolas y fertilidad de fósforo</t>
  </si>
  <si>
    <t xml:space="preserve">Deriva umbrales críticos de fósforo analizando 55 experimentos de campo de largo plazo en 8 países europeos.</t>
  </si>
  <si>
    <t xml:space="preserve">Strona et al.</t>
  </si>
  <si>
    <t xml:space="preserve">Far from Naturalness: How Much Does Spatial Ecological Structure of European Tree Assemblages Depart from PNV?</t>
  </si>
  <si>
    <t xml:space="preserve">Cuantitativo / PLOS ONE</t>
  </si>
  <si>
    <t xml:space="preserve">Comunidad científica, Reguladores, Silvicultores</t>
  </si>
  <si>
    <t xml:space="preserve">Ensamblajes de árboles y Vegetación Potencial Natural (PNV)</t>
  </si>
  <si>
    <t xml:space="preserve">Demuestra que la composición actual de árboles en Europa está fuertemente alterada respecto a la vegetación natural potencial.</t>
  </si>
  <si>
    <t xml:space="preserve">Swiss Parliament</t>
  </si>
  <si>
    <t xml:space="preserve">How Ambitious is the Reduction Path Set by the Federal Council for nitrogen?</t>
  </si>
  <si>
    <t xml:space="preserve">Reguladores/legisladores (Suiza), Oferta (Agricultores)</t>
  </si>
  <si>
    <t xml:space="preserve">Suelos y reducción de excedente de nitrógeno</t>
  </si>
  <si>
    <t xml:space="preserve">Iniciativa parlamentaria suiza que fijó la meta crítica de reducción del excedente de nitrógeno en 30 kg N/ha/año.</t>
  </si>
  <si>
    <t xml:space="preserve">Tälle, Ranius &amp; Öckinger</t>
  </si>
  <si>
    <t xml:space="preserve">The usefulness of surrogates in biodiversity conservation: A synthesis</t>
  </si>
  <si>
    <t xml:space="preserve">Cualitativo / Síntesis</t>
  </si>
  <si>
    <t xml:space="preserve">Especies paraguas e indicadoras en conservación</t>
  </si>
  <si>
    <t xml:space="preserve">Evalúa la utilidad y limitaciones del uso de grupos de especies paraguas (como aves) para representar la biodiversidad.</t>
  </si>
  <si>
    <t xml:space="preserve">Tang et al.</t>
  </si>
  <si>
    <t xml:space="preserve">Risk of pesticide pollution at the global scale</t>
  </si>
  <si>
    <t xml:space="preserve">Comunidad científica, Reguladores/legisladores (ONU)</t>
  </si>
  <si>
    <t xml:space="preserve">Global (168 países)</t>
  </si>
  <si>
    <t xml:space="preserve">Suelos agrícolas y cuencas a escala planetaria</t>
  </si>
  <si>
    <t xml:space="preserve">Demuestra en Nature Geoscience que el 64% de las tierras agrícolas globales están en riesgo de contaminación por plaguicidas.</t>
  </si>
  <si>
    <t xml:space="preserve">Tarvainen et al.</t>
  </si>
  <si>
    <t xml:space="preserve">Arsenic in agricultural and grazing land soils of Europe</t>
  </si>
  <si>
    <t xml:space="preserve">Europa (Suelos agrícolas y de pastoreo)</t>
  </si>
  <si>
    <t xml:space="preserve">Suelos de cultivo y pastizales (Arsénico)</t>
  </si>
  <si>
    <t xml:space="preserve">Fija el valor de 20 mg/kg como límite de buen estado del suelo para arsénico en Noruega y Europa.</t>
  </si>
  <si>
    <t xml:space="preserve">The Federal Government</t>
  </si>
  <si>
    <t xml:space="preserve">Deutsche Nachhaltigkeitsstrategie. Weiterentwicklung 2021: Dialogfassung</t>
  </si>
  <si>
    <t xml:space="preserve">Reguladores/legisladores (Alemania), Oferta, Público general</t>
  </si>
  <si>
    <t xml:space="preserve">Estrategia nacional de desarrollo sostenible</t>
  </si>
  <si>
    <t xml:space="preserve">Estrategia de sostenibilidad alemana que estableció la meta de un excedente máximo de nitrógeno de 70 kg/ha/año.</t>
  </si>
  <si>
    <t xml:space="preserve">Thompson et al. (CBD Technical Series 43)</t>
  </si>
  <si>
    <t xml:space="preserve">Forest Resilience, Biodiversity, and Climate Change: A synthesis</t>
  </si>
  <si>
    <t xml:space="preserve">Cualitativo / Síntesis CBD</t>
  </si>
  <si>
    <t xml:space="preserve">Reguladores/legisladores (CDB / ONU), Científicos, Silvicultores</t>
  </si>
  <si>
    <t xml:space="preserve">Bosques primarios y resiliencia climática</t>
  </si>
  <si>
    <t xml:space="preserve">Demuestra que los bosques primarios e intactos ofrecen la máxima resiliencia y capacidad de autorregulación.</t>
  </si>
  <si>
    <t xml:space="preserve">Thorogood et al.</t>
  </si>
  <si>
    <t xml:space="preserve">Understanding and applying biological resilience, from genes to ecosystems</t>
  </si>
  <si>
    <t xml:space="preserve">Resiliencia biológica multiescala</t>
  </si>
  <si>
    <t xml:space="preserve">Aporta una guía operativa para entender y medir la resiliencia desde el nivel genético hasta los ecosistemas.</t>
  </si>
  <si>
    <t xml:space="preserve">Udias et al.</t>
  </si>
  <si>
    <t xml:space="preserve">Emissions of pesticides in the European Union: a new regional-level dataset</t>
  </si>
  <si>
    <t xml:space="preserve">Cuantitativo / Dataset</t>
  </si>
  <si>
    <t xml:space="preserve">Reguladores/legisladores (JRC), Comunidad científica</t>
  </si>
  <si>
    <t xml:space="preserve">Emisiones regionales de plaguicidas en cultivos de la UE</t>
  </si>
  <si>
    <t xml:space="preserve">Genera la base de datos regionalizada del JRC sobre tasas de aplicación de sustancias activas en cultivos europeos.</t>
  </si>
  <si>
    <t xml:space="preserve">Protected Planet: The World Database on Protected Areas (WDPA)</t>
  </si>
  <si>
    <t xml:space="preserve">Reguladores/legisladores (PNUMA / UICN), Científicos</t>
  </si>
  <si>
    <t xml:space="preserve">Áreas protegidas estricta (Categorías Ia, Ib, II de la UICN)</t>
  </si>
  <si>
    <t xml:space="preserve">Base de datos mundial de áreas protegidas utilizada para delinear los sitios de referencia de bosques en condición óptima.</t>
  </si>
  <si>
    <t xml:space="preserve">System of Environmental-Economic Accounting - Ecosystem Accounting (SEEA EA)</t>
  </si>
  <si>
    <t xml:space="preserve">Cualitativo / Estándar ONU</t>
  </si>
  <si>
    <t xml:space="preserve">Reguladores/legisladores (ONU / Estadísticos), Científicos</t>
  </si>
  <si>
    <t xml:space="preserve">Estándar internacional de contabilidad ecosistémica SEEA EA</t>
  </si>
  <si>
    <t xml:space="preserve">Estándar estadístico internacional de la ONU que define las cuentas de condición ecosistémica e integridad.</t>
  </si>
  <si>
    <t xml:space="preserve">Vallé et al.</t>
  </si>
  <si>
    <t xml:space="preserve">Farmland biodiversity benefits from small woody features</t>
  </si>
  <si>
    <t xml:space="preserve">Pequeños elementos leñosos (SWF) y fauna agrícola</t>
  </si>
  <si>
    <t xml:space="preserve">Establece en Biological Conservation los umbrales de densidad de SWF en tierras arables (6% umbral, 12% óptimo).</t>
  </si>
  <si>
    <t xml:space="preserve">Van Eynde et al.</t>
  </si>
  <si>
    <t xml:space="preserve">Spatial assessment of topsoil zinc concentrations in Europe</t>
  </si>
  <si>
    <t xml:space="preserve">Suelos agrícolas y concentraciones de zinc (10-30 mg/kg)</t>
  </si>
  <si>
    <t xml:space="preserve">Mapea la distribución de zinc en la capa arable de Europa identificando áreas de suficiencia y riesgo de deficiencia.</t>
  </si>
  <si>
    <t xml:space="preserve">Vlasáková et al. (Eionet)</t>
  </si>
  <si>
    <t xml:space="preserve">Evaluation of European-wide map creation of flux-based ozone indicator POD for selected tree species</t>
  </si>
  <si>
    <t xml:space="preserve">Reguladores/legisladores (AEMA / Eionet), Científicos</t>
  </si>
  <si>
    <t xml:space="preserve">Bosques y pastizales (Dosis de ozono fitotóxico POD)</t>
  </si>
  <si>
    <t xml:space="preserve">Evalúa la cartografía del indicador POD de ozono estomático para bosques y vegetación semi-natural en Europa.</t>
  </si>
  <si>
    <t xml:space="preserve">Zaller et al.</t>
  </si>
  <si>
    <t xml:space="preserve">Pesticides in ambient air, influenced by surrounding land use and weather</t>
  </si>
  <si>
    <t xml:space="preserve">Europa (Austria/Alemania)</t>
  </si>
  <si>
    <t xml:space="preserve">Aire ambiente y deriva de plaguicidas en agroecosistemas</t>
  </si>
  <si>
    <t xml:space="preserve">Demuestra la presencia y deriva de plaguicidas en el aire ambiente afectando áreas no cultivadas y la salud.</t>
  </si>
  <si>
    <t xml:space="preserve">Nitrogen surplus benchmarks for controlling N pollution in the main cropping systems of China</t>
  </si>
  <si>
    <t xml:space="preserve">Sistemas agrícolas e intensificación de nitrógeno</t>
  </si>
  <si>
    <t xml:space="preserve">Establece valores de referencia de excedente de nitrógeno (40-100 kg N/ha/año) para el control de la contaminación.</t>
  </si>
  <si>
    <t xml:space="preserve">Akinnawo, S. O.</t>
  </si>
  <si>
    <t xml:space="preserve">Eutrophication: Causes, consequences, physical, chemical and biological techniques for mitigation strategies</t>
  </si>
  <si>
    <t xml:space="preserve">Ecosistemas acuáticos (Lagos, ríos y aguas costeras)</t>
  </si>
  <si>
    <t xml:space="preserve">Revisión sobre causas y consecuencias de la eutrofización y técnicas físico-químicas de mitigación.</t>
  </si>
  <si>
    <t xml:space="preserve">Allain, S., Plumecocq, G. &amp; Leenhardt, D.</t>
  </si>
  <si>
    <t xml:space="preserve">Spatial aggregation of indicators in sustainability assessments: descriptive and normative claims</t>
  </si>
  <si>
    <t xml:space="preserve">Agregación espacial e indicadores de sostenibilidad</t>
  </si>
  <si>
    <t xml:space="preserve">Marco metodológico para la agregación espacial de indicadores en evaluaciones de sostenibilidad.</t>
  </si>
  <si>
    <t xml:space="preserve">Amezaga, J. M., Santamaría, L. &amp; Green, A. J.</t>
  </si>
  <si>
    <t xml:space="preserve">Biotic wetland connectivity—supporting a new approach for wetland policy</t>
  </si>
  <si>
    <t xml:space="preserve">Europa / Mediterráneo</t>
  </si>
  <si>
    <t xml:space="preserve">Humedales y conectividad biótica</t>
  </si>
  <si>
    <t xml:space="preserve">Demuestra la importancia de la conectividad biótica de humedales para el diseño de políticas públicas de conservación.</t>
  </si>
  <si>
    <t xml:space="preserve">Archibald, S. et al.</t>
  </si>
  <si>
    <t xml:space="preserve">Defining pyromes and global syndromes of fire regimes</t>
  </si>
  <si>
    <t xml:space="preserve">Bosques, matorrales y piro-regímenes globales</t>
  </si>
  <si>
    <t xml:space="preserve">Define los piromas globales y caracterización de regímenes de fuego para evaluación de perturbaciones.</t>
  </si>
  <si>
    <t xml:space="preserve">Arias-Navarro, C., Baritz, R. &amp; Jones, A. (eds)</t>
  </si>
  <si>
    <t xml:space="preserve">State of Soils in Europe – Assessment of the pressures driving soil degradation</t>
  </si>
  <si>
    <t xml:space="preserve">Reguladores/legisladores (JRC/UE), Oferta (Agricultores), Científicos</t>
  </si>
  <si>
    <t xml:space="preserve">Suelos agrícolas, forestales y naturales</t>
  </si>
  <si>
    <t xml:space="preserve">Evaluación espacial del JRC sobre el estado de degradación de los suelos europeos y sus presiones clave.</t>
  </si>
  <si>
    <t xml:space="preserve">Arnold Jr, C. L. &amp; Gibbons, C. J.</t>
  </si>
  <si>
    <t xml:space="preserve">Impervious surface coverage: the emergence of a key environmental indicator</t>
  </si>
  <si>
    <t xml:space="preserve">Reguladores/legisladores (Planificadores urbanos), Científicos</t>
  </si>
  <si>
    <t xml:space="preserve">Ecosistemas urbanos y sellado de suelo</t>
  </si>
  <si>
    <t xml:space="preserve">Establece la cobertura de superficie impermeable (sellado) como indicador ambiental clave para planificación urbana.</t>
  </si>
  <si>
    <t xml:space="preserve">Avitabile, V. et al.</t>
  </si>
  <si>
    <t xml:space="preserve">Forest biomass production (Biomass production, supply, uses and flows in the EU)</t>
  </si>
  <si>
    <t xml:space="preserve">Bosques y producción de biomasa</t>
  </si>
  <si>
    <t xml:space="preserve">Evaluación integrada de la producción, oferta y flujos de biomasa forestal en la Unión Europea.</t>
  </si>
  <si>
    <t xml:space="preserve">Babi Almenar, J. et al.</t>
  </si>
  <si>
    <t xml:space="preserve">Urban ecosystem accounts following the SEEA EA standard: A pilot application in Europe</t>
  </si>
  <si>
    <t xml:space="preserve">Reguladores/legisladores (JRC/UE), Demanda, Científicos</t>
  </si>
  <si>
    <t xml:space="preserve">Unión Europea (Ciudades europeas)</t>
  </si>
  <si>
    <t xml:space="preserve">Ecosistemas urbanos e infraestructura verde</t>
  </si>
  <si>
    <t xml:space="preserve">Piloto de contabilidad de ecosistemas urbanos siguiendo el estándar estadístico internacional SEEA EA de la ONU.</t>
  </si>
  <si>
    <t xml:space="preserve">Ballabio, C., Jones, A. &amp; Panagos, P.</t>
  </si>
  <si>
    <t xml:space="preserve">Cadmium in topsoils of the European Union – An analysis based on LUCAS topsoil database</t>
  </si>
  <si>
    <t xml:space="preserve">Suelos y contaminación por cadmio (Cd)</t>
  </si>
  <si>
    <t xml:space="preserve">Análisis espacial de cadmio en suelos europeos basado en la base de datos geoespacial LUCAS.</t>
  </si>
  <si>
    <t xml:space="preserve">Mapping LUCAS topsoil chemical properties at European scale using Gaussian process regression</t>
  </si>
  <si>
    <t xml:space="preserve">Propiedades químicas de suelos agrícolas y naturales</t>
  </si>
  <si>
    <t xml:space="preserve">Modelación geoespacial de alta resolución de propiedades químicas del suelo a escala continental.</t>
  </si>
  <si>
    <t xml:space="preserve">Ballabio, C., Panagos, P. &amp; Montanarella, L.</t>
  </si>
  <si>
    <t xml:space="preserve">Mapping topsoil physical properties at European scale using the LUCAS database</t>
  </si>
  <si>
    <t xml:space="preserve">Propiedades físicas del suelo (textura, densidad)</t>
  </si>
  <si>
    <t xml:space="preserve">Mapeo geoespacial de propiedades físicas del suelo en Europa para la evaluación de condición física.</t>
  </si>
  <si>
    <t xml:space="preserve">Barredo, J. I. et al.</t>
  </si>
  <si>
    <t xml:space="preserve">Mapping and assessment of primary and old-growth forests in Europe</t>
  </si>
  <si>
    <t xml:space="preserve">Reguladores/legisladores (JRC/UE), Oferta (Silvicultores), Científicos</t>
  </si>
  <si>
    <t xml:space="preserve">Bosques primarios y maduros intactos</t>
  </si>
  <si>
    <t xml:space="preserve">Mapeo y evaluación de la localización y estado de conservación de los bosques primarios intactos de Europa (&lt;3%).</t>
  </si>
  <si>
    <t xml:space="preserve">Barredo, J. I., Marí Rivero, I. &amp; Janoušková, K.</t>
  </si>
  <si>
    <t xml:space="preserve">Assessing disturbances in surviving primary forests of Europe</t>
  </si>
  <si>
    <t xml:space="preserve">Bosques primarios y perturbaciones antrópicas</t>
  </si>
  <si>
    <t xml:space="preserve">Evaluación de perturbaciones y presiones climáticas en los últimos remanentes de bosques primarios europeos.</t>
  </si>
  <si>
    <t xml:space="preserve">Mapping European forest archetypes</t>
  </si>
  <si>
    <t xml:space="preserve">Arquetipos de bosques europeos</t>
  </si>
  <si>
    <t xml:space="preserve">Clasificación arquetípica de ecosistemas forestales europeos combinando intensidad de manejo y naturalidad.</t>
  </si>
  <si>
    <t xml:space="preserve">Barrios, E.</t>
  </si>
  <si>
    <t xml:space="preserve">Soil biota, ecosystem services and land productivity</t>
  </si>
  <si>
    <t xml:space="preserve">Suelos y biota edáfica</t>
  </si>
  <si>
    <t xml:space="preserve">Demuestra el rol fundamental de los organismos del suelo en la provisión de servicios de regulación y productividad.</t>
  </si>
  <si>
    <t xml:space="preserve">Barua, P., Rahman, S. H. &amp; Eslamian, S.</t>
  </si>
  <si>
    <t xml:space="preserve">Coastal Zone and Wetland Ecosystem: Management Issues</t>
  </si>
  <si>
    <t xml:space="preserve">Reguladores/legisladores, Oferta (Comunidades costeras), Científicos</t>
  </si>
  <si>
    <t xml:space="preserve">Humedales costeros y zonas marinas someras</t>
  </si>
  <si>
    <t xml:space="preserve">Análisis de gestión integrada de zonas costeras y humedales marinos ante presiones de desarrollo.</t>
  </si>
  <si>
    <t xml:space="preserve">Binner, H. et al.</t>
  </si>
  <si>
    <t xml:space="preserve">A Systematic Review and Characterization of the Major and Most Studied Urban Soil Threats in the EU</t>
  </si>
  <si>
    <t xml:space="preserve">Suelos urbanos y amenazas de contaminación</t>
  </si>
  <si>
    <t xml:space="preserve">Revisión sistemática identificando las principales amenazas y vacíos de monitoreo en suelos urbanos de la UE.</t>
  </si>
  <si>
    <t xml:space="preserve">Bisselink, B. et al.</t>
  </si>
  <si>
    <t xml:space="preserve">Impact of a changing climate, land use, and water usage on Europe’s water resources</t>
  </si>
  <si>
    <t xml:space="preserve">Reguladores/legisladores (JRC), Oferta, Demanda</t>
  </si>
  <si>
    <t xml:space="preserve">Europa (Cuencas hidrográficas)</t>
  </si>
  <si>
    <t xml:space="preserve">Ecosistemas de agua dulce y cuencas</t>
  </si>
  <si>
    <t xml:space="preserve">Modelación hidrológica paneuropea (LISFLOOD) evaluando el impacto del clima y usos del suelo sobre los recursos hídricos.</t>
  </si>
  <si>
    <t xml:space="preserve">Borrelli, P. et al.</t>
  </si>
  <si>
    <t xml:space="preserve">A new assessment of soil loss due to wind erosion in European agricultural soils</t>
  </si>
  <si>
    <t xml:space="preserve">Suelos agrícolas y erosión eólica</t>
  </si>
  <si>
    <t xml:space="preserve">Primera evaluación espacial cuantitativa de pérdidas de suelo por erosión eólica en tierras agrícolas de la UE.</t>
  </si>
  <si>
    <t xml:space="preserve">A hybrid in situ and on-screen survey to monitor gully erosion across the European Union</t>
  </si>
  <si>
    <t xml:space="preserve">Suelos agrícolas y erosión por cárcavas</t>
  </si>
  <si>
    <t xml:space="preserve">Monitoreo híbrido de erosión por cárcavas en la UE para complementar indicadores de salud del suelo.</t>
  </si>
  <si>
    <t xml:space="preserve">Briffa, J., Sinagra, E. &amp; Blundell, R.</t>
  </si>
  <si>
    <t xml:space="preserve">Heavy metal pollution in the environment and their toxicological effects on humans</t>
  </si>
  <si>
    <t xml:space="preserve">Ecosistemas acuáticos y terrestres expuestos a metales pesados</t>
  </si>
  <si>
    <t xml:space="preserve">Revisión sobre ecotoxicología de metales pesados en cadenas tróficas y riesgos para la salud humana.</t>
  </si>
  <si>
    <t xml:space="preserve">Brown, C. F. et al.</t>
  </si>
  <si>
    <t xml:space="preserve">Dynamic World: near real-time global 10 m land use land cover mapping</t>
  </si>
  <si>
    <t xml:space="preserve">Uso y cobertura del suelo en tiempo casi real</t>
  </si>
  <si>
    <t xml:space="preserve">Mapeo global de cobertura de suelo a 10m en tiempo casi real basado en Sentinel-2 e IA.</t>
  </si>
  <si>
    <t xml:space="preserve">Bub, S. et al.</t>
  </si>
  <si>
    <t xml:space="preserve">Trends of Total Applied Pesticide Toxicity in German Agriculture</t>
  </si>
  <si>
    <t xml:space="preserve">Comunidad científica, Reguladores, Oferta (Agricultores)</t>
  </si>
  <si>
    <t xml:space="preserve">Agroecosistemas y carga de plaguicidas</t>
  </si>
  <si>
    <t xml:space="preserve">Demuestra que los indicadores basados en masa no capturan el aumento del riesgo ecotóxico de plaguicidas.</t>
  </si>
  <si>
    <t xml:space="preserve">Burkhard, B. et al.</t>
  </si>
  <si>
    <t xml:space="preserve">An operational framework for integrated Mapping and Assessment of Ecosystems and their Services (MAES)</t>
  </si>
  <si>
    <t xml:space="preserve">Marco MAES integrador para todos los ecosistemas</t>
  </si>
  <si>
    <t xml:space="preserve">Marco operativo oficial para el mapeo e integración de servicios ecosistémicos en Europa.</t>
  </si>
  <si>
    <t xml:space="preserve">Camia, A. et al.</t>
  </si>
  <si>
    <t xml:space="preserve">Biomass production, supply, uses and flows in the European Union</t>
  </si>
  <si>
    <t xml:space="preserve">Reguladores/legisladores (JRC), Oferta (Silvicultores, Agricultura)</t>
  </si>
  <si>
    <t xml:space="preserve">Biomasa forestal y agrícola</t>
  </si>
  <si>
    <t xml:space="preserve">Evaluación integrada de los flujos de biomasa para la bioeconomía en la UE.</t>
  </si>
  <si>
    <t xml:space="preserve">Cammalleri, C., Micale, F. &amp; Vogt, J.</t>
  </si>
  <si>
    <t xml:space="preserve">Recent temporal trend in modelled soil water deficit over Europe driven by meteorological observations</t>
  </si>
  <si>
    <t xml:space="preserve">Cuantitativo / Climático</t>
  </si>
  <si>
    <t xml:space="preserve">Comunidad científica, Reguladores/legisladores (EDO/JRC)</t>
  </si>
  <si>
    <t xml:space="preserve">Déficit de humedad del suelo y sequías</t>
  </si>
  <si>
    <t xml:space="preserve">Modelación de tendencias de déficit hídrico en suelos europeos como indicador de sequía climática.</t>
  </si>
  <si>
    <t xml:space="preserve">Cannone, N. et al.</t>
  </si>
  <si>
    <t xml:space="preserve">Salix shrub encroachment along a 1000 m elevation gradient triggers a major ecosystem change in the European Alps</t>
  </si>
  <si>
    <t xml:space="preserve">Europa (Alpes)</t>
  </si>
  <si>
    <t xml:space="preserve">Matorrales alpinos y expansión leñosa</t>
  </si>
  <si>
    <t xml:space="preserve">Demuestra el impacto del calentamiento en la expansión de matorrales leñosos en biomas alpinos.</t>
  </si>
  <si>
    <t xml:space="preserve">Carnicer, J. et al.</t>
  </si>
  <si>
    <t xml:space="preserve">Widespread crown condition decline, food web disruption, and amplified tree mortality with increased climate change-type drought</t>
  </si>
  <si>
    <t xml:space="preserve">Europa (Mediterráneo)</t>
  </si>
  <si>
    <t xml:space="preserve">Bosques mediterráneos y defoliación</t>
  </si>
  <si>
    <t xml:space="preserve">Demuestra el declive de la condición de copas y aumento de mortalidad de árboles por sequías climáticas.</t>
  </si>
  <si>
    <t xml:space="preserve">Carpenter, S. R. et al.</t>
  </si>
  <si>
    <t xml:space="preserve">Science for managing ecosystem services: beyond the Millennium Ecosystem Assessment</t>
  </si>
  <si>
    <t xml:space="preserve">Gobernanza global de servicios ecosistémicos</t>
  </si>
  <si>
    <t xml:space="preserve">Establece las bases científicas para avanzar de la evaluación conceptual a la gestión activa de servicios.</t>
  </si>
  <si>
    <t xml:space="preserve">Ceccherini, G. et al.</t>
  </si>
  <si>
    <t xml:space="preserve">Abrupt increase in harvested forest area over Europe after 2015</t>
  </si>
  <si>
    <t xml:space="preserve">Bosques y cosecha de madera</t>
  </si>
  <si>
    <t xml:space="preserve">Publica en Nature el aumento repentino del área forestal cosechada en Europa tras 2015 basado en datos satelitales.</t>
  </si>
  <si>
    <t xml:space="preserve">Reply to Wernick, I. K. et al.; Palahí, M. et al.</t>
  </si>
  <si>
    <t xml:space="preserve">Metodología de monitoreo de cosecha forestal</t>
  </si>
  <si>
    <t xml:space="preserve">Clarifica en Nature los métodos estadísticos y satelitales para detectar cambios en la cosecha de biomasa.</t>
  </si>
  <si>
    <t xml:space="preserve">Cerveny, L. K. et al.</t>
  </si>
  <si>
    <t xml:space="preserve">The use of recreation planning tools in U.S. Forest Service NEPA assessments</t>
  </si>
  <si>
    <t xml:space="preserve">Reguladores/legisladores (USFS), Público general</t>
  </si>
  <si>
    <t xml:space="preserve">Bosques y turismo/recreación en la naturaleza</t>
  </si>
  <si>
    <t xml:space="preserve">Evalúa las herramientas de planificación recreativa (ROS) en la toma de decisiones ambientales públicas.</t>
  </si>
  <si>
    <t xml:space="preserve">Chen, L. et al.</t>
  </si>
  <si>
    <t xml:space="preserve">How do coastal wetlands respond to the impact of sea level rise?</t>
  </si>
  <si>
    <t xml:space="preserve">Global / Costas</t>
  </si>
  <si>
    <t xml:space="preserve">Humedales costeros y ascenso del nivel del mar</t>
  </si>
  <si>
    <t xml:space="preserve">Modela la respuesta biótica y espacial de humedales costeros frente al ascenso acelerado del nivel del mar.</t>
  </si>
  <si>
    <t xml:space="preserve">Christianen, M. J. A. et al.</t>
  </si>
  <si>
    <t xml:space="preserve">Low-Canopy Seagrass Beds Still Provide Important Coastal Protection Services</t>
  </si>
  <si>
    <t xml:space="preserve">Praderas de fanerógamas marinas (seagrass)</t>
  </si>
  <si>
    <t xml:space="preserve">Demuestra en PLOS ONE que praderas marinas de bajo dosel retienen sedimentos y protegen costas contra la erosión.</t>
  </si>
  <si>
    <t xml:space="preserve">Clark, R. &amp; Stankey, H. G.</t>
  </si>
  <si>
    <t xml:space="preserve">The Recreation Opportunity Spectrum: A Framework for Planning, Management, and Research</t>
  </si>
  <si>
    <t xml:space="preserve">Espacios naturales y potencial recreativo (ROS)</t>
  </si>
  <si>
    <t xml:space="preserve">Obra clásica que creó el marco ROS para categorizar oportunidades recreativas en entornos naturales.</t>
  </si>
  <si>
    <t xml:space="preserve">Coccolo, S. et al.</t>
  </si>
  <si>
    <t xml:space="preserve">Outdoor human comfort and thermal stress: A comprehensive review on models and standards</t>
  </si>
  <si>
    <t xml:space="preserve">Comunidad científica, Reguladores/legisladores (Urbano)</t>
  </si>
  <si>
    <t xml:space="preserve">Ecosistemas urbanos y estrés térmico</t>
  </si>
  <si>
    <t xml:space="preserve">Revisión sobre modelos de confort térmico humano en entornos urbanos y amortiguación por vegetación.</t>
  </si>
  <si>
    <t xml:space="preserve">Comisión Europea (Decisión 2017/848)</t>
  </si>
  <si>
    <t xml:space="preserve">Criterios y normas metodológicas aplicables al buen estado ambiental de las aguas marinas (MSFD)</t>
  </si>
  <si>
    <t xml:space="preserve">Reguladores/legisladores (UE), Demanda (Sectores marinos), Público</t>
  </si>
  <si>
    <t xml:space="preserve">Unión Europea (Regiones marinas)</t>
  </si>
  <si>
    <t xml:space="preserve">Aguas marinas y costeras de la UE</t>
  </si>
  <si>
    <t xml:space="preserve">Establece los descriptores e indicadores oficiales del Buen Estado Ambiental marino (GES) bajo la MSFD.</t>
  </si>
  <si>
    <t xml:space="preserve">Comisión Europea (Reglamento 2017/1263)</t>
  </si>
  <si>
    <t xml:space="preserve">Lista de especies exóticas invasoras preocupantes para la Unión</t>
  </si>
  <si>
    <t xml:space="preserve">Reguladores/legisladores (UE/Estados), Oferta, Público</t>
  </si>
  <si>
    <t xml:space="preserve">Especies exóticas invasoras en ecosistemas europeos</t>
  </si>
  <si>
    <t xml:space="preserve">Regulación vinculante que actualiza el catálogo de especies exóticas invasoras objeto de erradicación en la UE.</t>
  </si>
  <si>
    <t xml:space="preserve">Comisión Europea (COM(95) 189)</t>
  </si>
  <si>
    <t xml:space="preserve">Wise use and conservation of wetlands</t>
  </si>
  <si>
    <t xml:space="preserve">Reguladores/legisladores (UE), Oferta, Público general</t>
  </si>
  <si>
    <t xml:space="preserve">Documento político marco de la UE para promover el uso racional y conservación de humedales.</t>
  </si>
  <si>
    <t xml:space="preserve">Convención de Ramsar</t>
  </si>
  <si>
    <t xml:space="preserve">Convention on Wetlands of International Importance especially as Waterfowl Habitat</t>
  </si>
  <si>
    <t xml:space="preserve">Reguladores/legisladores (172 países), Público general</t>
  </si>
  <si>
    <t xml:space="preserve">Humedales de importancia internacional</t>
  </si>
  <si>
    <t xml:space="preserve">Tratado intergubernamental fundacional para la conservación y uso sostenible de humedales a nivel mundial.</t>
  </si>
  <si>
    <t xml:space="preserve">A common typology for ecosystem characteristics and ecosystem condition variables</t>
  </si>
  <si>
    <t xml:space="preserve">Ecosistemas continentales y marinos</t>
  </si>
  <si>
    <t xml:space="preserve">Establece la Tipología de Condición Ecosistémica (ECT) de 6 clases adoptada formalmente por el SEEA EA.</t>
  </si>
  <si>
    <t xml:space="preserve">Czúcz, B. et al. (SELINA)</t>
  </si>
  <si>
    <t xml:space="preserve">Report on definition of reference conditions that describe good ecosystem condition</t>
  </si>
  <si>
    <t xml:space="preserve">Condición de referencia y niveles óptimos</t>
  </si>
  <si>
    <t xml:space="preserve">Guía técnica sobre la definición científica de condiciones de referencia para evaluar el buen estado ecosistémico.</t>
  </si>
  <si>
    <t xml:space="preserve">De Jager, A. &amp; Vogt, J.</t>
  </si>
  <si>
    <t xml:space="preserve">Rivers and Catchments of Europe – Catchment Characterisation Model (CCM2)</t>
  </si>
  <si>
    <t xml:space="preserve">Europa (Continental)</t>
  </si>
  <si>
    <t xml:space="preserve">Ríos, cuencas hidrográficas y redes fluviales (CCM2)</t>
  </si>
  <si>
    <t xml:space="preserve">Base de datos hidrográfica jerárquica del JRC para la delimitación de cuencas y redes fluviales de Europa.</t>
  </si>
  <si>
    <t xml:space="preserve">de los Santos, C. B. et al.</t>
  </si>
  <si>
    <t xml:space="preserve">Recent trend reversal for declining European seagrass meadows</t>
  </si>
  <si>
    <t xml:space="preserve">Europa (Costas)</t>
  </si>
  <si>
    <t xml:space="preserve">Demuestra en Nature Communications la reversión parcial del declive de praderas marinas en Europa por reducción de nutrientes.</t>
  </si>
  <si>
    <t xml:space="preserve">Díaz, S. et al. (IPBES)</t>
  </si>
  <si>
    <t xml:space="preserve">The IPBES Conceptual Framework — connecting nature and people</t>
  </si>
  <si>
    <t xml:space="preserve">Presenta el marco conceptual fundacional de IPBES vinculando naturaleza, contribuciones (NCP) y calidad de vida.</t>
  </si>
  <si>
    <t xml:space="preserve">Directiva 2000/60/CE (DMA)</t>
  </si>
  <si>
    <t xml:space="preserve">Directiva Marco del Agua (DMA) de la Unión Europea</t>
  </si>
  <si>
    <t xml:space="preserve">Reguladores/legisladores (UE/Estados), Oferta, Demanda, Público</t>
  </si>
  <si>
    <t xml:space="preserve">Ríos, lagos, aguas subterráneas y de transición</t>
  </si>
  <si>
    <t xml:space="preserve">Legislación hito que exige alcanzar el 'buen estado ecológico y químico' en todas las masas de agua europeas.</t>
  </si>
  <si>
    <t xml:space="preserve">Directiva 2008/56/CE (MSFD)</t>
  </si>
  <si>
    <t xml:space="preserve">Directiva Marco sobre la Estrategia Marina de la Unión Europea</t>
  </si>
  <si>
    <t xml:space="preserve">Aguas marinas y oceánicas de la UE</t>
  </si>
  <si>
    <t xml:space="preserve">Marco legal para alcanzar el Buen Estado Ambiental (GES) en todas las aguas marinas europeas.</t>
  </si>
  <si>
    <t xml:space="preserve">Directiva 91/676/CEE (Nitratos)</t>
  </si>
  <si>
    <t xml:space="preserve">Directiva relativa a la protección de las aguas contra la contaminación por nitratos agrícolas</t>
  </si>
  <si>
    <t xml:space="preserve">Reguladores/legisladores (UE), Oferta (Agricultores, Ganaderos)</t>
  </si>
  <si>
    <t xml:space="preserve">Aguas subterráneas y superficiales agrícolas</t>
  </si>
  <si>
    <t xml:space="preserve">Regulación clave para delimitar Zonas Vulnerables a Nitratos e imponer buenas prácticas de fertilización.</t>
  </si>
  <si>
    <t xml:space="preserve">Directiva 92/43/CEE (Hábitats)</t>
  </si>
  <si>
    <t xml:space="preserve">Directiva relativa a la conservación de los hábitats naturales y de la fauna y flora silvestres</t>
  </si>
  <si>
    <t xml:space="preserve">Red Natura 2000 y hábitats protegidos</t>
  </si>
  <si>
    <t xml:space="preserve">Pilar de la conservación europea que creó la Red Natura 2000 y el mandato de estado de conservación favorable.</t>
  </si>
  <si>
    <t xml:space="preserve">Duddigan, S. et al.</t>
  </si>
  <si>
    <t xml:space="preserve">Restored lowland heathlands store substantially less carbon than undisturbed lowland heath</t>
  </si>
  <si>
    <t xml:space="preserve">Europa (Reino Unido)</t>
  </si>
  <si>
    <t xml:space="preserve">Matorrales de brezal de tierras bajas</t>
  </si>
  <si>
    <t xml:space="preserve">Demuestra que brezales no perturbados almacenan hasta el doble de carbono que los brezales restaurados.</t>
  </si>
  <si>
    <t xml:space="preserve">EAA / AEMA (2020)</t>
  </si>
  <si>
    <t xml:space="preserve">State of nature in the EU – results from reporting under the nature directives 2013–2018</t>
  </si>
  <si>
    <t xml:space="preserve">Reguladores/legisladores (AEMA/UE), Público general, Científicos</t>
  </si>
  <si>
    <t xml:space="preserve">Todos los hábitats y especies protegidos de la UE</t>
  </si>
  <si>
    <t xml:space="preserve">Informe oficial de la AEMA revelando que el 81% de los hábitats protegidos en la UE están en estado desfavorable.</t>
  </si>
  <si>
    <t xml:space="preserve">EAA / AEMA (2024)</t>
  </si>
  <si>
    <t xml:space="preserve">European waters – assessment of status and pressures 2024</t>
  </si>
  <si>
    <t xml:space="preserve">Reguladores/legisladores (AEMA/UE), Público general</t>
  </si>
  <si>
    <t xml:space="preserve">Ríos, lagos, aguas subterráneas y costeras</t>
  </si>
  <si>
    <t xml:space="preserve">Evaluación oficial que muestra que solo el 37% de las masas de agua superficiales de la UE logran buen estado ecológico.</t>
  </si>
  <si>
    <t xml:space="preserve">Ecol. Estrat. Biodiversidad 2030</t>
  </si>
  <si>
    <t xml:space="preserve">Estrategia de la UE sobre la Biodiversidad de aquí a 2030 [COM(2020) 380 final]</t>
  </si>
  <si>
    <t xml:space="preserve">Reguladores/legisladores (UE), Oferta, Demanda, Público</t>
  </si>
  <si>
    <t xml:space="preserve">Ecosistemas continentales y marinos de la UE</t>
  </si>
  <si>
    <t xml:space="preserve">Estrategia europea que fijó la meta del 30% de protección y el mandato de restauración ecológica vinculante.</t>
  </si>
  <si>
    <t xml:space="preserve">Eurostat (2024)</t>
  </si>
  <si>
    <t xml:space="preserve">EU ecosystem typology (Technical Note)</t>
  </si>
  <si>
    <t xml:space="preserve">Reguladores/legisladores (Eurostat), Científicos</t>
  </si>
  <si>
    <t xml:space="preserve">Tipología oficial de ecosistemas de la UE</t>
  </si>
  <si>
    <t xml:space="preserve">Establece la tipología estandarizada de ecosistemas de la UE alineada con el Reglamento de Cuentas Ecosistémicas.</t>
  </si>
  <si>
    <t xml:space="preserve">FAO (2020)</t>
  </si>
  <si>
    <t xml:space="preserve">Global Forest Resources Assessment 2020 (FRA 2020)</t>
  </si>
  <si>
    <t xml:space="preserve">Reguladores/legisladores, Oferta (Silvicultores), Público</t>
  </si>
  <si>
    <t xml:space="preserve">Bosques y recursos forestales mundiales</t>
  </si>
  <si>
    <t xml:space="preserve">Evaluación quinquenal global de los recursos forestales, tasas de deforestación y cubierta de copas.</t>
  </si>
  <si>
    <t xml:space="preserve">FAO (2023)</t>
  </si>
  <si>
    <t xml:space="preserve">Terms and Definitions FRA 2025 (Forest Resources Assessment)</t>
  </si>
  <si>
    <t xml:space="preserve">Reguladores/legisladores (FAO), Científicos</t>
  </si>
  <si>
    <t xml:space="preserve">Definiciones de bosques, tierras arboladas y plantaciones</t>
  </si>
  <si>
    <t xml:space="preserve">Definiciones estandarizadas globales para la evaluación de bosques (superficie &gt;0.5 ha, copas &gt;10%, altura &gt;5m).</t>
  </si>
  <si>
    <t xml:space="preserve">Fernández-Guisuraga &amp; Fernandes</t>
  </si>
  <si>
    <t xml:space="preserve">Prescribed burning mitigates the severity of subsequent wildfires in Mediterranean shrublands</t>
  </si>
  <si>
    <t xml:space="preserve">Comunidad científica, Oferta (Gestores de fuego), Reguladores</t>
  </si>
  <si>
    <t xml:space="preserve">Matorrales mediterráneos y manejo del fuego</t>
  </si>
  <si>
    <t xml:space="preserve">Demuestra cuantitativamente que las quemas prescritas reducen la severidad de incendios forestales catastróficos.</t>
  </si>
  <si>
    <t xml:space="preserve">Galimberti, F., Dorati, C. &amp; Pistocchi, A.</t>
  </si>
  <si>
    <t xml:space="preserve">Estimating Pesticide Use Across the EU: Accessible Data and Gapfilling</t>
  </si>
  <si>
    <t xml:space="preserve">Cuantitativo / JRC</t>
  </si>
  <si>
    <t xml:space="preserve">Reguladores/legisladores (JRC), Oferta (Agricultores)</t>
  </si>
  <si>
    <t xml:space="preserve">Agroecosistemas y uso de plaguicidas</t>
  </si>
  <si>
    <t xml:space="preserve">Metodología del JRC para rellenar vacíos de datos sobre el uso real de sustancias activas de plaguicidas en la UE.</t>
  </si>
  <si>
    <t xml:space="preserve">Garibaldi, L. A. et al.</t>
  </si>
  <si>
    <t xml:space="preserve">Wild pollinators enhance fruit set of crops regardless of honey bee abundance</t>
  </si>
  <si>
    <t xml:space="preserve">Comunidad científica, Oferta (Agricultores), Público</t>
  </si>
  <si>
    <t xml:space="preserve">Global (41 sistemas de cultivo)</t>
  </si>
  <si>
    <t xml:space="preserve">Agroecosistemas y polinizadores silvestres</t>
  </si>
  <si>
    <t xml:space="preserve">Demuestra en Science que los polinizadores silvestres incrementan el cuajado de frutos de forma insustituible por abejas melíferas.</t>
  </si>
  <si>
    <t xml:space="preserve">Gazol, A. &amp; Camarero, J. J.</t>
  </si>
  <si>
    <t xml:space="preserve">Compound climate events increase tree drought mortality across European forests</t>
  </si>
  <si>
    <t xml:space="preserve">Bosques europeos y eventos climáticos compuestos</t>
  </si>
  <si>
    <t xml:space="preserve">Demuestra que la combinación de sequías extremas y olas de calor acelera la mortalidad de árboles en Europa.</t>
  </si>
  <si>
    <t xml:space="preserve">Grizzetti, B. et al.</t>
  </si>
  <si>
    <t xml:space="preserve">Relationship between ecological condition and ecosystem services in European rivers, lakes and coastal waters</t>
  </si>
  <si>
    <t xml:space="preserve">Ríos, lagos y aguas costeras</t>
  </si>
  <si>
    <t xml:space="preserve">Demuestra empíricamente la correlación positiva entre la buena condición ecológica de aguas y la entrega de servicios.</t>
  </si>
  <si>
    <t xml:space="preserve">Haines-Young, R. &amp; Potschin, M. B.</t>
  </si>
  <si>
    <t xml:space="preserve">Common International Classification of Ecosystem Services (CICES) V5.1</t>
  </si>
  <si>
    <t xml:space="preserve">Comunidad científica, Reguladores/legisladores (Eurostat)</t>
  </si>
  <si>
    <t xml:space="preserve">Clasificación estandarizada de servicios ecosistémicos</t>
  </si>
  <si>
    <t xml:space="preserve">Estándar de clasificación CICES V5.1 que estructura los servicios en provisión, regulación/mantenimiento y culturales.</t>
  </si>
  <si>
    <t xml:space="preserve">Halada, L. et al.</t>
  </si>
  <si>
    <t xml:space="preserve">Which habitats of European importance depend on agricultural practices?</t>
  </si>
  <si>
    <t xml:space="preserve">Agroecosistemas y hábitats seminaturales Natura 2000</t>
  </si>
  <si>
    <t xml:space="preserve">Identifica los hábitats europeos de alto valor ecológico que dependen de prácticas agrícolas extensivas tradicionales.</t>
  </si>
  <si>
    <t xml:space="preserve">IPBES (2023)</t>
  </si>
  <si>
    <t xml:space="preserve">Thematic Assessment Report on Invasive Alien Species and their Control</t>
  </si>
  <si>
    <t xml:space="preserve">Especies exóticas invasoras y biomas globales</t>
  </si>
  <si>
    <t xml:space="preserve">Evaluación temática sobre los impactos socioeconómicos y ecológicos de las especies exóticas invasoras a nivel mundial.</t>
  </si>
  <si>
    <t xml:space="preserve">IPBES (2024)</t>
  </si>
  <si>
    <t xml:space="preserve">Assessment Report on the Interlinkages among Biodiversity, Water, Food and Health (Nexus)</t>
  </si>
  <si>
    <t xml:space="preserve">Evaluación del nexo IPBES que analiza las interdependencias entre biodiversidad, seguridad alimentaria e hídrica.</t>
  </si>
  <si>
    <t xml:space="preserve">Keith, D. A. et al. (IUCN)</t>
  </si>
  <si>
    <t xml:space="preserve">The IUCN Global Ecosystem Typology 2.0: Descriptive profiles for biomes and functional groups</t>
  </si>
  <si>
    <t xml:space="preserve">Comunidad científica, Reguladores/legisladores (UICN/ONU)</t>
  </si>
  <si>
    <t xml:space="preserve">Tipología global de ecosistemas UICN GET (Nivel 1 a 3)</t>
  </si>
  <si>
    <t xml:space="preserve">Tipología jerárquica global de ecosistemas de la UICN adoptada como estándar de referencia por el SEEA EA de la ONU.</t>
  </si>
  <si>
    <t xml:space="preserve">Ecosystem services accounting – Part III: Pilot accounts for habitat, soil retention and water purification</t>
  </si>
  <si>
    <t xml:space="preserve">Reguladores/legisladores (JRC/Eurostat), Científicos</t>
  </si>
  <si>
    <t xml:space="preserve">Cuentas piloto de servicios ecosistémicos</t>
  </si>
  <si>
    <t xml:space="preserve">Informe técnico del JRC que presenta cuentas piloto de retención de suelo, purificación de agua y mantenimiento de hábitat.</t>
  </si>
  <si>
    <t xml:space="preserve">Lehmann, J. et al.</t>
  </si>
  <si>
    <t xml:space="preserve">The concept and future prospects of soil health</t>
  </si>
  <si>
    <t xml:space="preserve">Suelos y salud edáfica</t>
  </si>
  <si>
    <t xml:space="preserve">Conceptualiza la salud del suelo en Nature Reviews integrando biología, física y química edáfica.</t>
  </si>
  <si>
    <t xml:space="preserve">Maes, J. et al. (MAES1)</t>
  </si>
  <si>
    <t xml:space="preserve">Mapping and Assessment of Ecosystems and their Services: An EU ecosystem assessment (MAES1)</t>
  </si>
  <si>
    <t xml:space="preserve">Reguladores/legisladores (Comisión Europea/JRC), Público, Científicos</t>
  </si>
  <si>
    <t xml:space="preserve">Todos los ecosistemas de la UE (10 tipos)</t>
  </si>
  <si>
    <t xml:space="preserve">Primer Informe de Evaluación de Ecosistemas de la UE (MAES1) publicado en 2020 con el balance 2010-2020.</t>
  </si>
  <si>
    <t xml:space="preserve">Magliozzi, C. et al.</t>
  </si>
  <si>
    <t xml:space="preserve">Baseline distribution of invasive alien species added to the Union list in 2022</t>
  </si>
  <si>
    <t xml:space="preserve">Reguladores/legisladores (JRC/EASIN), Científicos</t>
  </si>
  <si>
    <t xml:space="preserve">Especies exóticas invasoras registradas en EASIN</t>
  </si>
  <si>
    <t xml:space="preserve">Distribución de línea de base geoespacial para especies exóticas invasoras de relevancia para la UE.</t>
  </si>
  <si>
    <t xml:space="preserve">Mansuy, N. et al.</t>
  </si>
  <si>
    <t xml:space="preserve">Reconciling the different uses and values of deadwood in the European Green Deal</t>
  </si>
  <si>
    <t xml:space="preserve">Bosques y manejo de madera muerta</t>
  </si>
  <si>
    <t xml:space="preserve">Analiza en One Earth la importancia del volumen de madera muerta para la biodiversidad saproxílica y bioenergía.</t>
  </si>
  <si>
    <t xml:space="preserve">Marando, F. et al.</t>
  </si>
  <si>
    <t xml:space="preserve">Urban heat island mitigation by green infrastructure in European Functional Urban Areas</t>
  </si>
  <si>
    <t xml:space="preserve">Unión Europea (FUAs urbanas)</t>
  </si>
  <si>
    <t xml:space="preserve">Ecosistemas urbanos e islas de calor</t>
  </si>
  <si>
    <t xml:space="preserve">Cuantifica el efecto de enfriamiento de la infraestructura verde urbana en 100+ ciudades europeas.</t>
  </si>
  <si>
    <t xml:space="preserve">Mentaschi, L. et al.</t>
  </si>
  <si>
    <t xml:space="preserve">Global long-term mapping of surface temperature shows intensified intra-city urban heat island extremes</t>
  </si>
  <si>
    <t xml:space="preserve">Ecosistemas urbanos y temperatura de superficie (LST)</t>
  </si>
  <si>
    <t xml:space="preserve">Mapeo global de temperaturas de superficie mostrando la intensificación de temperaturas extremas en núcleos urbanos.</t>
  </si>
  <si>
    <t xml:space="preserve">Migliavacca, M. et al.</t>
  </si>
  <si>
    <t xml:space="preserve">Securing the forest carbon sink for the European Union’s climate ambition</t>
  </si>
  <si>
    <t xml:space="preserve">Cuantitativo / Clima</t>
  </si>
  <si>
    <t xml:space="preserve">Bosques y sumideros de carbono (LULUCF)</t>
  </si>
  <si>
    <t xml:space="preserve">Advierte en Nature sobre el debilitamiento del sumidero de carbono forestal europeo y estrategias para asegurar su resiliencia.</t>
  </si>
  <si>
    <t xml:space="preserve">Ecosystems and human well-being: biodiversity synthesis</t>
  </si>
  <si>
    <t xml:space="preserve">Reguladores/legisladores (ONU), Comunidad científica, Público</t>
  </si>
  <si>
    <t xml:space="preserve">Evaluación histórica de la ONU que consagró el concepto de servicios ecosistémicos y sus presiones globales.</t>
  </si>
  <si>
    <t xml:space="preserve">Mubareka, S. &amp; Renner, A.</t>
  </si>
  <si>
    <t xml:space="preserve">EU Biomass supply, uses, governance and regenerative actions – 10-year anniversary edition</t>
  </si>
  <si>
    <t xml:space="preserve">Reguladores/legisladores (JRC/UE), Oferta, Demanda</t>
  </si>
  <si>
    <t xml:space="preserve">Biomasa forestal, agrícola y bioeconomía</t>
  </si>
  <si>
    <t xml:space="preserve">Informe del JRC sobre gobernanza, usos y límites ecológicos regenerativos para el suministro de biomasa en la UE.</t>
  </si>
  <si>
    <t xml:space="preserve">Orgiazzi, A. et al.</t>
  </si>
  <si>
    <t xml:space="preserve">LUCAS Soil Biodiversity and LUCAS Soil Pesticides, new tools for research and policy development</t>
  </si>
  <si>
    <t xml:space="preserve">Cuantitativo / Genómico</t>
  </si>
  <si>
    <t xml:space="preserve">Suelos y biodiversidad microbiana (eDNA/OTUs)</t>
  </si>
  <si>
    <t xml:space="preserve">Presenta los módulos LUCAS Soil Biodiversity (metagenómica) y LUCAS Pesticides para evaluar la salud edáfica en la UE.</t>
  </si>
  <si>
    <t xml:space="preserve">Panagos, P. et al.</t>
  </si>
  <si>
    <t xml:space="preserve">A Soil Erosion Indicator for Supporting Agricultural, Environmental and Climate Policies in the EU (RUSLE2015)</t>
  </si>
  <si>
    <t xml:space="preserve">Suelos agrícolas y erosión hídrica</t>
  </si>
  <si>
    <t xml:space="preserve">Modelo oficial de erosión hídrica RUSLE2015 que fijó el umbral de erosión tolerable en 2 t/ha/año en la UE.</t>
  </si>
  <si>
    <t xml:space="preserve">Paracchini, M. L. et al.</t>
  </si>
  <si>
    <t xml:space="preserve">Towards the quantification of ecological boundaries for the bioeconomy</t>
  </si>
  <si>
    <t xml:space="preserve">Reguladores/legisladores (JRC/UE), Comunidad científica</t>
  </si>
  <si>
    <t xml:space="preserve">Límites ecológicos y condición de suelos/bosques</t>
  </si>
  <si>
    <t xml:space="preserve">Desarrolla el marco operativo de límites ecológicos para garantizar una extracción segura de biomasa en la UE.</t>
  </si>
  <si>
    <t xml:space="preserve">Paracchini, M. L., Vallecillo, S. et al.</t>
  </si>
  <si>
    <t xml:space="preserve">Towards the second EU Ecosystem Assessment (MAES2)</t>
  </si>
  <si>
    <t xml:space="preserve">Todos los ecosistemas de la UE (MAES2)</t>
  </si>
  <si>
    <t xml:space="preserve">Establece las bases conceptuales y metodológicas alineadas con SEEA EA e IPBES para el Segundo Evaluación de Ecosistemas de la UE.</t>
  </si>
  <si>
    <t xml:space="preserve">Pekel, J.-F. et al.</t>
  </si>
  <si>
    <t xml:space="preserve">High-Resolution Mapping of Global Surface Water and Its Long-Term Changes</t>
  </si>
  <si>
    <t xml:space="preserve">Cuantitativo / Landsat</t>
  </si>
  <si>
    <t xml:space="preserve">Aguas superficiales continentales (Global Surface Water)</t>
  </si>
  <si>
    <t xml:space="preserve">Publicación hito en Nature sobre el mapeo global de agua superficial a 30m de resolución (1984-2015).</t>
  </si>
  <si>
    <t xml:space="preserve">Pistocchi, A. et al.</t>
  </si>
  <si>
    <t xml:space="preserve">Water quality in Europe: effects of the Urban Wastewater Treatment Directive</t>
  </si>
  <si>
    <t xml:space="preserve">Reguladores/legisladores (JRC/DG ENV), Demanda, Público</t>
  </si>
  <si>
    <t xml:space="preserve">Ríos y masas de agua afectadas por depuración urbana</t>
  </si>
  <si>
    <t xml:space="preserve">Evaluación del JRC demostrando las drásticas reducciones de materia orgánica y nutrientes por la directiva de aguas residuales.</t>
  </si>
  <si>
    <t xml:space="preserve">Polce, C. et al.</t>
  </si>
  <si>
    <t xml:space="preserve">Invasive alien species of policy concerns show widespread patterns of invasion across European ecosystems</t>
  </si>
  <si>
    <t xml:space="preserve">Ecosistemas terrestres y acuáticos expuestos a 66 IAS</t>
  </si>
  <si>
    <t xml:space="preserve">Mapea la presión acumulada de 66 especies exóticas invasoras de la Lista de la Unión sobre ecosistemas europeos.</t>
  </si>
  <si>
    <t xml:space="preserve">Potts, S. G. et al. (PoMS)</t>
  </si>
  <si>
    <t xml:space="preserve">Refined proposal for an EU pollinator monitoring scheme</t>
  </si>
  <si>
    <t xml:space="preserve">Agroecosistemas y poblaciones de polinizadores</t>
  </si>
  <si>
    <t xml:space="preserve">Propuesta estandarizada oficial para el Esquema de Monitoreo de Polinizadores de la UE (PoMS).</t>
  </si>
  <si>
    <t xml:space="preserve">Reglamento (UE) 2024/1991 (NRR)</t>
  </si>
  <si>
    <t xml:space="preserve">Reglamento sobre la Restauración de la Naturaleza (Nature Restoration Law)</t>
  </si>
  <si>
    <t xml:space="preserve">Restauración del 20% de tierras y mares a 2030 y 100% a 2050</t>
  </si>
  <si>
    <t xml:space="preserve">Ley europea histórica que fija metas jurídicamente vinculantes para restaurar ecosistemas degradados en la UE.</t>
  </si>
  <si>
    <t xml:space="preserve">Reglamento (UE) 2024/3024 (Cuentas)</t>
  </si>
  <si>
    <t xml:space="preserve">Modificación del Reglamento 691/2011 sobre las cuentas económicas ambientales europeas</t>
  </si>
  <si>
    <t xml:space="preserve">Reguladores/legisladores (UE / Eurostat), Demanda, Científicos</t>
  </si>
  <si>
    <t xml:space="preserve">Cuentas ecosistémicas (extensión, condición, servicios)</t>
  </si>
  <si>
    <t xml:space="preserve">Introduce módulos obligatorios de contabilidad ecosistémica en las estadísticas oficiales de los Estados Miembros.</t>
  </si>
  <si>
    <t xml:space="preserve">Reglamento (UE) No 1143/2014 (IAS)</t>
  </si>
  <si>
    <t xml:space="preserve">Reglamento sobre la prevención y gestión de la introducción y propagación de especies exóticas invasoras</t>
  </si>
  <si>
    <t xml:space="preserve">Especies exóticas invasoras</t>
  </si>
  <si>
    <t xml:space="preserve">Marco legal comunitario que regula las medidas de prevención, alerta temprana y gestión de invasiones biológicas.</t>
  </si>
  <si>
    <t xml:space="preserve">Sabatini, F. M. et al.</t>
  </si>
  <si>
    <t xml:space="preserve">European Primary Forest Database (EPFD) v2.0</t>
  </si>
  <si>
    <t xml:space="preserve">Base de datos abierta que documenta la ubicación de 1,4 millones de hectáreas de bosques primarios en Europa.</t>
  </si>
  <si>
    <t xml:space="preserve">Seebens, H. et al. (IPBES)</t>
  </si>
  <si>
    <t xml:space="preserve">Trends and status of alien and invasive alien species</t>
  </si>
  <si>
    <t xml:space="preserve">Especies exóticas e invasoras globales</t>
  </si>
  <si>
    <t xml:space="preserve">Capítulo del informe IPBES que analiza las tendencias globales de introducción y establecimiento de especies exóticas.</t>
  </si>
  <si>
    <t xml:space="preserve">Naciones Unidas et al. (SEEA EA)</t>
  </si>
  <si>
    <t xml:space="preserve">System of Environmental-Economic Accounting – Ecosystem Accounting (SEEA EA)</t>
  </si>
  <si>
    <t xml:space="preserve">Reguladores/legisladores (ONU / Eurostat), Demanda, Científicos</t>
  </si>
  <si>
    <t xml:space="preserve">Estándar estadístico de contabilidad ecosistémica</t>
  </si>
  <si>
    <t xml:space="preserve">Estándar estadístico internacional adoptado por la Comisión de Estadística de la ONU para cuentas de ecosistemas.</t>
  </si>
  <si>
    <t xml:space="preserve">EU-wide methodology to map and assess ecosystem condition: Towards a common approach consistent with a global statistical standard</t>
  </si>
  <si>
    <t xml:space="preserve">Reguladores/legisladores (JRC/Comisión Europea), Científicos</t>
  </si>
  <si>
    <t xml:space="preserve">Todos los ecosistemas de la UE y niveles de referencia</t>
  </si>
  <si>
    <t xml:space="preserve">Metodología oficial del JRC que estandarizó la medición de condición ecosistémica en la UE alineada con el SEEA EA de la ONU.</t>
  </si>
  <si>
    <t xml:space="preserve">Carbon Market Watch (Sabine Frank et al.)</t>
  </si>
  <si>
    <t xml:space="preserve">Carbon Market Watch Annual Report 2023</t>
  </si>
  <si>
    <t xml:space="preserve">Reguladores/legisladores, Demanda (Empresas corporativas), Oferta, Comunidad científica, Público general</t>
  </si>
  <si>
    <t xml:space="preserve">Mercados de carbono, bosques (REDD+), aviación, transporte marítimo y remociones de carbono</t>
  </si>
  <si>
    <t xml:space="preserve">Memoria anual de actividades de CMW que monitorea la integridad ambiental del EU ETS, el mercado voluntario, el Artículo 6 de París y el marco CRCF.</t>
  </si>
  <si>
    <t xml:space="preserve">Carbon Market Watch &amp; NewClimate Institute (CCRM)</t>
  </si>
  <si>
    <t xml:space="preserve">Corporate Climate Responsibility Monitor 2023 (CCRM 2023)</t>
  </si>
  <si>
    <t xml:space="preserve">Demanda (24 grandes multinacionales corporativas), Reguladores/legisladores, Público general</t>
  </si>
  <si>
    <t xml:space="preserve">Cadenas de valor corporativas globales e impacto atmosférico</t>
  </si>
  <si>
    <t xml:space="preserve">Evaluación empírica de los planes net-zero de 24 multinacionales globales, revelando la ocultación de inacción climática tras la compra de compensaciones.</t>
  </si>
  <si>
    <t xml:space="preserve">Carbon Market Watch &amp; UC Berkeley Carbon Trading Project (Barbara Haya et al.)</t>
  </si>
  <si>
    <t xml:space="preserve">Error Log: Exposing the Methodological Failures of REDD+ Forestry Projects</t>
  </si>
  <si>
    <t xml:space="preserve">Oferta (Desarrolladores de proyectos forestales), Demanda (Compradores), Reguladores, Certificadores (Verra)</t>
  </si>
  <si>
    <t xml:space="preserve">Global (Países en desarrollo / Trópicos)</t>
  </si>
  <si>
    <t xml:space="preserve">Bosques tropicales y proyectos de conservación forestal REDD+</t>
  </si>
  <si>
    <t xml:space="preserve">Demuestra que las metodologías elásticas de Verra provocaron una sobreemisión masiva (hasta 1.400% en líneas de base), donde solo 1 de cada 13 créditos fue real.</t>
  </si>
  <si>
    <t xml:space="preserve">Carbon Market Watch (Agnese Ruggiero, Eleanor Scott et al.)</t>
  </si>
  <si>
    <t xml:space="preserve">Exposing the EU's Emissions Aristocracy: Industrial Emissions and Free Allowances in the EU ETS</t>
  </si>
  <si>
    <t xml:space="preserve">Demanda (30 grandes corporaciones industriales: RWE, ArcelorMittal, ThyssenKrupp, HeidelbergCement), Reguladores/legisladores</t>
  </si>
  <si>
    <t xml:space="preserve">Complejos industriales, siderúrgicos, cementeros y petroquímicos</t>
  </si>
  <si>
    <t xml:space="preserve">Revela que menos del 1% de las empresas (30 corporaciones) generan el 50% de las emisiones del EU ETS y recibieron €47.600 millones en asignaciones gratuitas.</t>
  </si>
  <si>
    <t xml:space="preserve">Carbon Market Watch (Sam van den Plas et al.)</t>
  </si>
  <si>
    <t xml:space="preserve">2040: The Homestretch – Blueprint for EU Climate Targets</t>
  </si>
  <si>
    <t xml:space="preserve">Reguladores/legisladores (Comisión Europea, Parlamento Europeo), Comunidad científica, Público general</t>
  </si>
  <si>
    <t xml:space="preserve">Atmósfera, sector de uso del suelo (LULUCF) y remociones permanentes de CO2</t>
  </si>
  <si>
    <t xml:space="preserve">Propone alcanzar la neutralidad climática en la UE en 2040 (10 años antes de 2050), exigiendo metas separadas para reducción interna, absorción en suelo y remociones.</t>
  </si>
  <si>
    <t xml:space="preserve">Carbon Market Watch &amp; Test Aankoop / Test Achats</t>
  </si>
  <si>
    <t xml:space="preserve">Shelving Carbon Neutrality at the Supermarket: Investigation into Green Claims</t>
  </si>
  <si>
    <t xml:space="preserve">Demanda (Empresas de bienes de consumo / Supermercados), Público general (Consumidores)</t>
  </si>
  <si>
    <t xml:space="preserve">Bélgica / Unión Europea</t>
  </si>
  <si>
    <t xml:space="preserve">Productos alimenticios y cadenas de suministro comerciales</t>
  </si>
  <si>
    <t xml:space="preserve">Examina 15 productos que se anunciaban como 'carbono neutral' en supermercados belgas, demostrando que todas las afirmaciones se basaban en créditos de baja calidad.</t>
  </si>
  <si>
    <t xml:space="preserve">Carbon Market Watch (Wijnand Stoefs, Fabiola De Simone et al.)</t>
  </si>
  <si>
    <t xml:space="preserve">Certifiably Unsound: Critical Analysis of the EU Carbon Removals Certification Framework (CRCF)</t>
  </si>
  <si>
    <t xml:space="preserve">Reguladores/legisladores (Unión Europea), Comunidad científica, Oferta (Agricultores / Carbon Farming)</t>
  </si>
  <si>
    <t xml:space="preserve">Suelos agrícolas, bosques y soluciones tecnológicas de remoción</t>
  </si>
  <si>
    <t xml:space="preserve">Analiza las deficiencias del marco CRCF de la UE y demuestra que las remociones temporales agrícolas no garantizan permanencia climática a menos que duren más de un siglo.</t>
  </si>
  <si>
    <t xml:space="preserve">Carbon Market Watch &amp; Life ETX Project</t>
  </si>
  <si>
    <t xml:space="preserve">Human Stories Documentaries: The Potential and Failings of EU ETS Revenues</t>
  </si>
  <si>
    <t xml:space="preserve">Reguladores/legisladores, Público general, Oferta (Comunidades locales y regionales)</t>
  </si>
  <si>
    <t xml:space="preserve">Bélgica, Grecia, Portugal</t>
  </si>
  <si>
    <t xml:space="preserve">Zonas de transición justa del carbón, infraestructura urbana de movilidad y refugios</t>
  </si>
  <si>
    <t xml:space="preserve">Documenta cómo los ingresos de subastas del EU ETS se utilizan en proyectos comunitarios de transición justa (movilidad en bicicleta, energía renovable en zonas mineras).</t>
  </si>
  <si>
    <t xml:space="preserve">Unión Europea (Comisión Europea / Parlamento Europeo)</t>
  </si>
  <si>
    <t xml:space="preserve">EU 'Fit for 55' Legislative Package &amp; Green Claims Directive Proposal</t>
  </si>
  <si>
    <t xml:space="preserve">Reguladores/legisladores, Demanda (Sectores industriales, aviación, transporte marítimo)</t>
  </si>
  <si>
    <t xml:space="preserve">Transporte marítimo, aviación, industria pesada y mercado de consumo</t>
  </si>
  <si>
    <t xml:space="preserve">Paquete normativo europeo que expande el EU ETS al sector marítimo e inicia la prohibición legal de las afirmaciones engañosas de 'neutralidad en carbono' basadas en offsets.</t>
  </si>
  <si>
    <t xml:space="preserve">Conferencia de las Partes de la CMNUCC (COP28)</t>
  </si>
  <si>
    <t xml:space="preserve">Article 6 Negotiations and Supervisory Body Guidelines at COP28 Dubai</t>
  </si>
  <si>
    <t xml:space="preserve">Reguladores/legisladores (198 Partes de la CMNUCC), Demanda (Compradores de créditos), Oferta (Países en desarrollo)</t>
  </si>
  <si>
    <t xml:space="preserve">Global / Dubái (EAU)</t>
  </si>
  <si>
    <t xml:space="preserve">Bosques, energía y proyectos de mitigación globales</t>
  </si>
  <si>
    <t xml:space="preserve">Analiza el bloqueo de las negociaciones sobre el Artículo 6.2 y 6.4 en COP28, evitando la adopción de reglas laxas que habrían debilitado la integridad ambiental.</t>
  </si>
  <si>
    <t xml:space="preserve">Organización Internacional del Trabajo (OIT / ILO)</t>
  </si>
  <si>
    <t xml:space="preserve">Tendencias Mundiales del Empleo Juvenil 2022: Invertir en la transformación de futuros para los jóvenes</t>
  </si>
  <si>
    <t xml:space="preserve">Reguladores/legisladores (Gobiernos, Ministerios de Trabajo/Educación), Demanda (Empresas, empleadores), Oferta (Jóvenes de 15 a 29 años, trabajadores informales, mujeres jóvenes, trabajadores domésticos), Público general</t>
  </si>
  <si>
    <t xml:space="preserve">Global (Análisis mundial con desglose por niveles de ingreso y microdatos LFS de 28 países)</t>
  </si>
  <si>
    <t xml:space="preserve">Ecosistemas terrestres, costeros y marinos (infraestructura verde/azul, energías renovables, reciclamiento, construcción y agricultura sostenible) y entornos urbanos/digitales</t>
  </si>
  <si>
    <t xml:space="preserve">Informe insignia de la OIT que cuantifica el impacto del COVID-19 en el empleo juvenil (pérdida de 34M empleos en 2020) y demuestra que un gran impulso inversor combinado (verde/azul, digital y del cuidado) crearía 139M de empleos globales a 2030 (32M para jóvenes, incluyendo 8.4M en economía verde y azul).</t>
  </si>
  <si>
    <t xml:space="preserve">Convenio sobre las trabajadoras y los trabajadores domésticos, 2011 (Núm. 189)</t>
  </si>
  <si>
    <t xml:space="preserve">Reguladores/legisladores, Oferta (Trabajadoras y trabajadores domésticos jóvenes), Demanda (Hogares empleadores)</t>
  </si>
  <si>
    <t xml:space="preserve">Global (Países ratificantes)</t>
  </si>
  <si>
    <t xml:space="preserve">Entorno residencial urbano y rural (trabajo en hogares)</t>
  </si>
  <si>
    <t xml:space="preserve">Convenio internacional vinculante clave para garantizar trabajo decente, protección social, salario mínimo y la formalización laboral de los jóvenes en el sector del cuidado doméstico.</t>
  </si>
  <si>
    <t xml:space="preserve">Organización de las Naciones Unidas (ONU)</t>
  </si>
  <si>
    <t xml:space="preserve">Transformar nuestro mundo: la Agenda 2030 para el Desarrollo Sostenible (ODS 3, 4, 5, 8, 9, 13, 14)</t>
  </si>
  <si>
    <t xml:space="preserve">Reguladores/legisladores, Demanda, Oferta, Comunidad científica, Público general</t>
  </si>
  <si>
    <t xml:space="preserve">Global (193 Estados Miembros)</t>
  </si>
  <si>
    <t xml:space="preserve">Bosques, océanos, costas, zonas urbanas y sistemas socioeconómicos mundiales</t>
  </si>
  <si>
    <t xml:space="preserve">Marco global de 17 ODS. El informe destaca el rol transformador del empleo juvenil para lograr el ODS 5 (Igualdad de género), ODS 8 (Trabajo decente), ODS 9 (Innovación), ODS 13 (Acción por el clima) y ODS 14 (Vida submarina).</t>
  </si>
  <si>
    <t xml:space="preserve">Grupo Intergubernamental de Expertos sobre el Cambio Climático (IPCC)</t>
  </si>
  <si>
    <t xml:space="preserve">Calentamiento global de 1,5 °C: Informe especial del IPCC</t>
  </si>
  <si>
    <t xml:space="preserve">Atmósfera planetaria, biosfera terrestre y ecosistemas marinos</t>
  </si>
  <si>
    <t xml:space="preserve">Informe científico especial que establece la imperiosa necesidad de limitar el calentamiento global a 1,5 °C y alcanzar cero emisiones netas para 2050, impulsando las inversiones en tecnología e infraestructura de bajas emisiones analizadas en el reporte.</t>
  </si>
  <si>
    <t xml:space="preserve">Global | Estados Unidos / Global</t>
  </si>
  <si>
    <t xml:space="preserve">Contabilidad ambiental estandarizada | Unidades de contabilidad ambiental estandarizadas</t>
  </si>
  <si>
    <t xml:space="preserve">Pagos por Servicios Ecosistémicos (PES) | Clasificación de Actores</t>
  </si>
  <si>
    <t xml:space="preserve">Fundamenta la necesidad de definir unidades contables estandarizadas de servicios ecosistémicos finales para transacciones de mercado. | Define los servicios ecosistémicos finales para evitar la doble contabilización en marcos contables y de mercado.</t>
  </si>
  <si>
    <t xml:space="preserve">Cardinale et al. | Cardinale, B.J., Duffy, J.E., Gonzalez, A., et al.</t>
  </si>
  <si>
    <t xml:space="preserve">Cualitativo | Cualitativo / Cuantitativo</t>
  </si>
  <si>
    <t xml:space="preserve">Ecosistemas terrestres, acuáticos y marinos globales | Relación biodiversidad-funcionamiento ecosistémico</t>
  </si>
  <si>
    <t xml:space="preserve">Síntesis científica sobre las consecuencias irreversibles de la pérdida de biodiversidad en los servicios ecosistémicos esenciales. | Síntesis hito en Nature que demuestra cómo la pérdida de biodiversidad reduce la eficiencia y estabilidad de los ecosistemas.</t>
  </si>
  <si>
    <t xml:space="preserve">Clewell et al. | SER</t>
  </si>
  <si>
    <t xml:space="preserve">Comunidad científica, Oferta (restauradores y gestores), Reguladores | Comunidad científica, Reguladores/legisladores, Oferta (Practicantes)</t>
  </si>
  <si>
    <t xml:space="preserve">Ecosistemas degradados en proceso de recuperación | Ecosistemas degradados y referencia ecológica</t>
  </si>
  <si>
    <t xml:space="preserve">Define los conceptos fundamentales, estándares e integridad ecológica para guiar proyectos de restauración ambiental. | Principios fundamentales y criterios de éxito de la Sociedad para la Restauración Ecológica Internacional.</t>
  </si>
  <si>
    <t xml:space="preserve">Demanda (gestores de activos, inversores institucionales) | Demanda (Inversores bursátiles, Sector financiero)</t>
  </si>
  <si>
    <t xml:space="preserve">Empresas cotizadas con huella de biodiversidad | Mercados de renta variable global</t>
  </si>
  <si>
    <t xml:space="preserve">Análisis empírico sobre cómo los mercados accionarios y los inversores responden a los riesgos de pérdida de biodiversidad. | Examina econométricamente si los inversores reaccionan ante noticias de biodiversidad e imponen primas de riesgo.</t>
  </si>
  <si>
    <t xml:space="preserve">Moxey et al. | Moxey, A. et al.</t>
  </si>
  <si>
    <t xml:space="preserve">Oferta (propietarios de turberas), Demanda (compradores corporativos), Reguladores | Oferta (Propietarios de turberas), Demanda, Reguladores | Oferta (Propietarios), Demanda (Inversores), Reguladores | Reguladores/legisladores, Demanda (Inversores verdes), Oferta</t>
  </si>
  <si>
    <t xml:space="preserve">Reino Unido | Reino Unido (Escocia)</t>
  </si>
  <si>
    <t xml:space="preserve">Terrestre | Terrestre / Acuático</t>
  </si>
  <si>
    <t xml:space="preserve">Turberas degradadas | Turberas y carbono verde | Turberas (Peatlands) | Turberas degradadas e hidrología</t>
  </si>
  <si>
    <t xml:space="preserve">Créditos de Naturaleza | Pagos por Servicios Ecosistémicos (PES)</t>
  </si>
  <si>
    <t xml:space="preserve">Analiza el Código de Turberas del Reino Unido como caso de estudio de financiación verde mixta y barreras de adopción. | Estudio de caso del Código de Turberas del Reino Unido como modelo de financiación verde mixta y sus barreras de adopción. | Muestra el funcionamiento práctico del Peatland Code británico combinando fondos públicos y privados. | Estudio de caso sobre el Peatland Code del Reino Unido como estándar de certificación voluntario respaldado por financiamiento verde.</t>
  </si>
  <si>
    <t xml:space="preserve">Comunidad científica, Reguladores/legisladores, Oferta (comunidades) | Comunidad científica, Reguladores, Oferta</t>
  </si>
  <si>
    <t xml:space="preserve">Global (Costa Rica, EE. UU., Camboya) | Global</t>
  </si>
  <si>
    <t xml:space="preserve">Mixto | Terrestre / Acuático</t>
  </si>
  <si>
    <t xml:space="preserve">Bosques, cuencas hídricas y biodiversidad comunitaria | Ecosistemas diversos</t>
  </si>
  <si>
    <t xml:space="preserve">Exige rigor científico en la medición y verificación de servicios ecosistémicos en esquemas de pago por conservación. | Llamado a fundamentar rigurosamente en principios ecológicos los esquemas de pago por servicios ecosistémicos.</t>
  </si>
  <si>
    <t xml:space="preserve">Page et al. | Page, M.J. et al.</t>
  </si>
  <si>
    <t xml:space="preserve">Estándares metodológicos de revisiones | Guía metodológica</t>
  </si>
  <si>
    <t xml:space="preserve">Actualización de la declaración PRISMA 2020 para la transparencia en el reporte de revisiones sistemáticas. | Actualización de las directrices PRISMA 2020 para revisiones sistemáticas.</t>
  </si>
  <si>
    <t xml:space="preserve">Demanda (inversores de impacto), Oferta (comunidades locales, gestores), Reguladores | Demanda (Inversores de impacto, Sector financiero), Reguladores</t>
  </si>
  <si>
    <t xml:space="preserve">EE. UU., Indonesia, Sudáfrica, Kenia | Global (Sudáfrica, Seychelles, etc.)</t>
  </si>
  <si>
    <t xml:space="preserve">Bosques tropicales, sabanas y hábitats de megafauna | Bonos de impacto ambiental y de biodiversidad</t>
  </si>
  <si>
    <t xml:space="preserve">Revisa 5 bonos verdes/impacto (ej. Rhino Bond, IFC Bond) evaluando sus perfiles de riesgo financiero y ambiental. | Analiza perfiles de riesgo financiero y ambiental en 5 bonos de conservación (Rhino Bond, IFC Bond, Seychelles Blue Bond).</t>
  </si>
  <si>
    <t xml:space="preserve">Cualitativo | Cuantitativo</t>
  </si>
  <si>
    <t xml:space="preserve">Oferta (Agricultores), Comunidad científica, Reguladores | Oferta (Agricultores), Reguladores/legisladores, Comunidad científica</t>
  </si>
  <si>
    <t xml:space="preserve">Agroecosistemas | Agrícola (Tierras de cultivo y pastizales)</t>
  </si>
  <si>
    <t xml:space="preserve">Revisión sobre la efectividad de los esquemas agroambientales en la conservación de la biodiversidad. | Evalúa la efectividad de los esquemas agroambientales (AES) en Europa para la conservación de la biodiversidad y gestión ambiental.</t>
  </si>
  <si>
    <t xml:space="preserve">Dasgupta | Dasgupta, P. (HM Treasury) | Dasgupta, P. (2021)</t>
  </si>
  <si>
    <t xml:space="preserve">Cualitativo | Cualitativo / Teórico-Económico</t>
  </si>
  <si>
    <t xml:space="preserve">Reguladores, Sector financiero, Comunidad científica, Público general | Reguladores/legisladores, Sector financiero, Comunidad científica, Público general | Reguladores/legisladores, Sector financiero, Comunidad científica | Reguladores/legisladores, Comunidad científica, Sector financiero, Público general | Reguladores/legisladores, Comunidad científica, Público general, Sector financiero</t>
  </si>
  <si>
    <t xml:space="preserve">Terrestre / Acuático / Mixto | Mixto</t>
  </si>
  <si>
    <t xml:space="preserve">Ecosistemas globales | Biosfera y biodiversidad global | Biosfera y economía global | Biosfera y capital natural planetario</t>
  </si>
  <si>
    <t xml:space="preserve">Revisión hito sobre el valor económico de la naturaleza y el riesgo macrofinanciero de la pérdida de biodiversidad. | Revisión económica fundamental que demuestra la dependencia del PIB global respecto a la biodiversidad como activo finito. | Revisión económica hito que establece la dependencia del PIB global respecto al capital natural finito. | Revisión hito que establece que la economía humana está inmersa en la naturaleza y que la biodiversidad es un activo clave. | Estudio hito de HM Treasury que establece que la economía humana está inmersa en la naturaleza y depende críticamente de sus activos.</t>
  </si>
  <si>
    <t xml:space="preserve">Deutz et al. | Paulson Institute, TNC &amp; Cornell | Deutz et al. (Paulson Institute / TNC / Cornell) | Paulson Institute | Deutz et al. / Paulson Institute | Paulson Institute, TNC &amp; Cornell University | Deutz et al. (Paulson Institute) | Deutz, A., Heal, G. M., Niu, R., Swanson, E., Townshend, T., Zhu, L., et al. (Paulson Institute / TNC / Cornell) | Deutz, A. et al. (Paulson Institute, TNC, Cornell) | Deutz, A., et al. (Paulson Institute / TNC / Cornell)</t>
  </si>
  <si>
    <t xml:space="preserve">Cuantitativo | Cuantitativo / Cualitativo | Cuantitativo / Econométrico</t>
  </si>
  <si>
    <t xml:space="preserve">Demanda (Sector financiero), Reguladores, Clasificación de Actores | Demanda (Sector financiero, Inversores), Reguladores/legisladores, Comunidad científica | Demanda (Sector financiero, Empresas), Reguladores/legisladores, Comunidad científica | Reguladores/legisladores, Demanda (Sector financiero), Científicos | Demanda (Sector financiero), Reguladores, Científicos | Demanda (sector financiero/empresas), Reguladores/legisladores, Clasificación de Actores | Demanda (Sector financiero, Inversores), Reguladores | Demanda (Sector financiero, Inversores), Reguladores, Científicos | Demanda (Sector financiero, Inversores privados), Reguladores/legisladores, Comunidad científica, Oferta | Reguladores/legisladores, Demanda (Sector financiero), Comunidad científica | Reguladores/legisladores, Demanda (Sector financiero)</t>
  </si>
  <si>
    <t xml:space="preserve">Terrestre / Acuático | Mixto</t>
  </si>
  <si>
    <t xml:space="preserve">Ecosistemas globales | Ecosistemas terrestres y marinos globales | Biosfera y capital natural global | Brecha global de financiamiento de naturaleza | Todos los ecosistemas terrestres y marinos | Mecanismos de financiamiento de biodiversidad globales | Biosfera y capital natural planetario | Capital natural planetario | Capital natural global y biosfera planetaria | Capital natural planetario y biodiversidad global</t>
  </si>
  <si>
    <t xml:space="preserve">Cuantifica la brecha de financiamiento de la biodiversidad y evalúa mecanismos de capital. | Cuantifica la brecha global de financiación de la biodiversidad en $598B-$824B anuales y propone 9 mecanismos de reforma. | Estudio cuantitativo de referencia que calcula la brecha de financiamiento de biodiversidad en $711.000M/año a 2030. | Estudio de referencia que calcula la brecha de financiamiento de la biodiversidad en \$700B-\$900B anuales. | Estudio de referencia que cuantifica la brecha de financiamiento de la biodiversidad en $711B-$845B anuales. | Estima la brecha financiera global de biodiversidad ($598B-$824B/año) y propone 9 mecanismos de reforma de subsidios e inversión. | Calcula la brecha global de financiamiento de la biodiversidad en $598B-$824B anuales y propone 9 mecanismos de reforma. | Estudio de referencia que cuantifica la brecha global de financiación de la biodiversidad en $700.000M-$900.000M anuales. | Informe hito que calcula la brecha de financiación de la biodiversidad en $598B-$824B/año y propone 9 mecanismos de reforma. | Estudio hito que calcula la brecha global de financiación de biodiversidad en $700B-$900B/año y propone 9 mecanismos de reforma. | Estudio de referencia internacional que calcula la brecha global de financiación de la biodiversidad en $722.000M - $967.000M anuales y propone mecanismos financieros para cerrar la brecha. | Estudio insignia que calculó la brecha global de financiamiento de biodiversidad en $598B-$824B anuales. | Estudio hito que cuantifica la brecha de financiamiento de la biodiversidad en $598B-$824B/año.</t>
  </si>
  <si>
    <t xml:space="preserve">IPBES | IPBES (2019)</t>
  </si>
  <si>
    <t xml:space="preserve">Cualitativo | Cuantitativo / Cualitativo | Cualitativo / Cuantitativo</t>
  </si>
  <si>
    <t xml:space="preserve">Reguladores, Comunidad científica, Público general | Comunidad científica, Reguladores/legisladores, Público general | Reguladores/legisladores (140+ países), Científicos, Público | Reguladores/legisladores, Comunidad científica, Público general</t>
  </si>
  <si>
    <t xml:space="preserve">Todos los biomas globales | Biosfera global, bosques, humedales, océanos y sistemas agrícolas | Ecosistemas planetarios (1 millón de especies amenazadas) | Ecosistemas terrestres, marinos y continentales</t>
  </si>
  <si>
    <t xml:space="preserve">Evaluación científica global sobre el estado de la biodiversidad y los servicios ecosistémicos. | Evaluación científica cumbre que alertó sobre 1 millón de especies en riesgo de extinción y la degradación del 75% del medio terrestre. | Informe de evaluación global de IPBES que categorizó los 5 impulsadores directos de pérdida de biodiversidad. | Demuestra que 1 millón de especies están amenazadas de extinción e identifica los 5 impulsores directos de pérdida de biodiversidad.</t>
  </si>
  <si>
    <t xml:space="preserve">Kujala et al. | Kujala, H. et al.</t>
  </si>
  <si>
    <t xml:space="preserve">Reguladores, Demanda (Desarrolladores), Comunidad científica | Reguladores/legisladores, Demanda (Desarrolladores), Comunidad científica</t>
  </si>
  <si>
    <t xml:space="preserve">Global (9 registros nacionales) | Global / Finlandia / Australia</t>
  </si>
  <si>
    <t xml:space="preserve">Terrestre / Acuático | Terrestre</t>
  </si>
  <si>
    <t xml:space="preserve">Hábitats protegidos | Bosques y hábitats bajo esquemas de compensación</t>
  </si>
  <si>
    <t xml:space="preserve">Analiza la transparencia y vacíos de datos en los registros públicos de compensación de biodiversidad. | Demuestra en One Earth que las compensaciones exigen registros nacionales públicos transparentes para verificar 'No Net Loss'.</t>
  </si>
  <si>
    <t xml:space="preserve">Marshall et al. | Marshall, E., Southwell, D., Wintle, B.A., et al.</t>
  </si>
  <si>
    <t xml:space="preserve">Reguladores, Comunidad científica, Demanda | Comunidad científica, Reguladores/legisladores, Demanda</t>
  </si>
  <si>
    <t xml:space="preserve">Global (108 países) | Global</t>
  </si>
  <si>
    <t xml:space="preserve">Hábitats diversos | 108 políticas de compensación revisadas</t>
  </si>
  <si>
    <t xml:space="preserve">Análisis global sobre vacíos de transparencia y métricas en políticas de compensación de biodiversidad. | Análisis global que revela graves brechas de transparencia en la medición de la biodiversidad en las políticas de compensación.</t>
  </si>
  <si>
    <t xml:space="preserve">Cualitativo | Cuantitativo / Econométrico</t>
  </si>
  <si>
    <t xml:space="preserve">Oferta (Propietarios), Comunidad científica | Oferta (Propietarios rurales), Reguladores, Científicos</t>
  </si>
  <si>
    <t xml:space="preserve">Uganda / Global | Uganda</t>
  </si>
  <si>
    <t xml:space="preserve">Bosques privados | Auto-selección y costos de oportunidad en programas de PES</t>
  </si>
  <si>
    <t xml:space="preserve">Discuten el riesgo de autoselección adversa donde se paga a actores por acciones preexistentes. | Demuestra en PNAS que los propietarios que se alistan espontáneamente en PES son los que menos amenazaban el bosque.</t>
  </si>
  <si>
    <t xml:space="preserve">Comunidad científica, Reguladores, Oferta, Demanda | Reguladores/legisladores, Comunidad científica, Oferta</t>
  </si>
  <si>
    <t xml:space="preserve">Ecosistemas globales | Evaluación de desempeño de esquemas PES</t>
  </si>
  <si>
    <t xml:space="preserve">Revisión sistemática de desempeño de 20 años de PES y condiciones para la emergencia de mercados. | Evaluación sintética del desempeño histórico de los PES a escala global y sus desafíos pendientes.</t>
  </si>
  <si>
    <t xml:space="preserve">Pirard | Pirard, R.</t>
  </si>
  <si>
    <t xml:space="preserve">Comunidad científica, Reguladores | Comunidad científica, Reguladores/legisladores</t>
  </si>
  <si>
    <t xml:space="preserve">Ecosistemas globales | Diversos ecosistemas</t>
  </si>
  <si>
    <t xml:space="preserve">Clarificación terminológica sobre instrumentos de mercado, permisos negociables, PES y compensaciones. | Establece una terminología y léxico claro para definir los instrumentos de mercado en biodiversidad.</t>
  </si>
  <si>
    <t xml:space="preserve">Cuantitativo | Cuantitativo / Global</t>
  </si>
  <si>
    <t xml:space="preserve">Comunidad científica, Reguladores, Demanda | Comunidad científica, Reguladores/legisladores, Demanda | Reguladores/legisladores, Demanda (Desarrolladores), Comunidad científica | Reguladores/legisladores, Demanda (Empresas), Comunidad científica</t>
  </si>
  <si>
    <t xml:space="preserve">Global (13.000 proyectos) | Global | Global (100+ países)</t>
  </si>
  <si>
    <t xml:space="preserve">Ecosistemas globales (150.000 km2) | 153,000 km2 sujetos a esquemas de compensación | Ecosistemas regulados por No Net Loss | Implementación mundial de políticas No Net Loss</t>
  </si>
  <si>
    <t xml:space="preserve">Cuantifica la extensión geográfica global de las compensaciones de biodiversidad (área equivalente a Bangladesh). | Mapea la extensión territorial global cubierta por proyectos de compensación ecológica regulados e independientes. | Mapea cuantitativamente la extensión mundial de las políticas de compensación de biodiversidad obligatorias. | Evalúa por primera vez la extensión espacial y regulatoria global de las políticas de compensación.</t>
  </si>
  <si>
    <t xml:space="preserve">Carreras Gamarra &amp; Toombs | Gamarra &amp; Toombs</t>
  </si>
  <si>
    <t xml:space="preserve">Reguladores, Oferta (Bancos de conservación), Demanda | Reguladores/legisladores, Oferta (Bancos de conservación), Demanda | Reguladores/legisladores, Oferta (Banqueros), Demanda, Comunidad científica</t>
  </si>
  <si>
    <t xml:space="preserve">Hábitats de especies amenazadas | Evolución histórica de bancos de especies bajo la ley ESA (1986-2016)</t>
  </si>
  <si>
    <t xml:space="preserve">Evaluación crítica de 30 años de banca de conservación de especies en EE. UU. e incoherencias de monitoreo. | Evalúa cuantitativamente 30 años de experiencia de la banca de especies en EE. UU., comparando teoría normativa con resultados reales. | Evaluación empírica de 30 años de banca de conservación en EE. UU. comparando la política teórica con la práctica del mercado.</t>
  </si>
  <si>
    <t xml:space="preserve">Reguladores, Demanda (Desarrolladores), Comunidad científica | Reguladores/legisladores, Demanda (Desarrolladores)</t>
  </si>
  <si>
    <t xml:space="preserve">Acuático / Terrestre | Acuático</t>
  </si>
  <si>
    <t xml:space="preserve">Humedales | Inobservancia del paso de evitación en leyes de protección de humedales</t>
  </si>
  <si>
    <t xml:space="preserve">Critica cómo las compensaciones a menudo reemplazan indebidamente la fase obligatoria de evitación de impactos. | Demuestra la omisión sistemática de la etapa de evitación en la aplicación de leyes de humedales en Alberta.</t>
  </si>
  <si>
    <t xml:space="preserve">Demanda (Minería Ambatovy), Oferta (Comunidades locales), ONGs | Demanda (Minería Ambatovy), Oferta (Comunidades locales), Reguladores, ONGs | Demanda (Minería Ambatovy), Reguladores, Oferta (Comunidades)</t>
  </si>
  <si>
    <t xml:space="preserve">Bosques húmedos tropicales | Bosques húmedos tropicales madagascarenses</t>
  </si>
  <si>
    <t xml:space="preserve">Evaluación rigurosa que demuestra el logro de No Net Loss en la mina de níquel Ambatovy mediante bosques evitados. | Estudio empírico riguroso que evalúa el cumplimiento del objetivo NNL de bosque en la gran mina de níquel Ambatovy. | Demuestra cuantitativamente el logro de No Net Loss de bosque en un proyecto minero a gran escala mediante rigurosa conservación.</t>
  </si>
  <si>
    <t xml:space="preserve">Comunidad científica, Reguladores, Demanda | Comunidad científica, Reguladores, Oferta</t>
  </si>
  <si>
    <t xml:space="preserve">Inglaterra | Reino Unido (Inglaterra)</t>
  </si>
  <si>
    <t xml:space="preserve">Hábitats de invertebrados | Hábitats de invertebrados y BNG</t>
  </si>
  <si>
    <t xml:space="preserve">Analiza los vacíos en la métrica BNG para capturar la diversidad e importancia de los invertebrados. | Critica las limitaciones de la métrica BNG de Inglaterra para capturar el declive de invertebrados y propone mejoras.</t>
  </si>
  <si>
    <t xml:space="preserve">Reguladores, Demanda (Sectores extractivos), Oferta (Gestores de AP) | Reguladores/legisladores, Demanda (Industria), Oferta (Gestores de áreas protegidas) | Reguladores/legisladores, Demanda (industria extractiva), Oferta (administradores de AP)</t>
  </si>
  <si>
    <t xml:space="preserve">Kenia / Global | Global / Kenia</t>
  </si>
  <si>
    <t xml:space="preserve">Áreas Protegidas | Áreas Protegidas subfinanciadas y hábitats amenazados | Áreas Protegidas y bosques tropicales</t>
  </si>
  <si>
    <t xml:space="preserve">Debate sobre los riesgos de transferencia de costos (*cost shifting*) al usar compensaciones para financiar Áreas Protegidas. | Discute la controversia de canalizar fondos de compensaciones de biodiversidad corporativas para financiar Áreas Protegidas públicas. | Discute los riesgos de justificar impactos ambientales destructivos mediante pagos a Áreas Protegidas.</t>
  </si>
  <si>
    <t xml:space="preserve">Comunidad científica, Reguladores | Reguladores/legisladores, Comunidad científica, Demanda</t>
  </si>
  <si>
    <t xml:space="preserve">Ecosistemas globales | Ecosistemas sujetos a offsets</t>
  </si>
  <si>
    <t xml:space="preserve">Desglosa los diferentes significados de No Net Loss (relativo vs. absoluto, estático vs. dinámico). | Clarifica las diversas interpretaciones conceptuales y contables del objetivo 'No Net Loss' en políticas públicas.</t>
  </si>
  <si>
    <t xml:space="preserve">Comunidad científica, Reguladores | Reguladores/legisladores, Demanda, Comunidad científica</t>
  </si>
  <si>
    <t xml:space="preserve">Bosques nativos | Hábitats amenazados</t>
  </si>
  <si>
    <t xml:space="preserve">Propone métodos para evitar la sobreestimación de ganancias en compensaciones de pérdida evitada. | Propone métodos para evitar la inflación desmedida en estimaciones de 'pérdida evitada' en intercambios de compensación.</t>
  </si>
  <si>
    <t xml:space="preserve">Reguladores, Demanda, Comunidad científica | Reguladores/legisladores, Demanda (Minería, Petróleo, Infraestructura), Comunidad científica | Reguladores/legisladores, Demanda (Minería, Energía, Infraestructura), Científicos</t>
  </si>
  <si>
    <t xml:space="preserve">Terrestre | Mixto | Terrestre / Acuático</t>
  </si>
  <si>
    <t xml:space="preserve">Hábitats diversos | Humedales, bosques y hábitats protegidos</t>
  </si>
  <si>
    <t xml:space="preserve">Análisis comparativo de marcos de políticas de compensación en EE. UU., Australia, Brasil y Canadá. | Revisión de 33 marcos institucionales de compensación de biodiversidad en el mundo y sus componentes clave. | Revisión comparativa de 33 marcos de políticas de compensación de biodiversidad en el mundo.</t>
  </si>
  <si>
    <t xml:space="preserve">Reguladores, Demanda, Comunidad científica | Reguladores/legisladores, Demanda (Empresas), Científicos</t>
  </si>
  <si>
    <t xml:space="preserve">Terrestre | Mixto</t>
  </si>
  <si>
    <t xml:space="preserve">Áreas de alta biodiversidad | Reforzamiento del paso de 'Evitación' en la jerarquía de mitigación</t>
  </si>
  <si>
    <t xml:space="preserve">Resalta la urgencia de legislar e imponer la evitación estricta como primer paso de la jerarquía de mitigación. | Propone mecanismos prácticos para hacer cumplir el paso prioritario de evitación en proyectos de desarrollo.</t>
  </si>
  <si>
    <t xml:space="preserve">Comunidad científica, Demanda (Empresas de cadena de valor) | Comunidad científica, Certificadores, Demanda</t>
  </si>
  <si>
    <t xml:space="preserve">Ecosistemas globales | Métricas de riesgo de extinción de especies</t>
  </si>
  <si>
    <t xml:space="preserve">Desarrolla una métrica basada en el riesgo de extinción global para evaluar créditos de biodiversidad en cadenas de valor. | Desarrolla una métrica cuantitativa para créditos de biodiversidad basada en el impacto en el riesgo global de extinción.</t>
  </si>
  <si>
    <t xml:space="preserve">Cuantitativo | Cuantitativo / Revisión global</t>
  </si>
  <si>
    <t xml:space="preserve">Comunidad científica, Reguladores, Demanda | Comunidad científica, Reguladores/legisladores, Demanda | Reguladores/legisladores, Demanda, Comunidad científica</t>
  </si>
  <si>
    <t xml:space="preserve">Global (24 proyectos en profundidad) | Global</t>
  </si>
  <si>
    <t xml:space="preserve">Ecosistemas globales | Estudios de caso de compensación ecológica | Resultados ecológicos empíricos de políticas No Net Loss</t>
  </si>
  <si>
    <t xml:space="preserve">Revisión global que muestra que solo el 38% de los proyectos analizados lograron No Net Loss en todas sus variables. | Revisión global que demuestra que la mayoría de los esquemas de compensación no logran demostrar resultados ecológicos de NNL. | Revisión sistemática global que revela que la mayoría de offsets no logran el objetivo de No Net Loss.</t>
  </si>
  <si>
    <t xml:space="preserve">zu Ermgassen et al., 2022 | zu Ermgassen et al.</t>
  </si>
  <si>
    <t xml:space="preserve">Demanda (Grandes empresas), Comunidad científica | Demanda (Empresas corporativas de Fortune 500), Científicos</t>
  </si>
  <si>
    <t xml:space="preserve">Global (167 empresas) | Global</t>
  </si>
  <si>
    <t xml:space="preserve">Operaciones corporativas globales | Compromisos corporativos de biodiversidad</t>
  </si>
  <si>
    <t xml:space="preserve">Evaluación de compromisos corporativos de biodiversidad mostrando falta de consistencia con 'Nature Positive'. | Revisa los compromisos de biodiversidad de las mayores empresas del mundo y revela imprecisiones y falta de métricas claras.</t>
  </si>
  <si>
    <t xml:space="preserve">zu Ermgassen et al., 2023 | zu Ermgassen et al.</t>
  </si>
  <si>
    <t xml:space="preserve">Cuantitativo | Cuantitativo / Econométrico</t>
  </si>
  <si>
    <t xml:space="preserve">Reguladores, Comunidad científica | Comunidad científica, Reguladores/legisladores, Demanda | Comunidad científica, Reguladores/legisladores, Demanda (Desarrolladores) | Reguladores/legisladores, Demanda, Comunidad científica</t>
  </si>
  <si>
    <t xml:space="preserve">Australia (Victoria) | Australia (Victoria) / Global | Australia</t>
  </si>
  <si>
    <t xml:space="preserve">Vegetación nativa | Vegetación nativa bajo políticas de offset | Vegetación nativa y bancos de biodiversidad | Impacto empírico de la compensación de biodiversidad en vegetación nativa</t>
  </si>
  <si>
    <t xml:space="preserve">Evaluación empírica mostrando que el 47% de las compensaciones en Victoria no ofrecieron aditividad real. | Evaluación de impacto cuantitativa que muestra que los offsets de biodiversidad no lograron evitar pérdidas netas de vegetación. | Evaluación empírica que demuestra fallas sistemáticas de aditividad y ganancias netas irreales en la compensación de vegetación nativa. | Evaluación econométrica que demuestra la falta de aditividad en esquemas de compensación en Australia.</t>
  </si>
  <si>
    <t xml:space="preserve">Oferta (Comunidades locales, IPLC), Demanda, Reguladores | Oferta (Comunidades locales, IPLC, Agricultores), Demanda, Reguladores</t>
  </si>
  <si>
    <t xml:space="preserve">Ecosistemas comunitarios | Bosques comunitarios y agroecosistemas</t>
  </si>
  <si>
    <t xml:space="preserve">Fundamenta los biocréditos orientados a la equidad social y financiamiento directo a custodios de la naturaleza. | Fundamenta el concepto de 'biocréditos' pro-pobre no orientados a la compensación para financiar directamente a custodios locales.</t>
  </si>
  <si>
    <t xml:space="preserve">IAPB | IAPB (International Advisory Panel on Biodiversity Credits) | International Advisory Panel on Biodiversity Credits (IAPB) | IAPB (International Advisory Panel)</t>
  </si>
  <si>
    <t xml:space="preserve">Cualitativo | Cualitativo / Marco de Principios</t>
  </si>
  <si>
    <t xml:space="preserve">Reguladores, Demanda, Oferta (IPLC), Comunidad científica | Reguladores/legisladores, Demanda, Oferta (IPLC), Comunidad científica | Reguladores/legisladores, Demanda (Sector financiero, Empresas), Oferta (Comunidades locales, IPLC) | Reguladores, Demanda, Oferta (IPLC), Científicos | Reguladores/legisladores, Demanda, Oferta (IPLC), Científicos | Reguladores/legisladores, Demanda, Oferta (IPLC, Comunidades), Científicos | Reguladores/legisladores, Demanda (Empresas, Inversores), Oferta (Pueblos Indígenas, Comunidades Locales - IPLC), Científicos</t>
  </si>
  <si>
    <t xml:space="preserve">Ecosistemas globales | Marco global de alta integridad para la estructuración de créditos de biodiversidad | Ecosistemas marinos y terrestres | Mercados de biocréditos de alta integridad | Mercados voluntarios e independientes de créditos de biodiversidad | Mercados globales de créditos de biodiversidad | Ecosistemas globales gestionados por comunidades e IPLC</t>
  </si>
  <si>
    <t xml:space="preserve">Marco del Panel Internacional Asesor sobre Créditos de Biodiversidad con principios de alta integridad. | Panel asesor internacional copresidido por Francia y Reino Unido para guiar los mercados de créditos de naturaleza. | Marco global de alta integridad para créditos de biodiversidad que enfatiza la jerarquía de mitigación y derechos de comunidades. | Marco global de alta integridad para la emisión, demanda y gobernanza transparente de créditos de biodiversidad. | Marco de alta integridad del Panel Internacional Asesor que establece principios de gobernanza, equidad para IPLC y no compensación. | Marco de alta integridad que rechaza las compensaciones internacionales y exige la co-propiedad y beneficio equitativo para comunidades locales e IPLC. | Establece los principios de gobernanza, equidad social y rigor científico para mercados de créditos de biodiversidad de alta integridad, rechazando el offsetting no transparente.</t>
  </si>
  <si>
    <t xml:space="preserve">NatureFinance | Pollination &amp; Taskforce on Nature Markets | NatureFinance &amp; Pollination | Pollination and Taskforce on Nature Markets</t>
  </si>
  <si>
    <t xml:space="preserve">Reguladores, Sector financiero, Demanda | Reguladores/legisladores, Demanda, Oferta (IPLC, Propietarios), Científicos | Reguladores/legisladores, Demanda, Oferta | Reguladores/legisladores, Demanda, Oferta (IPLC), Juristas | Reguladores/legisladores, Demanda (Sector financiero), Oferta, Comunidad científica</t>
  </si>
  <si>
    <t xml:space="preserve">Ecosistemas globales | Ecosistemas terrestres y marinos | Marcos legales y regulatorios de biocréditos | Marcos legales, derechos de propiedad y tenencia de la tierra | Ecosistemas bajo marcos regulatorios y legales</t>
  </si>
  <si>
    <t xml:space="preserve">Analiza el papel de la ley y la regulación pública para dar credibilidad a los mercados de biocréditos. | Analiza el papel del marco legal y de políticas públicas para estructurar unidades de biocréditos sin confundirlos con compensaciones. | Analiza el papel fundamental del derecho, regulación y políticas públicas para la estructuración legal de biocréditos. | Analiza los aspectos jurídicos, derechos de tenencia y opciones de regulación pública para estructurar mercados de biocréditos de alta integridad. | Estudio de referencia sobre el marco legal, de gobernanza e integridad necesario para los mercados de biocréditos.</t>
  </si>
  <si>
    <t xml:space="preserve">Pollination | Pollination Group</t>
  </si>
  <si>
    <t xml:space="preserve">Demanda (Empresas), Oferta, Administradores de estándares | Demanda (Inversores, Empresas), Oferta (Desarrolladores), Reguladores</t>
  </si>
  <si>
    <t xml:space="preserve">Ecosistemas globales | Análisis del estado de desarrollo de los mercados voluntarios de créditos de biodiversidad</t>
  </si>
  <si>
    <t xml:space="preserve">Revisión global de 8 esquemas de biocréditos voluntarios y heterogeneidad de sus métricas. | Informe global sobre la arquitectura, impulsores de demanda e integridad en los mercados de créditos de naturaleza.</t>
  </si>
  <si>
    <t xml:space="preserve">Comunidad científica, Reguladores, Demanda | Comunidad científica, Reguladores/legisladores, Certificadores | Comunidad científica, Reguladores/legisladores, Demanda, Oferta</t>
  </si>
  <si>
    <t xml:space="preserve">Ecosistemas globales | Unidades contables de biocréditos | Métricas e indicadores de biodiversidad</t>
  </si>
  <si>
    <t xml:space="preserve">Discute las dificultades científicas de definir la 'unidad de naturaleza' y estimar contrafácticos dinámicos. | Analiza los desafíos científicos de definir 'una unidad de naturaleza' en los mercados de créditos de biodiversidad. | Examina los desafíos metodológicos de definir una 'unidad de naturaleza', alertando sobre el riesgo de 'comercializar ruido' por errores de medición.</t>
  </si>
  <si>
    <t xml:space="preserve">WEF | WEF (World Economic Forum) | World Economic Forum (WEF) | World Economic Forum</t>
  </si>
  <si>
    <t xml:space="preserve">Demanda (Sector financiero, Empresas), Reguladores, Oferta | Demanda (Empresas, Sector financiero), Reguladores/legisladores, Oferta (Comunidades locales) | Demanda (Empresas corporativas, Sector financiero), Reguladores, Oferta | Demanda (Sector financiero, Empresas), Reguladores | Demanda (Empresas, Sector financiero), Reguladores/legisladores, Oferta | Demanda (Sector financiero, Empresas corporativas), Reguladores/legisladores | Demanda, Oferta, Reguladores/legisladores, Sector financiero</t>
  </si>
  <si>
    <t xml:space="preserve">Ecosistemas globales | Múltiples ecosistemas prioritarios de biodiversidad | Hábitats naturales y especies amenazadas | Mercados de créditos de biodiversidad | Mercados financieros y créditos de biodiversidad | Ecosistemas e infraestructura financiera verde | Mercados financieros y soluciones basadas en la naturaleza</t>
  </si>
  <si>
    <t xml:space="preserve">Documento de lanzamiento de la iniciativa de biocréditos del Foro Económico Mundial. | Briefing paper fundacional que conceptualiza los créditos de biodiversidad diferenciándolos de la compensación directa (offsets). | Documento marco del Foro Económico Mundial que define el mercado voluntario de créditos de biodiversidad para canalizar financiamiento corporativo. | Presenta los créditos de biodiversidad como vehículo financiero para canalizar inversión privada hacia la conservación. | Define el concepto y los principios iniciales para estructurar créditos de biodiversidad que desbloqueen capital privado hacia resultados positivos. | Iniciativa del WEF para desbloquear mercados de capitales privados mediante créditos de biodiversidad. | Documento de visión inicial del WEF que exploró el potencial de los biocréditos para movilizar capital privado.</t>
  </si>
  <si>
    <t xml:space="preserve">WEF | World Economic Forum (WEF)</t>
  </si>
  <si>
    <t xml:space="preserve">Cualitativo | Cualitativo / Guía</t>
  </si>
  <si>
    <t xml:space="preserve">Demanda (Empresas), Reguladores, Oferta | Demanda (Empresas, Inversores), Oferta, Reguladores</t>
  </si>
  <si>
    <t xml:space="preserve">Ecosistemas globales | Ecosistemas vulnerables y conservación</t>
  </si>
  <si>
    <t xml:space="preserve">Guía del WEF con principios de integridad para compradores tempranos corporativos de biocréditos. | Guía práctica del WEF para promover el uso temprano de créditos de biodiversidad garantizando alta integridad.</t>
  </si>
  <si>
    <t xml:space="preserve">Wetterberg et al. | Wetterberg, Ellis &amp; Schneider / OECD</t>
  </si>
  <si>
    <t xml:space="preserve">Reguladores, Demanda, Oferta | Reguladores/legisladores, Demanda (Empresas), Certificadores</t>
  </si>
  <si>
    <t xml:space="preserve">Terrestre / Mixto | Mixto</t>
  </si>
  <si>
    <t xml:space="preserve">Mercados de carbono | Mercados voluntarios vs. sistemas regulados (ETS / Art. 6)</t>
  </si>
  <si>
    <t xml:space="preserve">Analiza la interacción entre mercados voluntarios y de cumplimiento y lecciones sobre integridad contable. | Analiza la interacción entre mercados voluntarios y regulados bajo el Artículo 6 del Acuerdo de París para preservar la aditividad.</t>
  </si>
  <si>
    <t xml:space="preserve">Demanda (Empresas corporativas), Comunidad científica | Demanda (Empresas), Comunidad científica</t>
  </si>
  <si>
    <t xml:space="preserve">Operaciones comerciales | Mitigación basada en evidencia</t>
  </si>
  <si>
    <t xml:space="preserve">Principios para fundamentar en evidencia científica la mitigación de impactos corporativos en biodiversidad. | Establece principios clave para que las empresas utilicen evidencia científica en sus estrategias de mitigación de impacto.</t>
  </si>
  <si>
    <t xml:space="preserve">Comunidad científica, Reguladores, Oferta, Demanda | Comunidad científica, Reguladores/legisladores, Oferta, Demanda | Comunidad científica, Reguladores/legisladores, Demanda, Oferta</t>
  </si>
  <si>
    <t xml:space="preserve">Global (34 iniciativas) | Global</t>
  </si>
  <si>
    <t xml:space="preserve">Ecosistemas globales | Lecciones aprendidas de PES, REDD+ y compensaciones | Lecciones comparadas de PES, offsets y certificación | Lecciones aprendidas de PES, REDD+ y compensaciones para biocréditos</t>
  </si>
  <si>
    <t xml:space="preserve">Análisis empírico de 34 proyectos piloto de biocréditos en el mundo y lecciones aprendidas del VCM. | Análisis comparativo de 34 iniciativas de biocréditos y extracción de lecciones de los fracasos y éxitos del VCM y PES. | Analiza de forma comparada las lecciones de otros mecanismos de conservación para evitar trampas en el diseño de créditos de biodiversidad. | Sintetiza lecciones de 30 años de PES y compensaciones para evitar repetir errores en biocréditos.</t>
  </si>
  <si>
    <t xml:space="preserve">Reguladores, Comunidad científica, Oferta, Demanda | Reguladores/legisladores, Demanda, Oferta (Propietarios)</t>
  </si>
  <si>
    <t xml:space="preserve">Humedales y ríos | Servicios ecosistémicos múltiples</t>
  </si>
  <si>
    <t xml:space="preserve">Pagos por Servicios Ecosistémicos (PES) / Compensaciones | Pagos por Servicios Ecosistémicos (PES)</t>
  </si>
  <si>
    <t xml:space="preserve">Examina los riesgos de aditividad y doble contabilización al apilar (*stacking*) créditos de agua, carbono y biodiversidad. | Analiza los riesgos de doble contabilidad y pérdida de aditividad al apilar (stacking) pagos por múltiples servicios ecosistémicos.</t>
  </si>
  <si>
    <t xml:space="preserve">Comunidad científica, Reguladores, Demanda | Comunidad científica, Reguladores/legisladores, Demanda | Reguladores/legisladores, Demanda (Mercados de carbono), Comunidad científica</t>
  </si>
  <si>
    <t xml:space="preserve">Bosques, humedales, pastizales, agricultura | Bosques, humedales y tierras agrícolas | Bosques, humedales, pastizales y agricultura</t>
  </si>
  <si>
    <t xml:space="preserve">Cuantifica el potencial global de mitigación de 23 Soluciones Clima-Naturaleza (23.8 Gt CO2e/año). | Demuestra que las soluciones basadas en la naturaleza pueden aportar el 37% de la mitigación de emisiones rentable hacia 2030. | Cuantifica la capacidad de las soluciones basadas en la naturaleza para aportar 37% de la mitigación climática a 2030.</t>
  </si>
  <si>
    <t xml:space="preserve">Comunidad científica, Reguladores | Reguladores/legisladores, Demanda, Oferta</t>
  </si>
  <si>
    <t xml:space="preserve">Ecosistemas diversos | Humedales, bosques y servicios ambientales</t>
  </si>
  <si>
    <t xml:space="preserve">Análisis ecológico y jurídico sobre la divisibilidad de las funciones ecosistémicas para la venta de créditos. | Examina las dificultades regulatorias y de aditividad asociadas al apilamiento de pagos por servicios ecosistémicos.</t>
  </si>
  <si>
    <t xml:space="preserve">Cualitativo | Cualitativo / Revisión</t>
  </si>
  <si>
    <t xml:space="preserve">Comunidad científica, Reguladores, Demanda | Reguladores/legisladores, Comunidad científica, Demanda</t>
  </si>
  <si>
    <t xml:space="preserve">Ecosistemas globales | Bosques, humedales, manglares e infraestructura verde</t>
  </si>
  <si>
    <t xml:space="preserve">Créditos de Naturaleza | Clasificación de Actores</t>
  </si>
  <si>
    <t xml:space="preserve">Advierte sobre los límites de las NbS y la necesidad de priorizar la descarbonización profunda de la economía. | Publicación hito en *Philosophical Transactions B* sobre los límites, salvaguardas e integridad de las NbS.</t>
  </si>
  <si>
    <t xml:space="preserve">zu Ermgassen et al., 2025 | zu Ermgassen et al.</t>
  </si>
  <si>
    <t xml:space="preserve">Cualitativo | Cualitativo / Cuantitativo | Mixto</t>
  </si>
  <si>
    <t xml:space="preserve">Reguladores, Demanda (Inversores privados), Oferta | Demanda (Inversores privados), Reguladores, Científicos | Demanda (Inversores de capital, sector financiero), Reguladores</t>
  </si>
  <si>
    <t xml:space="preserve">Europa | Unión Europea</t>
  </si>
  <si>
    <t xml:space="preserve">Terrestre / Acuático | Terrestre / Mixto</t>
  </si>
  <si>
    <t xml:space="preserve">Ecosistemas europeos | Inversión privada en biodiversidad en la UE | Diversos</t>
  </si>
  <si>
    <t xml:space="preserve">Créditos de Naturaleza / Compensaciones | Clasificación de Actores | Créditos de Naturaleza</t>
  </si>
  <si>
    <t xml:space="preserve">Analiza el estado actual, fallas de mercado y oportunidades para escalar la inversión privada en biodiversidad en la UE. | Analiza el estado, oportunidades y barreras para escalar la inversión privada en biodiversidad en la UE. | Aborda los desafíos para el escalamiento de la inversión privada en conservación de la biodiversidad en Europa.</t>
  </si>
  <si>
    <t xml:space="preserve">World Economic Forum (WEF) | WEF (World Economic Forum) | World Economic Forum</t>
  </si>
  <si>
    <t xml:space="preserve">Cuantitativo | Cuantitativo / Económico</t>
  </si>
  <si>
    <t xml:space="preserve">Demanda (Empresas, Sector financiero), Reguladores/legisladores | Demanda (Empresas, Sector financiero), Reguladores</t>
  </si>
  <si>
    <t xml:space="preserve">Servicios ecosistémicos globales que generan más de la mitad del PIB mundial | Dependencia económica global de la naturaleza | PIB global y servicios ecosistémicos de aprovisionamiento/regulación | Dependencia del PIB mundial de la naturaleza ($44 billones) | Capital natural y servicios ecosistémicos globales</t>
  </si>
  <si>
    <t xml:space="preserve">Estudio emblemático que demuestra que $44 billones del PIB mundial dependen moderada o altamente de la naturaleza. | Demuestra que $44 billones del PIB mundial (más del 50%) dependen moderada o altamente de la naturaleza. | Demuestra empíricamente que $44 billones del PIB mundial (más del 50%) dependen moderada o altamente de la naturaleza. | Demuestra que $44 billones del PIB mundial (más del 50%) dependen moderada o altamente de los servicios de la naturaleza. | Cálculo hito que demostró que el 55% del PIB mundial ($44 billones) depende altamente o moderadamente de la naturaleza.</t>
  </si>
  <si>
    <t xml:space="preserve">European Union | EU</t>
  </si>
  <si>
    <t xml:space="preserve">Demanda (Empresas obligadas, Sector financiero), Reguladores | Reguladores/legisladores, Demanda (Empresas obligadas, Inversores)</t>
  </si>
  <si>
    <t xml:space="preserve">Divulgación corporativa de sostenibilidad e impactos en la biodiversidad | Cadenas de valor corporativas</t>
  </si>
  <si>
    <t xml:space="preserve">Directiva europea que exige a grandes empresas publicar informes sobre sus impactos y dependencias en naturaleza. | Directiva de la UE que exige la divulgación obligatoria de impactos y dependencias sobre la biodiversidad en grandes empresas.</t>
  </si>
  <si>
    <t xml:space="preserve">McCarthy, M. A., Parris, K. M., van der Ree, R., McDonnell, M. J., Burgman, M. A., Williams, N. S. G., ... &amp; Oberklaid, F. | McCarthy et al.</t>
  </si>
  <si>
    <t xml:space="preserve">Cuantitativo | Cuantitativo / Cualitativo</t>
  </si>
  <si>
    <t xml:space="preserve">Reguladores/legisladores, Oferta (Propietarios rurales), Comunidad científica | Reguladores/legisladores, Oferta (Propietarios de tierras), Comunidad científica</t>
  </si>
  <si>
    <t xml:space="preserve">Australia (Estado de Victoria) | Australia (Victoria)</t>
  </si>
  <si>
    <t xml:space="preserve">Vegetación nativa, bosques y hábitats terrestres | Vegetación nativa y hábitats terrestres</t>
  </si>
  <si>
    <t xml:space="preserve">Créditos de Naturaleza | Compensaciones</t>
  </si>
  <si>
    <t xml:space="preserve">Evalúa cuantitativamente el enfoque de 'Hectáreas de Hábitat' desarrollado en Australia como métrica multivariada para medir la calidad y condición ecológica en biocréditos y compensaciones. | Evaluación cuantitativa del enfoque Habitat Hectares desarrollado en Victoria para medir la calidad de hábitat en offsets.</t>
  </si>
  <si>
    <t xml:space="preserve">Reguladores/legisladores, Demanda (Empresas), Oferta (Silvicultores) | Reguladores/legisladores (California CARB), Demanda, Científicos</t>
  </si>
  <si>
    <t xml:space="preserve">EE. UU. (California) | Estados Unidos (California)</t>
  </si>
  <si>
    <t xml:space="preserve">Bosques templados | Sobreemisión sistemática de créditos en bosques de California</t>
  </si>
  <si>
    <t xml:space="preserve">Demuestra sobreemisión sistemática de créditos en el programa de compensación forestal de California por la flexibilización de líneas de base. | Demuestra cuantitativamente la sobreemisión masiva en el programa forestal de carbono de California.</t>
  </si>
  <si>
    <t xml:space="preserve">Demanda (Empresas), Reguladores/legisladores, Comunidad científica | Demanda (Empresas), Reguladores/legisladores, Científicos</t>
  </si>
  <si>
    <t xml:space="preserve">Global (Mecanismos MDL / CDM) | Global</t>
  </si>
  <si>
    <t xml:space="preserve">Bosques e industrias | Proyectos de créditos de carbono</t>
  </si>
  <si>
    <t xml:space="preserve">Evaluación empírica de la falta de aditividad real en proyectos de compensación de carbono bajo esquemas internacionales. | Evaluación econométrica que evidencia que una parte sustancial de los créditos de carbono voluntarios carece de aditividad real.</t>
  </si>
  <si>
    <t xml:space="preserve">Costanza et al. | Costanza, R. et al.</t>
  </si>
  <si>
    <t xml:space="preserve">Comunidad científica, Reguladores/legisladores | Comunidad científica, Reguladores/legisladores, Público</t>
  </si>
  <si>
    <t xml:space="preserve">Uso del suelo global y servicios ecosistémicos | Biosfera y capital natural planetario</t>
  </si>
  <si>
    <t xml:space="preserve">Actualiza la valoración global estimando la pérdida masiva de servicios ecosistémicos debido al cambio de uso del suelo. | Actualiza la valoración monetaria global de los servicios ecosistémicos en $125 billones/año (2011).</t>
  </si>
  <si>
    <t xml:space="preserve">Friedlingstein et al. | Friedlingstein et al. (2023)</t>
  </si>
  <si>
    <t xml:space="preserve">Comunidad científica, Reguladores/legisladores, Público general | Comunidad científica, Reguladores/legisladores</t>
  </si>
  <si>
    <t xml:space="preserve">Bosques tropicales, suelos y océanos | Sumideros continentales y oceánicos de carbono</t>
  </si>
  <si>
    <t xml:space="preserve">Cuantifica el presupuesto global de carbono, estimando la absorción biológica en 4.8 Gt CO2/año y emisiones por deforestación en 7 Gt CO2/año. | Documenta los flujos globales de CO2, registrando absorción terrestre de 4.8 GtCO2/año y emisiones por deforestación de 7 GtCO2/año.</t>
  </si>
  <si>
    <t xml:space="preserve">von Essen &amp; Lambin | von Essen &amp; Lambin (2021)</t>
  </si>
  <si>
    <t xml:space="preserve">Reguladores/legisladores, Oferta (Comunidades, Agricultores), Demanda (Empresas) | Reguladores/legisladores (Gobiernos subnacionales), Oferta (Comunidades, Agricultores)</t>
  </si>
  <si>
    <t xml:space="preserve">Global (Especialmente Sur Global) | Global / Sur Global</t>
  </si>
  <si>
    <t xml:space="preserve">Paisajes forestales y agrícolas | Uso del suelo a escala de estados y provincias</t>
  </si>
  <si>
    <t xml:space="preserve">Fundamenta los enfoques jurisdiccionales frente a proyectos aislados para reducir fugas y mejorar la aditividad y gobernanza. | Define los enfoques jurisdiccionales como alianzas intersectoriales para reducir fuga y acelerar la sostenibilidad a escala regional.</t>
  </si>
  <si>
    <t xml:space="preserve">West et al. | West et al. (2020)</t>
  </si>
  <si>
    <t xml:space="preserve">Demanda (Mercados de carbono), Reguladores/legisladores, Oferta (Desarrolladores REDD+) | Comunidad científica, Demanda, Certificadores, Reguladores | Comunidad científica, Reguladores, Demanda | Demanda (Compradores), Oferta (Proyectos), Reguladores | Comunidad científica, Reguladores, Demanda, Certificadores</t>
  </si>
  <si>
    <t xml:space="preserve">Brasil (Amazonía) | Brasil (Amazonas)</t>
  </si>
  <si>
    <t xml:space="preserve">Selva tropical húmeda | Selva tropical húmeda (REDD+) | Bosques (Selva Amazónica) | Selva húmeda tropical amazónica | Selva tropical húmeda y proyectos REDD+</t>
  </si>
  <si>
    <t xml:space="preserve">Compensaciones | Pagos por Servicios Ecosistémicos (PES)</t>
  </si>
  <si>
    <t xml:space="preserve">Demuestra empíricamente que los proyectos REDD+ voluntarios en la Amazonía brasileña exageraron significativamente las reducciones de deforestación. | Evaluación econométrica que demuestra la exageración de reducciones de emisión en proyectos REDD+ voluntarios en la Amazonía. | Demuestra cuantitativamente la exageración de reducciones de emisión en proyectos REDD+ voluntarios en Brasil. | Demuestra empíricamente que los proyectos voluntarios en el Amazonas exageraron sus reducciones de emisiones. | Demuestra mediante evaluaciones econométricas que los proyectos REDD+ voluntarios en la Amazonía brasilera exageran las reducciones evadidas. | Evaluación econométrica en PNAS demostrando que la mayoría de proyectos REDD+ voluntarios exageran las reducciones de emisión.</t>
  </si>
  <si>
    <t xml:space="preserve">Schneider, L., &amp; La Hoz Theuer, S. | Schneider, L. &amp; La Hoz Theuer, S.</t>
  </si>
  <si>
    <t xml:space="preserve">Reguladores/legisladores, Demanda (Países/Empresas), Comunidad científica | Reguladores/legisladores, Demanda (Empresas, Mercados), Científicos</t>
  </si>
  <si>
    <t xml:space="preserve">Global | Global (Artículo 6 del Acuerdo de París)</t>
  </si>
  <si>
    <t xml:space="preserve">Ecosistemas forestales e industriales bajo mecanismos contables del Artículo 6 | Mecanismos internacionales de mercado de carbono</t>
  </si>
  <si>
    <t xml:space="preserve">Analiza los requisitos de contabilidad y correspondencia para evitar el doble recuento de créditos de carbono en el VCM. | Evalúa la integridad ambiental, la aditividad y la prevención del doble recuento en las compensaciones bajo el Artículo 6.</t>
  </si>
  <si>
    <t xml:space="preserve">McKinsey &amp; Company | Blaufelder, C., Levy, C., Mannion, P. &amp; Pinner, D. (McKinsey) | Taskforce on Scaling Voluntary Carbon Markets (TSVCM / IIF)</t>
  </si>
  <si>
    <t xml:space="preserve">Cuantitativo | Cuantitativo / Modelación de mercado | Cuantitativo / Hoja de ruta</t>
  </si>
  <si>
    <t xml:space="preserve">Demanda (Empresas, Sector financiero), Reguladores, Oferta | Demanda (Sector privado, Inversores), Oferta, Reguladores | Demanda (Sector financiero, Corporaciones), Certificadores, Oferta</t>
  </si>
  <si>
    <t xml:space="preserve">Mercados globales de soluciones basadas en la naturaleza e ingeniería | Mercados globales de carbono y soluciones climáticas | Mercados de carbono voluntario ($5B-$50B a 2030)</t>
  </si>
  <si>
    <t xml:space="preserve">Clasificación de Actores | Compensaciones</t>
  </si>
  <si>
    <t xml:space="preserve">Hoja de ruta estratégica de la TSVCM para estructurar la liquidez, estandarización y escala del mercado voluntario. | Modela el potencial de crecimiento del mercado voluntario de carbono hasta multiplicar por 15 su escala hacia 2030. | Plan de acción impulsado por Mark Carney para estructurar la infraestructura de mercado de créditos de carbono.</t>
  </si>
  <si>
    <t xml:space="preserve">Bos, Pressey &amp; Stoeckl | Bos et al.</t>
  </si>
  <si>
    <t xml:space="preserve">Demanda (Sector financiero, Empresas), Reguladores/legisladores, Comunidad científica | Demanda (empresas), Reguladores/legisladores, Comunidad científica | Demanda (Sector financiero, Inversores), Reguladores/legisladores, Comunidad científica</t>
  </si>
  <si>
    <t xml:space="preserve">Arrecifes de coral, áreas protegidas marinas y ecosistemas costeros | Ecosistemas marinos y costeros | Arrecifes de coral, áreas marinas protegidas y zonas costeras</t>
  </si>
  <si>
    <t xml:space="preserve">Define el alcance de las finanzas de conservación marina e identifica instrumentos de mercado como pagadores de biodiversidad. | Revisa los desafíos y oportunidades en la financiación marina y la participación de capital privado. | Define el alcance de las finanzas de conservación marina e identifica instrumentos de mercado para canalizar capital de biodiversidad.</t>
  </si>
  <si>
    <t xml:space="preserve">Credit Suisse, WWF &amp; McKinsey &amp; Company | Huwyler et al. | Huywler et al. (Credit Suisse)</t>
  </si>
  <si>
    <t xml:space="preserve">Cuantitativo | Cualitativo | Cuantitativo / Cualitativo</t>
  </si>
  <si>
    <t xml:space="preserve">Demanda (Sector financiero, Inversores institucionales), Reguladores/legisladores | Demanda (inversores privados/bancos), Oferta (desarrolladores), Clasificación de Actores | Demanda (Sector financiero, Credit Suisse), Reguladores/legisladores, Inversores</t>
  </si>
  <si>
    <t xml:space="preserve">Ecosistemas prioritarios globales para conservación | Inversión de impacto en ecosistemas terrestres y marinos | Ecosistemas prioritarios de conservación</t>
  </si>
  <si>
    <t xml:space="preserve">Estudio hito proponiendo estructurar la conservación como un activo financiero comerciable de $200B-$400B anuales. | Propone transitarde subvenciones a modelos orientados a inversores con retornos medibles. | Informe clave de Credit Suisse y WWF proponiendo estructurar la conservación como un activo financiero alineado con inversores.</t>
  </si>
  <si>
    <t xml:space="preserve">CBD | United Nations CBD | CDB / UNCBD</t>
  </si>
  <si>
    <t xml:space="preserve">Cualitativo | Cualitativo / Tratado multilateral</t>
  </si>
  <si>
    <t xml:space="preserve">Reguladores/legisladores, Demanda (Empresas, Financieros), Oferta (IPLC, Agricultores) | Reguladores/legisladores, Demanda (Empresas, Sector financiero), Oferta (IPLC, Agricultores) | Reguladores/legisladores, Demanda, Oferta (IPLC, Agricultores) | Reguladores/legisladores (196 Partes), Demanda, Oferta, Público general</t>
  </si>
  <si>
    <t xml:space="preserve">Metas mundiales de biodiversidad a 2030 y visión 2050 (incluyendo Meta 15) | Ecosistemas terrestres, marinos y de agua dulce | Metas mundiales de biodiversidad a 2030 (Metas 14, 15, 18 y 19) | Marco mundial de biodiversidad a 2030 (23 Metas) | Ecosistemas terrestres, continentales, costeros y marinos a escala planetaria</t>
  </si>
  <si>
    <t xml:space="preserve">Clasificación de Actores | Créditos de Naturaleza</t>
  </si>
  <si>
    <t xml:space="preserve">Marco internacional que impone el compromiso pangubernamental y pansocial para evaluar y divulgar riesgos e impactos corporativos sobre la biodiversidad. | Acuerdo marco internacional que incluye expresamente la Meta 19 sobre créditos de biodiversidad como mecanismo de movilización de recursos. | Acuerdo hito internacional que fija la Meta 19 de movilizar $200.000M/año promoviendo créditos de biodiversidad y esquemas innovadores. | Acuerdo marco internacional histórico adoptado en la COP15 que fije la meta de proteger el 30% del planeta e impulsa los biocréditos. | Acuerdo histórico que exige movilizar $200B/año para biodiversidad a 2030 mencionando explícitamente los biocréditos (Meta 19).</t>
  </si>
  <si>
    <t xml:space="preserve">NatureFinance | NatureFinance &amp; Taskforce on Nature Markets | Taskforce on Nature Markets</t>
  </si>
  <si>
    <t xml:space="preserve">Reguladores/legisladores, Demanda (Sector financiero), Oferta (IPLC), Comunidad científica | Reguladores/legisladores, Demanda, Oferta (IPLC, Comunidades), Certificadores | Reguladores/legisladores, Demanda, Oferta (IPLC), Científicos | Reguladores, Demanda (Sector financiero), Oferta (IPLC)</t>
  </si>
  <si>
    <t xml:space="preserve">Ecosistemas terrestres, marinos y de agua dulce | Ecosistemas terrestres, de agua dulce y costeros | Gobernanza de mercados de naturaleza | Gobernanza de mercados de biocréditos</t>
  </si>
  <si>
    <t xml:space="preserve">Propone una taxonomía y una 'pila de gobernanza del mercado' para biocréditos de alto rendimiento e integridad. | Propone estructuras de gobernanza, fijación de precios mínimos e inclusión justa de IPLC para escalar los mercados de biocréditos. | Propone principios de gobernanza, fijación de precios y salvaguardas sociales para biocréditos de alto rendimiento. | Propone estructuras de gobernanza de alto rendimiento para asegurar la equidad e integridad de los mercados de biocréditos.</t>
  </si>
  <si>
    <t xml:space="preserve">Reguladores/legisladores, Oferta (IPLC, Comunidades locales), Demanda (Inversores) | Reguladores/legisladores, Demanda, Oferta (Comunidades), Científicos</t>
  </si>
  <si>
    <t xml:space="preserve">Global / Países en desarrollo | Global</t>
  </si>
  <si>
    <t xml:space="preserve">Bosques tropicales, cuencas hídricas y zonas costeras | Créditos de carbono con cobeneficios y certificados de naturaleza</t>
  </si>
  <si>
    <t xml:space="preserve">Analiza las oportunidades y riesgos de certificados de naturaleza e incentivos de carbono positivo en la biodiversidad. | Analiza las oportunidades y riesgos de los biocréditos y certificados de naturaleza, enfatizando salvaguardas y beneficios equitativos.</t>
  </si>
  <si>
    <t xml:space="preserve">Ducros &amp; Steele (IIED) | Ducros &amp; Steele / IIED | Ducros, A. &amp; Steele, P. (IIED)</t>
  </si>
  <si>
    <t xml:space="preserve">Cualitativo | Cualitativo / Cuantitativo | Cualitativo / Lecciones aprendidas</t>
  </si>
  <si>
    <t xml:space="preserve">Oferta (Comunidades locales, IPLC, Agricultores), Demanda, Reguladores/legisladores | Oferta (Comunidades locales, IPLC, Agricultores), Demanda, Reguladores | Oferta (Comunidades locales, IPLC), Demanda, Reguladores | Oferta (Comunidades locales, agricultores, IPLC), Demanda, Reguladores | Oferta (IPLC, comunidades locales), Demanda, Reguladores/legisladores</t>
  </si>
  <si>
    <t xml:space="preserve">Global / Países en desarrollo | Global (Países en desarrollo) | Global / Sur Global</t>
  </si>
  <si>
    <t xml:space="preserve">Terrestre | Terrestre / Acuático | Mixto</t>
  </si>
  <si>
    <t xml:space="preserve">Bosques comunitarios y tierras agrícolas | Bosques comunitarios y tierras agrícolas familiares | Biocréditos pro-pobre y gobernanza comunitaria | Bosques tropicales, zonas costeras y pastizales | Ecosistemas locales gestionados por comunidades</t>
  </si>
  <si>
    <t xml:space="preserve">Sostiene los biocréditos pro-pobre como mecanismo para retribuir directamente la custodia ambiental de comunidades locales. | Sostiene el término 'biocréditos' como unidad no orientada a la compensación para garantizar la equidad y el pago directo a comunidades. | Conceptualiza los biocréditos no orientados a compensación para remunerar directamente a custodios locales e indígenas. | Conceptualiza los biocréditos como mecanismos de desarrollo sostenible no enfocados en la compensación de daños. | Sintetiza lecciones emergentes de proyectos piloto de biocréditos comunitarios en el Sur Global. | Extrae lecciones prácticas de proyectos piloto iniciales de biocréditos centrados en la equidad social y gobernanza.</t>
  </si>
  <si>
    <t xml:space="preserve">WEF | World Economic Forum (WEF) | World Economic Forum</t>
  </si>
  <si>
    <t xml:space="preserve">Cualitativo | Cualitativo / Principios de gobernanza</t>
  </si>
  <si>
    <t xml:space="preserve">Reguladores/legisladores, Demanda (Sector financiero), Oferta (IPLC), Comunidad científica | Reguladores/legisladores, Demanda (Empresas, Inversores), Oferta (IPLC) | Demanda (Empresas corporativas), Reguladores, Oferta (IPLC) | Reguladores/legisladores, Demanda, Oferta (IPLC), Científicos</t>
  </si>
  <si>
    <t xml:space="preserve">Múltiples ecorregiones terrestres y acuáticas | Principios de gobernanza de biocréditos | Principios de integridad y gobernanza para biocréditos | Mercados voluntarios de biocréditos</t>
  </si>
  <si>
    <t xml:space="preserve">Establece principios de integridad, salvaguardas socioculturales e inclusión comunitaria para mercados voluntarios de biocréditos. | Principios de gobernanza e integridad del Foro Económico Mundial para el desarrollo de mercados de biocréditos. | Establece principios de alto nivel para garantizar la aditividad, medición robusta y equidad en los mercados voluntarios de biocréditos. | Establece los principios de gobernanza, transparencia e inclusión comunitaria para mercados de biocréditos de alta integridad.</t>
  </si>
  <si>
    <t xml:space="preserve">Comunidad científica, Reguladores/legisladores, Público general | Comunidad científica, Público general, Reguladores/legisladores</t>
  </si>
  <si>
    <t xml:space="preserve">Poblaciones globales de fauna silvestre (decline del 69% desde 1970) | Poblaciones de vertebrados, bosques primarios, arrecifes de coral y humedales</t>
  </si>
  <si>
    <t xml:space="preserve">Documenta la pérdida del 69% en abundancia de poblaciones de especies de vertebrados entre 1970 y 2018. | Mide el Índice Planeta Vivo mostrando un declive medio del 69% en la abundancia relativa de especies silvestres entre 1970 y 2018.</t>
  </si>
  <si>
    <t xml:space="preserve">Cualitativo | Cualitativo / Econométrico</t>
  </si>
  <si>
    <t xml:space="preserve">Reguladores/legisladores, Comunidad científica, Demanda | Reguladores/legisladores, Demanda, Comunidad científica</t>
  </si>
  <si>
    <t xml:space="preserve">Global | Global / Reino Unido</t>
  </si>
  <si>
    <t xml:space="preserve">Mercados de permisos y compensación de hábitats | Diseño de mercados de offsets y permisos negociables</t>
  </si>
  <si>
    <t xml:space="preserve">Extrae lecciones de los mercados de permisos de contaminación para mejorar el diseño institucional de mercados de offsets. | Extrae lecciones de los mercados de contaminación para estructurar divisas e intercambios de biodiversidad.</t>
  </si>
  <si>
    <t xml:space="preserve">IFC | IFC (International Finance Corporation)</t>
  </si>
  <si>
    <t xml:space="preserve">Demanda (Bancos de desarrollo, Empresas mineras/energéticas), Reguladores | Reguladores/legisladores, Demanda (Empresas, Proyectos de desarrollo), Financieros</t>
  </si>
  <si>
    <t xml:space="preserve">Estándar obligatorio de sostenibilidad financiera que exige 'No Net Loss' o 'Net Gain' para financiar proyectos con impacto en hábitats. | Estándar ambiental de la Corporación Financiera Internacional que consagró el mandato de la jerarquía de mitigación y el No Net Loss.</t>
  </si>
  <si>
    <t xml:space="preserve">Cuantitativo / Cualitativo | Cualitativo / Etnográfico</t>
  </si>
  <si>
    <t xml:space="preserve">Oferta (Comunidades locales), Demanda (Proyectos mineros), Reguladores | Oferta (Comunidades locales afectadas), Demanda (Empresas), Reguladores</t>
  </si>
  <si>
    <t xml:space="preserve">Bosques tropicales y medios de vida locales | Costos locales y medios de vida afectados por proyectos de compensación</t>
  </si>
  <si>
    <t xml:space="preserve">Muestra que las compensaciones a menudo imponen costos no compensados a las comunidades locales al restringir el acceso a la tierra. | Demuestra los costos locales no compensados que sufren las comunidades rurales vecinas a minas en Madagascar.</t>
  </si>
  <si>
    <t xml:space="preserve">Comunidad científica, Reguladores/legisladores, Demanda | Reguladores/legisladores, Demanda (Empresas), Comunidad científica, Oferta | Reguladores/legisladores, Demanda, Comunidad científica, Oferta</t>
  </si>
  <si>
    <t xml:space="preserve">Global | Australia / Global</t>
  </si>
  <si>
    <t xml:space="preserve">Restauración ecológica de vegetación destruida | Bosques nativos y vegetación remanente</t>
  </si>
  <si>
    <t xml:space="preserve">Advierte sobre los largos desfases temporales y la incertidumbre de la restauración ecológica usada para justificar pérdidas inmediatas. | Análisis crítico de los supuestos irrealistas de restauración en las políticas de compensación de biodiversidad. | Analiza los supuestos irrealistas de velocidad y éxito de restauración en las políticas de compensación.</t>
  </si>
  <si>
    <t xml:space="preserve">Koh et al. (The Biodiversity Consultancy) | TBC | The Biodiversity Consultancy</t>
  </si>
  <si>
    <t xml:space="preserve">Comunidad científica, Reguladores/legisladores, Demanda, Oferta (IPLC) | Comunidad científica, Reguladores/legisladores, Demanda | Demanda (Empresas), Oferta (Comunidades), Reguladores, Científicos | Comunidad científica, Demanda (Empresas), Reguladores/legisladores</t>
  </si>
  <si>
    <t xml:space="preserve">Múltiples ecosistemas prioritarios | Principios de diseño para biocréditos | Ecosistemas prioritarios para la conservación | Diversas ecorregiones bajo conservación voluntaria</t>
  </si>
  <si>
    <t xml:space="preserve">Resume 12 principios de diseño para biocréditos voluntarios de alta integridad que abarcan sostenibilidad ecológica, equidad e impacto financiero. | Resume 12 principios de diseño para biocréditos de alta integridad que abarcan la equivalencia y la equidad. | Propone principios de diseño para asegurar la aditividad, durabilidad e integridad de los biocréditos voluntarios. | Formula los principios de diseño e integridad ambiental para escalar mercados voluntarios de créditos de biodiversidad.</t>
  </si>
  <si>
    <t xml:space="preserve">Milner-Gulland et al. | Milner-Gulland, E. J. et al.</t>
  </si>
  <si>
    <t xml:space="preserve">Reguladores/legisladores, Demanda (Empresas), Oferta, Comunidad científica | Reguladores/legisladores, Demanda (Empresas), Comunidad científica</t>
  </si>
  <si>
    <t xml:space="preserve">Biosfera global | Metas mundiales de biodiversidad | Biosfera y ecosistemas planetarios</t>
  </si>
  <si>
    <t xml:space="preserve">Compensaciones | Créditos de Naturaleza | Clasificación de Actores</t>
  </si>
  <si>
    <t xml:space="preserve">Marco conceptual de 4 pasos (Evitar, Reducir, Restaurar, Compensar) para guiar compromisos hacia una naturaleza positiva (*nature-positive*). | Propone un marco de 4 pasos (Evitar, Reducir, Restaurar, Regenerar) para integrar metas de biodiversidad en empresas. | Propone en One Earth el marco de 4 pasos (Jerarquía de Conservación) para operacionalizar el Marco Mundial de Biodiversidad.</t>
  </si>
  <si>
    <t xml:space="preserve">Demanda (Empresas, Sector financiero), Oferta (Desarrolladores, IPLC), Reguladores | Demanda, Oferta (Desarrolladores, IPLC), Reguladores | Demanda (Empresas, Sector financiero), Oferta (Desarrolladores, IPLC)</t>
  </si>
  <si>
    <t xml:space="preserve">Global (Australia, Colombia, Reino Unido, Gabón, Niue, etc.) | Global | Global (20+ países)</t>
  </si>
  <si>
    <t xml:space="preserve">Bosques, humedales, arrecifes y áreas agrícolas | Esquemas globales de biocréditos | Revisión de 30+ esquemas y estándares de biocréditos</t>
  </si>
  <si>
    <t xml:space="preserve">Mapea exhaustivamente el estado global de los esquemas de biocréditos voluntarios privados, gubernamentales e independientes. | Revisión global del estado de los esquemas y mercados voluntarios de créditos de biodiversidad. | Mapeo global detallado de los estándares y esquemas piloto de biocréditos en desarrollo a nivel mundial.</t>
  </si>
  <si>
    <t xml:space="preserve">Porras &amp; Steele (IIED) | Porras, I. &amp; Steele, P. (IIED)</t>
  </si>
  <si>
    <t xml:space="preserve">Cualitativo | Cualitativo / Formulación de política</t>
  </si>
  <si>
    <t xml:space="preserve">Oferta (Comunidades locales, IPLC, Agricultores), Demanda, Reguladores | Oferta (Comunidades locales, IPLC, agricultores), Reguladores/legisladores, Demanda</t>
  </si>
  <si>
    <t xml:space="preserve">Global / Países en desarrollo (Colombia, Costa Rica, Uganda) | Global / Países en desarrollo</t>
  </si>
  <si>
    <t xml:space="preserve">Bosques comunitarios y áreas rurales de alta biodiversidad | Bosques comunitarios y áreas protegidas rurales</t>
  </si>
  <si>
    <t xml:space="preserve">Conceptualiza los 'biocréditos' pro-pobre como canal financiero inclusivo para retribuir la gestión ambiental comunitaria. | Propone el concepto de biocrédito como herramienta doble para financiar la conservación e incrementar los ingresos comunitarios.</t>
  </si>
  <si>
    <t xml:space="preserve">US Fish and Wildlife Service (USFWS) | USFWS</t>
  </si>
  <si>
    <t xml:space="preserve">Reguladores/legisladores, Oferta (Propietarios de bancos), Demanda (Desarrolladores) | Reguladores/legisladores (USFWS), Oferta (Banqueros), Demanda</t>
  </si>
  <si>
    <t xml:space="preserve">Hábitats de especies amenazadas y en peligro de extinción | Hábitats de especies listadas bajo la ley ESA</t>
  </si>
  <si>
    <t xml:space="preserve">Guía normativa pionera para el establecimiento y operación de Bancos de Conservación para compensación de hábitats. | Directriz oficial del Servicio de Pesca y Vida Silvestre de EE. UU. que formalizó la creación y operación de bancos de conservación.</t>
  </si>
  <si>
    <t xml:space="preserve">Badgley et al. | Badgley et al. (2022)</t>
  </si>
  <si>
    <t xml:space="preserve">Cuantitativo | Cuantitativo / Evaluativo</t>
  </si>
  <si>
    <t xml:space="preserve">Reguladores/legisladores, Demanda (Empresas), Oferta (Silvicultores) | Reguladores/legisladores (California ARB), Demanda, Oferta (Silvicultores)</t>
  </si>
  <si>
    <t xml:space="preserve">Bosques templados | Bosques templados y créditos de carbono forestal</t>
  </si>
  <si>
    <t xml:space="preserve">Cuantifica la sobreemisión sistemática de créditos en el programa de offset forestal de California por fallas de diseño de línea de base. | Demuestra en Global Change Biology la sobreemisión masiva de créditos en el programa de compensación de California por fallas de línea de base.</t>
  </si>
  <si>
    <t xml:space="preserve">Bull et al. | Bull, Suttle, Gordon, Singh &amp; Milner-Gulland</t>
  </si>
  <si>
    <t xml:space="preserve">Comunidad científica, Reguladores/legisladores, Demanda | Comunidad científica, Reguladores/legisladores, Demanda, Oferta | Reguladores/legisladores, Demanda (Empresas), Comunidad científica | Reguladores/legisladores, Demanda (Desarrolladores), Comunidad científica | Reguladores/legisladores, Demanda (Empresas, Minería, Infraestructura), Comunidad científica</t>
  </si>
  <si>
    <t xml:space="preserve">Ecosistemas intervenidos y de restauración | Ecosistemas terrestres y acuáticos en marcos de compensación | Ecosistemas amenazados por desarrollo | Ecosistemas amenazados por desarrollo de infraestructura | Ecosistemas terrestres y marinos bajo políticas No Net Loss</t>
  </si>
  <si>
    <t xml:space="preserve">Establece las bases teóricas y analíticas de los offsets de biodiversidad, la equivalencia ecológica y la jerarquía de mitigación. | Revisión conceptual sobre la teoría y práctica de las compensaciones de biodiversidad y los desafíos de lograr No Net Loss. | Revisión crítica de la teoría y práctica de las compensaciones de biodiversidad en el mundo. | Revisión conceptual sobre la aplicación de compensaciones bajo la jerarquía de mitigación para lograr No Net Loss. | Revisión sistemática de la literatura sobre compensaciones de biodiversidad, definiendo el principio estricto de No Net Loss.</t>
  </si>
  <si>
    <t xml:space="preserve">Carbone4, NatureFinance &amp; GEF | Carbone4 &amp; NatureFinance | Carbone4 and NatureFinance</t>
  </si>
  <si>
    <t xml:space="preserve">Reguladores, Demanda (Empresas), Oferta (IPLC, Comunidades) | Reguladores/legisladores, Demanda, Oferta (IPLC, Comunidades) | Demanda (Empresas, Financieros), Oferta (Comunidades locales, IPLC), Reguladores</t>
  </si>
  <si>
    <t xml:space="preserve">Ecosistemas terrestres y marinos | Mercados emergentes de créditos de biodiversidad | Bosques tropicales y ecosistemas comunitarios</t>
  </si>
  <si>
    <t xml:space="preserve">Documento estratégico sobre cómo estructurar créditos de biodiversidad respetando la equidad comunitaria y la aditividad. | Propone principios estratégicos para que los créditos de biodiversidad beneficien a los custodios de la naturaleza y respeten el clima. | Examina el potencial de los créditos de biodiversidad para canalizar financiamiento climático y promover la equidad social.</t>
  </si>
  <si>
    <t xml:space="preserve">Reguladores/legisladores, Demanda (Desarrolladores), Público general | Reguladores/legisladores, Demanda, Comunidad científica</t>
  </si>
  <si>
    <t xml:space="preserve">Australia / Global | Global / Australia / Francia</t>
  </si>
  <si>
    <t xml:space="preserve">Políticas públicas de desarrollo y territorio | Gobernanza e instituciones de compensación ambiental</t>
  </si>
  <si>
    <t xml:space="preserve">Estudio político-institucional que muestra cómo los offsets pueden dar una ilusión de acción efectiva justificando la expansión industrial. | Analiza las dimensiones políticas y de escala institucional en la implementación de compensaciones.</t>
  </si>
  <si>
    <t xml:space="preserve">Díaz et al. | Díaz et al. (IPBES) | Díaz, S., Settele, J., Brondízio, E.S., et al.</t>
  </si>
  <si>
    <t xml:space="preserve">Cualitativo / Cuantitativo | Cuantitativo / Cualitativo</t>
  </si>
  <si>
    <t xml:space="preserve">Reguladores/legisladores, Comunidad científica, Público general | Comunidad científica, Reguladores, Público general | Comunidad científica, Reguladores/legisladores, Público general</t>
  </si>
  <si>
    <t xml:space="preserve">Ecosistemas planetarios globales (IPBES) | Ecosistemas globales y especies | Todos los biomas globales</t>
  </si>
  <si>
    <t xml:space="preserve">Informe de la IPBES que demuestra el declive global sin precedentes de la naturaleza impulsado por factores socioeconómicos. | Resumen científico del informe de evaluación global IPBES sobre la tasa acelerada de extinción de especies y declive de ecosistemas. | Resumen ejecutivo del Informe de Evaluación Global de la IPBES sobre el declive de la vida en la Tierra por acción humana.</t>
  </si>
  <si>
    <t xml:space="preserve">Cualitativo / Cuantitativo | Cualitativo / Econométrico</t>
  </si>
  <si>
    <t xml:space="preserve">Reguladores, Demanda, Oferta (Silvicultores) | Reguladores/legisladores, Demanda, Comunidad científica</t>
  </si>
  <si>
    <t xml:space="preserve">Bosques y proyectos de restauración/preservación | Fuga de carbono directa y de mercado en proyectos de offset</t>
  </si>
  <si>
    <t xml:space="preserve">Propone mecanismos de diseño para evitar fugas de carbono en proyectos de compensación basados en la naturaleza. | Analiza los mecanismos de fuga directa y de mercado (teleconexiones) en offsets basados en la naturaleza.</t>
  </si>
  <si>
    <t xml:space="preserve">Oferta (Comunidades locales), Reguladores, Demanda (Desarrolladores) | Público general (Comunidades afectadas / IPLC), Demanda, Reguladores</t>
  </si>
  <si>
    <t xml:space="preserve">Global | Global / Países en desarrollo</t>
  </si>
  <si>
    <t xml:space="preserve">Ecosistemas sujetos a desarrollo e infraestructura | Bosques y recursos naturales comunitarios</t>
  </si>
  <si>
    <t xml:space="preserve">Propone principios para garantizar que las políticas de No Net Loss no perjudiquen el bienestar de las poblaciones locales. | Propone el principio 'No Worse Off' para asegurar que las comunidades locales no sufran pérdidas de bienestar por offsets.</t>
  </si>
  <si>
    <t xml:space="preserve">Reguladores/legisladores, Demanda (Sector financiero), Público general | Comunidad científica, Reguladores/legisladores, Demanda (Financieros)</t>
  </si>
  <si>
    <t xml:space="preserve">Políticas macrofinancieras de biodiversidad | Límites de las finanzas privadas para alcanzar las metas globales de conservación</t>
  </si>
  <si>
    <t xml:space="preserve">Advierte sobre los riesgos de depender exclusivamente de mercados de capital privado para alcanzar metas de conservación. | Demuestra en Nature Ecology &amp; Evolution que las finanzas privadas no pueden sustituir el financiamiento público.</t>
  </si>
  <si>
    <t xml:space="preserve">Koh, Hahn &amp; Boonstra | Koh, N.S., Hahn, T., &amp; Boonstra, W.J.</t>
  </si>
  <si>
    <t xml:space="preserve">Reguladores/legisladores, Demanda, Oferta | Reguladores/legisladores, Comunidad científica, Demanda</t>
  </si>
  <si>
    <t xml:space="preserve">Global (20+ países) | Global</t>
  </si>
  <si>
    <t xml:space="preserve">Políticas e instrumentos de offset | Ecosistemas protegidos | Tipología de políticas de compensación de biodiversidad</t>
  </si>
  <si>
    <t xml:space="preserve">Desarrolla una tipología de políticas de compensación de biodiversidad según su grado real de intermediación de mercado. | Desarrolla una tipología de políticas de compensación de biodiversidad según el grado de intervención estatal frente a mecanismos de mercado. | Desarrolla una tipología de compensaciones evaluando el grado de regulación vs. dinamismo de mercado.</t>
  </si>
  <si>
    <t xml:space="preserve">Krause, Droste &amp; Matzdorf | Krause et al.</t>
  </si>
  <si>
    <t xml:space="preserve">Demanda (Empresas corporativas), Reguladores | Demanda (Empresas), Oferta, Reguladores</t>
  </si>
  <si>
    <t xml:space="preserve">Terrestre / Mixto | Terrestre</t>
  </si>
  <si>
    <t xml:space="preserve">Entorno empresarial y responsabilidad ambiental | Compromisos corporativos con la naturaleza</t>
  </si>
  <si>
    <t xml:space="preserve">Estudio cuantitativo sobre las motivaciones corporativas (reputación, valores, riesgo) para invertir en conservación. | Identifica los factores organizacionales y motivaciones que impulsan a las empresas a asumir compromisos voluntarios de conservación.</t>
  </si>
  <si>
    <t xml:space="preserve">Leung et al. | Leung, B., Hargreaves, A.L., Greenberg, D.A., et al.</t>
  </si>
  <si>
    <t xml:space="preserve">Poblaciones de vertebrados globales | Poblaciones globales de vertebrados (LPI) | Poblaciones de vertebrados</t>
  </si>
  <si>
    <t xml:space="preserve">Análisis estadístico sobre las tendencias de declive de vertebrados globales y heterogeneidad regional de impactos. | Demuestra en Nature que las reducciones catastróficas de vertebrados están agrupadas en sistemas específicos y no generalizadas. | Muestra que las declinaciones extremas de vertebrados están concentradas en clusters específicos y no son homogéneas.</t>
  </si>
  <si>
    <t xml:space="preserve">Löfqvist, Garrett &amp; Ghazoul | Löfqvist et al.</t>
  </si>
  <si>
    <t xml:space="preserve">Demanda (Inversores privados), Oferta (Propietarios, Comunidades) | Demanda (Gestores de activos, Inversores privados), Oferta</t>
  </si>
  <si>
    <t xml:space="preserve">Restauración de bosques y paisajes (FLR) | Restauración de paisajes y bosques</t>
  </si>
  <si>
    <t xml:space="preserve">Identifica los incentivos y barreras estructurales (tenencia, escala, riesgo) para atraer finanzas privadas hacia la restauración. | Investiga los incentivos y barreras de inversores privados para canalizar capital hacia la restauración forestal.</t>
  </si>
  <si>
    <t xml:space="preserve">Cuantitativo / Cualitativo | Cuantitativo / Análisis de políticas</t>
  </si>
  <si>
    <t xml:space="preserve">Reguladores/legisladores, Comunidad científica, Demanda | Reguladores/legisladores (Australia), Demanda, Científicos</t>
  </si>
  <si>
    <t xml:space="preserve">Vegetación nativa y biodiversidad amenazada | Vegetación nativa y hábitats amenazados | Uso de líneas de base de declive que institucionalizan pérdidas netas</t>
  </si>
  <si>
    <t xml:space="preserve">Demuestra que usar líneas de base de declive decreciente en políticas de offset institucionaliza la pérdida neta perpetua de biodiversidad. | Critica las políticas de offset en Australia por usar líneas de base de declive que garantizan la pérdida neta continua. | Demuestra que asumir líneas de base contrafácticas de declive institucionaliza la pérdida continua de hábitat.</t>
  </si>
  <si>
    <t xml:space="preserve">Reguladores/legisladores, Demanda (Empresas), Científicos | Reguladores/legisladores, Demanda (Empresas), Comunidad científica</t>
  </si>
  <si>
    <t xml:space="preserve">Ecosistemas sujetos a impactos corporativos | Jerarquía de mitigación (Evitar, Reducir, Restaurar, Compensar) | Jerarquía de mitigación y metas Nature Positive</t>
  </si>
  <si>
    <t xml:space="preserve">Advierte que la meta 'Nature Positive' debe incorporar estrictamente la jerarquía de mitigación y no sustituir la evitación. | Advierte en Nature Ecology &amp; Evolution que la meta Nature Positive debe basarse en la jerarquía de mitigación y no justificar compensaciones laxas. | Advierte en Nature Ecology &amp; Evolution que 'Nature Positive' exige respetar la jerarquía de mitigación.</t>
  </si>
  <si>
    <t xml:space="preserve">Marshall et al. | Marshall, E., Wintle, B.A., Southwell, D., et al.</t>
  </si>
  <si>
    <t xml:space="preserve">Comunidad científica, Reguladores, Certificadores | Comunidad científica, Reguladores/legisladores, Demanda</t>
  </si>
  <si>
    <t xml:space="preserve">Métricas de equivalencia ecológica | Métricas de biodiversidad en intercambios de compensación</t>
  </si>
  <si>
    <t xml:space="preserve">Revisión de métricas utilizadas en intercambios de compensaciones, señalando la sobrerrepresentación de área y estructura. | Revisa críticamente las métricas simplificadas utilizadas en los mercados de compensación y sus limitaciones.</t>
  </si>
  <si>
    <t xml:space="preserve">Demanda (Inversores de impacto, Banco Mundial), Oferta (Gobernanza de APs) | Demanda (Inversores de impacto, Banco Mundial), Oferta (Áreas protegidas)</t>
  </si>
  <si>
    <t xml:space="preserve">Sudáfrica | Sudáfrica / Global</t>
  </si>
  <si>
    <t xml:space="preserve">Áreas Protegidas y conservación de rinocerontes | Rinocerontes negros y reservas naturales</t>
  </si>
  <si>
    <t xml:space="preserve">Estudio de caso sobre el 'Rhino Bond' (Bono de Conservación de Vida Silvestre) y exclusión de países de alto riesgo. | Analiza la estructuración del primer Bono de Conservación de Vida Silvestre (Rhino Bond) de pago por resultados.</t>
  </si>
  <si>
    <t xml:space="preserve">Pollination | Taskforce on Nature Markets</t>
  </si>
  <si>
    <t xml:space="preserve">Demanda (Empresas, Inversores), Oferta, Reguladores/legisladores | Demanda (Sector financiero, Inversores), Reguladores/legisladores, Oferta</t>
  </si>
  <si>
    <t xml:space="preserve">Mercados de biocréditos globales | Mercados voluntarios de créditos de biodiversidad</t>
  </si>
  <si>
    <t xml:space="preserve">Mapeo exhaustivo del marco legal, regulatorio e iniciativas de mercado de créditos de biodiversidad en el mundo. | Informe hito sobre la hoja de ruta, arquitectura de gobernanza e integridad de los mercados de biocréditos.</t>
  </si>
  <si>
    <t xml:space="preserve">Reguladores/legisladores, Demanda (Desarrolladores), Científicos | Reguladores/legisladores, Demanda, Comunidad científica</t>
  </si>
  <si>
    <t xml:space="preserve">Inglaterra (Reino Unido) | Reino Unido (Inglaterra)</t>
  </si>
  <si>
    <t xml:space="preserve">Hábitats en planificación urbana/rural | Gobernanza de compensaciones ecológicas | Brechas de gobernanza en la política de Biodiversity Net Gain (BNG)</t>
  </si>
  <si>
    <t xml:space="preserve">Identifica brechas de gobernanza, supervisión y fiscalización en la política de BNG de Inglaterra. | Aborda las brechas de gobernanza que amenazan la efectividad de las políticas obligatorias de BNG. | Identifica los vacíos de gobernanza que impiden lograr ganancias netas bajo el esquema BNG de Inglaterra.</t>
  </si>
  <si>
    <t xml:space="preserve">Cualitativo | Cualitativo / Legal | Cualitativo / Legal-Económico</t>
  </si>
  <si>
    <t xml:space="preserve">EE. UU. / Global | Estados Unidos / Global</t>
  </si>
  <si>
    <t xml:space="preserve">Mixto | Acuático / Terrestre</t>
  </si>
  <si>
    <t xml:space="preserve">Monedas de cambio en mercados ambientales | Humedales y hábitats protegidos | Divisas ambientales, fungibilidad y ley ambiental</t>
  </si>
  <si>
    <t xml:space="preserve">Artículo seminal sobre las tensiones entre la simplificación de métricas para la negociabilidad y la integridad ecológica. | Obra jurídica fundamental sobre la mercantilización de la ley ambiental y los riesgos del intercambio de monedas no equivalentes. | Análisis pionero en Stanford Law Review sobre la construcción de 'divisas' ambientales y los riesgos de fungibilidad.</t>
  </si>
  <si>
    <t xml:space="preserve">Comunidad científica, Reguladores/legisladores, Demanda | Comunidad científica, Reguladores, Demanda, Oferta | Demanda (Sector financiero), Reguladores, Oferta, Científicos</t>
  </si>
  <si>
    <t xml:space="preserve">Mercados de créditos basados en la naturaleza | Evolución e integridad de mercados de créditos de naturaleza | Mercados de créditos de naturaleza y riesgo de selección adversa</t>
  </si>
  <si>
    <t xml:space="preserve">Propone emitir créditos ex post mediante evaluación de impacto con datos satelitales continuos para garantizar aditividad. | Discute los desafíos metodológicos de equivalencia y la encrucijada de los mercados de créditos de naturaleza. | Propone emitir créditos ex post mediante evaluación de impacto con datos satelitales continuos para garantizar aditividad real. | Alerta en Nature Sustainability sobre la selección adversa que atrae proyectos con bajo costo de oportunidad.</t>
  </si>
  <si>
    <t xml:space="preserve">Cualitativo / Cuantitativo | Cualitativo</t>
  </si>
  <si>
    <t xml:space="preserve">Oferta (Propietarios, Agricultores), Reguladores, Demanda | Oferta (Agricultores, Propietarios), Reguladores, Demanda</t>
  </si>
  <si>
    <t xml:space="preserve">Bosques y secuestro de carbono | Apilamiento (stacking) y empaquetamiento (bundling)</t>
  </si>
  <si>
    <t xml:space="preserve">Evalúa las percepciones de actores sobre las oportunidades y riesgos de apilar o empaquetar carbono y biodiversidad. | Evalúa las oportunidades y riesgos percibidos en el apilamiento y empaquetamiento de créditos de biodiversidad y carbono.</t>
  </si>
  <si>
    <t xml:space="preserve">Oferta (Agricultores, Propietarios de tierras), Reguladores | Oferta (Agricultores franceses), Reguladores</t>
  </si>
  <si>
    <t xml:space="preserve">Tierras agrícolas de cultivo | Agrícola</t>
  </si>
  <si>
    <t xml:space="preserve">Experimento de elección discreta que mide cuantitativamente la disposición de los agricultores a firmar contratos de offset según pagos y duración. | Experimento que muestra cómo los agricultores exigen mayores pagos por contratos más largos o inflexibles.</t>
  </si>
  <si>
    <t xml:space="preserve">Cualitativo | Cualitativo / Análisis ecológico</t>
  </si>
  <si>
    <t xml:space="preserve">Nueva Zelanda / Global | Nueva Zelanda</t>
  </si>
  <si>
    <t xml:space="preserve">Vegetación nativa e intercambios de offset | Hábitats nativos y compensaciones | Fallos conceptuales de los intercambios de biodiversidad</t>
  </si>
  <si>
    <t xml:space="preserve">Análisis sobre por qué los intercambios de biodiversidad negociados suelen fallar en prevenir la pérdida neta de hábitats. | Análisis crítico de los fallos teóricos e institucionales de los intercambios de biodiversidad por compensación. | Demuestra los límites teóricos e institucionales del trueque y comercio de unidades de biodiversidad.</t>
  </si>
  <si>
    <t xml:space="preserve">WEF | World Economic Forum (WEF) | WEF and McKinsey | World Economic Forum &amp; McKinsey | World Economic Forum &amp; McKinsey &amp; Company | WEF &amp; McKinsey &amp; Company</t>
  </si>
  <si>
    <t xml:space="preserve">Cuantitativo / Cualitativo | Cualitativo / Cuantitativo | Cuantitativo | Cuantitativo / Modelación | Cuantitativo / Modelación de Mercado (30 entrevistas)</t>
  </si>
  <si>
    <t xml:space="preserve">Demanda (Empresas corporativas, Sector financiero), Reguladores | Demanda (Empresas corporativas, Financieros), Oferta | Demanda (Empresas, Inversores), Reguladores/legisladores, Oferta | Demanda (Empresas, Inversores), Oferta, Reguladores/legisladores | Demanda (Empresas corporativas, Financieros), Oferta (Desarrolladores de proyectos), Reguladores/legisladores | Demanda (Empresas, Sector financiero), Reguladores/legisladores, Oferta (IPLC), Comunidad científica</t>
  </si>
  <si>
    <t xml:space="preserve">Global | Global (11 países: EE. UU., Reino Unido, Suiza, Noruega, Singapur, Japón, Alemania, Francia, Canadá, Bélgica, Australia)</t>
  </si>
  <si>
    <t xml:space="preserve">Análisis de demanda y mercado futuro | Análisis de demanda e incentivos corporativos | Estimación de demanda y tamaño de mercado | Mercado global de créditos de biodiversidad | Bosques, cuencas hídricas y hábitats críticos terrestres/marinos | Ecosistemas terrestres (bosques, humedales, desiertos) y marinos/costeros (arrecifes, manglares)</t>
  </si>
  <si>
    <t xml:space="preserve">Informe del WEF que proyecta la demanda potencial de biocréditos hacia 2030 y 2050 (\$2B a \$69B). | Analiza las motivaciones corporativas, riesgos reputacionales y proyecciones de demanda de créditos de biodiversidad. | Modela la demanda futura de créditos de biodiversidad, estimando $760M en 2030 (escenario cauto) y hasta $7.000M en 2030 ($180.000M a 2050 en transformacional). | Informe que cuantifica el tamaño potencial y las proyecciones de demanda corporativa para biocréditos a 2030. | Modela las perspectivas de crecimiento del mercado de créditos de biodiversidad hacia 2030 y proyecta la demanda voluntaria corporativa bajo distintos escenarios de regulación. | Informe principal que modela la demanda de biocréditos ($2B-$7B a 2030) y define 5 casos de uso corporativos.</t>
  </si>
  <si>
    <t xml:space="preserve">Comunidad científica, Reguladores/legisladores, Certificadores | Demanda (Compradores), Oferta (Proyectos), Reguladores | Comunidad científica, Reguladores/legisladores, Demanda, Certificadores</t>
  </si>
  <si>
    <t xml:space="preserve">Global (Trópicos) | Global | Global / Tropicos</t>
  </si>
  <si>
    <t xml:space="preserve">Bosques tropicales | Proyectos REDD+ voluntarios y sobreestimación de aditividad</t>
  </si>
  <si>
    <t xml:space="preserve">Estudio publicado en Science que confirma que la mayoría de los créditos REDD+ de deforestación evitada no reducen deforestación. | Aboga por reformar el mercado voluntario ante la sobrefacturación masiva de créditos de conservación de bosques. | Estudio hito en Science que demuestra la falta de aditividad real en la mayoría de proyectos REDD+.</t>
  </si>
  <si>
    <t xml:space="preserve">Cualitativo / Cuantitativo | Mixto | Cuantitativo / Cualitativo | Cuantitativo</t>
  </si>
  <si>
    <t xml:space="preserve">Reguladores/legisladores, Demanda, Comunidad científica | Reguladores, Demanda (Desarrolladores) | Reguladores/legisladores, Comunidad científica, Demanda | Reguladores/legisladores, Demanda (Desarrolladores), Científicos</t>
  </si>
  <si>
    <t xml:space="preserve">Global | Reino Unido / Global</t>
  </si>
  <si>
    <t xml:space="preserve">Terrestre / Acuático | Terrestre / Mixto | Terrestre</t>
  </si>
  <si>
    <t xml:space="preserve">Comercio de créditos de compensación | Diversos | Intercambio de créditos de offset | Intercambio de compensaciones y flexibilidad geográfica/ecológica</t>
  </si>
  <si>
    <t xml:space="preserve">Demuestra los riesgos ecológicos ocultos que surgen al aumentar la flexibilización e intercambiabilidad en offsets. | Modelación que alerta sobre cómo aumentar la flexibilidad ecológica en los offsets destruye hábitats amenazados. | Modela los riesgos ocultos para la biodiversidad al permitir mayor flexibilidad espacial y de tipo en los offsets. | Demuestra mediante simulación que aumentar la flexibilidad geográfica y ecológica en las compensaciones reduce costos pero destruye la aditividad ecológica.</t>
  </si>
  <si>
    <t xml:space="preserve">Comunidad científica, Reguladores, Demanda | Demanda (Empresas, Inversores), Oferta (Comunidades locales, Propietarios), Reguladores, Científicos</t>
  </si>
  <si>
    <t xml:space="preserve">Bosques y restauración ecológica | Bosques, humedales, hábitats amenazados</t>
  </si>
  <si>
    <t xml:space="preserve">Discute el potencial de los créditos de biodiversidad para financiar la conservación ajustando la jerarquía de mitigación. | Analiza cómo los créditos de biodiversidad pueden canalizar financiamiento privado para conservación y restauración ajustando la jerarquía de mitigación.</t>
  </si>
  <si>
    <t xml:space="preserve">Demanda (Empresas, Sector financiero, Filantropía) | Demanda (Empresas, Sector financiero), Oferta (Comunidades locales, IPLC), Reguladores | Demanda (Empresas, Sector financiero), Reguladores</t>
  </si>
  <si>
    <t xml:space="preserve">Mercados voluntarios de biocréditos | Diversas ecorregiones y biomas prioritarios | Fuentes de demanda y motivaciones corporativas para biocréditos</t>
  </si>
  <si>
    <t xml:space="preserve">Analiza las fuentes de demanda, motivaciones corporativas y barreras para la compra voluntaria de créditos de biodiversidad. | Analiza las fuentes de demanda y motivaciones corporativas para la compra voluntaria de créditos de biodiversidad. | Mapea las motivaciones de demanda corporativa para adquirir créditos de biodiversidad voluntarios.</t>
  </si>
  <si>
    <t xml:space="preserve">Reguladores, Demanda, Oferta (IPLC, Propietarios) | Reguladores/legisladores, Oferta (IPLC, Comunidades), Demanda | Reguladores/legisladores, Demanda (Empresas, Financieros), Oferta (IPLC), Científicos</t>
  </si>
  <si>
    <t xml:space="preserve">Unidades verificadas de ganancia positiva | Unidades certificadas de ganancias ecológicas adicionales | Ecosistemas terrestres, marinos y continentales</t>
  </si>
  <si>
    <t xml:space="preserve">Establece la definición estándar internacional de un crédito de biodiversidad como unidad de resultado positivo adicional y duradero. | Define el crédito de biodiversidad como certificado de un resultado positivo medible, adicional y duradero no apto para offsetting. | Establece la definición estándar internacional de un crédito de biodiversidad como unidad de resultado positivo.</t>
  </si>
  <si>
    <t xml:space="preserve">Biodiversity Credit Alliance (BCA) | BCA, IAPB &amp; WEF</t>
  </si>
  <si>
    <t xml:space="preserve">Reguladores, Demanda, Oferta (IPLC), Científicos | Reguladores/legisladores, Demanda (Empresas), Oferta (IPLC)</t>
  </si>
  <si>
    <t xml:space="preserve">Principios marco de gobernanza | Principios globales consensuados para mercados de biocréditos</t>
  </si>
  <si>
    <t xml:space="preserve">Presenta los Principios de Alto Nivel desarrollados con el WEF e IAPB para guiar la integridad del mercado de biocréditos. | Documento tripartito de consenso global sobre los principios rectores de integridad ecológica y derechos de comunidades locales.</t>
  </si>
  <si>
    <t xml:space="preserve">Bromley (BloombergNEF) | BloombergNEF | Bromley, H. (BloombergNEF)</t>
  </si>
  <si>
    <t xml:space="preserve">Demanda (Sector financiero), Reguladores, Público general | Demanda (Sector financiero, Inversores), Reguladores</t>
  </si>
  <si>
    <t xml:space="preserve">Flujos financieros de biodiversidad | Flujos de capital, bonos verdes/azules y biocréditos | Mercados financieros y flujos de biodiversidad</t>
  </si>
  <si>
    <t xml:space="preserve">Cuantifica la brecha de financiamiento de la biodiversidad (\$942.000M anuales) y analiza las tendencias de inversión pública y privada. | Actualización cuantitativa de los flujos de finanzas de biodiversidad ($208B en 2023) y el crecimiento de bonos etiquetados. | Resumen de mercado presentado en COP16 sobre emisión de bonos etiquetados y biocréditos voluntarias.</t>
  </si>
  <si>
    <t xml:space="preserve">Cualitativo / Cuantitativo | Cualitativo / Tecnológico</t>
  </si>
  <si>
    <t xml:space="preserve">Comunidad científica, Oferta (Desarrolladores), Certificadores | Comunidad científica, Certificadores, Oferta (Tecnología MRV) | Comunidad científica, Demanda, Oferta</t>
  </si>
  <si>
    <t xml:space="preserve">Monitoreo tecnológico (eDNA, bioacústica, LIDAR) | Monitoreo con eDNA, bioacústica y teledetección | Herramientas tecnológicas de monitoreo para biocréditos</t>
  </si>
  <si>
    <t xml:space="preserve">Propone un conjunto de herramientas tecnológicas avanzadas para la medición y monitoreo de la biodiversidad en biocréditos. | Presenta una caja de herramientas tecnológicas (eDNA, bioacústica, sensores remotos) para el monitoreo costo-efectivo de biocréditos. | Evalúa el kit de herramientas tecnológicas (eDNA, bioacústica, sensores) aplicable a mercados de biocréditos.</t>
  </si>
  <si>
    <t xml:space="preserve">Parker et al. | Goodman, L.A.</t>
  </si>
  <si>
    <t xml:space="preserve">Global | Global / Teórico</t>
  </si>
  <si>
    <t xml:space="preserve">Muestreo por bola de nieve | Método de muestreo estadístico en cadena</t>
  </si>
  <si>
    <t xml:space="preserve">Descripción metodológica de la técnica de muestreo por bola de nieve para estudios cualitativos. | Publicación metodológica fundamental sobre el muestreo en bola de nieve utilizado para ubicar herramientas y expertos no tabulados.</t>
  </si>
  <si>
    <t xml:space="preserve">Comunidad científica, Reguladores, Demanda | Comunidad científica, Reguladores/legisladores, Certificadores</t>
  </si>
  <si>
    <t xml:space="preserve">Proyectos de compensación de carbono | Revisión de proyectos de carbono en todos los sectores</t>
  </si>
  <si>
    <t xml:space="preserve">Revisión sistemática que demuestra la falta de reducción real de emisiones en la mayoría de proyectos de offset. | Revisión sistemática de ETH Zürich que concluye que la gran mayoría de proyectos de offset de carbono sobreestiman sus reducciones reales.</t>
  </si>
  <si>
    <t xml:space="preserve">Richardson et al. | Richardson, K. et al. | Richardson et al. (2023)</t>
  </si>
  <si>
    <t xml:space="preserve">Cuantitativo | Cuantitativo / Límites planetarios</t>
  </si>
  <si>
    <t xml:space="preserve">Comunidad científica, Reguladores, Público general | Comunidad científica, Reguladores/legisladores, Público general | Comunidad científica, Reguladores/legisladores</t>
  </si>
  <si>
    <t xml:space="preserve">Límites planetarios (Integridad de la biosfera) | Integridad de la biosfera, cambio de uso de suelo y agua dulce | 9 límites del sistema Tierra</t>
  </si>
  <si>
    <t xml:space="preserve">Actualización científica que demuestra que se han transgredido 6 de los 9 límites planetarios, incluida la biodiversidad. | Estudio hito en Science Advances que demuestra que la humanidad ha traspasado 6 de los 9 límites planetarios de sostenibilidad. | Confirma en Science Advances que la humanidad ha traspasado 6 de los 9 límites planetarios, arriesgando la estabilidad holocénica.</t>
  </si>
  <si>
    <t xml:space="preserve">TNFD | Taskforce on Nature-related Financial Disclosures (TNFD)</t>
  </si>
  <si>
    <t xml:space="preserve">Cualitativo | Cualitativo / Marco de Divulgación</t>
  </si>
  <si>
    <t xml:space="preserve">Demanda (Empresas corporativas, Sector financiero), Reguladores | Demanda (Empresas, Sector financiero), Reguladores/legisladores | Demanda (Empresas corporativas, Sector financiero, Bancos, Aseguradoras), Reguladores/legisladores</t>
  </si>
  <si>
    <t xml:space="preserve">Marco LEAP de divulgación de riesgos de naturaleza | Evaluación de dependencias e impactos corporativos (Marco LEAP) | Evaluación de dependencias, impactos, riesgos y oportunidades sobre la naturaleza (Metodología LEAP)</t>
  </si>
  <si>
    <t xml:space="preserve">Recomendaciones finales del TNFD para la divulgación corporativa de impactos, dependencias y riesgos de naturaleza. | Establece el marco global para que las corporaciones e instituciones financieras divulguen sus riesgos, dependencias e impactos de naturaleza. | Proporciona el marco corporativo e institucional estandarizado para que empresas y entidades financieras divulguen sus riesgos e impactos asociados a la naturaleza.</t>
  </si>
  <si>
    <t xml:space="preserve">Demanda (Grandes empresas multinacionales), Certificadores | Demanda (Grandes empresas multinacionales) | Demanda (Grandes empresas Fortune 500), Reguladores, Científicos | Demanda (Grandes corporaciones), Certificadores, Público general</t>
  </si>
  <si>
    <t xml:space="preserve">Mixto | Terrestre / Mixto</t>
  </si>
  <si>
    <t xml:space="preserve">Mercado voluntario de offsets | Diversos | Carteras de compra de créditos de grandes corporaciones | Mercado voluntario de carbono y créditos de deforestación evitada</t>
  </si>
  <si>
    <t xml:space="preserve">Demuestra en Nature Comms que las grandes empresas priorizan la compra de offsets baratas de baja calidad. | Demuestra empíricamente que las grandes corporaciones priorizan comprar créditos baratos de baja calidad. | Demuestra en Nature Communications que la preferencia de las corporaciones por créditos baratos de baja calidad socava el VCM. | Demuestra empíricamente que la demanda de créditos de compensación de baja calidad por grandes corporaciones socava la integridad del mercado voluntario.</t>
  </si>
  <si>
    <t xml:space="preserve">von Hase &amp; Cassin | von Hase, A. &amp; Cassin / BBOP, Forest Trends</t>
  </si>
  <si>
    <t xml:space="preserve">Cualitativo | Cualitativo / Metodológico</t>
  </si>
  <si>
    <t xml:space="preserve">Comunidad científica, Reguladores, Desarrolladores | Comunidad científica, Reguladores/legisladores, Demanda (Empresas)</t>
  </si>
  <si>
    <t xml:space="preserve">Apilamiento y empaquetamiento de créditos | Servicios ecosistémicos forestales, hídricos y de carbono</t>
  </si>
  <si>
    <t xml:space="preserve">Documento del BBOP sobre la teoría y práctica del apilamiento de créditos evitando la doble contabilidad. | Analiza la teoría y práctica de la acumulación (stacking) y empaquetamiento (bundling) de créditos de carbono y biodiversidad.</t>
  </si>
  <si>
    <t xml:space="preserve">Comunidad científica, Reguladores, Oferta, Demanda | Demanda (Empresas, sector financiero), Oferta (Agricultores, silvicultores, comunidades locales), Reguladores, Científica</t>
  </si>
  <si>
    <t xml:space="preserve">Global (34 iniciativas piloto) | Global</t>
  </si>
  <si>
    <t xml:space="preserve">Terrestre / Acuático | Terrestre / Acuático / Mixto</t>
  </si>
  <si>
    <t xml:space="preserve">34 proyectos piloto globales de biocréditos | Bosques, arrecifes de coral, humedales</t>
  </si>
  <si>
    <t xml:space="preserve">Créditos de Naturaleza | Créditos de Naturaleza / Compensaciones / Pagos por Servicios Ecosistémicos (PES)</t>
  </si>
  <si>
    <t xml:space="preserve">Revisión integral de 34 iniciativas globales de biocréditos proponiendo una Teoría de Cambio para evitar los errores del VCM. | Analiza sistemáticamente el estado de 34 iniciativas globales de créditos y su ToC.</t>
  </si>
  <si>
    <t xml:space="preserve">Ding et al. (WRI) | World Resources Institute (WRI)</t>
  </si>
  <si>
    <t xml:space="preserve">Demanda (Sector financiero, Inversores), Oferta (Agricultores, Comunidades), Reguladores | Reguladores/legisladores, Oferta (Agricultores), Demanda</t>
  </si>
  <si>
    <t xml:space="preserve">América Latina / Global | Global / Países en desarrollo</t>
  </si>
  <si>
    <t xml:space="preserve">Tierras agrícolas y forestales degradadas | Tierras agrícolas y bosques degradados</t>
  </si>
  <si>
    <t xml:space="preserve">Clasificación de Actores | Pagos por Servicios Ecosistémicos (PES)</t>
  </si>
  <si>
    <t xml:space="preserve">Analiza los modelos financieros y rentabilidad de restaurar tierras degradadas, estimando necesidades de $18B-$300B anuales. | Demuestra que cada dólar invertido en restauración de tierras genera hasta $30 en retornos económicos e hídricos.</t>
  </si>
  <si>
    <t xml:space="preserve">Bruggeman, Jones, Lupi &amp; Scribner | Bruggeman et al.</t>
  </si>
  <si>
    <t xml:space="preserve">Comunidad científica, Reguladores/legisladores, Demanda, Oferta | Reguladores/legisladores, Comunidad científica, Demanda, Oferta</t>
  </si>
  <si>
    <t xml:space="preserve">EE. UU. | Estados Unidos</t>
  </si>
  <si>
    <t xml:space="preserve">Hábitats forestales y conectividad del paisaje para estimación de créditos | Hábitats forestales y conectividad del paisaje</t>
  </si>
  <si>
    <t xml:space="preserve">Desarrolla el Análisis de Equivalencia del Paisaje (LEA) para cuantificar créditos de biodiversidad espacialmente explícitos. | Desarrolla la metodología LEA para calcular créditos de biodiversidad espacialmente explícitos integrando índices de paisaje.</t>
  </si>
  <si>
    <t xml:space="preserve">Comunidad científica, Reguladores/legisladores | Comunidad científica, Reguladores/legisladores, Demanda (desarrolladores)</t>
  </si>
  <si>
    <t xml:space="preserve">Mixto | Terrestre</t>
  </si>
  <si>
    <t xml:space="preserve">Hábitats terrestres y acuáticos para conservación de fauna silvestre | Hábitats de fauna silvestre y áreas de infraestructura</t>
  </si>
  <si>
    <t xml:space="preserve">Define desafíos y prioridades de investigación para asegurar que las compensaciones protejan la biodiversidad animal. | Identifica los retos científicos de equivalencia y métricas en compensaciones de biodiversidad.</t>
  </si>
  <si>
    <t xml:space="preserve">Fox &amp; Nino-Murcia | Fox, J. &amp; Nino-Murcia, A.</t>
  </si>
  <si>
    <t xml:space="preserve">Demanda (Desarrolladores), Oferta (Propietarios de bancos), Reguladores (USFWS) | Demanda (Desarrolladores), Oferta (Banqueros de conservación), Reguladores (USFWS)</t>
  </si>
  <si>
    <t xml:space="preserve">EE. UU. | Estados Unidos (35 bancos en 5 estados)</t>
  </si>
  <si>
    <t xml:space="preserve">Bancos de conservación aprobados para especies amenazadas (ej. tortuga gopher) | Bancos de conservación de especies bajo la Ley de Especies Amenazadas</t>
  </si>
  <si>
    <t xml:space="preserve">Primer inventario y análisis cuantitativo sobre el estado, costos, precios de créditos y hectáreas en bancos de conservación de EE. UU. | Primer inventario completo sobre el estado, precios de créditos e inversión en bancos de conservación de EE. UU.</t>
  </si>
  <si>
    <t xml:space="preserve">Reguladores/legisladores, Demanda (Empresas), Comunidad científica | Reguladores/legisladores, Demanda, Comunidad científica, Oferta</t>
  </si>
  <si>
    <t xml:space="preserve">Ecosistemas sujetos a impactos de desarrollo e infraestructura | Ecosistemas amenazados por desarrollo</t>
  </si>
  <si>
    <t xml:space="preserve">Marco conceptual sobre las condiciones ecológicas y de gobernanza necesarias para lograr una Pérdida Neta Cero real. | Analiza los retos técnicos y de diseño de divisas agrupadas para lograr el objetivo de No Net Loss sin pérdidas de calidad.</t>
  </si>
  <si>
    <t xml:space="preserve">Cualitativo | Cualitativo / Ética ambiental</t>
  </si>
  <si>
    <t xml:space="preserve">Ecosistemas naturales y debates sobre inconmensurabilidad | Dilemas éticos del intercambio e interconectividad de la naturaleza</t>
  </si>
  <si>
    <t xml:space="preserve">Análisis ético sobre las implicaciones morales de asumir la naturaleza como reemplazable mediante esquemas de compensación. | Analiza los dilemas éticos y filosóficos del comercio e intercambio de hábitats naturales.</t>
  </si>
  <si>
    <t xml:space="preserve">McKenney &amp; Wilkinson | McKenney, B. &amp; Wilkinson, J. (TNC)</t>
  </si>
  <si>
    <t xml:space="preserve">Reguladores/legisladores, Demanda (Desarrolladores), Oferta | Reguladores/legisladores, Demanda (Empresas extractivas e infraestructura), Oferta</t>
  </si>
  <si>
    <t xml:space="preserve">Ecosistemas terrestres y acuáticos bajo proyectos de desarrollo | Ecosistemas terrestres y acuáticos</t>
  </si>
  <si>
    <t xml:space="preserve">Sintetiza 10 principios institucionales y ecológicos de TNC para la aplicación efectiva de la jerarquía de mitigación. | Establece los 10 principios fundamentales de The Nature Conservancy (TNC) para aplicar la jerarquía de mitigación.</t>
  </si>
  <si>
    <t xml:space="preserve">Comunidad científica, Reguladores/legisladores, Oferta, Demanda | Reguladores/legisladores, Oferta (Bancos de conservación), Científicos</t>
  </si>
  <si>
    <t xml:space="preserve">Paisajes dinámicos y hábitats sometidos a cambio de uso de suelo | Paisajes dinámicos agrícolas y forestales</t>
  </si>
  <si>
    <t xml:space="preserve">Examina las condiciones ecológicas, económicas e institucionales para implementar la banca de conservación en paisajes dinámicos. | Examina los retos institucionales de la banca de conservación en paisajes dinámicos expuestos a cambio de uso del suelo.</t>
  </si>
  <si>
    <t xml:space="preserve">Oferta (Comunidades locales, agricultores) | Oferta (Comunidades locales, agricultores), Reguladores</t>
  </si>
  <si>
    <t xml:space="preserve">Bosques | Bosques y tierras agrícolas bajo esquemas de incentivos</t>
  </si>
  <si>
    <t xml:space="preserve">Revisión sistemática sobre el desplazamiento motivacional de incentivos económicos en esquemas PES. | Revisión sistemática sobre la motivación intrínseca y el desplazamiento motivacional por incentivos económicos.</t>
  </si>
  <si>
    <t xml:space="preserve">Demanda (Sector financiero), Oferta (Acuicultura, pescadores), Intermediarios (DFI) | Demanda (sector financiero/inversores), Reguladores/legisladores</t>
  </si>
  <si>
    <t xml:space="preserve">Internacional (África Austral) | Global</t>
  </si>
  <si>
    <t xml:space="preserve">Marino (Blue Economy) | Economía azul, arrecifes de coral y zonas marinas</t>
  </si>
  <si>
    <t xml:space="preserve">Examina el uso de blended finance para mitigar riesgos en la restauración marina. | Analiza la financiación mixta (blended finance), bonos azules y seguros paramétricos en arrecifes de coral.</t>
  </si>
  <si>
    <t xml:space="preserve">CFA | Conservation Finance Alliance (CFA) | Meyers et al. (CFA)</t>
  </si>
  <si>
    <t xml:space="preserve">Demanda (financieros/inversores), Reguladores/legisladores, Clasificación de Actores | Reguladores/legisladores, Demanda (Sector financiero), Oferta | Demanda (Sector financiero), Reguladores/legisladores, Comunidad científica (CFA)</t>
  </si>
  <si>
    <t xml:space="preserve">Bosques, zonas costeras y cuencas | Taxonomía general de mecanismos de finanzas de conservación | Mecanismos financieros para ecosistemas terrestres y marinos</t>
  </si>
  <si>
    <t xml:space="preserve">Define el marco de 4 pilares: reducir costos, gestionar riesgos, desincentivar daños e incentivar conservación. | Establece la taxonomía y el marco de referencia de 4 pilares para categorizar todos los mecanismos de financiamiento para la conservación. | Establece la taxonomía oficial de la Conservation Finance Alliance (CFA) en 4 elementos: generar, gestionar, desplegar y alinear.</t>
  </si>
  <si>
    <t xml:space="preserve">Cualitativo | Cualitativo / Geografía crítica</t>
  </si>
  <si>
    <t xml:space="preserve">Demanda (inversores/empresas), Reguladores/legisladores, Oferta (comunidades) | Demanda, Reguladores/legisladores, Oferta (Comunidades), Científicos | Comunidad científica, Demanda, Reguladores</t>
  </si>
  <si>
    <t xml:space="preserve">Bosques y ecosistemas en esquemas de mercado | Mercados ambientales de carbono y biodiversidad | Paradojas de 'vender la naturaleza para salvarla'</t>
  </si>
  <si>
    <t xml:space="preserve">Crítica a la 'conservación basada en mercado', mostrando la escasez y lentitud de los retornos financieros reales. | Analiza las promesas no cumplidas y paradojas del lema 'vender la naturaleza para salvarla' en políticas globales. | Examina la falta de rentabilidad del mercado de conservar vendiendo la naturaleza frente a promesas teóricas.</t>
  </si>
  <si>
    <t xml:space="preserve">Planificación sistemática de reservas terrestres y marínas | Redes de reservas y algoritmos de optimización espacial</t>
  </si>
  <si>
    <t xml:space="preserve">Artículo pionero que sienta las bases para la selección y diseño eficiente de reservas de conservación. | Artículo seminal en Nature sobre la Planificación Sistemática de la Conservación basada en representación y complementariedad.</t>
  </si>
  <si>
    <t xml:space="preserve">Reguladores/legisladores, Demanda (donantes internacionales), Comunidad científica | Reguladores/legisladores, Comunidad científica, Demanda (Donantes)</t>
  </si>
  <si>
    <t xml:space="preserve">Aves amenazadas y Sitios Clave de Biodiversidad (KBAs) | Áreas clave de biodiversidad y conservación de especies</t>
  </si>
  <si>
    <t xml:space="preserve">Calcula en $76.000M anuales el costo de proteger las especies amenazadas y los sitios clave del planeta. | Calcula en Science el costo global de cumplir las Metas de Aichi para salvar especies amenazadas ($76.100 millones anuales).</t>
  </si>
  <si>
    <t xml:space="preserve">Reguladores/legisladores, Demanda (empresas/sector financiero), Clasificación de Actores | Reguladores/legisladores, Demanda (Empresas, Sector financiero)</t>
  </si>
  <si>
    <t xml:space="preserve">Global / G7 | Global</t>
  </si>
  <si>
    <t xml:space="preserve">Capital natural terrestre y marino global | Servicios ecosistémicos globales</t>
  </si>
  <si>
    <t xml:space="preserve">Documento estratégico para el G7 sobre el argumento económico y empresarial para financiar la biodiversidad. | Informe presentado al G7 que fundamenta la necesidad económica de canalizar capital privado hacia la protección de la biodiversidad.</t>
  </si>
  <si>
    <t xml:space="preserve">Oferta (pueblos indígenas y comunidades locales - IPLC), Reguladores/legisladores | Oferta (IPLC, Pueblos Indígenas), Reguladores, ONGs</t>
  </si>
  <si>
    <t xml:space="preserve">Global (Sur Global) | Global</t>
  </si>
  <si>
    <t xml:space="preserve">Áreas protegidas estatales y tierras comunitarias | Áreas protegidas en conflicto con comunidades</t>
  </si>
  <si>
    <t xml:space="preserve">Demuestra los costos humanos y conflictos causados por áreas protegidas estatales y defiende la conservación gestionada por IPLC. | Demuestra que la adopción de enfoques de derechos indígenas es más eficiente y costo-efectiva para la conservación que las reservas.</t>
  </si>
  <si>
    <t xml:space="preserve">Reguladores/legisladores, Demanda (donantes internacionales), Comunidad científica | Reguladores/legisladores, Comunidad científica, Demanda (Sector financiero, Donantes)</t>
  </si>
  <si>
    <t xml:space="preserve">Global (109 países) | Global</t>
  </si>
  <si>
    <t xml:space="preserve">Mammalia, Aves e hiperbiodiversidad amenazada | Sitios prioritarios de conservación de mamíferos y aves</t>
  </si>
  <si>
    <t xml:space="preserve">Modelo estadístico clave que demuestra que los fondos de conservación reducen significativamente el declive de especies. | Identifica los países altamente subfinanciados que concentran la mayor amenaza inminente de pérdida de biodiversidad en PNAS.</t>
  </si>
  <si>
    <t xml:space="preserve">Waldron et al. | Waldron, A., Miller, D.C., Redding, D., et al.</t>
  </si>
  <si>
    <t xml:space="preserve">Reguladores/legisladores, Demanda (financiadores internacionales), Comunidad científica | Reguladores/legisladores, Comunidad científica, Demanda | Reguladores/legisladores, Comunidad científica, Demanda (Donantes)</t>
  </si>
  <si>
    <t xml:space="preserve">Especies terrestres amenazadas e inversiones nacionales | Biodiversidad global y gasto en conservación | Ecosistemas con gasto en conservación y modelos de pérdida</t>
  </si>
  <si>
    <t xml:space="preserve">Demuestra en Nature que el gasto en conservación entre 1996 y 2008 redujo la pérdida de biodiversidad en un 29% promedio. | Modela cuantitativamente cómo el gasto en conservación reduce las tasas de pérdida de biodiversidad en más de 100 países. | Demuestra en Nature que el gasto en conservación reduce estadísticamente la pérdida de biodiversidad a escala planetaria.</t>
  </si>
  <si>
    <t xml:space="preserve">IPBES | Watson et al. (IPBES)</t>
  </si>
  <si>
    <t xml:space="preserve">Ecosistemas terrestres, marinos y de agua dulce globales | Ecosistemas terrestres, marinos y de agua dulce</t>
  </si>
  <si>
    <t xml:space="preserve">Evaluación global de referencia que demuestra que 1 millón de especies están en peligro de extinción por actividades humanas. | Informe global de IPBES que demuestra que 1 millón de especies están amenazadas de extinción por cambio de uso de suelo. | Evaluación global de IPBES que demuestra que 1 millón de especies están amenazadas de extinción.</t>
  </si>
  <si>
    <t xml:space="preserve">Johnson et al. / World Bank | World Bank | Johnson, R., Baldos, U., et al. (Banco Mundial)</t>
  </si>
  <si>
    <t xml:space="preserve">Cuantitativo | Cuantitativo / Modelación Económica</t>
  </si>
  <si>
    <t xml:space="preserve">Reguladores/legisladores, Sector financiero, Comunidad científica | Reguladores/legisladores, Comunidad científica, Público general | Reguladores/legisladores, Demanda (Sector financiero), Comunidad científica</t>
  </si>
  <si>
    <t xml:space="preserve">Global | Global / Europa y Asia Central</t>
  </si>
  <si>
    <t xml:space="preserve">Servicios de polinizadores, madera y pesca marina | Polinización silvestre, pesquerías marinas y madera de bosques nativos | Servicios de polinizadores silvestres, provisión de madera de bosques naturales y pesquerías marítimas</t>
  </si>
  <si>
    <t xml:space="preserve">Modela el colapso de servicios ecosistémicos clave, estimando pérdidas de $2,7 billones del PIB mundial para 2030. | Modela el colapso de servicios ecosistémicos clave, estimando caídas del PIB mundial de $2,7 billones para 2030 ($255B en escenario directo). | Modela el impacto del colapso de servicios ecosistémicos clave, estimando pérdidas de $2,7 billones anuales del PIB mundial para 2030, afectando desproporcionadamente a países de ingresos bajos.</t>
  </si>
  <si>
    <t xml:space="preserve">Comunidad científica, Reguladores/legisladores, Oferta (IPLC) | Reguladores/legisladores, Demanda, Oferta (IPLC), Científicos</t>
  </si>
  <si>
    <t xml:space="preserve">Límites seguros y justos de la Tierra (Earth Commission) | Metas Nature Positive y bienestar humano</t>
  </si>
  <si>
    <t xml:space="preserve">Define el marco operativo para alcanzar un futuro 'nature and people positive' respetando los límites planetarios y la equidad. | Analiza las dimensiones para lograr un futuro 'Nature Positive' que beneficie a la sociedad y la biodiversidad.</t>
  </si>
  <si>
    <t xml:space="preserve">Reguladores/legisladores, ONGs, Público general, Científicos | Reguladores/legisladores, Comunidad científica, Público general</t>
  </si>
  <si>
    <t xml:space="preserve">Financiamiento público directo vs. soluciones de mercado | Ecosistemas globales y presupuestos de conservación</t>
  </si>
  <si>
    <t xml:space="preserve">Crítica a los mercados de biocréditos, argumentando que no reemplazan el deber de los gobiernos de financiar la naturaleza mediante impuestos y regulación. | Crítica sobre los límites de los mercados voluntarios de biocréditos, reafirmando el rol insustituible del financiamiento público.</t>
  </si>
  <si>
    <t xml:space="preserve">Greenfield / The Guardian | Greenfield, P.</t>
  </si>
  <si>
    <t xml:space="preserve">Certificadores (Verra), Demanda (Corporaciones), Público general | Demanda (Empresas corporativas), Reguladores, Público general</t>
  </si>
  <si>
    <t xml:space="preserve">Global (Bosques tropicales) | Global (Amazonía)</t>
  </si>
  <si>
    <t xml:space="preserve">Créditos REDD+ de deforestación evitada | Bosques tropicales REDD+</t>
  </si>
  <si>
    <t xml:space="preserve">Investigación periodística y científica que reveló que más del 90% de los créditos forestales de Verra eran 'créditos fantasma'. | Investigación que reveló que más del 90% de los créditos de deforestación evitada de Verra carecían de aditividad real.</t>
  </si>
  <si>
    <t xml:space="preserve">Reguladores/legisladores, Comunidad científica, Demanda (Desarrolladores), Oferta | Reguladores/legisladores, Comunidad científica, Demanda, Oferta</t>
  </si>
  <si>
    <t xml:space="preserve">Análisis crítico de los bancos de biodiversidad advirtiendo sobre el riesgo de autorizar pérdidas inmediatas ante ganancias inciertas. | Advierte sobre el riesgo de autorizar pérdidas inmediatas de hábitat ante ganancias de restauración inciertas o tardías.</t>
  </si>
  <si>
    <t xml:space="preserve">Benayas et al. | Rey Benayas et al.</t>
  </si>
  <si>
    <t xml:space="preserve">Global | Global (89 estudios)</t>
  </si>
  <si>
    <t xml:space="preserve">Bosques, humedales, agroecosistemas y pastizales | Bosques, humedales y agroecosistemas</t>
  </si>
  <si>
    <t xml:space="preserve">Meta-análisis global de 89 estudios demostrando que la restauración ecológica incrementa la biodiversidad y servicios ecosistémicos. | Meta-análisis en Science demostrando que la restauración incrementa la biodiversidad en 44% y servicios en 25%.</t>
  </si>
  <si>
    <t xml:space="preserve">Curran et al. | Curran, Hellweg &amp; Beck</t>
  </si>
  <si>
    <t xml:space="preserve">Reguladores/legisladores, Comunidad científica, Demanda (Empresas, Minería, Infraestructura), Oferta | Reguladores/legisladores, Demanda (Empresas), Científicos</t>
  </si>
  <si>
    <t xml:space="preserve">Bosques templados y tropicales, matorrales y pastizales secundarios vs primarios | Bosques y hábitats bajo políticas de offset</t>
  </si>
  <si>
    <t xml:space="preserve">Meta-análisis global de 108 estudios demostrando que los retrasos temporales e incertidumbres exigen ratios de compensación muy elevados. | Meta-análisis mostrando la falta de soporte empírico y las altas pérdidas temporales en la compensación de biodiversidad.</t>
  </si>
  <si>
    <t xml:space="preserve">R Development Core Team | R Core Team</t>
  </si>
  <si>
    <t xml:space="preserve">Software de computación estadística | Software de cómputo</t>
  </si>
  <si>
    <t xml:space="preserve">Entorno y lenguaje de programación estadístico R utilizado para el procesamiento y modelación de datos. | Entorno de software estadístico utilizado para el Análisis de Correspondencias Múltiples (MCA).</t>
  </si>
  <si>
    <t xml:space="preserve">ten Kate et al. | ten Kate, Bishop &amp; Bayon | ten Kate, K., Bishop, J. &amp; Bayon, R. (UICN)</t>
  </si>
  <si>
    <t xml:space="preserve">Demanda (Empresas, Sector financiero, Inversores), Reguladores/legisladores, Científicos | Demanda (Empresas, Sector financiero), Reguladores, Científicos | Demanda (Empresas extractivas, minería, infraestructura), Reguladores</t>
  </si>
  <si>
    <t xml:space="preserve">Ecosistemas afectados por minería, petróleo e infraestructura | Ecosistemas afectados por proyectos corporativos | Compensaciones de biodiversidad y jerarquía de mitigación</t>
  </si>
  <si>
    <t xml:space="preserve">Informe hito de la UICN e Insight Investment sobre el caso de negocio y experiencias iniciales de compensación de biodiversidad. | Informe hito de UICN / Insight Investment sobre el caso de negocio y experiencia inicial en compensación de biodiversidad. | Informe hito de UICN / Insight Investment sobre el caso de negocio y marcos regulatorios de compensación.</t>
  </si>
  <si>
    <t xml:space="preserve">Pascual, U., Balvanera, P., Anderson, C.B., et al. | Pascual et al. (IPBES)</t>
  </si>
  <si>
    <t xml:space="preserve">Comunidad científica, Reguladores/legisladores, Público general | Reguladores/legisladores, Comunidad científica, Público general, IPLC</t>
  </si>
  <si>
    <t xml:space="preserve">Sistemas socioecológicos y valoración pluridimensional | Valoración diversa de la naturaleza</t>
  </si>
  <si>
    <t xml:space="preserve">Evaluación de la IPBES sobre la pluralidad de valores de la naturaleza (intrínsecos, relacionales e instrumentales) en la toma de decisiones. | Resumen de la Evaluación de IPBES sobre los Múltiples Valores de la Naturaleza para decisiones sostenibles.</t>
  </si>
  <si>
    <t xml:space="preserve">Mace, G.M., Barrett, M., Burgess, N.D., et al. | Mace et al.</t>
  </si>
  <si>
    <t xml:space="preserve">Comunidad científica, Reguladores/legisladores | Reguladores/legisladores, Comunidad científica, Público general</t>
  </si>
  <si>
    <t xml:space="preserve">Tendencias globales de biodiversidad | Metas globales para revertir la pérdida de biodiversidad</t>
  </si>
  <si>
    <t xml:space="preserve">Concepto hito sobre revertir la curva de pérdida de biodiversidad mediante restauración proactiva y producción sostenible. | Publica en Nature Sustainability el concepto 'bending the curve' para pasar de frenar el declive a la recuperación.</t>
  </si>
  <si>
    <t xml:space="preserve">Strassburg, B.B., Iribarrem, A., Beyer, H.L., et al. | Strassburg et al.</t>
  </si>
  <si>
    <t xml:space="preserve">Comunidad científica, Reguladores/legisladores | Reguladores/legisladores, Comunidad científica, Demanda</t>
  </si>
  <si>
    <t xml:space="preserve">Zonas prioritarias de rereservas y bosques | Ecosistemas agrícolas convertidos</t>
  </si>
  <si>
    <t xml:space="preserve">Mapeo de optimización espacial que identifica áreas prioritarias globales para la restauración de ecosistemas terrestres. | Modela la priorización espacial global para restaurar el 15% de tierras convertidas, evitando 60% de extinciones.</t>
  </si>
  <si>
    <t xml:space="preserve">Leclère, D., Obersteiner, M., Barrett, M., et al. | Leclère et al. | Leclère, D. et al.</t>
  </si>
  <si>
    <t xml:space="preserve">Cuantitativo | Cuantitativo / Modelación</t>
  </si>
  <si>
    <t xml:space="preserve">Comunidad científica, Reguladores/legisladores, Demanda | Reguladores/legisladores, Comunidad científica, Oferta | Reguladores/legisladores, Comunidad científica, Oferta (Agricultores) | Reguladores/legisladores, Comunidad científica, Oferta (Agropecuaria)</t>
  </si>
  <si>
    <t xml:space="preserve">Bosques y tierras agrícolas globales | Bosques y paisajes agrícolas | Bosques y tierras agrícolas a nivel planetario</t>
  </si>
  <si>
    <t xml:space="preserve">Modela cuantitativamente que revertir el declive de la biodiversidad requiere integrar conservación con cambios en consumo. | Modela que revertir la curva de pérdida de biodiversidad requiere conservación masiva combinada con producción sostenible. | Modela que revertir el declive de biodiversidad requiere combinar la conservación masiva con el consumo sostenible. | Modela en Nature que revertir la curva de pérdida requiere combinar conservación con reforma de producción. | Modela en Nature que revertir la curva de pérdida de biodiversidad exige combinar conservación con producción sostenible.</t>
  </si>
  <si>
    <t xml:space="preserve">Yan, N., Liu, G., Xu, L., et al. | Yan et al.</t>
  </si>
  <si>
    <t xml:space="preserve">Bancos de mitigación de humedales | Humedales y bancos de mitigación</t>
  </si>
  <si>
    <t xml:space="preserve">Desarrolla una metodología basada en emergía para calcular eco-créditos en la banca de mitigación de humedales. | Desarrolla el método de contabilidad de eco-créditos basado en emergía para la banca de mitigación de humedales.</t>
  </si>
  <si>
    <t xml:space="preserve">Pereira, H.M. &amp; Cooper, H.D. | Pereira &amp; Cooper</t>
  </si>
  <si>
    <t xml:space="preserve">Variables esenciales de biodiversidad (EBVs) | Monitoreo global de biodiversidad (EBVs)</t>
  </si>
  <si>
    <t xml:space="preserve">Propone una red global de monitoreo y las Variables Esenciales de Biodiversidad para el seguimiento del cambio global. | Propone el desarrollo de Variables Esenciales de Biodiversidad (EBVs) para el seguimiento planetario.</t>
  </si>
  <si>
    <t xml:space="preserve">Haberl, H., Wiedenhofer, D., Pauliuk, S., et al. | Haberl et al.</t>
  </si>
  <si>
    <t xml:space="preserve">Flujos de materia y energía en la sociedad | Sistemas socioecológicos</t>
  </si>
  <si>
    <t xml:space="preserve">Analiza las contribuciones del análisis sociometabólico a la sostenibilidad de los recursos biofísicos. | Analiza la relación entre el uso humano de biomasa y materiales (sociometabolismo) y la sostenibilidad biológica.</t>
  </si>
  <si>
    <t xml:space="preserve">Geng, Y., Sarkis, J., and Mitchell, B. | Geng et al.</t>
  </si>
  <si>
    <t xml:space="preserve">Reguladores/legisladores, Comunidad científica, Público local | Reguladores/legisladores, Oferta (Comunidades locales)</t>
  </si>
  <si>
    <t xml:space="preserve">Lagos de meseta y altas montañas | Lagos de alta montaña</t>
  </si>
  <si>
    <t xml:space="preserve">Llamado a la acción en Nature para proteger los lagos de meseta en China y sus servicios ecosistémicos frágiles. | Analiza la urgencia de rescatar los lagos de alta montaña de China mediante servicios ecosistémicos.</t>
  </si>
  <si>
    <t xml:space="preserve">Brown, M.T., Cohen, M.J., Bardi, E., et al. | Brown et al.</t>
  </si>
  <si>
    <t xml:space="preserve">Humedales de los Everglades | Humedales Everglades</t>
  </si>
  <si>
    <t xml:space="preserve">Aplica por primera vez la emergía a la red trófica de los Everglades para cuantificar la biodiversidad a nivel de ecosistema. | Aplica el enfoque de sistemas de emergía para cuantificar la diversidad de especies en los Everglades.</t>
  </si>
  <si>
    <t xml:space="preserve">Loreau, M., Cardinale, B.J., Isbell, F., et al. | Loreau et al.</t>
  </si>
  <si>
    <t xml:space="preserve">Respuesta en Nature advirtiendo que no se debe minimizar la gravedad de la crisis de pérdida de biodiversidad. | Respuesta en *Nature* advirtiendo contra la subestimación de la gravedad de la pérdida de biodiversidad.</t>
  </si>
  <si>
    <t xml:space="preserve">Sonter, L.J., Simmonds, J.S., Watson, J.E., et al. | Sonter et al.</t>
  </si>
  <si>
    <t xml:space="preserve">Comunidad científica, Reguladores/legisladores, Demanda | Reguladores/legisladores, Comunidad científica, Demanda</t>
  </si>
  <si>
    <t xml:space="preserve">Global | Global (4 países)</t>
  </si>
  <si>
    <t xml:space="preserve">Modelos de simulación de compensación | Bosques y matorrales bajo offset</t>
  </si>
  <si>
    <t xml:space="preserve">Modela que las condiciones locales y el diseño de la política determinan si las compensaciones logran la meta No Net Loss. | Evalúa empíricamente mediante simulación si las políticas de compensación logran No Net Loss bajo condiciones locales.</t>
  </si>
  <si>
    <t xml:space="preserve">Campbell, E.T. &amp; Tilley, D.R. | Campbell &amp; Tilley</t>
  </si>
  <si>
    <t xml:space="preserve">Modelado termodinámico de ecosistemas | Modelos de redes tróficas</t>
  </si>
  <si>
    <t xml:space="preserve">Modela las relaciones entre los flujos y almacenamiento de emergía renovable y la riqueza de biodiversidad. | Investiga mediante modelación la relación entre flujos de emergía renovable y la riqueza de biodiversidad.</t>
  </si>
  <si>
    <t xml:space="preserve">Yang, Q., Liu, G., Casazza, M., et al. | Yang et al.</t>
  </si>
  <si>
    <t xml:space="preserve">Múltiples dimensiones de biodiversidad | Diversidad biofísica de ecosistemas</t>
  </si>
  <si>
    <t xml:space="preserve">Propone tres dimensiones biofísicas de biodiversidad para integrar la emergía en la medición de créditos ambientales. | Propone las tres dimensiones de biodiversidad biofísica integrando la emergía para la medición de créditos.</t>
  </si>
  <si>
    <t xml:space="preserve">Liu, G., Yang, Z., Giannetti, B.F., et al. | Liu, Yang et al.</t>
  </si>
  <si>
    <t xml:space="preserve">Cualitativo / Cuantitativo | Cuantitativo</t>
  </si>
  <si>
    <t xml:space="preserve">Biosfera e información termodinámica | Biosfera y complejidad biológica</t>
  </si>
  <si>
    <t xml:space="preserve">Estudia en The Innovation las restricciones energéticas que limitan la complejidad y diversidad biológica en la biosfera. | Analiza en *The Innovation* las restricciones energéticas que condicionan el aumento de complejidad biológica en la biosfera.</t>
  </si>
  <si>
    <t xml:space="preserve">Lee, D.J. &amp; Brown, M.T. | Lee &amp; Brown</t>
  </si>
  <si>
    <t xml:space="preserve">Estructura ecosistémica global en SIG | Ecosistemas globales por GIS</t>
  </si>
  <si>
    <t xml:space="preserve">Estima mediante SIG y emergía la productividad biofísica y valor estructural de los ecosistemas globales. | Estima mediante GIS y emergía el valor biofísico de la estructura y productividad de todos los ecosistemas globales.</t>
  </si>
  <si>
    <t xml:space="preserve">Brown, M.T. &amp; Ulgiati, S. | Brown &amp; Ulgiati</t>
  </si>
  <si>
    <t xml:space="preserve">Línea de base de energía solar y renovable | Fuentes renovables globales (Sol, Viento, Lluvia)</t>
  </si>
  <si>
    <t xml:space="preserve">Actualiza la línea de base de emergía de fuentes renovables globales (sol, viento, lluvia, mareas, geotermia) a 12.0E+24 sej/año. | Evalúa el valor de emergía de las fuentes renovables globales para la contabilidad ambiental estandarizada.</t>
  </si>
  <si>
    <t xml:space="preserve">Stetter, M.G., Gates, D.J., Mei, W., et al. | Stetter et al.</t>
  </si>
  <si>
    <t xml:space="preserve">Genómica de especies domesticadas | Especies domesticadas</t>
  </si>
  <si>
    <t xml:space="preserve">Revisa los mecanismos genéticos e intervenciones humanas involucradas en el proceso de domesticación de especies. | Revisa los mecanismos genéticos y la selección humana en el proceso de domesticación de especies.</t>
  </si>
  <si>
    <t xml:space="preserve">NEAD (National Environmental Accounting Database) | NEAD</t>
  </si>
  <si>
    <t xml:space="preserve">Global | Global (190+ países)</t>
  </si>
  <si>
    <t xml:space="preserve">Base de datos de intensidades de emergía (UEVs) | Base de datos de contabilidad ambiental</t>
  </si>
  <si>
    <t xml:space="preserve">Base de datos pública con valores unitarios de emergía (UEVs) e intensidades para recursos naturales e insumos económicos. | Base de datos nacional de contabilidad ambiental con intensidades de emergía y UEVs por país.</t>
  </si>
  <si>
    <t xml:space="preserve">Antonelli, A., Smith, R.J. &amp; Simmonds, M.S.J. | Antonelli, Smith &amp; Simmonds</t>
  </si>
  <si>
    <t xml:space="preserve">Comunidad científica, Público general | Comunidad científica, Reguladores/legisladores</t>
  </si>
  <si>
    <t xml:space="preserve">391.000 especies de plantas y hongos | Plantas y hongos silvestres</t>
  </si>
  <si>
    <t xml:space="preserve">Estudio en Nature Plants sobre la riqueza de 391.000 especies de plantas globales y su potencial para el desarrollo sostenible. | Analiza el potencial de la diversidad de plantas y hongos para el desarrollo sostenible y la bioprospección.</t>
  </si>
  <si>
    <t xml:space="preserve">Leadley, P., Gonzalez, A., Obura, D., et al. | Leadley et al.</t>
  </si>
  <si>
    <t xml:space="preserve">Comunidad científica, Reguladores/legisladores | Reguladores/legisladores, Comunidad científica</t>
  </si>
  <si>
    <t xml:space="preserve">Metas de biodiversidad al 2050 | Ecosistemas planetarios</t>
  </si>
  <si>
    <t xml:space="preserve">Analiza las acciones integradas necesarias para alcanzar los objetivos mundiales de biodiversidad al 2050. | Argumenta que alcanzar las metas de biodiversidad a 2050 exige acciones integradas de conservación y consumo.</t>
  </si>
  <si>
    <t xml:space="preserve">Butchart, Di Marco &amp; Watson | Butchart et al.</t>
  </si>
  <si>
    <t xml:space="preserve">Metas globales Aichi y biodiversidad | Biodiversidad global</t>
  </si>
  <si>
    <t xml:space="preserve">Analiza las lecciones de las Metas de Aichi e impulsa el diseño de compromisos SMART cuantitativos para el marco post-2020. | Analiza las lecciones de las Metas de Aichi para formular compromisos SMART cuantificables hacia 2030.</t>
  </si>
  <si>
    <t xml:space="preserve">Arlidge et al. | Arlidge, W.N. et al.</t>
  </si>
  <si>
    <t xml:space="preserve">Reguladores/legisladores, Demanda (Empresas), Comunidad científica | Reguladores/legisladores, Demanda (Empresas extractivas/infraestructura), Comunidad científica</t>
  </si>
  <si>
    <t xml:space="preserve">Propone una jerarquía de mitigación global unificada (Evitar, Reducir, Restaurar, Compensar). | Propone un marco global unificado para la jerarquía de mitigación (Evitar, Reducir, Restaurar, Compensar).</t>
  </si>
  <si>
    <t xml:space="preserve">Cuantitativo | Cuantitativo / Teledetección</t>
  </si>
  <si>
    <t xml:space="preserve">Demanda (Minería Ambatovy), Reguladores/legisladores, Oferta | Demanda (Minería Ambatovy), Reguladores, Oferta (Comunidades)</t>
  </si>
  <si>
    <t xml:space="preserve">Bosques húmedos tropicales | Evaluación de No Net Loss de bosque en la mina Ambatovy</t>
  </si>
  <si>
    <t xml:space="preserve">Evaluación empírica que demuestra el logro de No Net Loss de bosque en la mina Ambatovy de Madagascar. | Evaluación que logró demostrar el logro de No Net Loss gracias a datos satelitales detallados.</t>
  </si>
  <si>
    <t xml:space="preserve">Paisajes con alta diversidad geofísica | Facetas del terreno y gradientes topográficos</t>
  </si>
  <si>
    <t xml:space="preserve">Desarrolla el enfoque de conservación de facetas del terreno para proteger la diversidad geofísica que albergará especies futuras. | Propone incorporar la variabilidad de inclinación, aspecto y altitud para garantizar que el diseño de reservas capture microclimas.</t>
  </si>
  <si>
    <t xml:space="preserve">Cuantitativo / Cualitativo | Cuantitativo / Estadístico</t>
  </si>
  <si>
    <t xml:space="preserve">Reguladores/legisladores, Oferta (Propietarios, Agricultores), Demanda (Compradores de PES) | Reguladores/legisladores, Demanda, Oferta, Financieros</t>
  </si>
  <si>
    <t xml:space="preserve">Cuencas hídricas, bosques, biodiversidad y carbono | Servicios hídricos, biodiversidad y carbono forestal</t>
  </si>
  <si>
    <t xml:space="preserve">Revisión global en Nature Sustainability que cifra las transacciones anuales de PES en más de $36.000 millones a nivel mundial. | Cuantifica las transacciones globales de PES en más de \$36.000 millones anuales distribuidos en agua, bosques y hábitats.</t>
  </si>
  <si>
    <t xml:space="preserve">Reguladores/legisladores, Oferta (Gestores de áreas protegidas), Demanda | Reguladores/legisladores, Gestores de APs, Donantes</t>
  </si>
  <si>
    <t xml:space="preserve">Áreas protegidas terrestres y marinas | Opciones de generación de ingresos para áreas protegidas</t>
  </si>
  <si>
    <t xml:space="preserve">Guía práctica del WWF sobre un menú de opciones de generación de ingresos (impuestos, concesiones, fideicomisos) para parques. | Catálogo del WWF sobre 25 mecanismos de financiamiento para áreas protegidas.</t>
  </si>
  <si>
    <t xml:space="preserve">Chagas et al. (Climate Focus) | Chagas et al.</t>
  </si>
  <si>
    <t xml:space="preserve">Demanda (Compradores corporativos), Certificadores | Demanda (Compradores), Certificadores, Oferta</t>
  </si>
  <si>
    <t xml:space="preserve">Análisis crítico de los estándares de integridad de los créditos REDD+ en el mercado voluntario. | Evaluación de salvaguardas, aditividad y riesgo de fugas en créditos REDD+ del mercado voluntario.</t>
  </si>
  <si>
    <t xml:space="preserve">Gann et al. / SER | Gann et al. (SER)</t>
  </si>
  <si>
    <t xml:space="preserve">Cualitativo | Cualitativo / Normativo</t>
  </si>
  <si>
    <t xml:space="preserve">Oferta (Practicantes de restauración, SER), Reguladores, Científicos | Oferta (Practicantes de restauración / SER), Científicos, Reguladores</t>
  </si>
  <si>
    <t xml:space="preserve">Todos los ecosistemas degradados | Principios de restauración ecológica de la SER</t>
  </si>
  <si>
    <t xml:space="preserve">Establece los estándares e ideales de referencia de la SER para guiar proyectos de restauración ecológica. | Estándares internacionales de la SER que definen los 6 atributos clave de condición e integridad ecológicas.</t>
  </si>
  <si>
    <t xml:space="preserve">Maron et al. | Maron, M. et al.</t>
  </si>
  <si>
    <t xml:space="preserve">Cualitativo | Cualitativo / Análisis crítico</t>
  </si>
  <si>
    <t xml:space="preserve">Reguladores/legisladores, Comunidad científica, Demanda, Público | Comunidad científica, Reguladores/legisladores, Demanda (Desarrolladores)</t>
  </si>
  <si>
    <t xml:space="preserve">Ecosistemas globales sujetos a desarrollo | Hábitats naturales sometidos a pérdidas por desarrollo de infraestructura</t>
  </si>
  <si>
    <t xml:space="preserve">Propone un marco para resolver las controversias éticas, ecológicas e institucionales del offsetting. | Examina los dilemas éticos y científicos de las compensaciones de biodiversidad exigiendo el cumplimiento estricto de la jerarquía de mitigación.</t>
  </si>
  <si>
    <t xml:space="preserve">Ranger et al. (2023) | Ranger et al. (Oxford-NGFS)</t>
  </si>
  <si>
    <t xml:space="preserve">Cuantitativo / Evaluativo | Cuantitativo</t>
  </si>
  <si>
    <t xml:space="preserve">Demanda (Sector financiero, Aseguradoras), Reguladores | Demanda (Sector financiero, Bancos centrales), Reguladores</t>
  </si>
  <si>
    <t xml:space="preserve">Riesgos en cascada por colapso ecosistémico | Riesgos físicos y en cascada de la naturaleza</t>
  </si>
  <si>
    <t xml:space="preserve">Calcula en $5 billones los costos económicos anuales por degradación de la naturaleza e integra riesgos físicos en modelos bancarios. | Modela el impacto económico macro-crítico de la degradación de la naturaleza, estimando un costo económico anual de $5 billones.</t>
  </si>
  <si>
    <t xml:space="preserve">Kurth et al. / BCG (2021) | Boston Consulting Group (BCG) | Kurth et al. (Boston Consulting Group)</t>
  </si>
  <si>
    <t xml:space="preserve">Cuantitativo / Cualitativo | Cuantitativo</t>
  </si>
  <si>
    <t xml:space="preserve">Demanda (Empresas corporativas, Financieros), Reguladores | Demanda (Empresas del sector energía), Reguladores | Demanda (Empresas, Sector financiero), Reguladores</t>
  </si>
  <si>
    <t xml:space="preserve">Servicios de la biosfera dependientes de empresas | Ecosistemas presionados por energía (10%) | Servicios ecosistémicos globales ($150 billones/año)</t>
  </si>
  <si>
    <t xml:space="preserve">Estimación de Boston Consulting Group que valora los servicios de la biodiversidad en $150 billones anuales (doble del PIB mundial). | Calcula que las operaciones del sector energético explican el 10% de la presión humana sobre la pérdida de biodiversidad. | Estima el valor anual de los servicios ecosistémicos en más de $150 billones (el doble del PIB mundial) y analiza la crisis biológica como riesgo de negocio.</t>
  </si>
  <si>
    <t xml:space="preserve">Haines-Young &amp; Potschin | Haines-Young, R. &amp; Potschin, M.</t>
  </si>
  <si>
    <t xml:space="preserve">Clasificación jerárquica estandarizada de CICES | Ecosistemas generales</t>
  </si>
  <si>
    <t xml:space="preserve">Guía internacional estándar para la clasificación de servicios ecosistémicos de provisión, regulación y culturales. | Marco internacional estándar para la clasificación y estandarización de servicios ecosistémicos.</t>
  </si>
  <si>
    <t xml:space="preserve">UNCBD / COP15 | UN Convention on Biological Diversity (CBD COP15)</t>
  </si>
  <si>
    <t xml:space="preserve">Cualitativo / Tratado | Cualitativo / Acuerdo Internacional</t>
  </si>
  <si>
    <t xml:space="preserve">Reguladores/legisladores (196 países), Demanda, Oferta, Público general | Reguladores/legisladores (196 países), Demanda, Oferta (IPLC, Agricultores, Silvicultores), Público general</t>
  </si>
  <si>
    <t xml:space="preserve">Ecosistemas planetarios (Metas 30x30, Restauración y Financiamiento) | Ecosistemas terrestres, de agua dulce, costeros y marinos del planeta</t>
  </si>
  <si>
    <t xml:space="preserve">Acuerdo internacional marco que establece las 23 metas globales a 2030 promoviendo mecanismos financieros innovadores. | Acuerdo internacional que fija la Meta 2 (restaurar 30% de ecosistemas degradados) y la Meta 19 (movilizar $200.000M anuales promoviendo esquemas como biocréditos).</t>
  </si>
  <si>
    <t xml:space="preserve">Demanda (Empresas, Sector financiero), Reguladores | Demanda (Empresas, Inversores), Reguladores</t>
  </si>
  <si>
    <t xml:space="preserve">Sistemas socioecológicos globales | Sistemas alimentarios, infraestructura y energía</t>
  </si>
  <si>
    <t xml:space="preserve">Estima la oportunidad de $10.1T en valor económico y 395 millones de empleos mediante la transición nature-positive. | Identifica oportunidades de inversión de $3.6T en alimentos, $3T en infraestructura y $3.5T en energía.</t>
  </si>
  <si>
    <t xml:space="preserve">Cualitativo / Normativo | Cualitativo / Legal</t>
  </si>
  <si>
    <t xml:space="preserve">Reguladores/legisladores (UK DEFRA), Demanda (Desarrolladores) | Reguladores/legisladores (Natural England), Demanda</t>
  </si>
  <si>
    <t xml:space="preserve">Desarrollos urbanos e infraestructura (+10% BNG) | Bancos de hábitat y registro nacional (30 años)</t>
  </si>
  <si>
    <t xml:space="preserve">Directriz legal del Reino Unido exigiendo un mínimo del 10% de ganancia neta de biodiversidad en nuevos desarrollos. | Detalla la normativa inglesa BNG que exige mantener los bancos de hábitat registrados por un mínimo de 30 años.</t>
  </si>
  <si>
    <t xml:space="preserve">Reguladores/legisladores (Partes de la CMNUCC), Demanda, Oferta | Reguladores/legisladores, Demanda (Empresas, Sector financiero), Oferta</t>
  </si>
  <si>
    <t xml:space="preserve">Mercados de carbono bajo gobernanza internacional | Transferencias internacionales de mitigación (ITMOs)</t>
  </si>
  <si>
    <t xml:space="preserve">Explicación oficial del Banco Mundial sobre el Artículo 6 del Acuerdo de París para la transferencia internacional de resultados de mitigación (ITMOs). | Guía explicativa del Banco Mundial sobre el Artículo 6 del Acuerdo de París para la transferencia voluntaria de créditos de carbono.</t>
  </si>
  <si>
    <t xml:space="preserve">Ballabio et al. | Ballabio, C. et al.</t>
  </si>
  <si>
    <t xml:space="preserve">Comunidad científica, Reguladores/legisladores (UE), Oferta | Comunidad científica, Reguladores/legisladores (UE)</t>
  </si>
  <si>
    <t xml:space="preserve">Unión Europea (UE24 + UK) | Unión Europea</t>
  </si>
  <si>
    <t xml:space="preserve">Suelos agrícolas y capa arable (LUCAS Topsoil) | Suelos agrícolas y contaminación por cobre (Cu)</t>
  </si>
  <si>
    <t xml:space="preserve">Mapeo geoespacial de la distribución y concentración de cobre en la capa arable de Europa. | Evaluación del cobre en la capa arable europea identificando riesgos ecotóxicos por uso fungicida agrícola.</t>
  </si>
  <si>
    <t xml:space="preserve">Unión Europea (UE27 + UK) | Unión Europea (LUCAS)</t>
  </si>
  <si>
    <t xml:space="preserve">Suelos agrícolas y capa arable | Suelos y contaminación por mercurio (Hg)</t>
  </si>
  <si>
    <t xml:space="preserve">Mapeo de la presencia y stocks de mercurio en los suelos continentales europeos. | Mapeo y evaluación espacial del contenido de mercurio en la capa arable de suelos de la UE mediante LUCAS.</t>
  </si>
  <si>
    <t xml:space="preserve">Barredo, Vizzarri &amp; Kuželová | Barredo, J. I., Vizzarri, M. &amp; Kuželová, K.</t>
  </si>
  <si>
    <t xml:space="preserve">Unión Europea | Europa</t>
  </si>
  <si>
    <t xml:space="preserve">Ecosistemas forestales (44 subtipos biogeográficos) | Bosques y tipología arquetípica</t>
  </si>
  <si>
    <t xml:space="preserve">Desarrolla la tipología arquetípica de bosques europeos integrando intensidad de manejo y naturalidad. | Integra la intensidad de gestión forestal y la naturalidad para establecer tipologías de condición forestal.</t>
  </si>
  <si>
    <t xml:space="preserve">Bub et al. | Bub, S. et al.</t>
  </si>
  <si>
    <t xml:space="preserve">Reguladores/legisladores, Oferta (Agricultores), Científicos | Comunidad científica, Reguladores, Oferta (Agricultores)</t>
  </si>
  <si>
    <t xml:space="preserve">Agroecosistemas y toxicidad aplicada | Agroecosistemas y carga de plaguicidas</t>
  </si>
  <si>
    <t xml:space="preserve">Mide las tendencias de toxicidad total aplicada por plaguicidas en la agricultura alemana. | Demuestra que los indicadores basados en masa no capturan el aumento del riesgo ecotóxico de plaguicidas.</t>
  </si>
  <si>
    <t xml:space="preserve">Czúcz et al. | Czúcz, B. et al.</t>
  </si>
  <si>
    <t xml:space="preserve">Comunidad científica, Reguladores/legisladores (ONU / SEEA EA) | Comunidad científica, Reguladores/legisladores (JRC/UE)</t>
  </si>
  <si>
    <t xml:space="preserve">Global | Europa / Global</t>
  </si>
  <si>
    <t xml:space="preserve">Marcos de contabilidad ecosistémica SEEA EA | Indicadores de condición ecosistémica</t>
  </si>
  <si>
    <t xml:space="preserve">Establece los criterios de selección de indicadores de condición ecosistémica compatibles con el SEEA EA. | Formula los 12 criterios de selección (conceptuales, prácticos y de conjunto) para indicadores de condición SEEA EA.</t>
  </si>
  <si>
    <t xml:space="preserve">European Commission (JRC, Grizzetti et al.) | Grizzetti, B. et al. (INMAP)</t>
  </si>
  <si>
    <t xml:space="preserve">Reguladores/legisladores (UE), Oferta (Agricultores), Científicos | Reguladores/legisladores (JRC/UE), Oferta (Agricultores)</t>
  </si>
  <si>
    <t xml:space="preserve">Terrestre / Acuático | Acuático / Terrestre</t>
  </si>
  <si>
    <t xml:space="preserve">Nutrientes en agricultura y calidad de agua | Cuencas hídricas y suelos expuestos a nitrógeno/fósforo</t>
  </si>
  <si>
    <t xml:space="preserve">Base de conocimiento para el plan de acción de gestión integrada de nutrientes en la UE (umbral de 50 kg N/ha/año). | Base de conocimientos del JRC para el Plan de Acción de Gestión Integrada de Nutrientes de la UE.</t>
  </si>
  <si>
    <t xml:space="preserve">La Notte et al. | La Notte, A. et al.</t>
  </si>
  <si>
    <t xml:space="preserve">Cualitativo / Conceptual | Cuantitativo / SEEA EA</t>
  </si>
  <si>
    <t xml:space="preserve">Comunidad científica, Reguladores/legisladores (SEEA EA) | Comunidad científica, Reguladores/legisladores (JRC)</t>
  </si>
  <si>
    <t xml:space="preserve">Unión Europea / Global | Unión Europea</t>
  </si>
  <si>
    <t xml:space="preserve">Relación condición de ecosistemas y servicios ecosistémicos | Sistemas de contabilidad natural INCA / SEEA EA</t>
  </si>
  <si>
    <t xml:space="preserve">Demuestra desde la contabilidad ambiental que la condición buena es la premisa para sostener el flujo de servicios. | Demuestra desde la contabilidad ambiental que la condición ecosistémica sustenta la capacidad de provisión de servicios.</t>
  </si>
  <si>
    <t xml:space="preserve">Maes et al. | Maes, J. et al.</t>
  </si>
  <si>
    <t xml:space="preserve">Comunidad científica, Reguladores/legisladores (UE / JRC), Silvicultores | Comunidad científica, Reguladores/legisladores (JRC), Silvicultores</t>
  </si>
  <si>
    <t xml:space="preserve">Unión Europea (44 subtipos forestales) | Unión Europea (EU27)</t>
  </si>
  <si>
    <t xml:space="preserve">Bosques europeos (Índice de condición 2000-2018) | Bosques europeos (44 subtipos)</t>
  </si>
  <si>
    <t xml:space="preserve">Estudio hito publicado en Nature Communications que calcula el índice de condición forestal europeo en 0,585 (2018). | Estudio hito en Nature Communications que calcula el índice geoespacial de condición forestal europeo en 0,585.</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</si>
</sst>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sz val="11"/>
      <name val="Arial"/>
      <family val="0"/>
      <charset val="1"/>
    </font>
    <font>
      <i val="true"/>
      <sz val="11"/>
      <name val="Arial"/>
      <family val="0"/>
      <charset val="1"/>
    </font>
    <font>
      <b val="true"/>
      <sz val="11"/>
      <name val="Arial"/>
      <family val="0"/>
      <charset val="1"/>
    </font>
    <font>
      <b val="true"/>
      <sz val="11"/>
      <color rgb="FFFFFFFF"/>
      <name val="Arial"/>
      <family val="0"/>
      <charset val="1"/>
    </font>
    <font>
      <sz val="10"/>
      <name val="Arial"/>
      <family val="0"/>
      <charset val="1"/>
    </font>
    <font>
      <b val="true"/>
      <sz val="10"/>
      <name val="Arial"/>
      <family val="0"/>
      <charset val="1"/>
    </font>
    <font>
      <sz val="10"/>
      <name val="Noto Sans CJK SC"/>
      <family val="2"/>
    </font>
  </fonts>
  <fills count="5">
    <fill>
      <patternFill patternType="none"/>
    </fill>
    <fill>
      <patternFill patternType="gray125"/>
    </fill>
    <fill>
      <patternFill patternType="solid">
        <fgColor rgb="FF4472C4"/>
        <bgColor rgb="FF666699"/>
      </patternFill>
    </fill>
    <fill>
      <patternFill patternType="solid">
        <fgColor rgb="FFD9E1F2"/>
        <bgColor rgb="FFCCFFFF"/>
      </patternFill>
    </fill>
    <fill>
      <patternFill patternType="solid">
        <fgColor rgb="FFFFF2CC"/>
        <bgColor rgb="FFFFFFFF"/>
      </patternFill>
    </fill>
  </fills>
  <borders count="2">
    <border diagonalUp="false" diagonalDown="false">
      <left/>
      <right/>
      <top/>
      <bottom/>
      <diagonal/>
    </border>
    <border diagonalUp="false" diagonalDown="false">
      <left/>
      <right/>
      <top style="thin">
        <color rgb="FF808080"/>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center"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10" fillId="3" borderId="0" xfId="0" applyFont="true" applyBorder="false" applyAlignment="true" applyProtection="false">
      <alignment horizontal="general" vertical="top" textRotation="0" wrapText="true" indent="0" shrinkToFit="false"/>
      <protection locked="true" hidden="false"/>
    </xf>
    <xf numFmtId="164" fontId="9" fillId="3" borderId="0" xfId="0" applyFont="true" applyBorder="false" applyAlignment="true" applyProtection="false">
      <alignment horizontal="general" vertical="top" textRotation="0" wrapText="true" indent="0" shrinkToFit="false"/>
      <protection locked="true" hidden="false"/>
    </xf>
    <xf numFmtId="164" fontId="10" fillId="4"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10" fillId="4" borderId="0" xfId="0" applyFont="true" applyBorder="false" applyAlignment="true" applyProtection="false">
      <alignment horizontal="general" vertical="top" textRotation="0" wrapText="true" indent="0" shrinkToFit="false"/>
      <protection locked="true" hidden="false"/>
    </xf>
    <xf numFmtId="164" fontId="9" fillId="4"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2" min="2" style="1" width="45"/>
    <col collapsed="false" customWidth="true" hidden="false" outlineLevel="0" max="3" min="3" style="1" width="14"/>
    <col collapsed="false" customWidth="true" hidden="false" outlineLevel="0" max="4" min="4" style="1" width="55"/>
  </cols>
  <sheetData>
    <row r="1" customFormat="false" ht="15.75" hidden="false" customHeight="true" outlineLevel="0" collapsed="false">
      <c r="A1" s="2" t="s">
        <v>0</v>
      </c>
      <c r="B1" s="3"/>
      <c r="C1" s="3"/>
      <c r="D1" s="3"/>
    </row>
    <row r="2" customFormat="false" ht="15" hidden="false" customHeight="true" outlineLevel="0" collapsed="false">
      <c r="A2" s="4" t="s">
        <v>1</v>
      </c>
      <c r="B2" s="3"/>
      <c r="C2" s="3"/>
      <c r="D2" s="3"/>
    </row>
    <row r="3" customFormat="false" ht="15" hidden="false" customHeight="true" outlineLevel="0" collapsed="false">
      <c r="A3" s="3"/>
      <c r="B3" s="3"/>
      <c r="C3" s="3"/>
      <c r="D3" s="3"/>
    </row>
    <row r="4" customFormat="false" ht="15" hidden="false" customHeight="true" outlineLevel="0" collapsed="false">
      <c r="A4" s="5" t="s">
        <v>2</v>
      </c>
      <c r="B4" s="3"/>
      <c r="C4" s="3"/>
      <c r="D4" s="3"/>
    </row>
    <row r="5" customFormat="false" ht="15" hidden="false" customHeight="true" outlineLevel="0" collapsed="false">
      <c r="A5" s="5" t="s">
        <v>3</v>
      </c>
      <c r="B5" s="5" t="s">
        <v>4</v>
      </c>
      <c r="C5" s="5" t="s">
        <v>5</v>
      </c>
      <c r="D5" s="3"/>
    </row>
    <row r="6" customFormat="false" ht="15" hidden="false" customHeight="true" outlineLevel="0" collapsed="false">
      <c r="A6" s="3" t="s">
        <v>6</v>
      </c>
      <c r="B6" s="3" t="s">
        <v>7</v>
      </c>
      <c r="C6" s="3" t="n">
        <v>58</v>
      </c>
      <c r="D6" s="3"/>
    </row>
    <row r="7" customFormat="false" ht="15" hidden="false" customHeight="true" outlineLevel="0" collapsed="false">
      <c r="A7" s="3" t="s">
        <v>8</v>
      </c>
      <c r="B7" s="3" t="s">
        <v>9</v>
      </c>
      <c r="C7" s="3" t="n">
        <v>180</v>
      </c>
      <c r="D7" s="3"/>
    </row>
    <row r="8" customFormat="false" ht="15" hidden="false" customHeight="true" outlineLevel="0" collapsed="false">
      <c r="A8" s="3" t="s">
        <v>10</v>
      </c>
      <c r="B8" s="3" t="s">
        <v>11</v>
      </c>
      <c r="C8" s="3" t="n">
        <v>53</v>
      </c>
      <c r="D8" s="3"/>
    </row>
    <row r="9" customFormat="false" ht="15" hidden="false" customHeight="true" outlineLevel="0" collapsed="false">
      <c r="A9" s="3" t="s">
        <v>12</v>
      </c>
      <c r="B9" s="3" t="s">
        <v>13</v>
      </c>
      <c r="C9" s="3" t="n">
        <v>5</v>
      </c>
      <c r="D9" s="3"/>
    </row>
    <row r="10" customFormat="false" ht="15" hidden="false" customHeight="true" outlineLevel="0" collapsed="false">
      <c r="A10" s="3" t="s">
        <v>14</v>
      </c>
      <c r="B10" s="3" t="s">
        <v>15</v>
      </c>
      <c r="C10" s="3" t="n">
        <v>37</v>
      </c>
      <c r="D10" s="3"/>
    </row>
    <row r="11" customFormat="false" ht="15" hidden="false" customHeight="true" outlineLevel="0" collapsed="false">
      <c r="A11" s="3" t="s">
        <v>16</v>
      </c>
      <c r="B11" s="3" t="s">
        <v>17</v>
      </c>
      <c r="C11" s="3" t="n">
        <v>18</v>
      </c>
      <c r="D11" s="3"/>
    </row>
    <row r="12" customFormat="false" ht="15" hidden="false" customHeight="true" outlineLevel="0" collapsed="false">
      <c r="A12" s="3" t="s">
        <v>18</v>
      </c>
      <c r="B12" s="3" t="s">
        <v>19</v>
      </c>
      <c r="C12" s="3" t="n">
        <v>97</v>
      </c>
      <c r="D12" s="3"/>
    </row>
    <row r="13" customFormat="false" ht="15" hidden="false" customHeight="true" outlineLevel="0" collapsed="false">
      <c r="A13" s="3" t="s">
        <v>20</v>
      </c>
      <c r="B13" s="3" t="s">
        <v>21</v>
      </c>
      <c r="C13" s="3" t="n">
        <v>12</v>
      </c>
      <c r="D13" s="3"/>
    </row>
    <row r="14" customFormat="false" ht="15" hidden="false" customHeight="true" outlineLevel="0" collapsed="false">
      <c r="A14" s="3" t="s">
        <v>22</v>
      </c>
      <c r="B14" s="3" t="s">
        <v>23</v>
      </c>
      <c r="C14" s="3" t="n">
        <v>58</v>
      </c>
      <c r="D14" s="3"/>
    </row>
    <row r="15" customFormat="false" ht="15" hidden="false" customHeight="true" outlineLevel="0" collapsed="false">
      <c r="A15" s="3" t="s">
        <v>24</v>
      </c>
      <c r="B15" s="3" t="s">
        <v>25</v>
      </c>
      <c r="C15" s="3" t="n">
        <v>40</v>
      </c>
      <c r="D15" s="3"/>
    </row>
    <row r="16" customFormat="false" ht="15" hidden="false" customHeight="true" outlineLevel="0" collapsed="false">
      <c r="A16" s="3" t="s">
        <v>26</v>
      </c>
      <c r="B16" s="3" t="s">
        <v>27</v>
      </c>
      <c r="C16" s="3" t="n">
        <v>139</v>
      </c>
      <c r="D16" s="3"/>
    </row>
    <row r="17" customFormat="false" ht="15" hidden="false" customHeight="true" outlineLevel="0" collapsed="false">
      <c r="A17" s="3" t="s">
        <v>28</v>
      </c>
      <c r="B17" s="3" t="s">
        <v>29</v>
      </c>
      <c r="C17" s="3" t="n">
        <v>98</v>
      </c>
      <c r="D17" s="3"/>
    </row>
    <row r="18" customFormat="false" ht="15" hidden="false" customHeight="true" outlineLevel="0" collapsed="false">
      <c r="A18" s="3" t="s">
        <v>30</v>
      </c>
      <c r="B18" s="3" t="s">
        <v>31</v>
      </c>
      <c r="C18" s="3" t="n">
        <v>20</v>
      </c>
      <c r="D18" s="3"/>
    </row>
    <row r="19" customFormat="false" ht="15" hidden="false" customHeight="true" outlineLevel="0" collapsed="false">
      <c r="A19" s="3" t="s">
        <v>32</v>
      </c>
      <c r="B19" s="3" t="s">
        <v>33</v>
      </c>
      <c r="C19" s="3" t="n">
        <v>42</v>
      </c>
      <c r="D19" s="3"/>
    </row>
    <row r="20" customFormat="false" ht="15" hidden="false" customHeight="true" outlineLevel="0" collapsed="false">
      <c r="A20" s="3" t="s">
        <v>34</v>
      </c>
      <c r="B20" s="3" t="s">
        <v>35</v>
      </c>
      <c r="C20" s="3" t="n">
        <v>73</v>
      </c>
      <c r="D20" s="3"/>
    </row>
    <row r="21" customFormat="false" ht="15" hidden="false" customHeight="true" outlineLevel="0" collapsed="false">
      <c r="A21" s="3" t="s">
        <v>36</v>
      </c>
      <c r="B21" s="3" t="s">
        <v>37</v>
      </c>
      <c r="C21" s="3" t="n">
        <v>32</v>
      </c>
      <c r="D21" s="3"/>
    </row>
    <row r="22" customFormat="false" ht="15" hidden="false" customHeight="true" outlineLevel="0" collapsed="false">
      <c r="A22" s="3" t="s">
        <v>38</v>
      </c>
      <c r="B22" s="3" t="s">
        <v>39</v>
      </c>
      <c r="C22" s="3" t="n">
        <v>159</v>
      </c>
      <c r="D22" s="3"/>
    </row>
    <row r="23" customFormat="false" ht="15" hidden="false" customHeight="true" outlineLevel="0" collapsed="false">
      <c r="A23" s="3" t="s">
        <v>40</v>
      </c>
      <c r="B23" s="3" t="s">
        <v>41</v>
      </c>
      <c r="C23" s="3" t="n">
        <v>68</v>
      </c>
      <c r="D23" s="3"/>
    </row>
    <row r="24" customFormat="false" ht="15" hidden="false" customHeight="true" outlineLevel="0" collapsed="false">
      <c r="A24" s="3" t="s">
        <v>42</v>
      </c>
      <c r="B24" s="3" t="s">
        <v>43</v>
      </c>
      <c r="C24" s="3" t="n">
        <v>77</v>
      </c>
      <c r="D24" s="3"/>
    </row>
    <row r="25" customFormat="false" ht="15" hidden="false" customHeight="true" outlineLevel="0" collapsed="false">
      <c r="A25" s="3" t="s">
        <v>44</v>
      </c>
      <c r="B25" s="3" t="s">
        <v>45</v>
      </c>
      <c r="C25" s="3" t="n">
        <v>64</v>
      </c>
      <c r="D25" s="3"/>
    </row>
    <row r="26" customFormat="false" ht="15" hidden="false" customHeight="true" outlineLevel="0" collapsed="false">
      <c r="A26" s="3" t="s">
        <v>46</v>
      </c>
      <c r="B26" s="3" t="s">
        <v>47</v>
      </c>
      <c r="C26" s="3" t="n">
        <v>69</v>
      </c>
      <c r="D26" s="3"/>
    </row>
    <row r="27" customFormat="false" ht="15" hidden="false" customHeight="true" outlineLevel="0" collapsed="false">
      <c r="A27" s="3" t="s">
        <v>48</v>
      </c>
      <c r="B27" s="3" t="s">
        <v>49</v>
      </c>
      <c r="C27" s="3" t="n">
        <v>104</v>
      </c>
      <c r="D27" s="3"/>
    </row>
    <row r="28" customFormat="false" ht="15" hidden="false" customHeight="true" outlineLevel="0" collapsed="false">
      <c r="A28" s="3" t="s">
        <v>50</v>
      </c>
      <c r="B28" s="3" t="s">
        <v>51</v>
      </c>
      <c r="C28" s="3" t="n">
        <v>80</v>
      </c>
      <c r="D28" s="3"/>
    </row>
    <row r="29" customFormat="false" ht="15" hidden="false" customHeight="true" outlineLevel="0" collapsed="false">
      <c r="A29" s="3" t="s">
        <v>52</v>
      </c>
      <c r="B29" s="3" t="s">
        <v>53</v>
      </c>
      <c r="C29" s="3" t="n">
        <v>96</v>
      </c>
      <c r="D29" s="3"/>
    </row>
    <row r="30" customFormat="false" ht="15" hidden="false" customHeight="true" outlineLevel="0" collapsed="false">
      <c r="A30" s="3" t="s">
        <v>54</v>
      </c>
      <c r="B30" s="3" t="s">
        <v>55</v>
      </c>
      <c r="C30" s="3" t="n">
        <v>31</v>
      </c>
      <c r="D30" s="3"/>
    </row>
    <row r="31" customFormat="false" ht="15" hidden="false" customHeight="true" outlineLevel="0" collapsed="false">
      <c r="A31" s="3" t="s">
        <v>56</v>
      </c>
      <c r="B31" s="3" t="s">
        <v>57</v>
      </c>
      <c r="C31" s="3" t="n">
        <v>117</v>
      </c>
      <c r="D31" s="3"/>
    </row>
    <row r="32" customFormat="false" ht="15" hidden="false" customHeight="true" outlineLevel="0" collapsed="false">
      <c r="A32" s="3" t="s">
        <v>58</v>
      </c>
      <c r="B32" s="3" t="s">
        <v>59</v>
      </c>
      <c r="C32" s="3" t="n">
        <v>50</v>
      </c>
      <c r="D32" s="3"/>
    </row>
    <row r="33" customFormat="false" ht="15" hidden="false" customHeight="true" outlineLevel="0" collapsed="false">
      <c r="A33" s="3" t="s">
        <v>60</v>
      </c>
      <c r="B33" s="3" t="s">
        <v>61</v>
      </c>
      <c r="C33" s="3" t="n">
        <v>49</v>
      </c>
      <c r="D33" s="3"/>
    </row>
    <row r="34" customFormat="false" ht="15" hidden="false" customHeight="true" outlineLevel="0" collapsed="false">
      <c r="A34" s="3" t="s">
        <v>62</v>
      </c>
      <c r="B34" s="3" t="s">
        <v>63</v>
      </c>
      <c r="C34" s="3" t="n">
        <v>1</v>
      </c>
      <c r="D34" s="3"/>
    </row>
    <row r="35" customFormat="false" ht="15" hidden="false" customHeight="true" outlineLevel="0" collapsed="false">
      <c r="A35" s="3" t="s">
        <v>64</v>
      </c>
      <c r="B35" s="3" t="s">
        <v>65</v>
      </c>
      <c r="C35" s="3" t="n">
        <v>54</v>
      </c>
      <c r="D35" s="3"/>
    </row>
    <row r="36" customFormat="false" ht="15" hidden="false" customHeight="true" outlineLevel="0" collapsed="false">
      <c r="A36" s="3" t="s">
        <v>66</v>
      </c>
      <c r="B36" s="3" t="s">
        <v>67</v>
      </c>
      <c r="C36" s="3" t="n">
        <v>122</v>
      </c>
      <c r="D36" s="3"/>
    </row>
    <row r="37" customFormat="false" ht="15" hidden="false" customHeight="true" outlineLevel="0" collapsed="false">
      <c r="A37" s="3" t="s">
        <v>68</v>
      </c>
      <c r="B37" s="3" t="s">
        <v>69</v>
      </c>
      <c r="C37" s="3" t="n">
        <v>37</v>
      </c>
      <c r="D37" s="3"/>
    </row>
    <row r="38" customFormat="false" ht="15" hidden="false" customHeight="true" outlineLevel="0" collapsed="false">
      <c r="A38" s="3" t="s">
        <v>70</v>
      </c>
      <c r="B38" s="3" t="s">
        <v>71</v>
      </c>
      <c r="C38" s="3" t="n">
        <v>122</v>
      </c>
      <c r="D38" s="3"/>
    </row>
    <row r="39" customFormat="false" ht="15" hidden="false" customHeight="true" outlineLevel="0" collapsed="false">
      <c r="A39" s="3" t="s">
        <v>72</v>
      </c>
      <c r="B39" s="3" t="s">
        <v>73</v>
      </c>
      <c r="C39" s="3" t="n">
        <v>22</v>
      </c>
      <c r="D39" s="3"/>
    </row>
    <row r="40" customFormat="false" ht="15" hidden="false" customHeight="true" outlineLevel="0" collapsed="false">
      <c r="A40" s="3" t="s">
        <v>74</v>
      </c>
      <c r="B40" s="3" t="s">
        <v>75</v>
      </c>
      <c r="C40" s="3" t="n">
        <v>358</v>
      </c>
      <c r="D40" s="3"/>
    </row>
    <row r="41" customFormat="false" ht="15" hidden="false" customHeight="true" outlineLevel="0" collapsed="false">
      <c r="A41" s="3" t="s">
        <v>76</v>
      </c>
      <c r="B41" s="3" t="s">
        <v>77</v>
      </c>
      <c r="C41" s="3" t="n">
        <v>107</v>
      </c>
      <c r="D41" s="3"/>
    </row>
    <row r="42" customFormat="false" ht="15" hidden="false" customHeight="true" outlineLevel="0" collapsed="false">
      <c r="A42" s="3" t="s">
        <v>78</v>
      </c>
      <c r="B42" s="3" t="s">
        <v>79</v>
      </c>
      <c r="C42" s="3" t="n">
        <v>48</v>
      </c>
      <c r="D42" s="3"/>
    </row>
    <row r="43" customFormat="false" ht="15" hidden="false" customHeight="true" outlineLevel="0" collapsed="false">
      <c r="A43" s="3" t="s">
        <v>80</v>
      </c>
      <c r="B43" s="3" t="s">
        <v>81</v>
      </c>
      <c r="C43" s="3" t="n">
        <v>100</v>
      </c>
      <c r="D43" s="3"/>
    </row>
    <row r="44" customFormat="false" ht="15" hidden="false" customHeight="true" outlineLevel="0" collapsed="false">
      <c r="A44" s="3" t="s">
        <v>82</v>
      </c>
      <c r="B44" s="3" t="s">
        <v>83</v>
      </c>
      <c r="C44" s="3" t="n">
        <v>16</v>
      </c>
      <c r="D44" s="3"/>
    </row>
    <row r="45" customFormat="false" ht="15" hidden="false" customHeight="true" outlineLevel="0" collapsed="false">
      <c r="A45" s="3" t="s">
        <v>84</v>
      </c>
      <c r="B45" s="3" t="s">
        <v>85</v>
      </c>
      <c r="C45" s="3" t="n">
        <v>52</v>
      </c>
      <c r="D45" s="3"/>
    </row>
    <row r="46" customFormat="false" ht="15" hidden="false" customHeight="true" outlineLevel="0" collapsed="false">
      <c r="A46" s="3" t="s">
        <v>86</v>
      </c>
      <c r="B46" s="3" t="s">
        <v>87</v>
      </c>
      <c r="C46" s="3" t="n">
        <v>62</v>
      </c>
      <c r="D46" s="3"/>
    </row>
    <row r="47" customFormat="false" ht="15" hidden="false" customHeight="true" outlineLevel="0" collapsed="false">
      <c r="A47" s="3" t="s">
        <v>88</v>
      </c>
      <c r="B47" s="3" t="s">
        <v>89</v>
      </c>
      <c r="C47" s="3" t="n">
        <v>101</v>
      </c>
      <c r="D47" s="3"/>
    </row>
    <row r="48" customFormat="false" ht="15" hidden="false" customHeight="true" outlineLevel="0" collapsed="false">
      <c r="A48" s="3" t="s">
        <v>90</v>
      </c>
      <c r="B48" s="3" t="s">
        <v>89</v>
      </c>
      <c r="C48" s="3" t="n">
        <v>101</v>
      </c>
      <c r="D48" s="3"/>
    </row>
    <row r="49" customFormat="false" ht="15" hidden="false" customHeight="true" outlineLevel="0" collapsed="false">
      <c r="A49" s="3" t="s">
        <v>91</v>
      </c>
      <c r="B49" s="3" t="s">
        <v>92</v>
      </c>
      <c r="C49" s="3" t="n">
        <v>10</v>
      </c>
      <c r="D49" s="3"/>
    </row>
    <row r="50" customFormat="false" ht="15" hidden="false" customHeight="true" outlineLevel="0" collapsed="false">
      <c r="A50" s="3" t="s">
        <v>93</v>
      </c>
      <c r="B50" s="3" t="s">
        <v>94</v>
      </c>
      <c r="C50" s="3" t="n">
        <v>4</v>
      </c>
      <c r="D50" s="3"/>
    </row>
    <row r="51" customFormat="false" ht="15" hidden="false" customHeight="true" outlineLevel="0" collapsed="false">
      <c r="A51" s="3"/>
      <c r="B51" s="3"/>
      <c r="C51" s="3"/>
      <c r="D51" s="3"/>
    </row>
    <row r="52" customFormat="false" ht="15" hidden="false" customHeight="true" outlineLevel="0" collapsed="false">
      <c r="A52" s="4" t="s">
        <v>95</v>
      </c>
      <c r="B52" s="3"/>
      <c r="C52" s="3"/>
      <c r="D52" s="3"/>
    </row>
    <row r="53" customFormat="false" ht="15" hidden="false" customHeight="true" outlineLevel="0" collapsed="false">
      <c r="A53" s="5" t="s">
        <v>96</v>
      </c>
      <c r="B53" s="3"/>
      <c r="C53" s="3"/>
      <c r="D53" s="3"/>
    </row>
    <row r="54" customFormat="false" ht="15" hidden="false" customHeight="true" outlineLevel="0" collapsed="false">
      <c r="A54" s="5" t="s">
        <v>97</v>
      </c>
      <c r="B54" s="5" t="s">
        <v>98</v>
      </c>
      <c r="C54" s="5" t="s">
        <v>99</v>
      </c>
      <c r="D54" s="5" t="s">
        <v>100</v>
      </c>
    </row>
    <row r="55" customFormat="false" ht="15" hidden="false" customHeight="true" outlineLevel="0" collapsed="false">
      <c r="A55" s="3" t="s">
        <v>101</v>
      </c>
      <c r="B55" s="3" t="s">
        <v>102</v>
      </c>
      <c r="C55" s="3" t="n">
        <f aca="false">COUNTA('Bibliografía Combinada'!A2:A3244)</f>
        <v>3243</v>
      </c>
      <c r="D55" s="3" t="s">
        <v>103</v>
      </c>
    </row>
    <row r="56" customFormat="false" ht="15" hidden="false" customHeight="true" outlineLevel="0" collapsed="false">
      <c r="A56" s="3" t="s">
        <v>104</v>
      </c>
      <c r="B56" s="3" t="s">
        <v>105</v>
      </c>
      <c r="C56" s="3" t="n">
        <f aca="false">COUNTIF('Bibliografía Combinada'!F2:F3244,"*Cualitativo*")</f>
        <v>2074</v>
      </c>
      <c r="D56" s="3" t="s">
        <v>106</v>
      </c>
    </row>
    <row r="57" customFormat="false" ht="15" hidden="false" customHeight="true" outlineLevel="0" collapsed="false">
      <c r="A57" s="3" t="s">
        <v>104</v>
      </c>
      <c r="B57" s="3" t="s">
        <v>107</v>
      </c>
      <c r="C57" s="3" t="n">
        <f aca="false">COUNTIF('Bibliografía Combinada'!F2:F3244,"*Cuantitativo*")</f>
        <v>1634</v>
      </c>
      <c r="D57" s="3" t="s">
        <v>108</v>
      </c>
    </row>
    <row r="58" customFormat="false" ht="15" hidden="false" customHeight="true" outlineLevel="0" collapsed="false">
      <c r="A58" s="3" t="s">
        <v>109</v>
      </c>
      <c r="B58" s="3" t="s">
        <v>110</v>
      </c>
      <c r="C58" s="3" t="n">
        <f aca="false">COUNTIF('Bibliografía Combinada'!K2:K3244,"*Créditos de Naturaleza*")</f>
        <v>277</v>
      </c>
      <c r="D58" s="3" t="s">
        <v>111</v>
      </c>
    </row>
    <row r="59" customFormat="false" ht="15" hidden="false" customHeight="true" outlineLevel="0" collapsed="false">
      <c r="A59" s="3" t="s">
        <v>109</v>
      </c>
      <c r="B59" s="3" t="s">
        <v>112</v>
      </c>
      <c r="C59" s="3" t="n">
        <f aca="false">COUNTIF('Bibliografía Combinada'!K2:K3244,"*Compensaciones*")</f>
        <v>501</v>
      </c>
      <c r="D59" s="3" t="s">
        <v>113</v>
      </c>
    </row>
    <row r="60" customFormat="false" ht="15" hidden="false" customHeight="true" outlineLevel="0" collapsed="false">
      <c r="A60" s="3" t="s">
        <v>109</v>
      </c>
      <c r="B60" s="3" t="s">
        <v>114</v>
      </c>
      <c r="C60" s="3" t="n">
        <f aca="false">COUNTIF('Bibliografía Combinada'!K2:K3244,"*Clasificación de Actores*")</f>
        <v>603</v>
      </c>
      <c r="D60" s="3" t="s">
        <v>115</v>
      </c>
    </row>
    <row r="61" customFormat="false" ht="15" hidden="false" customHeight="true" outlineLevel="0" collapsed="false">
      <c r="A61" s="3" t="s">
        <v>109</v>
      </c>
      <c r="B61" s="3" t="s">
        <v>116</v>
      </c>
      <c r="C61" s="3" t="n">
        <f aca="false">COUNTIF('Bibliografía Combinada'!K2:K3244,"*Pagos por Servicios Ecosistémicos (PES)*")</f>
        <v>574</v>
      </c>
      <c r="D61" s="3" t="s">
        <v>117</v>
      </c>
    </row>
    <row r="62" customFormat="false" ht="15" hidden="false" customHeight="true" outlineLevel="0" collapsed="false">
      <c r="A62" s="3" t="s">
        <v>109</v>
      </c>
      <c r="B62" s="3" t="s">
        <v>118</v>
      </c>
      <c r="C62" s="3" t="n">
        <f aca="false">COUNTBLANK('Bibliografía Combinada'!K2:K3244)</f>
        <v>1305</v>
      </c>
      <c r="D62" s="3" t="s">
        <v>119</v>
      </c>
    </row>
    <row r="63" customFormat="false" ht="15" hidden="false" customHeight="true" outlineLevel="0" collapsed="false">
      <c r="A63" s="3" t="s">
        <v>120</v>
      </c>
      <c r="B63" s="3" t="s">
        <v>121</v>
      </c>
      <c r="C63" s="3" t="n">
        <f aca="false">SUMPRODUCT(--(COUNTIF('Bibliografía Combinada'!A2:A3244,'Bibliografía Combinada'!A2:A3244)&gt;1))</f>
        <v>435</v>
      </c>
      <c r="D63" s="3" t="s">
        <v>122</v>
      </c>
    </row>
    <row r="64" customFormat="false" ht="15" hidden="false" customHeight="true" outlineLevel="0" collapsed="false">
      <c r="A64" s="3" t="s">
        <v>120</v>
      </c>
      <c r="B64" s="3" t="s">
        <v>123</v>
      </c>
      <c r="C64" s="3" t="n">
        <f aca="false">SUMPRODUCT((COUNTIF('Bibliografía Combinada'!A2:A3244,'Bibliografía Combinada'!A2:A3244)&gt;1)/COUNTIF('Bibliografía Combinada'!A2:A3244,'Bibliografía Combinada'!A2:A3244))</f>
        <v>168</v>
      </c>
      <c r="D64" s="3" t="s">
        <v>124</v>
      </c>
    </row>
    <row r="65" customFormat="false" ht="15" hidden="false" customHeight="true" outlineLevel="0" collapsed="false">
      <c r="A65" s="3"/>
      <c r="B65" s="3"/>
      <c r="C65" s="3"/>
      <c r="D65" s="3"/>
    </row>
    <row r="66" customFormat="false" ht="15" hidden="false" customHeight="true" outlineLevel="0" collapsed="false">
      <c r="A66" s="5" t="s">
        <v>125</v>
      </c>
      <c r="B66" s="3"/>
      <c r="C66" s="3"/>
      <c r="D66" s="3"/>
    </row>
    <row r="67" customFormat="false" ht="15" hidden="false" customHeight="true" outlineLevel="0" collapsed="false">
      <c r="A67" s="3" t="s">
        <v>126</v>
      </c>
      <c r="B67" s="3" t="s">
        <v>127</v>
      </c>
      <c r="C67" s="3"/>
      <c r="D67" s="3"/>
    </row>
    <row r="68" customFormat="false" ht="15" hidden="false" customHeight="true" outlineLevel="0" collapsed="false">
      <c r="A68" s="3" t="s">
        <v>128</v>
      </c>
      <c r="B68" s="3" t="s">
        <v>129</v>
      </c>
      <c r="C68" s="3"/>
      <c r="D68" s="3"/>
    </row>
    <row r="69" customFormat="false" ht="15" hidden="false" customHeight="true" outlineLevel="0" collapsed="false">
      <c r="A69" s="3"/>
      <c r="B69" s="3"/>
      <c r="C69" s="3"/>
      <c r="D69"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2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3" min="2" style="1" width="22"/>
    <col collapsed="false" customWidth="true" hidden="false" outlineLevel="0" max="4" min="4" style="1" width="8"/>
    <col collapsed="false" customWidth="true" hidden="false" outlineLevel="0" max="5" min="5" style="1" width="40"/>
    <col collapsed="false" customWidth="true" hidden="false" outlineLevel="0" max="6" min="6" style="1" width="18"/>
    <col collapsed="false" customWidth="true" hidden="false" outlineLevel="0" max="7" min="7" style="1" width="30"/>
    <col collapsed="false" customWidth="true" hidden="false" outlineLevel="0" max="8" min="8" style="1" width="22"/>
    <col collapsed="false" customWidth="true" hidden="false" outlineLevel="0" max="9" min="9" style="1" width="16"/>
    <col collapsed="false" customWidth="true" hidden="false" outlineLevel="0" max="10" min="10" style="1" width="30"/>
    <col collapsed="false" customWidth="true" hidden="false" outlineLevel="0" max="11" min="11" style="1" width="24"/>
    <col collapsed="false" customWidth="true" hidden="false" outlineLevel="0" max="12" min="12" style="1" width="45"/>
  </cols>
  <sheetData>
    <row r="1" customFormat="false" ht="30" hidden="false" customHeight="true" outlineLevel="0" collapsed="false">
      <c r="A1" s="6" t="s">
        <v>130</v>
      </c>
      <c r="B1" s="6" t="s">
        <v>131</v>
      </c>
      <c r="C1" s="6" t="s">
        <v>132</v>
      </c>
      <c r="D1" s="6" t="s">
        <v>133</v>
      </c>
      <c r="E1" s="6" t="s">
        <v>134</v>
      </c>
      <c r="F1" s="6" t="s">
        <v>104</v>
      </c>
      <c r="G1" s="6" t="s">
        <v>135</v>
      </c>
      <c r="H1" s="6" t="s">
        <v>136</v>
      </c>
      <c r="I1" s="6" t="s">
        <v>137</v>
      </c>
      <c r="J1" s="6" t="s">
        <v>138</v>
      </c>
      <c r="K1" s="6" t="s">
        <v>139</v>
      </c>
      <c r="L1" s="6" t="s">
        <v>140</v>
      </c>
    </row>
    <row r="2" customFormat="false" ht="34.5" hidden="false" customHeight="true" outlineLevel="0" collapsed="false">
      <c r="A2" s="7" t="n">
        <v>1</v>
      </c>
      <c r="B2" s="7" t="s">
        <v>7</v>
      </c>
      <c r="C2" s="7" t="s">
        <v>141</v>
      </c>
      <c r="D2" s="7" t="n">
        <v>2018</v>
      </c>
      <c r="E2" s="7" t="s">
        <v>142</v>
      </c>
      <c r="F2" s="7" t="s">
        <v>143</v>
      </c>
      <c r="G2" s="7" t="s">
        <v>144</v>
      </c>
      <c r="H2" s="7" t="s">
        <v>145</v>
      </c>
      <c r="I2" s="7" t="s">
        <v>146</v>
      </c>
      <c r="J2" s="7" t="s">
        <v>147</v>
      </c>
      <c r="K2" s="7"/>
      <c r="L2" s="7" t="s">
        <v>148</v>
      </c>
    </row>
    <row r="3" customFormat="false" ht="34.5" hidden="false" customHeight="true" outlineLevel="0" collapsed="false">
      <c r="A3" s="8" t="n">
        <v>2</v>
      </c>
      <c r="B3" s="8" t="s">
        <v>7</v>
      </c>
      <c r="C3" s="8" t="s">
        <v>149</v>
      </c>
      <c r="D3" s="8" t="n">
        <v>2017</v>
      </c>
      <c r="E3" s="8" t="s">
        <v>150</v>
      </c>
      <c r="F3" s="8" t="s">
        <v>151</v>
      </c>
      <c r="G3" s="8" t="s">
        <v>152</v>
      </c>
      <c r="H3" s="8" t="s">
        <v>145</v>
      </c>
      <c r="I3" s="8" t="s">
        <v>153</v>
      </c>
      <c r="J3" s="8" t="s">
        <v>154</v>
      </c>
      <c r="K3" s="8"/>
      <c r="L3" s="8" t="s">
        <v>155</v>
      </c>
    </row>
    <row r="4" customFormat="false" ht="34.5" hidden="false" customHeight="true" outlineLevel="0" collapsed="false">
      <c r="A4" s="8" t="n">
        <v>3</v>
      </c>
      <c r="B4" s="8" t="s">
        <v>7</v>
      </c>
      <c r="C4" s="8" t="s">
        <v>156</v>
      </c>
      <c r="D4" s="8" t="n">
        <v>2017</v>
      </c>
      <c r="E4" s="8" t="s">
        <v>157</v>
      </c>
      <c r="F4" s="8" t="s">
        <v>143</v>
      </c>
      <c r="G4" s="8" t="s">
        <v>158</v>
      </c>
      <c r="H4" s="8" t="s">
        <v>145</v>
      </c>
      <c r="I4" s="8" t="s">
        <v>146</v>
      </c>
      <c r="J4" s="8" t="s">
        <v>159</v>
      </c>
      <c r="K4" s="8" t="s">
        <v>114</v>
      </c>
      <c r="L4" s="8" t="s">
        <v>160</v>
      </c>
    </row>
    <row r="5" customFormat="false" ht="34.5" hidden="false" customHeight="true" outlineLevel="0" collapsed="false">
      <c r="A5" s="8" t="n">
        <v>4</v>
      </c>
      <c r="B5" s="8" t="s">
        <v>7</v>
      </c>
      <c r="C5" s="8" t="s">
        <v>161</v>
      </c>
      <c r="D5" s="8" t="n">
        <v>2021</v>
      </c>
      <c r="E5" s="8" t="s">
        <v>162</v>
      </c>
      <c r="F5" s="8" t="s">
        <v>143</v>
      </c>
      <c r="G5" s="8" t="s">
        <v>163</v>
      </c>
      <c r="H5" s="8" t="s">
        <v>145</v>
      </c>
      <c r="I5" s="8" t="s">
        <v>153</v>
      </c>
      <c r="J5" s="8" t="s">
        <v>164</v>
      </c>
      <c r="K5" s="8" t="s">
        <v>116</v>
      </c>
      <c r="L5" s="8" t="s">
        <v>165</v>
      </c>
    </row>
    <row r="6" customFormat="false" ht="34.5" hidden="false" customHeight="true" outlineLevel="0" collapsed="false">
      <c r="A6" s="8" t="n">
        <v>5</v>
      </c>
      <c r="B6" s="8" t="s">
        <v>7</v>
      </c>
      <c r="C6" s="8" t="s">
        <v>166</v>
      </c>
      <c r="D6" s="8" t="n">
        <v>2020</v>
      </c>
      <c r="E6" s="8" t="s">
        <v>167</v>
      </c>
      <c r="F6" s="8" t="s">
        <v>151</v>
      </c>
      <c r="G6" s="8" t="s">
        <v>168</v>
      </c>
      <c r="H6" s="8" t="s">
        <v>169</v>
      </c>
      <c r="I6" s="8" t="s">
        <v>146</v>
      </c>
      <c r="J6" s="8" t="s">
        <v>170</v>
      </c>
      <c r="K6" s="8" t="s">
        <v>110</v>
      </c>
      <c r="L6" s="8" t="s">
        <v>171</v>
      </c>
    </row>
    <row r="7" customFormat="false" ht="34.5" hidden="false" customHeight="true" outlineLevel="0" collapsed="false">
      <c r="A7" s="8" t="n">
        <v>6</v>
      </c>
      <c r="B7" s="8" t="s">
        <v>7</v>
      </c>
      <c r="C7" s="8" t="s">
        <v>172</v>
      </c>
      <c r="D7" s="8" t="n">
        <v>2022</v>
      </c>
      <c r="E7" s="8" t="s">
        <v>173</v>
      </c>
      <c r="F7" s="8" t="s">
        <v>143</v>
      </c>
      <c r="G7" s="8" t="s">
        <v>174</v>
      </c>
      <c r="H7" s="8" t="s">
        <v>145</v>
      </c>
      <c r="I7" s="8" t="s">
        <v>153</v>
      </c>
      <c r="J7" s="8" t="s">
        <v>175</v>
      </c>
      <c r="K7" s="8" t="s">
        <v>110</v>
      </c>
      <c r="L7" s="8" t="s">
        <v>176</v>
      </c>
    </row>
    <row r="8" customFormat="false" ht="34.5" hidden="false" customHeight="true" outlineLevel="0" collapsed="false">
      <c r="A8" s="9" t="n">
        <v>7</v>
      </c>
      <c r="B8" s="10" t="s">
        <v>7</v>
      </c>
      <c r="C8" s="10" t="s">
        <v>177</v>
      </c>
      <c r="D8" s="10" t="n">
        <v>2007</v>
      </c>
      <c r="E8" s="10" t="s">
        <v>178</v>
      </c>
      <c r="F8" s="10" t="s">
        <v>143</v>
      </c>
      <c r="G8" s="10" t="s">
        <v>152</v>
      </c>
      <c r="H8" s="10" t="s">
        <v>145</v>
      </c>
      <c r="I8" s="10" t="s">
        <v>153</v>
      </c>
      <c r="J8" s="10" t="s">
        <v>179</v>
      </c>
      <c r="K8" s="10" t="s">
        <v>116</v>
      </c>
      <c r="L8" s="10" t="s">
        <v>180</v>
      </c>
    </row>
    <row r="9" customFormat="false" ht="34.5" hidden="false" customHeight="true" outlineLevel="0" collapsed="false">
      <c r="A9" s="11" t="n">
        <v>7</v>
      </c>
      <c r="B9" s="12" t="s">
        <v>71</v>
      </c>
      <c r="C9" s="12" t="s">
        <v>177</v>
      </c>
      <c r="D9" s="12" t="n">
        <v>2007</v>
      </c>
      <c r="E9" s="12" t="s">
        <v>178</v>
      </c>
      <c r="F9" s="12" t="s">
        <v>143</v>
      </c>
      <c r="G9" s="12" t="s">
        <v>152</v>
      </c>
      <c r="H9" s="12" t="s">
        <v>181</v>
      </c>
      <c r="I9" s="12" t="s">
        <v>153</v>
      </c>
      <c r="J9" s="12" t="s">
        <v>182</v>
      </c>
      <c r="K9" s="12" t="s">
        <v>114</v>
      </c>
      <c r="L9" s="12" t="s">
        <v>183</v>
      </c>
    </row>
    <row r="10" customFormat="false" ht="45.75" hidden="false" customHeight="true" outlineLevel="0" collapsed="false">
      <c r="A10" s="8" t="n">
        <v>8</v>
      </c>
      <c r="B10" s="8" t="s">
        <v>7</v>
      </c>
      <c r="C10" s="8" t="s">
        <v>184</v>
      </c>
      <c r="D10" s="8" t="n">
        <v>2021</v>
      </c>
      <c r="E10" s="8" t="s">
        <v>185</v>
      </c>
      <c r="F10" s="8" t="s">
        <v>143</v>
      </c>
      <c r="G10" s="8" t="s">
        <v>186</v>
      </c>
      <c r="H10" s="8" t="s">
        <v>187</v>
      </c>
      <c r="I10" s="8" t="s">
        <v>153</v>
      </c>
      <c r="J10" s="8" t="s">
        <v>188</v>
      </c>
      <c r="K10" s="8" t="s">
        <v>110</v>
      </c>
      <c r="L10" s="8" t="s">
        <v>189</v>
      </c>
    </row>
    <row r="11" customFormat="false" ht="34.5" hidden="false" customHeight="true" outlineLevel="0" collapsed="false">
      <c r="A11" s="8" t="n">
        <v>9</v>
      </c>
      <c r="B11" s="8" t="s">
        <v>7</v>
      </c>
      <c r="C11" s="8" t="s">
        <v>190</v>
      </c>
      <c r="D11" s="8" t="n">
        <v>2016</v>
      </c>
      <c r="E11" s="8" t="s">
        <v>191</v>
      </c>
      <c r="F11" s="8" t="s">
        <v>151</v>
      </c>
      <c r="G11" s="8" t="s">
        <v>192</v>
      </c>
      <c r="H11" s="8" t="s">
        <v>145</v>
      </c>
      <c r="I11" s="8" t="s">
        <v>153</v>
      </c>
      <c r="J11" s="8" t="s">
        <v>193</v>
      </c>
      <c r="K11" s="8"/>
      <c r="L11" s="8" t="s">
        <v>194</v>
      </c>
    </row>
    <row r="12" customFormat="false" ht="34.5" hidden="false" customHeight="true" outlineLevel="0" collapsed="false">
      <c r="A12" s="13" t="n">
        <v>10</v>
      </c>
      <c r="B12" s="14" t="s">
        <v>7</v>
      </c>
      <c r="C12" s="14" t="s">
        <v>195</v>
      </c>
      <c r="D12" s="14" t="n">
        <v>2012</v>
      </c>
      <c r="E12" s="14" t="s">
        <v>196</v>
      </c>
      <c r="F12" s="14" t="s">
        <v>143</v>
      </c>
      <c r="G12" s="14" t="s">
        <v>197</v>
      </c>
      <c r="H12" s="14" t="s">
        <v>145</v>
      </c>
      <c r="I12" s="14" t="s">
        <v>153</v>
      </c>
      <c r="J12" s="14" t="s">
        <v>198</v>
      </c>
      <c r="K12" s="14"/>
      <c r="L12" s="14" t="s">
        <v>199</v>
      </c>
    </row>
    <row r="13" customFormat="false" ht="34.5" hidden="false" customHeight="true" outlineLevel="0" collapsed="false">
      <c r="A13" s="15" t="n">
        <v>10</v>
      </c>
      <c r="B13" s="16" t="s">
        <v>47</v>
      </c>
      <c r="C13" s="16" t="s">
        <v>200</v>
      </c>
      <c r="D13" s="16" t="n">
        <v>2012</v>
      </c>
      <c r="E13" s="16" t="s">
        <v>196</v>
      </c>
      <c r="F13" s="16" t="s">
        <v>201</v>
      </c>
      <c r="G13" s="16" t="s">
        <v>197</v>
      </c>
      <c r="H13" s="16" t="s">
        <v>145</v>
      </c>
      <c r="I13" s="16" t="s">
        <v>153</v>
      </c>
      <c r="J13" s="16" t="s">
        <v>202</v>
      </c>
      <c r="K13" s="16"/>
      <c r="L13" s="16" t="s">
        <v>203</v>
      </c>
    </row>
    <row r="14" customFormat="false" ht="34.5" hidden="false" customHeight="true" outlineLevel="0" collapsed="false">
      <c r="A14" s="8" t="n">
        <v>11</v>
      </c>
      <c r="B14" s="8" t="s">
        <v>7</v>
      </c>
      <c r="C14" s="8" t="s">
        <v>204</v>
      </c>
      <c r="D14" s="8" t="n">
        <v>2019</v>
      </c>
      <c r="E14" s="8" t="s">
        <v>205</v>
      </c>
      <c r="F14" s="8" t="s">
        <v>151</v>
      </c>
      <c r="G14" s="8" t="s">
        <v>206</v>
      </c>
      <c r="H14" s="8" t="s">
        <v>207</v>
      </c>
      <c r="I14" s="8" t="s">
        <v>208</v>
      </c>
      <c r="J14" s="8" t="s">
        <v>209</v>
      </c>
      <c r="K14" s="8"/>
      <c r="L14" s="8" t="s">
        <v>210</v>
      </c>
    </row>
    <row r="15" customFormat="false" ht="34.5" hidden="false" customHeight="true" outlineLevel="0" collapsed="false">
      <c r="A15" s="8" t="n">
        <v>12</v>
      </c>
      <c r="B15" s="8" t="s">
        <v>7</v>
      </c>
      <c r="C15" s="8" t="s">
        <v>211</v>
      </c>
      <c r="D15" s="8" t="n">
        <v>2019</v>
      </c>
      <c r="E15" s="8" t="s">
        <v>212</v>
      </c>
      <c r="F15" s="8" t="s">
        <v>143</v>
      </c>
      <c r="G15" s="8" t="s">
        <v>213</v>
      </c>
      <c r="H15" s="8" t="s">
        <v>145</v>
      </c>
      <c r="I15" s="8" t="s">
        <v>153</v>
      </c>
      <c r="J15" s="8" t="s">
        <v>214</v>
      </c>
      <c r="K15" s="8"/>
      <c r="L15" s="8" t="s">
        <v>215</v>
      </c>
    </row>
    <row r="16" customFormat="false" ht="34.5" hidden="false" customHeight="true" outlineLevel="0" collapsed="false">
      <c r="A16" s="8" t="n">
        <v>13</v>
      </c>
      <c r="B16" s="8" t="s">
        <v>7</v>
      </c>
      <c r="C16" s="8" t="s">
        <v>216</v>
      </c>
      <c r="D16" s="8" t="n">
        <v>2011</v>
      </c>
      <c r="E16" s="8" t="s">
        <v>217</v>
      </c>
      <c r="F16" s="8" t="s">
        <v>151</v>
      </c>
      <c r="G16" s="8" t="s">
        <v>218</v>
      </c>
      <c r="H16" s="8" t="s">
        <v>187</v>
      </c>
      <c r="I16" s="8" t="s">
        <v>153</v>
      </c>
      <c r="J16" s="8" t="s">
        <v>219</v>
      </c>
      <c r="K16" s="8" t="s">
        <v>114</v>
      </c>
      <c r="L16" s="8" t="s">
        <v>220</v>
      </c>
    </row>
    <row r="17" customFormat="false" ht="34.5" hidden="false" customHeight="true" outlineLevel="0" collapsed="false">
      <c r="A17" s="13" t="n">
        <v>14</v>
      </c>
      <c r="B17" s="14" t="s">
        <v>7</v>
      </c>
      <c r="C17" s="14" t="s">
        <v>221</v>
      </c>
      <c r="D17" s="14" t="n">
        <v>2004</v>
      </c>
      <c r="E17" s="14" t="s">
        <v>222</v>
      </c>
      <c r="F17" s="14" t="s">
        <v>143</v>
      </c>
      <c r="G17" s="14" t="s">
        <v>223</v>
      </c>
      <c r="H17" s="14" t="s">
        <v>145</v>
      </c>
      <c r="I17" s="14" t="s">
        <v>153</v>
      </c>
      <c r="J17" s="14" t="s">
        <v>224</v>
      </c>
      <c r="K17" s="14"/>
      <c r="L17" s="14" t="s">
        <v>225</v>
      </c>
    </row>
    <row r="18" customFormat="false" ht="34.5" hidden="false" customHeight="true" outlineLevel="0" collapsed="false">
      <c r="A18" s="15" t="n">
        <v>14</v>
      </c>
      <c r="B18" s="16" t="s">
        <v>45</v>
      </c>
      <c r="C18" s="16" t="s">
        <v>226</v>
      </c>
      <c r="D18" s="16" t="n">
        <v>2004</v>
      </c>
      <c r="E18" s="16" t="s">
        <v>227</v>
      </c>
      <c r="F18" s="16" t="s">
        <v>143</v>
      </c>
      <c r="G18" s="16" t="s">
        <v>228</v>
      </c>
      <c r="H18" s="16" t="s">
        <v>145</v>
      </c>
      <c r="I18" s="16" t="s">
        <v>153</v>
      </c>
      <c r="J18" s="16" t="s">
        <v>229</v>
      </c>
      <c r="K18" s="16"/>
      <c r="L18" s="16" t="s">
        <v>230</v>
      </c>
    </row>
    <row r="19" customFormat="false" ht="34.5" hidden="false" customHeight="true" outlineLevel="0" collapsed="false">
      <c r="A19" s="8" t="n">
        <v>15</v>
      </c>
      <c r="B19" s="8" t="s">
        <v>7</v>
      </c>
      <c r="C19" s="8" t="s">
        <v>231</v>
      </c>
      <c r="D19" s="8" t="n">
        <v>2018</v>
      </c>
      <c r="E19" s="8" t="s">
        <v>232</v>
      </c>
      <c r="F19" s="8" t="s">
        <v>151</v>
      </c>
      <c r="G19" s="8" t="s">
        <v>233</v>
      </c>
      <c r="H19" s="8" t="s">
        <v>187</v>
      </c>
      <c r="I19" s="8" t="s">
        <v>153</v>
      </c>
      <c r="J19" s="8" t="s">
        <v>234</v>
      </c>
      <c r="K19" s="8" t="s">
        <v>114</v>
      </c>
      <c r="L19" s="8" t="s">
        <v>235</v>
      </c>
    </row>
    <row r="20" customFormat="false" ht="34.5" hidden="false" customHeight="true" outlineLevel="0" collapsed="false">
      <c r="A20" s="8" t="n">
        <v>16</v>
      </c>
      <c r="B20" s="8" t="s">
        <v>7</v>
      </c>
      <c r="C20" s="8" t="s">
        <v>236</v>
      </c>
      <c r="D20" s="8" t="n">
        <v>1995</v>
      </c>
      <c r="E20" s="8" t="s">
        <v>237</v>
      </c>
      <c r="F20" s="8" t="s">
        <v>143</v>
      </c>
      <c r="G20" s="8" t="s">
        <v>238</v>
      </c>
      <c r="H20" s="8" t="s">
        <v>145</v>
      </c>
      <c r="I20" s="8" t="s">
        <v>153</v>
      </c>
      <c r="J20" s="8" t="s">
        <v>239</v>
      </c>
      <c r="K20" s="8" t="s">
        <v>114</v>
      </c>
      <c r="L20" s="8" t="s">
        <v>240</v>
      </c>
    </row>
    <row r="21" customFormat="false" ht="34.5" hidden="false" customHeight="true" outlineLevel="0" collapsed="false">
      <c r="A21" s="8" t="n">
        <v>17</v>
      </c>
      <c r="B21" s="8" t="s">
        <v>7</v>
      </c>
      <c r="C21" s="8" t="s">
        <v>241</v>
      </c>
      <c r="D21" s="8" t="n">
        <v>2021</v>
      </c>
      <c r="E21" s="8" t="s">
        <v>242</v>
      </c>
      <c r="F21" s="8" t="s">
        <v>143</v>
      </c>
      <c r="G21" s="8" t="s">
        <v>243</v>
      </c>
      <c r="H21" s="8" t="s">
        <v>244</v>
      </c>
      <c r="I21" s="8" t="s">
        <v>146</v>
      </c>
      <c r="J21" s="8" t="s">
        <v>245</v>
      </c>
      <c r="K21" s="8" t="s">
        <v>112</v>
      </c>
      <c r="L21" s="8" t="s">
        <v>246</v>
      </c>
    </row>
    <row r="22" customFormat="false" ht="34.5" hidden="false" customHeight="true" outlineLevel="0" collapsed="false">
      <c r="A22" s="8" t="n">
        <v>18</v>
      </c>
      <c r="B22" s="8" t="s">
        <v>7</v>
      </c>
      <c r="C22" s="8" t="s">
        <v>247</v>
      </c>
      <c r="D22" s="8" t="n">
        <v>2024</v>
      </c>
      <c r="E22" s="8" t="s">
        <v>248</v>
      </c>
      <c r="F22" s="8" t="s">
        <v>151</v>
      </c>
      <c r="G22" s="8" t="s">
        <v>249</v>
      </c>
      <c r="H22" s="8" t="s">
        <v>145</v>
      </c>
      <c r="I22" s="8" t="s">
        <v>153</v>
      </c>
      <c r="J22" s="8" t="s">
        <v>250</v>
      </c>
      <c r="K22" s="8" t="s">
        <v>110</v>
      </c>
      <c r="L22" s="8" t="s">
        <v>251</v>
      </c>
    </row>
    <row r="23" customFormat="false" ht="34.5" hidden="false" customHeight="true" outlineLevel="0" collapsed="false">
      <c r="A23" s="8" t="n">
        <v>19</v>
      </c>
      <c r="B23" s="8" t="s">
        <v>7</v>
      </c>
      <c r="C23" s="8" t="s">
        <v>252</v>
      </c>
      <c r="D23" s="8" t="n">
        <v>2016</v>
      </c>
      <c r="E23" s="8" t="s">
        <v>253</v>
      </c>
      <c r="F23" s="8" t="s">
        <v>143</v>
      </c>
      <c r="G23" s="8" t="s">
        <v>254</v>
      </c>
      <c r="H23" s="8" t="s">
        <v>255</v>
      </c>
      <c r="I23" s="8" t="s">
        <v>146</v>
      </c>
      <c r="J23" s="8" t="s">
        <v>256</v>
      </c>
      <c r="K23" s="8" t="s">
        <v>110</v>
      </c>
      <c r="L23" s="8" t="s">
        <v>257</v>
      </c>
    </row>
    <row r="24" customFormat="false" ht="34.5" hidden="false" customHeight="true" outlineLevel="0" collapsed="false">
      <c r="A24" s="8" t="n">
        <v>20</v>
      </c>
      <c r="B24" s="8" t="s">
        <v>7</v>
      </c>
      <c r="C24" s="8" t="s">
        <v>258</v>
      </c>
      <c r="D24" s="8" t="n">
        <v>2023</v>
      </c>
      <c r="E24" s="8" t="s">
        <v>259</v>
      </c>
      <c r="F24" s="8" t="s">
        <v>143</v>
      </c>
      <c r="G24" s="8" t="s">
        <v>260</v>
      </c>
      <c r="H24" s="8" t="s">
        <v>145</v>
      </c>
      <c r="I24" s="8" t="s">
        <v>153</v>
      </c>
      <c r="J24" s="8" t="s">
        <v>261</v>
      </c>
      <c r="K24" s="8" t="s">
        <v>114</v>
      </c>
      <c r="L24" s="8" t="s">
        <v>262</v>
      </c>
    </row>
    <row r="25" customFormat="false" ht="34.5" hidden="false" customHeight="true" outlineLevel="0" collapsed="false">
      <c r="A25" s="9" t="n">
        <v>21</v>
      </c>
      <c r="B25" s="10" t="s">
        <v>7</v>
      </c>
      <c r="C25" s="10" t="s">
        <v>263</v>
      </c>
      <c r="D25" s="10" t="n">
        <v>2024</v>
      </c>
      <c r="E25" s="10" t="s">
        <v>264</v>
      </c>
      <c r="F25" s="10" t="s">
        <v>151</v>
      </c>
      <c r="G25" s="10" t="s">
        <v>265</v>
      </c>
      <c r="H25" s="10" t="s">
        <v>145</v>
      </c>
      <c r="I25" s="10" t="s">
        <v>153</v>
      </c>
      <c r="J25" s="10" t="s">
        <v>266</v>
      </c>
      <c r="K25" s="10" t="s">
        <v>114</v>
      </c>
      <c r="L25" s="10" t="s">
        <v>267</v>
      </c>
    </row>
    <row r="26" customFormat="false" ht="34.5" hidden="false" customHeight="true" outlineLevel="0" collapsed="false">
      <c r="A26" s="11" t="n">
        <v>21</v>
      </c>
      <c r="B26" s="12" t="s">
        <v>29</v>
      </c>
      <c r="C26" s="12" t="s">
        <v>263</v>
      </c>
      <c r="D26" s="12" t="n">
        <v>2024</v>
      </c>
      <c r="E26" s="12" t="s">
        <v>268</v>
      </c>
      <c r="F26" s="12" t="s">
        <v>151</v>
      </c>
      <c r="G26" s="12" t="s">
        <v>269</v>
      </c>
      <c r="H26" s="12" t="s">
        <v>145</v>
      </c>
      <c r="I26" s="12" t="s">
        <v>153</v>
      </c>
      <c r="J26" s="12" t="s">
        <v>270</v>
      </c>
      <c r="K26" s="12" t="s">
        <v>114</v>
      </c>
      <c r="L26" s="12" t="s">
        <v>271</v>
      </c>
    </row>
    <row r="27" customFormat="false" ht="34.5" hidden="false" customHeight="true" outlineLevel="0" collapsed="false">
      <c r="A27" s="8" t="n">
        <v>22</v>
      </c>
      <c r="B27" s="8" t="s">
        <v>7</v>
      </c>
      <c r="C27" s="8" t="s">
        <v>272</v>
      </c>
      <c r="D27" s="8" t="n">
        <v>2015</v>
      </c>
      <c r="E27" s="8" t="s">
        <v>273</v>
      </c>
      <c r="F27" s="8" t="s">
        <v>143</v>
      </c>
      <c r="G27" s="8" t="s">
        <v>274</v>
      </c>
      <c r="H27" s="8" t="s">
        <v>145</v>
      </c>
      <c r="I27" s="8" t="s">
        <v>153</v>
      </c>
      <c r="J27" s="8" t="s">
        <v>275</v>
      </c>
      <c r="K27" s="8"/>
      <c r="L27" s="8" t="s">
        <v>276</v>
      </c>
    </row>
    <row r="28" customFormat="false" ht="34.5" hidden="false" customHeight="true" outlineLevel="0" collapsed="false">
      <c r="A28" s="8" t="n">
        <v>23</v>
      </c>
      <c r="B28" s="8" t="s">
        <v>7</v>
      </c>
      <c r="C28" s="8" t="s">
        <v>277</v>
      </c>
      <c r="D28" s="8" t="n">
        <v>2023</v>
      </c>
      <c r="E28" s="8" t="s">
        <v>278</v>
      </c>
      <c r="F28" s="8" t="s">
        <v>143</v>
      </c>
      <c r="G28" s="8" t="s">
        <v>279</v>
      </c>
      <c r="H28" s="8" t="s">
        <v>145</v>
      </c>
      <c r="I28" s="8" t="s">
        <v>146</v>
      </c>
      <c r="J28" s="8" t="s">
        <v>280</v>
      </c>
      <c r="K28" s="8" t="s">
        <v>116</v>
      </c>
      <c r="L28" s="8" t="s">
        <v>281</v>
      </c>
    </row>
    <row r="29" customFormat="false" ht="34.5" hidden="false" customHeight="true" outlineLevel="0" collapsed="false">
      <c r="A29" s="8" t="n">
        <v>24</v>
      </c>
      <c r="B29" s="8" t="s">
        <v>7</v>
      </c>
      <c r="C29" s="8" t="s">
        <v>282</v>
      </c>
      <c r="D29" s="8" t="n">
        <v>2017</v>
      </c>
      <c r="E29" s="8" t="s">
        <v>283</v>
      </c>
      <c r="F29" s="8" t="s">
        <v>143</v>
      </c>
      <c r="G29" s="8" t="s">
        <v>284</v>
      </c>
      <c r="H29" s="8" t="s">
        <v>285</v>
      </c>
      <c r="I29" s="8" t="s">
        <v>146</v>
      </c>
      <c r="J29" s="8" t="s">
        <v>286</v>
      </c>
      <c r="K29" s="8" t="s">
        <v>110</v>
      </c>
      <c r="L29" s="8" t="s">
        <v>287</v>
      </c>
    </row>
    <row r="30" customFormat="false" ht="34.5" hidden="false" customHeight="true" outlineLevel="0" collapsed="false">
      <c r="A30" s="8" t="n">
        <v>25</v>
      </c>
      <c r="B30" s="8" t="s">
        <v>7</v>
      </c>
      <c r="C30" s="8" t="s">
        <v>288</v>
      </c>
      <c r="D30" s="8" t="n">
        <v>1970</v>
      </c>
      <c r="E30" s="8" t="s">
        <v>289</v>
      </c>
      <c r="F30" s="8" t="s">
        <v>143</v>
      </c>
      <c r="G30" s="8" t="s">
        <v>290</v>
      </c>
      <c r="H30" s="8" t="s">
        <v>187</v>
      </c>
      <c r="I30" s="8" t="s">
        <v>146</v>
      </c>
      <c r="J30" s="8" t="s">
        <v>291</v>
      </c>
      <c r="K30" s="8"/>
      <c r="L30" s="8" t="s">
        <v>292</v>
      </c>
    </row>
    <row r="31" customFormat="false" ht="34.5" hidden="false" customHeight="true" outlineLevel="0" collapsed="false">
      <c r="A31" s="8" t="n">
        <v>26</v>
      </c>
      <c r="B31" s="8" t="s">
        <v>7</v>
      </c>
      <c r="C31" s="8" t="s">
        <v>293</v>
      </c>
      <c r="D31" s="8" t="n">
        <v>2019</v>
      </c>
      <c r="E31" s="8" t="s">
        <v>294</v>
      </c>
      <c r="F31" s="8" t="s">
        <v>143</v>
      </c>
      <c r="G31" s="8" t="s">
        <v>295</v>
      </c>
      <c r="H31" s="8" t="s">
        <v>296</v>
      </c>
      <c r="I31" s="8" t="s">
        <v>208</v>
      </c>
      <c r="J31" s="8" t="s">
        <v>297</v>
      </c>
      <c r="K31" s="8" t="s">
        <v>110</v>
      </c>
      <c r="L31" s="8" t="s">
        <v>298</v>
      </c>
    </row>
    <row r="32" customFormat="false" ht="34.5" hidden="false" customHeight="true" outlineLevel="0" collapsed="false">
      <c r="A32" s="8" t="n">
        <v>27</v>
      </c>
      <c r="B32" s="8" t="s">
        <v>7</v>
      </c>
      <c r="C32" s="8" t="s">
        <v>299</v>
      </c>
      <c r="D32" s="8" t="n">
        <v>2023</v>
      </c>
      <c r="E32" s="8" t="s">
        <v>300</v>
      </c>
      <c r="F32" s="8" t="s">
        <v>151</v>
      </c>
      <c r="G32" s="8" t="s">
        <v>301</v>
      </c>
      <c r="H32" s="8" t="s">
        <v>187</v>
      </c>
      <c r="I32" s="8" t="s">
        <v>153</v>
      </c>
      <c r="J32" s="8" t="s">
        <v>302</v>
      </c>
      <c r="K32" s="8" t="s">
        <v>114</v>
      </c>
      <c r="L32" s="8" t="s">
        <v>303</v>
      </c>
    </row>
    <row r="33" customFormat="false" ht="34.5" hidden="false" customHeight="true" outlineLevel="0" collapsed="false">
      <c r="A33" s="8" t="n">
        <v>28</v>
      </c>
      <c r="B33" s="8" t="s">
        <v>7</v>
      </c>
      <c r="C33" s="8" t="s">
        <v>304</v>
      </c>
      <c r="D33" s="8" t="n">
        <v>2021</v>
      </c>
      <c r="E33" s="8" t="s">
        <v>305</v>
      </c>
      <c r="F33" s="8" t="s">
        <v>143</v>
      </c>
      <c r="G33" s="8" t="s">
        <v>306</v>
      </c>
      <c r="H33" s="8" t="s">
        <v>145</v>
      </c>
      <c r="I33" s="8" t="s">
        <v>146</v>
      </c>
      <c r="J33" s="8" t="s">
        <v>307</v>
      </c>
      <c r="K33" s="8"/>
      <c r="L33" s="8" t="s">
        <v>308</v>
      </c>
    </row>
    <row r="34" customFormat="false" ht="34.5" hidden="false" customHeight="true" outlineLevel="0" collapsed="false">
      <c r="A34" s="8" t="n">
        <v>29</v>
      </c>
      <c r="B34" s="8" t="s">
        <v>7</v>
      </c>
      <c r="C34" s="8" t="s">
        <v>309</v>
      </c>
      <c r="D34" s="8" t="n">
        <v>2024</v>
      </c>
      <c r="E34" s="8" t="s">
        <v>310</v>
      </c>
      <c r="F34" s="8" t="s">
        <v>143</v>
      </c>
      <c r="G34" s="8" t="s">
        <v>311</v>
      </c>
      <c r="H34" s="8" t="s">
        <v>145</v>
      </c>
      <c r="I34" s="8" t="s">
        <v>153</v>
      </c>
      <c r="J34" s="8" t="s">
        <v>312</v>
      </c>
      <c r="K34" s="8" t="s">
        <v>114</v>
      </c>
      <c r="L34" s="8" t="s">
        <v>313</v>
      </c>
    </row>
    <row r="35" customFormat="false" ht="34.5" hidden="false" customHeight="true" outlineLevel="0" collapsed="false">
      <c r="A35" s="8" t="n">
        <v>30</v>
      </c>
      <c r="B35" s="8" t="s">
        <v>7</v>
      </c>
      <c r="C35" s="8" t="s">
        <v>314</v>
      </c>
      <c r="D35" s="8" t="n">
        <v>2011</v>
      </c>
      <c r="E35" s="8" t="s">
        <v>315</v>
      </c>
      <c r="F35" s="8" t="s">
        <v>143</v>
      </c>
      <c r="G35" s="8" t="s">
        <v>316</v>
      </c>
      <c r="H35" s="8" t="s">
        <v>145</v>
      </c>
      <c r="I35" s="8" t="s">
        <v>153</v>
      </c>
      <c r="J35" s="8" t="s">
        <v>317</v>
      </c>
      <c r="K35" s="8" t="s">
        <v>116</v>
      </c>
      <c r="L35" s="8" t="s">
        <v>318</v>
      </c>
    </row>
    <row r="36" customFormat="false" ht="34.5" hidden="false" customHeight="true" outlineLevel="0" collapsed="false">
      <c r="A36" s="8" t="n">
        <v>31</v>
      </c>
      <c r="B36" s="8" t="s">
        <v>7</v>
      </c>
      <c r="C36" s="8" t="s">
        <v>319</v>
      </c>
      <c r="D36" s="8" t="n">
        <v>2021</v>
      </c>
      <c r="E36" s="8" t="s">
        <v>320</v>
      </c>
      <c r="F36" s="8" t="s">
        <v>151</v>
      </c>
      <c r="G36" s="8" t="s">
        <v>321</v>
      </c>
      <c r="H36" s="8" t="s">
        <v>145</v>
      </c>
      <c r="I36" s="8" t="s">
        <v>146</v>
      </c>
      <c r="J36" s="8" t="s">
        <v>322</v>
      </c>
      <c r="K36" s="8"/>
      <c r="L36" s="8" t="s">
        <v>323</v>
      </c>
    </row>
    <row r="37" customFormat="false" ht="34.5" hidden="false" customHeight="true" outlineLevel="0" collapsed="false">
      <c r="A37" s="8" t="n">
        <v>32</v>
      </c>
      <c r="B37" s="8" t="s">
        <v>7</v>
      </c>
      <c r="C37" s="8" t="s">
        <v>324</v>
      </c>
      <c r="D37" s="8" t="n">
        <v>2023</v>
      </c>
      <c r="E37" s="8" t="s">
        <v>325</v>
      </c>
      <c r="F37" s="8" t="s">
        <v>143</v>
      </c>
      <c r="G37" s="8" t="s">
        <v>326</v>
      </c>
      <c r="H37" s="8" t="s">
        <v>327</v>
      </c>
      <c r="I37" s="8" t="s">
        <v>153</v>
      </c>
      <c r="J37" s="8" t="s">
        <v>328</v>
      </c>
      <c r="K37" s="8" t="s">
        <v>110</v>
      </c>
      <c r="L37" s="8" t="s">
        <v>329</v>
      </c>
    </row>
    <row r="38" customFormat="false" ht="34.5" hidden="false" customHeight="true" outlineLevel="0" collapsed="false">
      <c r="A38" s="8" t="n">
        <v>33</v>
      </c>
      <c r="B38" s="8" t="s">
        <v>7</v>
      </c>
      <c r="C38" s="8" t="s">
        <v>330</v>
      </c>
      <c r="D38" s="8" t="n">
        <v>2019</v>
      </c>
      <c r="E38" s="8" t="s">
        <v>331</v>
      </c>
      <c r="F38" s="8" t="s">
        <v>143</v>
      </c>
      <c r="G38" s="8" t="s">
        <v>332</v>
      </c>
      <c r="H38" s="8" t="s">
        <v>145</v>
      </c>
      <c r="I38" s="8" t="s">
        <v>208</v>
      </c>
      <c r="J38" s="8" t="s">
        <v>333</v>
      </c>
      <c r="K38" s="8" t="s">
        <v>114</v>
      </c>
      <c r="L38" s="8" t="s">
        <v>334</v>
      </c>
    </row>
    <row r="39" customFormat="false" ht="34.5" hidden="false" customHeight="true" outlineLevel="0" collapsed="false">
      <c r="A39" s="8" t="n">
        <v>34</v>
      </c>
      <c r="B39" s="8" t="s">
        <v>7</v>
      </c>
      <c r="C39" s="8" t="s">
        <v>335</v>
      </c>
      <c r="D39" s="8" t="n">
        <v>2018</v>
      </c>
      <c r="E39" s="8" t="s">
        <v>336</v>
      </c>
      <c r="F39" s="8" t="s">
        <v>143</v>
      </c>
      <c r="G39" s="8" t="s">
        <v>337</v>
      </c>
      <c r="H39" s="8" t="s">
        <v>338</v>
      </c>
      <c r="I39" s="8" t="s">
        <v>146</v>
      </c>
      <c r="J39" s="8" t="s">
        <v>339</v>
      </c>
      <c r="K39" s="8" t="s">
        <v>110</v>
      </c>
      <c r="L39" s="8" t="s">
        <v>340</v>
      </c>
    </row>
    <row r="40" customFormat="false" ht="34.5" hidden="false" customHeight="true" outlineLevel="0" collapsed="false">
      <c r="A40" s="8" t="n">
        <v>35</v>
      </c>
      <c r="B40" s="8" t="s">
        <v>7</v>
      </c>
      <c r="C40" s="8" t="s">
        <v>341</v>
      </c>
      <c r="D40" s="8" t="n">
        <v>2020</v>
      </c>
      <c r="E40" s="8" t="s">
        <v>342</v>
      </c>
      <c r="F40" s="8" t="s">
        <v>143</v>
      </c>
      <c r="G40" s="8" t="s">
        <v>343</v>
      </c>
      <c r="H40" s="8" t="s">
        <v>145</v>
      </c>
      <c r="I40" s="8" t="s">
        <v>153</v>
      </c>
      <c r="J40" s="8" t="s">
        <v>344</v>
      </c>
      <c r="K40" s="8"/>
      <c r="L40" s="8" t="s">
        <v>345</v>
      </c>
    </row>
    <row r="41" customFormat="false" ht="34.5" hidden="false" customHeight="true" outlineLevel="0" collapsed="false">
      <c r="A41" s="8" t="n">
        <v>36</v>
      </c>
      <c r="B41" s="8" t="s">
        <v>7</v>
      </c>
      <c r="C41" s="8" t="s">
        <v>346</v>
      </c>
      <c r="D41" s="8" t="n">
        <v>2012</v>
      </c>
      <c r="E41" s="8" t="s">
        <v>347</v>
      </c>
      <c r="F41" s="8" t="s">
        <v>151</v>
      </c>
      <c r="G41" s="8" t="s">
        <v>348</v>
      </c>
      <c r="H41" s="8" t="s">
        <v>145</v>
      </c>
      <c r="I41" s="8" t="s">
        <v>153</v>
      </c>
      <c r="J41" s="8" t="s">
        <v>349</v>
      </c>
      <c r="K41" s="8"/>
      <c r="L41" s="8" t="s">
        <v>350</v>
      </c>
    </row>
    <row r="42" customFormat="false" ht="34.5" hidden="false" customHeight="true" outlineLevel="0" collapsed="false">
      <c r="A42" s="8" t="n">
        <v>37</v>
      </c>
      <c r="B42" s="8" t="s">
        <v>7</v>
      </c>
      <c r="C42" s="8" t="s">
        <v>351</v>
      </c>
      <c r="D42" s="8" t="n">
        <v>1995</v>
      </c>
      <c r="E42" s="8" t="s">
        <v>352</v>
      </c>
      <c r="F42" s="8" t="s">
        <v>143</v>
      </c>
      <c r="G42" s="8" t="s">
        <v>353</v>
      </c>
      <c r="H42" s="8" t="s">
        <v>145</v>
      </c>
      <c r="I42" s="8" t="s">
        <v>153</v>
      </c>
      <c r="J42" s="8" t="s">
        <v>354</v>
      </c>
      <c r="K42" s="8" t="s">
        <v>114</v>
      </c>
      <c r="L42" s="8" t="s">
        <v>355</v>
      </c>
    </row>
    <row r="43" customFormat="false" ht="34.5" hidden="false" customHeight="true" outlineLevel="0" collapsed="false">
      <c r="A43" s="8" t="n">
        <v>38</v>
      </c>
      <c r="B43" s="8" t="s">
        <v>7</v>
      </c>
      <c r="C43" s="8" t="s">
        <v>356</v>
      </c>
      <c r="D43" s="8" t="n">
        <v>2019</v>
      </c>
      <c r="E43" s="8" t="s">
        <v>357</v>
      </c>
      <c r="F43" s="8" t="s">
        <v>143</v>
      </c>
      <c r="G43" s="8" t="s">
        <v>358</v>
      </c>
      <c r="H43" s="8" t="s">
        <v>359</v>
      </c>
      <c r="I43" s="8" t="s">
        <v>146</v>
      </c>
      <c r="J43" s="8" t="s">
        <v>360</v>
      </c>
      <c r="K43" s="8" t="s">
        <v>110</v>
      </c>
      <c r="L43" s="8" t="s">
        <v>361</v>
      </c>
    </row>
    <row r="44" customFormat="false" ht="34.5" hidden="false" customHeight="true" outlineLevel="0" collapsed="false">
      <c r="A44" s="8" t="n">
        <v>39</v>
      </c>
      <c r="B44" s="8" t="s">
        <v>7</v>
      </c>
      <c r="C44" s="8" t="s">
        <v>362</v>
      </c>
      <c r="D44" s="8" t="n">
        <v>2005</v>
      </c>
      <c r="E44" s="8" t="s">
        <v>363</v>
      </c>
      <c r="F44" s="8" t="s">
        <v>143</v>
      </c>
      <c r="G44" s="8" t="s">
        <v>364</v>
      </c>
      <c r="H44" s="8" t="s">
        <v>145</v>
      </c>
      <c r="I44" s="8" t="s">
        <v>153</v>
      </c>
      <c r="J44" s="8" t="s">
        <v>365</v>
      </c>
      <c r="K44" s="8" t="s">
        <v>116</v>
      </c>
      <c r="L44" s="8" t="s">
        <v>366</v>
      </c>
    </row>
    <row r="45" customFormat="false" ht="34.5" hidden="false" customHeight="true" outlineLevel="0" collapsed="false">
      <c r="A45" s="8" t="n">
        <v>40</v>
      </c>
      <c r="B45" s="8" t="s">
        <v>7</v>
      </c>
      <c r="C45" s="8" t="s">
        <v>367</v>
      </c>
      <c r="D45" s="8" t="n">
        <v>2015</v>
      </c>
      <c r="E45" s="8" t="s">
        <v>368</v>
      </c>
      <c r="F45" s="8" t="s">
        <v>143</v>
      </c>
      <c r="G45" s="8" t="s">
        <v>348</v>
      </c>
      <c r="H45" s="8" t="s">
        <v>145</v>
      </c>
      <c r="I45" s="8" t="s">
        <v>153</v>
      </c>
      <c r="J45" s="8" t="s">
        <v>369</v>
      </c>
      <c r="K45" s="8"/>
      <c r="L45" s="8" t="s">
        <v>370</v>
      </c>
    </row>
    <row r="46" customFormat="false" ht="34.5" hidden="false" customHeight="true" outlineLevel="0" collapsed="false">
      <c r="A46" s="9" t="n">
        <v>41</v>
      </c>
      <c r="B46" s="10" t="s">
        <v>7</v>
      </c>
      <c r="C46" s="10" t="s">
        <v>371</v>
      </c>
      <c r="D46" s="10" t="n">
        <v>2021</v>
      </c>
      <c r="E46" s="10" t="s">
        <v>372</v>
      </c>
      <c r="F46" s="10" t="s">
        <v>143</v>
      </c>
      <c r="G46" s="10" t="s">
        <v>373</v>
      </c>
      <c r="H46" s="10" t="s">
        <v>244</v>
      </c>
      <c r="I46" s="10" t="s">
        <v>146</v>
      </c>
      <c r="J46" s="10" t="s">
        <v>374</v>
      </c>
      <c r="K46" s="10" t="s">
        <v>110</v>
      </c>
      <c r="L46" s="10" t="s">
        <v>375</v>
      </c>
    </row>
    <row r="47" customFormat="false" ht="34.5" hidden="false" customHeight="true" outlineLevel="0" collapsed="false">
      <c r="A47" s="11" t="n">
        <v>41</v>
      </c>
      <c r="B47" s="12" t="s">
        <v>29</v>
      </c>
      <c r="C47" s="12" t="s">
        <v>371</v>
      </c>
      <c r="D47" s="12" t="n">
        <v>2021</v>
      </c>
      <c r="E47" s="12" t="s">
        <v>376</v>
      </c>
      <c r="F47" s="12" t="s">
        <v>143</v>
      </c>
      <c r="G47" s="12" t="s">
        <v>377</v>
      </c>
      <c r="H47" s="12" t="s">
        <v>244</v>
      </c>
      <c r="I47" s="12" t="s">
        <v>146</v>
      </c>
      <c r="J47" s="12" t="s">
        <v>378</v>
      </c>
      <c r="K47" s="12" t="s">
        <v>116</v>
      </c>
      <c r="L47" s="12" t="s">
        <v>379</v>
      </c>
    </row>
    <row r="48" customFormat="false" ht="34.5" hidden="false" customHeight="true" outlineLevel="0" collapsed="false">
      <c r="A48" s="11" t="n">
        <v>41</v>
      </c>
      <c r="B48" s="12" t="s">
        <v>39</v>
      </c>
      <c r="C48" s="12" t="s">
        <v>371</v>
      </c>
      <c r="D48" s="12" t="n">
        <v>2021</v>
      </c>
      <c r="E48" s="12" t="s">
        <v>380</v>
      </c>
      <c r="F48" s="12" t="s">
        <v>143</v>
      </c>
      <c r="G48" s="12" t="s">
        <v>381</v>
      </c>
      <c r="H48" s="12" t="s">
        <v>382</v>
      </c>
      <c r="I48" s="12" t="s">
        <v>146</v>
      </c>
      <c r="J48" s="12" t="s">
        <v>383</v>
      </c>
      <c r="K48" s="12"/>
      <c r="L48" s="12" t="s">
        <v>384</v>
      </c>
    </row>
    <row r="49" customFormat="false" ht="34.5" hidden="false" customHeight="true" outlineLevel="0" collapsed="false">
      <c r="A49" s="11" t="n">
        <v>41</v>
      </c>
      <c r="B49" s="12" t="s">
        <v>77</v>
      </c>
      <c r="C49" s="12" t="s">
        <v>385</v>
      </c>
      <c r="D49" s="12" t="n">
        <v>2021</v>
      </c>
      <c r="E49" s="12" t="s">
        <v>376</v>
      </c>
      <c r="F49" s="12" t="s">
        <v>201</v>
      </c>
      <c r="G49" s="12" t="s">
        <v>386</v>
      </c>
      <c r="H49" s="12" t="s">
        <v>244</v>
      </c>
      <c r="I49" s="12" t="s">
        <v>387</v>
      </c>
      <c r="J49" s="12" t="s">
        <v>388</v>
      </c>
      <c r="K49" s="12" t="s">
        <v>116</v>
      </c>
      <c r="L49" s="12" t="s">
        <v>389</v>
      </c>
    </row>
    <row r="50" customFormat="false" ht="34.5" hidden="false" customHeight="true" outlineLevel="0" collapsed="false">
      <c r="A50" s="13" t="n">
        <v>42</v>
      </c>
      <c r="B50" s="14" t="s">
        <v>7</v>
      </c>
      <c r="C50" s="14" t="s">
        <v>390</v>
      </c>
      <c r="D50" s="14" t="n">
        <v>2015</v>
      </c>
      <c r="E50" s="14" t="s">
        <v>391</v>
      </c>
      <c r="F50" s="14" t="s">
        <v>143</v>
      </c>
      <c r="G50" s="14" t="s">
        <v>392</v>
      </c>
      <c r="H50" s="14" t="s">
        <v>393</v>
      </c>
      <c r="I50" s="14" t="s">
        <v>153</v>
      </c>
      <c r="J50" s="14" t="s">
        <v>394</v>
      </c>
      <c r="K50" s="14" t="s">
        <v>116</v>
      </c>
      <c r="L50" s="14" t="s">
        <v>395</v>
      </c>
    </row>
    <row r="51" customFormat="false" ht="34.5" hidden="false" customHeight="true" outlineLevel="0" collapsed="false">
      <c r="A51" s="15" t="n">
        <v>42</v>
      </c>
      <c r="B51" s="16" t="s">
        <v>9</v>
      </c>
      <c r="C51" s="16" t="s">
        <v>390</v>
      </c>
      <c r="D51" s="16" t="n">
        <v>2015</v>
      </c>
      <c r="E51" s="16" t="s">
        <v>391</v>
      </c>
      <c r="F51" s="16" t="s">
        <v>143</v>
      </c>
      <c r="G51" s="16" t="s">
        <v>396</v>
      </c>
      <c r="H51" s="16" t="s">
        <v>145</v>
      </c>
      <c r="I51" s="16" t="s">
        <v>387</v>
      </c>
      <c r="J51" s="16" t="s">
        <v>397</v>
      </c>
      <c r="K51" s="16" t="s">
        <v>116</v>
      </c>
      <c r="L51" s="16" t="s">
        <v>398</v>
      </c>
    </row>
    <row r="52" customFormat="false" ht="34.5" hidden="false" customHeight="true" outlineLevel="0" collapsed="false">
      <c r="A52" s="8" t="n">
        <v>43</v>
      </c>
      <c r="B52" s="8" t="s">
        <v>7</v>
      </c>
      <c r="C52" s="8" t="s">
        <v>399</v>
      </c>
      <c r="D52" s="8" t="n">
        <v>2015</v>
      </c>
      <c r="E52" s="8" t="s">
        <v>400</v>
      </c>
      <c r="F52" s="8" t="s">
        <v>151</v>
      </c>
      <c r="G52" s="8" t="s">
        <v>152</v>
      </c>
      <c r="H52" s="8" t="s">
        <v>145</v>
      </c>
      <c r="I52" s="8" t="s">
        <v>146</v>
      </c>
      <c r="J52" s="8" t="s">
        <v>401</v>
      </c>
      <c r="K52" s="8"/>
      <c r="L52" s="8" t="s">
        <v>402</v>
      </c>
    </row>
    <row r="53" customFormat="false" ht="23.25" hidden="false" customHeight="true" outlineLevel="0" collapsed="false">
      <c r="A53" s="13" t="n">
        <v>44</v>
      </c>
      <c r="B53" s="14" t="s">
        <v>7</v>
      </c>
      <c r="C53" s="14" t="s">
        <v>403</v>
      </c>
      <c r="D53" s="14" t="n">
        <v>2021</v>
      </c>
      <c r="E53" s="14" t="s">
        <v>404</v>
      </c>
      <c r="F53" s="14" t="s">
        <v>143</v>
      </c>
      <c r="G53" s="14" t="s">
        <v>348</v>
      </c>
      <c r="H53" s="14" t="s">
        <v>145</v>
      </c>
      <c r="I53" s="14" t="s">
        <v>153</v>
      </c>
      <c r="J53" s="14" t="s">
        <v>405</v>
      </c>
      <c r="K53" s="14"/>
      <c r="L53" s="14" t="s">
        <v>406</v>
      </c>
    </row>
    <row r="54" customFormat="false" ht="23.25" hidden="false" customHeight="true" outlineLevel="0" collapsed="false">
      <c r="A54" s="15" t="n">
        <v>44</v>
      </c>
      <c r="B54" s="16" t="s">
        <v>77</v>
      </c>
      <c r="C54" s="16" t="s">
        <v>407</v>
      </c>
      <c r="D54" s="16" t="n">
        <v>2021</v>
      </c>
      <c r="E54" s="16" t="s">
        <v>408</v>
      </c>
      <c r="F54" s="16" t="s">
        <v>143</v>
      </c>
      <c r="G54" s="16" t="s">
        <v>348</v>
      </c>
      <c r="H54" s="16" t="s">
        <v>145</v>
      </c>
      <c r="I54" s="16" t="s">
        <v>153</v>
      </c>
      <c r="J54" s="16" t="s">
        <v>409</v>
      </c>
      <c r="K54" s="16"/>
      <c r="L54" s="16" t="s">
        <v>410</v>
      </c>
    </row>
    <row r="55" customFormat="false" ht="34.5" hidden="false" customHeight="true" outlineLevel="0" collapsed="false">
      <c r="A55" s="8" t="n">
        <v>45</v>
      </c>
      <c r="B55" s="8" t="s">
        <v>7</v>
      </c>
      <c r="C55" s="8" t="s">
        <v>411</v>
      </c>
      <c r="D55" s="8" t="n">
        <v>2024</v>
      </c>
      <c r="E55" s="8" t="s">
        <v>412</v>
      </c>
      <c r="F55" s="8" t="s">
        <v>143</v>
      </c>
      <c r="G55" s="8" t="s">
        <v>413</v>
      </c>
      <c r="H55" s="8" t="s">
        <v>187</v>
      </c>
      <c r="I55" s="8" t="s">
        <v>146</v>
      </c>
      <c r="J55" s="8" t="s">
        <v>414</v>
      </c>
      <c r="K55" s="8" t="s">
        <v>114</v>
      </c>
      <c r="L55" s="8" t="s">
        <v>415</v>
      </c>
    </row>
    <row r="56" customFormat="false" ht="34.5" hidden="false" customHeight="true" outlineLevel="0" collapsed="false">
      <c r="A56" s="8" t="n">
        <v>46</v>
      </c>
      <c r="B56" s="8" t="s">
        <v>7</v>
      </c>
      <c r="C56" s="8" t="s">
        <v>416</v>
      </c>
      <c r="D56" s="8" t="n">
        <v>2019</v>
      </c>
      <c r="E56" s="8" t="s">
        <v>417</v>
      </c>
      <c r="F56" s="8" t="s">
        <v>151</v>
      </c>
      <c r="G56" s="8" t="s">
        <v>152</v>
      </c>
      <c r="H56" s="8" t="s">
        <v>145</v>
      </c>
      <c r="I56" s="8" t="s">
        <v>146</v>
      </c>
      <c r="J56" s="8" t="s">
        <v>418</v>
      </c>
      <c r="K56" s="8"/>
      <c r="L56" s="8" t="s">
        <v>419</v>
      </c>
    </row>
    <row r="57" customFormat="false" ht="34.5" hidden="false" customHeight="true" outlineLevel="0" collapsed="false">
      <c r="A57" s="8" t="n">
        <v>47</v>
      </c>
      <c r="B57" s="8" t="s">
        <v>7</v>
      </c>
      <c r="C57" s="8" t="s">
        <v>420</v>
      </c>
      <c r="D57" s="8" t="n">
        <v>2021</v>
      </c>
      <c r="E57" s="8" t="s">
        <v>421</v>
      </c>
      <c r="F57" s="8" t="s">
        <v>143</v>
      </c>
      <c r="G57" s="8" t="s">
        <v>422</v>
      </c>
      <c r="H57" s="8" t="s">
        <v>423</v>
      </c>
      <c r="I57" s="8" t="s">
        <v>153</v>
      </c>
      <c r="J57" s="8" t="s">
        <v>424</v>
      </c>
      <c r="K57" s="8" t="s">
        <v>114</v>
      </c>
      <c r="L57" s="8" t="s">
        <v>425</v>
      </c>
    </row>
    <row r="58" customFormat="false" ht="34.5" hidden="false" customHeight="true" outlineLevel="0" collapsed="false">
      <c r="A58" s="8" t="n">
        <v>48</v>
      </c>
      <c r="B58" s="8" t="s">
        <v>7</v>
      </c>
      <c r="C58" s="8" t="s">
        <v>426</v>
      </c>
      <c r="D58" s="8" t="n">
        <v>2018</v>
      </c>
      <c r="E58" s="8" t="s">
        <v>427</v>
      </c>
      <c r="F58" s="8" t="s">
        <v>143</v>
      </c>
      <c r="G58" s="8" t="s">
        <v>428</v>
      </c>
      <c r="H58" s="8" t="s">
        <v>145</v>
      </c>
      <c r="I58" s="8" t="s">
        <v>153</v>
      </c>
      <c r="J58" s="8" t="s">
        <v>429</v>
      </c>
      <c r="K58" s="8" t="s">
        <v>114</v>
      </c>
      <c r="L58" s="8" t="s">
        <v>430</v>
      </c>
    </row>
    <row r="59" customFormat="false" ht="34.5" hidden="false" customHeight="true" outlineLevel="0" collapsed="false">
      <c r="A59" s="8" t="n">
        <v>49</v>
      </c>
      <c r="B59" s="8" t="s">
        <v>7</v>
      </c>
      <c r="C59" s="8" t="s">
        <v>431</v>
      </c>
      <c r="D59" s="8" t="n">
        <v>2023</v>
      </c>
      <c r="E59" s="8" t="s">
        <v>432</v>
      </c>
      <c r="F59" s="8" t="s">
        <v>143</v>
      </c>
      <c r="G59" s="8" t="s">
        <v>433</v>
      </c>
      <c r="H59" s="8" t="s">
        <v>145</v>
      </c>
      <c r="I59" s="8" t="s">
        <v>153</v>
      </c>
      <c r="J59" s="8" t="s">
        <v>434</v>
      </c>
      <c r="K59" s="8" t="s">
        <v>114</v>
      </c>
      <c r="L59" s="8" t="s">
        <v>435</v>
      </c>
    </row>
    <row r="60" customFormat="false" ht="34.5" hidden="false" customHeight="true" outlineLevel="0" collapsed="false">
      <c r="A60" s="8" t="n">
        <v>50</v>
      </c>
      <c r="B60" s="8" t="s">
        <v>7</v>
      </c>
      <c r="C60" s="8" t="s">
        <v>436</v>
      </c>
      <c r="D60" s="8" t="n">
        <v>2024</v>
      </c>
      <c r="E60" s="8" t="s">
        <v>437</v>
      </c>
      <c r="F60" s="8" t="s">
        <v>143</v>
      </c>
      <c r="G60" s="8" t="s">
        <v>438</v>
      </c>
      <c r="H60" s="8" t="s">
        <v>439</v>
      </c>
      <c r="I60" s="8" t="s">
        <v>146</v>
      </c>
      <c r="J60" s="8" t="s">
        <v>440</v>
      </c>
      <c r="K60" s="8"/>
      <c r="L60" s="8" t="s">
        <v>441</v>
      </c>
    </row>
    <row r="61" customFormat="false" ht="34.5" hidden="false" customHeight="true" outlineLevel="0" collapsed="false">
      <c r="A61" s="8" t="n">
        <v>51</v>
      </c>
      <c r="B61" s="8" t="s">
        <v>7</v>
      </c>
      <c r="C61" s="8" t="s">
        <v>442</v>
      </c>
      <c r="D61" s="8" t="n">
        <v>2020</v>
      </c>
      <c r="E61" s="8" t="s">
        <v>443</v>
      </c>
      <c r="F61" s="8" t="s">
        <v>143</v>
      </c>
      <c r="G61" s="8" t="s">
        <v>444</v>
      </c>
      <c r="H61" s="8" t="s">
        <v>145</v>
      </c>
      <c r="I61" s="8" t="s">
        <v>153</v>
      </c>
      <c r="J61" s="8" t="s">
        <v>445</v>
      </c>
      <c r="K61" s="8" t="s">
        <v>114</v>
      </c>
      <c r="L61" s="8" t="s">
        <v>446</v>
      </c>
    </row>
    <row r="62" customFormat="false" ht="34.5" hidden="false" customHeight="true" outlineLevel="0" collapsed="false">
      <c r="A62" s="8" t="n">
        <v>52</v>
      </c>
      <c r="B62" s="8" t="s">
        <v>7</v>
      </c>
      <c r="C62" s="8" t="s">
        <v>447</v>
      </c>
      <c r="D62" s="8" t="n">
        <v>2020</v>
      </c>
      <c r="E62" s="8" t="s">
        <v>448</v>
      </c>
      <c r="F62" s="8" t="s">
        <v>143</v>
      </c>
      <c r="G62" s="8" t="s">
        <v>449</v>
      </c>
      <c r="H62" s="8" t="s">
        <v>145</v>
      </c>
      <c r="I62" s="8" t="s">
        <v>153</v>
      </c>
      <c r="J62" s="8" t="s">
        <v>450</v>
      </c>
      <c r="K62" s="8" t="s">
        <v>114</v>
      </c>
      <c r="L62" s="8" t="s">
        <v>451</v>
      </c>
    </row>
    <row r="63" customFormat="false" ht="23.25" hidden="false" customHeight="true" outlineLevel="0" collapsed="false">
      <c r="A63" s="8" t="n">
        <v>53</v>
      </c>
      <c r="B63" s="8" t="s">
        <v>7</v>
      </c>
      <c r="C63" s="8" t="s">
        <v>452</v>
      </c>
      <c r="D63" s="8" t="n">
        <v>1995</v>
      </c>
      <c r="E63" s="8" t="s">
        <v>453</v>
      </c>
      <c r="F63" s="8" t="s">
        <v>143</v>
      </c>
      <c r="G63" s="8" t="s">
        <v>348</v>
      </c>
      <c r="H63" s="8" t="s">
        <v>145</v>
      </c>
      <c r="I63" s="8" t="s">
        <v>153</v>
      </c>
      <c r="J63" s="8" t="s">
        <v>454</v>
      </c>
      <c r="K63" s="8"/>
      <c r="L63" s="8" t="s">
        <v>455</v>
      </c>
    </row>
    <row r="64" customFormat="false" ht="34.5" hidden="false" customHeight="true" outlineLevel="0" collapsed="false">
      <c r="A64" s="13" t="n">
        <v>54</v>
      </c>
      <c r="B64" s="14" t="s">
        <v>7</v>
      </c>
      <c r="C64" s="14" t="s">
        <v>456</v>
      </c>
      <c r="D64" s="14" t="n">
        <v>2023</v>
      </c>
      <c r="E64" s="14" t="s">
        <v>457</v>
      </c>
      <c r="F64" s="14" t="s">
        <v>143</v>
      </c>
      <c r="G64" s="14" t="s">
        <v>458</v>
      </c>
      <c r="H64" s="14" t="s">
        <v>459</v>
      </c>
      <c r="I64" s="14" t="s">
        <v>146</v>
      </c>
      <c r="J64" s="14" t="s">
        <v>460</v>
      </c>
      <c r="K64" s="14" t="s">
        <v>110</v>
      </c>
      <c r="L64" s="14" t="s">
        <v>461</v>
      </c>
    </row>
    <row r="65" customFormat="false" ht="34.5" hidden="false" customHeight="true" outlineLevel="0" collapsed="false">
      <c r="A65" s="15" t="n">
        <v>54</v>
      </c>
      <c r="B65" s="16" t="s">
        <v>27</v>
      </c>
      <c r="C65" s="16" t="s">
        <v>456</v>
      </c>
      <c r="D65" s="16" t="n">
        <v>2023</v>
      </c>
      <c r="E65" s="16" t="s">
        <v>462</v>
      </c>
      <c r="F65" s="16" t="s">
        <v>201</v>
      </c>
      <c r="G65" s="16" t="s">
        <v>463</v>
      </c>
      <c r="H65" s="16" t="s">
        <v>464</v>
      </c>
      <c r="I65" s="16" t="s">
        <v>387</v>
      </c>
      <c r="J65" s="16" t="s">
        <v>465</v>
      </c>
      <c r="K65" s="16" t="s">
        <v>110</v>
      </c>
      <c r="L65" s="16" t="s">
        <v>466</v>
      </c>
    </row>
    <row r="66" customFormat="false" ht="34.5" hidden="false" customHeight="true" outlineLevel="0" collapsed="false">
      <c r="A66" s="8" t="n">
        <v>55</v>
      </c>
      <c r="B66" s="8" t="s">
        <v>7</v>
      </c>
      <c r="C66" s="8" t="s">
        <v>467</v>
      </c>
      <c r="D66" s="8" t="n">
        <v>2022</v>
      </c>
      <c r="E66" s="8" t="s">
        <v>468</v>
      </c>
      <c r="F66" s="8" t="s">
        <v>143</v>
      </c>
      <c r="G66" s="8" t="s">
        <v>469</v>
      </c>
      <c r="H66" s="8" t="s">
        <v>145</v>
      </c>
      <c r="I66" s="8" t="s">
        <v>146</v>
      </c>
      <c r="J66" s="8" t="s">
        <v>470</v>
      </c>
      <c r="K66" s="8"/>
      <c r="L66" s="8" t="s">
        <v>471</v>
      </c>
    </row>
    <row r="67" customFormat="false" ht="34.5" hidden="false" customHeight="true" outlineLevel="0" collapsed="false">
      <c r="A67" s="8" t="n">
        <v>56</v>
      </c>
      <c r="B67" s="8" t="s">
        <v>7</v>
      </c>
      <c r="C67" s="8" t="s">
        <v>472</v>
      </c>
      <c r="D67" s="8" t="n">
        <v>2016</v>
      </c>
      <c r="E67" s="8" t="s">
        <v>473</v>
      </c>
      <c r="F67" s="8" t="s">
        <v>151</v>
      </c>
      <c r="G67" s="8" t="s">
        <v>152</v>
      </c>
      <c r="H67" s="8" t="s">
        <v>145</v>
      </c>
      <c r="I67" s="8" t="s">
        <v>146</v>
      </c>
      <c r="J67" s="8" t="s">
        <v>474</v>
      </c>
      <c r="K67" s="8"/>
      <c r="L67" s="8" t="s">
        <v>475</v>
      </c>
    </row>
    <row r="68" customFormat="false" ht="23.25" hidden="false" customHeight="true" outlineLevel="0" collapsed="false">
      <c r="A68" s="8" t="n">
        <v>57</v>
      </c>
      <c r="B68" s="8" t="s">
        <v>7</v>
      </c>
      <c r="C68" s="8" t="s">
        <v>476</v>
      </c>
      <c r="D68" s="8" t="n">
        <v>2013</v>
      </c>
      <c r="E68" s="8" t="s">
        <v>477</v>
      </c>
      <c r="F68" s="8" t="s">
        <v>151</v>
      </c>
      <c r="G68" s="8" t="s">
        <v>478</v>
      </c>
      <c r="H68" s="8" t="s">
        <v>479</v>
      </c>
      <c r="I68" s="8" t="s">
        <v>146</v>
      </c>
      <c r="J68" s="8" t="s">
        <v>480</v>
      </c>
      <c r="K68" s="8"/>
      <c r="L68" s="8" t="s">
        <v>481</v>
      </c>
    </row>
    <row r="69" customFormat="false" ht="34.5" hidden="false" customHeight="true" outlineLevel="0" collapsed="false">
      <c r="A69" s="8" t="n">
        <v>58</v>
      </c>
      <c r="B69" s="8" t="s">
        <v>7</v>
      </c>
      <c r="C69" s="8" t="s">
        <v>482</v>
      </c>
      <c r="D69" s="8" t="n">
        <v>2000</v>
      </c>
      <c r="E69" s="8" t="s">
        <v>483</v>
      </c>
      <c r="F69" s="8" t="s">
        <v>143</v>
      </c>
      <c r="G69" s="8" t="s">
        <v>484</v>
      </c>
      <c r="H69" s="8" t="s">
        <v>145</v>
      </c>
      <c r="I69" s="8" t="s">
        <v>153</v>
      </c>
      <c r="J69" s="8" t="s">
        <v>485</v>
      </c>
      <c r="K69" s="8" t="s">
        <v>114</v>
      </c>
      <c r="L69" s="8" t="s">
        <v>486</v>
      </c>
    </row>
    <row r="70" customFormat="false" ht="34.5" hidden="false" customHeight="true" outlineLevel="0" collapsed="false">
      <c r="A70" s="8" t="n">
        <v>59</v>
      </c>
      <c r="B70" s="8" t="s">
        <v>9</v>
      </c>
      <c r="C70" s="8" t="s">
        <v>487</v>
      </c>
      <c r="D70" s="8" t="n">
        <v>2015</v>
      </c>
      <c r="E70" s="8" t="s">
        <v>488</v>
      </c>
      <c r="F70" s="8" t="s">
        <v>151</v>
      </c>
      <c r="G70" s="8" t="s">
        <v>489</v>
      </c>
      <c r="H70" s="8" t="s">
        <v>490</v>
      </c>
      <c r="I70" s="8" t="s">
        <v>146</v>
      </c>
      <c r="J70" s="8" t="s">
        <v>491</v>
      </c>
      <c r="K70" s="8" t="s">
        <v>116</v>
      </c>
      <c r="L70" s="8" t="s">
        <v>492</v>
      </c>
    </row>
    <row r="71" customFormat="false" ht="23.25" hidden="false" customHeight="true" outlineLevel="0" collapsed="false">
      <c r="A71" s="8" t="n">
        <v>60</v>
      </c>
      <c r="B71" s="8" t="s">
        <v>9</v>
      </c>
      <c r="C71" s="8" t="s">
        <v>493</v>
      </c>
      <c r="D71" s="8" t="n">
        <v>2019</v>
      </c>
      <c r="E71" s="8" t="s">
        <v>494</v>
      </c>
      <c r="F71" s="8" t="s">
        <v>143</v>
      </c>
      <c r="G71" s="8" t="s">
        <v>495</v>
      </c>
      <c r="H71" s="8" t="s">
        <v>327</v>
      </c>
      <c r="I71" s="8" t="s">
        <v>146</v>
      </c>
      <c r="J71" s="8" t="s">
        <v>496</v>
      </c>
      <c r="K71" s="8" t="s">
        <v>116</v>
      </c>
      <c r="L71" s="8" t="s">
        <v>497</v>
      </c>
    </row>
    <row r="72" customFormat="false" ht="34.5" hidden="false" customHeight="true" outlineLevel="0" collapsed="false">
      <c r="A72" s="8" t="n">
        <v>61</v>
      </c>
      <c r="B72" s="8" t="s">
        <v>9</v>
      </c>
      <c r="C72" s="8" t="s">
        <v>498</v>
      </c>
      <c r="D72" s="8" t="n">
        <v>2012</v>
      </c>
      <c r="E72" s="8" t="s">
        <v>499</v>
      </c>
      <c r="F72" s="8" t="s">
        <v>151</v>
      </c>
      <c r="G72" s="8" t="s">
        <v>500</v>
      </c>
      <c r="H72" s="8" t="s">
        <v>501</v>
      </c>
      <c r="I72" s="8" t="s">
        <v>146</v>
      </c>
      <c r="J72" s="8" t="s">
        <v>502</v>
      </c>
      <c r="K72" s="8" t="s">
        <v>116</v>
      </c>
      <c r="L72" s="8" t="s">
        <v>503</v>
      </c>
    </row>
    <row r="73" customFormat="false" ht="23.25" hidden="false" customHeight="true" outlineLevel="0" collapsed="false">
      <c r="A73" s="8" t="n">
        <v>62</v>
      </c>
      <c r="B73" s="8" t="s">
        <v>9</v>
      </c>
      <c r="C73" s="8" t="s">
        <v>504</v>
      </c>
      <c r="D73" s="8" t="n">
        <v>2025</v>
      </c>
      <c r="E73" s="8" t="s">
        <v>505</v>
      </c>
      <c r="F73" s="8" t="s">
        <v>143</v>
      </c>
      <c r="G73" s="8" t="s">
        <v>506</v>
      </c>
      <c r="H73" s="8" t="s">
        <v>145</v>
      </c>
      <c r="I73" s="8" t="s">
        <v>387</v>
      </c>
      <c r="J73" s="8" t="s">
        <v>507</v>
      </c>
      <c r="K73" s="8"/>
      <c r="L73" s="8" t="s">
        <v>508</v>
      </c>
    </row>
    <row r="74" customFormat="false" ht="34.5" hidden="false" customHeight="true" outlineLevel="0" collapsed="false">
      <c r="A74" s="9" t="n">
        <v>63</v>
      </c>
      <c r="B74" s="10" t="s">
        <v>9</v>
      </c>
      <c r="C74" s="10" t="s">
        <v>509</v>
      </c>
      <c r="D74" s="10" t="n">
        <v>2015</v>
      </c>
      <c r="E74" s="10" t="s">
        <v>510</v>
      </c>
      <c r="F74" s="10" t="s">
        <v>143</v>
      </c>
      <c r="G74" s="10" t="s">
        <v>511</v>
      </c>
      <c r="H74" s="10" t="s">
        <v>512</v>
      </c>
      <c r="I74" s="10" t="s">
        <v>146</v>
      </c>
      <c r="J74" s="10" t="s">
        <v>513</v>
      </c>
      <c r="K74" s="10" t="s">
        <v>116</v>
      </c>
      <c r="L74" s="10" t="s">
        <v>514</v>
      </c>
    </row>
    <row r="75" customFormat="false" ht="34.5" hidden="false" customHeight="true" outlineLevel="0" collapsed="false">
      <c r="A75" s="11" t="n">
        <v>63</v>
      </c>
      <c r="B75" s="12" t="s">
        <v>33</v>
      </c>
      <c r="C75" s="12" t="s">
        <v>509</v>
      </c>
      <c r="D75" s="12" t="n">
        <v>2015</v>
      </c>
      <c r="E75" s="12" t="s">
        <v>510</v>
      </c>
      <c r="F75" s="12" t="s">
        <v>151</v>
      </c>
      <c r="G75" s="12" t="s">
        <v>515</v>
      </c>
      <c r="H75" s="12" t="s">
        <v>512</v>
      </c>
      <c r="I75" s="12" t="s">
        <v>146</v>
      </c>
      <c r="J75" s="12" t="s">
        <v>516</v>
      </c>
      <c r="K75" s="12" t="s">
        <v>116</v>
      </c>
      <c r="L75" s="12" t="s">
        <v>517</v>
      </c>
    </row>
    <row r="76" customFormat="false" ht="23.25" hidden="false" customHeight="true" outlineLevel="0" collapsed="false">
      <c r="A76" s="8" t="n">
        <v>64</v>
      </c>
      <c r="B76" s="8" t="s">
        <v>9</v>
      </c>
      <c r="C76" s="8" t="s">
        <v>518</v>
      </c>
      <c r="D76" s="8" t="n">
        <v>2024</v>
      </c>
      <c r="E76" s="8" t="s">
        <v>519</v>
      </c>
      <c r="F76" s="8" t="s">
        <v>143</v>
      </c>
      <c r="G76" s="8" t="s">
        <v>520</v>
      </c>
      <c r="H76" s="8" t="s">
        <v>521</v>
      </c>
      <c r="I76" s="8" t="s">
        <v>522</v>
      </c>
      <c r="J76" s="8" t="s">
        <v>523</v>
      </c>
      <c r="K76" s="8" t="s">
        <v>116</v>
      </c>
      <c r="L76" s="8" t="s">
        <v>524</v>
      </c>
    </row>
    <row r="77" customFormat="false" ht="23.25" hidden="false" customHeight="true" outlineLevel="0" collapsed="false">
      <c r="A77" s="8" t="n">
        <v>65</v>
      </c>
      <c r="B77" s="8" t="s">
        <v>9</v>
      </c>
      <c r="C77" s="8" t="s">
        <v>525</v>
      </c>
      <c r="D77" s="8" t="n">
        <v>2018</v>
      </c>
      <c r="E77" s="8" t="s">
        <v>526</v>
      </c>
      <c r="F77" s="8" t="s">
        <v>151</v>
      </c>
      <c r="G77" s="8" t="s">
        <v>495</v>
      </c>
      <c r="H77" s="8" t="s">
        <v>527</v>
      </c>
      <c r="I77" s="8" t="s">
        <v>146</v>
      </c>
      <c r="J77" s="8" t="s">
        <v>528</v>
      </c>
      <c r="K77" s="8" t="s">
        <v>116</v>
      </c>
      <c r="L77" s="8" t="s">
        <v>529</v>
      </c>
    </row>
    <row r="78" customFormat="false" ht="34.5" hidden="false" customHeight="true" outlineLevel="0" collapsed="false">
      <c r="A78" s="13" t="n">
        <v>66</v>
      </c>
      <c r="B78" s="14" t="s">
        <v>9</v>
      </c>
      <c r="C78" s="14" t="s">
        <v>530</v>
      </c>
      <c r="D78" s="14" t="n">
        <v>2021</v>
      </c>
      <c r="E78" s="14" t="s">
        <v>531</v>
      </c>
      <c r="F78" s="14" t="s">
        <v>143</v>
      </c>
      <c r="G78" s="14" t="s">
        <v>532</v>
      </c>
      <c r="H78" s="14" t="s">
        <v>145</v>
      </c>
      <c r="I78" s="14" t="s">
        <v>533</v>
      </c>
      <c r="J78" s="14" t="s">
        <v>507</v>
      </c>
      <c r="K78" s="14" t="s">
        <v>114</v>
      </c>
      <c r="L78" s="14" t="s">
        <v>534</v>
      </c>
    </row>
    <row r="79" customFormat="false" ht="34.5" hidden="false" customHeight="true" outlineLevel="0" collapsed="false">
      <c r="A79" s="15" t="n">
        <v>66</v>
      </c>
      <c r="B79" s="16" t="s">
        <v>15</v>
      </c>
      <c r="C79" s="16" t="s">
        <v>530</v>
      </c>
      <c r="D79" s="16" t="n">
        <v>2021</v>
      </c>
      <c r="E79" s="16" t="s">
        <v>531</v>
      </c>
      <c r="F79" s="16" t="s">
        <v>143</v>
      </c>
      <c r="G79" s="16" t="s">
        <v>535</v>
      </c>
      <c r="H79" s="16" t="s">
        <v>145</v>
      </c>
      <c r="I79" s="16" t="s">
        <v>533</v>
      </c>
      <c r="J79" s="16" t="s">
        <v>536</v>
      </c>
      <c r="K79" s="16" t="s">
        <v>114</v>
      </c>
      <c r="L79" s="16" t="s">
        <v>537</v>
      </c>
    </row>
    <row r="80" customFormat="false" ht="23.25" hidden="false" customHeight="true" outlineLevel="0" collapsed="false">
      <c r="A80" s="15" t="n">
        <v>66</v>
      </c>
      <c r="B80" s="16" t="s">
        <v>29</v>
      </c>
      <c r="C80" s="16" t="s">
        <v>530</v>
      </c>
      <c r="D80" s="16" t="n">
        <v>2021</v>
      </c>
      <c r="E80" s="16" t="s">
        <v>531</v>
      </c>
      <c r="F80" s="16" t="s">
        <v>143</v>
      </c>
      <c r="G80" s="16" t="s">
        <v>538</v>
      </c>
      <c r="H80" s="16" t="s">
        <v>145</v>
      </c>
      <c r="I80" s="16" t="s">
        <v>153</v>
      </c>
      <c r="J80" s="16" t="s">
        <v>539</v>
      </c>
      <c r="K80" s="16" t="s">
        <v>114</v>
      </c>
      <c r="L80" s="16" t="s">
        <v>540</v>
      </c>
    </row>
    <row r="81" customFormat="false" ht="34.5" hidden="false" customHeight="true" outlineLevel="0" collapsed="false">
      <c r="A81" s="15" t="n">
        <v>66</v>
      </c>
      <c r="B81" s="16" t="s">
        <v>85</v>
      </c>
      <c r="C81" s="16" t="s">
        <v>541</v>
      </c>
      <c r="D81" s="16" t="n">
        <v>2021</v>
      </c>
      <c r="E81" s="16" t="s">
        <v>531</v>
      </c>
      <c r="F81" s="16" t="s">
        <v>542</v>
      </c>
      <c r="G81" s="16" t="s">
        <v>543</v>
      </c>
      <c r="H81" s="16" t="s">
        <v>145</v>
      </c>
      <c r="I81" s="16" t="s">
        <v>153</v>
      </c>
      <c r="J81" s="16" t="s">
        <v>544</v>
      </c>
      <c r="K81" s="16" t="s">
        <v>114</v>
      </c>
      <c r="L81" s="16" t="s">
        <v>545</v>
      </c>
    </row>
    <row r="82" customFormat="false" ht="34.5" hidden="false" customHeight="true" outlineLevel="0" collapsed="false">
      <c r="A82" s="9" t="n">
        <v>67</v>
      </c>
      <c r="B82" s="10" t="s">
        <v>9</v>
      </c>
      <c r="C82" s="10" t="s">
        <v>546</v>
      </c>
      <c r="D82" s="10" t="n">
        <v>2020</v>
      </c>
      <c r="E82" s="10" t="s">
        <v>547</v>
      </c>
      <c r="F82" s="10" t="s">
        <v>151</v>
      </c>
      <c r="G82" s="10" t="s">
        <v>548</v>
      </c>
      <c r="H82" s="10" t="s">
        <v>145</v>
      </c>
      <c r="I82" s="10" t="s">
        <v>387</v>
      </c>
      <c r="J82" s="10" t="s">
        <v>507</v>
      </c>
      <c r="K82" s="10" t="s">
        <v>114</v>
      </c>
      <c r="L82" s="10" t="s">
        <v>549</v>
      </c>
    </row>
    <row r="83" customFormat="false" ht="45.75" hidden="false" customHeight="true" outlineLevel="0" collapsed="false">
      <c r="A83" s="11" t="n">
        <v>67</v>
      </c>
      <c r="B83" s="12" t="s">
        <v>23</v>
      </c>
      <c r="C83" s="12" t="s">
        <v>550</v>
      </c>
      <c r="D83" s="12" t="n">
        <v>2020</v>
      </c>
      <c r="E83" s="12" t="s">
        <v>547</v>
      </c>
      <c r="F83" s="12" t="s">
        <v>151</v>
      </c>
      <c r="G83" s="12" t="s">
        <v>551</v>
      </c>
      <c r="H83" s="12" t="s">
        <v>145</v>
      </c>
      <c r="I83" s="12" t="s">
        <v>153</v>
      </c>
      <c r="J83" s="12" t="s">
        <v>552</v>
      </c>
      <c r="K83" s="12" t="s">
        <v>114</v>
      </c>
      <c r="L83" s="12" t="s">
        <v>553</v>
      </c>
    </row>
    <row r="84" customFormat="false" ht="45.75" hidden="false" customHeight="true" outlineLevel="0" collapsed="false">
      <c r="A84" s="11" t="n">
        <v>67</v>
      </c>
      <c r="B84" s="12" t="s">
        <v>25</v>
      </c>
      <c r="C84" s="12" t="s">
        <v>554</v>
      </c>
      <c r="D84" s="12" t="n">
        <v>2020</v>
      </c>
      <c r="E84" s="12" t="s">
        <v>547</v>
      </c>
      <c r="F84" s="12" t="s">
        <v>151</v>
      </c>
      <c r="G84" s="12" t="s">
        <v>555</v>
      </c>
      <c r="H84" s="12" t="s">
        <v>145</v>
      </c>
      <c r="I84" s="12" t="s">
        <v>153</v>
      </c>
      <c r="J84" s="12" t="s">
        <v>552</v>
      </c>
      <c r="K84" s="12" t="s">
        <v>114</v>
      </c>
      <c r="L84" s="12" t="s">
        <v>556</v>
      </c>
    </row>
    <row r="85" customFormat="false" ht="34.5" hidden="false" customHeight="true" outlineLevel="0" collapsed="false">
      <c r="A85" s="11" t="n">
        <v>67</v>
      </c>
      <c r="B85" s="12" t="s">
        <v>27</v>
      </c>
      <c r="C85" s="12" t="s">
        <v>546</v>
      </c>
      <c r="D85" s="12" t="n">
        <v>2020</v>
      </c>
      <c r="E85" s="12" t="s">
        <v>547</v>
      </c>
      <c r="F85" s="12" t="s">
        <v>151</v>
      </c>
      <c r="G85" s="12" t="s">
        <v>557</v>
      </c>
      <c r="H85" s="12" t="s">
        <v>145</v>
      </c>
      <c r="I85" s="12" t="s">
        <v>153</v>
      </c>
      <c r="J85" s="12" t="s">
        <v>558</v>
      </c>
      <c r="K85" s="12" t="s">
        <v>114</v>
      </c>
      <c r="L85" s="12" t="s">
        <v>559</v>
      </c>
    </row>
    <row r="86" customFormat="false" ht="34.5" hidden="false" customHeight="true" outlineLevel="0" collapsed="false">
      <c r="A86" s="11" t="n">
        <v>67</v>
      </c>
      <c r="B86" s="12" t="s">
        <v>29</v>
      </c>
      <c r="C86" s="12" t="s">
        <v>546</v>
      </c>
      <c r="D86" s="12" t="n">
        <v>2020</v>
      </c>
      <c r="E86" s="12" t="s">
        <v>547</v>
      </c>
      <c r="F86" s="12" t="s">
        <v>151</v>
      </c>
      <c r="G86" s="12" t="s">
        <v>560</v>
      </c>
      <c r="H86" s="12" t="s">
        <v>145</v>
      </c>
      <c r="I86" s="12" t="s">
        <v>153</v>
      </c>
      <c r="J86" s="12" t="s">
        <v>561</v>
      </c>
      <c r="K86" s="12" t="s">
        <v>114</v>
      </c>
      <c r="L86" s="12" t="s">
        <v>562</v>
      </c>
    </row>
    <row r="87" customFormat="false" ht="45.75" hidden="false" customHeight="true" outlineLevel="0" collapsed="false">
      <c r="A87" s="11" t="n">
        <v>67</v>
      </c>
      <c r="B87" s="12" t="s">
        <v>41</v>
      </c>
      <c r="C87" s="12" t="s">
        <v>563</v>
      </c>
      <c r="D87" s="12" t="n">
        <v>2020</v>
      </c>
      <c r="E87" s="12" t="s">
        <v>547</v>
      </c>
      <c r="F87" s="12" t="s">
        <v>151</v>
      </c>
      <c r="G87" s="12" t="s">
        <v>564</v>
      </c>
      <c r="H87" s="12" t="s">
        <v>145</v>
      </c>
      <c r="I87" s="12" t="s">
        <v>153</v>
      </c>
      <c r="J87" s="12" t="s">
        <v>565</v>
      </c>
      <c r="K87" s="12" t="s">
        <v>114</v>
      </c>
      <c r="L87" s="12" t="s">
        <v>566</v>
      </c>
    </row>
    <row r="88" customFormat="false" ht="34.5" hidden="false" customHeight="true" outlineLevel="0" collapsed="false">
      <c r="A88" s="11" t="n">
        <v>67</v>
      </c>
      <c r="B88" s="12" t="s">
        <v>43</v>
      </c>
      <c r="C88" s="12" t="s">
        <v>567</v>
      </c>
      <c r="D88" s="12" t="n">
        <v>2020</v>
      </c>
      <c r="E88" s="12" t="s">
        <v>568</v>
      </c>
      <c r="F88" s="12" t="s">
        <v>151</v>
      </c>
      <c r="G88" s="12" t="s">
        <v>557</v>
      </c>
      <c r="H88" s="12" t="s">
        <v>145</v>
      </c>
      <c r="I88" s="12" t="s">
        <v>153</v>
      </c>
      <c r="J88" s="12" t="s">
        <v>569</v>
      </c>
      <c r="K88" s="12" t="s">
        <v>114</v>
      </c>
      <c r="L88" s="12" t="s">
        <v>570</v>
      </c>
    </row>
    <row r="89" customFormat="false" ht="34.5" hidden="false" customHeight="true" outlineLevel="0" collapsed="false">
      <c r="A89" s="11" t="n">
        <v>67</v>
      </c>
      <c r="B89" s="12" t="s">
        <v>47</v>
      </c>
      <c r="C89" s="12" t="s">
        <v>571</v>
      </c>
      <c r="D89" s="12" t="n">
        <v>2020</v>
      </c>
      <c r="E89" s="12" t="s">
        <v>568</v>
      </c>
      <c r="F89" s="12" t="s">
        <v>151</v>
      </c>
      <c r="G89" s="12" t="s">
        <v>572</v>
      </c>
      <c r="H89" s="12" t="s">
        <v>145</v>
      </c>
      <c r="I89" s="12" t="s">
        <v>153</v>
      </c>
      <c r="J89" s="12" t="s">
        <v>544</v>
      </c>
      <c r="K89" s="12" t="s">
        <v>114</v>
      </c>
      <c r="L89" s="12" t="s">
        <v>573</v>
      </c>
    </row>
    <row r="90" customFormat="false" ht="34.5" hidden="false" customHeight="true" outlineLevel="0" collapsed="false">
      <c r="A90" s="11" t="n">
        <v>67</v>
      </c>
      <c r="B90" s="12" t="s">
        <v>49</v>
      </c>
      <c r="C90" s="12" t="s">
        <v>546</v>
      </c>
      <c r="D90" s="12" t="n">
        <v>2020</v>
      </c>
      <c r="E90" s="12" t="s">
        <v>568</v>
      </c>
      <c r="F90" s="12" t="s">
        <v>151</v>
      </c>
      <c r="G90" s="12" t="s">
        <v>574</v>
      </c>
      <c r="H90" s="12" t="s">
        <v>145</v>
      </c>
      <c r="I90" s="12" t="s">
        <v>153</v>
      </c>
      <c r="J90" s="12" t="s">
        <v>575</v>
      </c>
      <c r="K90" s="12" t="s">
        <v>114</v>
      </c>
      <c r="L90" s="12" t="s">
        <v>576</v>
      </c>
    </row>
    <row r="91" customFormat="false" ht="45.75" hidden="false" customHeight="true" outlineLevel="0" collapsed="false">
      <c r="A91" s="11" t="n">
        <v>67</v>
      </c>
      <c r="B91" s="12" t="s">
        <v>55</v>
      </c>
      <c r="C91" s="12" t="s">
        <v>577</v>
      </c>
      <c r="D91" s="12" t="n">
        <v>2020</v>
      </c>
      <c r="E91" s="12" t="s">
        <v>578</v>
      </c>
      <c r="F91" s="12" t="s">
        <v>579</v>
      </c>
      <c r="G91" s="12" t="s">
        <v>555</v>
      </c>
      <c r="H91" s="12" t="s">
        <v>145</v>
      </c>
      <c r="I91" s="12" t="s">
        <v>153</v>
      </c>
      <c r="J91" s="12" t="s">
        <v>544</v>
      </c>
      <c r="K91" s="12" t="s">
        <v>114</v>
      </c>
      <c r="L91" s="12" t="s">
        <v>580</v>
      </c>
    </row>
    <row r="92" customFormat="false" ht="57" hidden="false" customHeight="true" outlineLevel="0" collapsed="false">
      <c r="A92" s="11" t="n">
        <v>67</v>
      </c>
      <c r="B92" s="12" t="s">
        <v>83</v>
      </c>
      <c r="C92" s="12" t="s">
        <v>581</v>
      </c>
      <c r="D92" s="12" t="n">
        <v>2020</v>
      </c>
      <c r="E92" s="12" t="s">
        <v>582</v>
      </c>
      <c r="F92" s="12" t="s">
        <v>579</v>
      </c>
      <c r="G92" s="12" t="s">
        <v>583</v>
      </c>
      <c r="H92" s="12" t="s">
        <v>145</v>
      </c>
      <c r="I92" s="12" t="s">
        <v>153</v>
      </c>
      <c r="J92" s="12" t="s">
        <v>584</v>
      </c>
      <c r="K92" s="12" t="s">
        <v>114</v>
      </c>
      <c r="L92" s="12" t="s">
        <v>585</v>
      </c>
    </row>
    <row r="93" customFormat="false" ht="34.5" hidden="false" customHeight="true" outlineLevel="0" collapsed="false">
      <c r="A93" s="11" t="n">
        <v>67</v>
      </c>
      <c r="B93" s="12" t="s">
        <v>87</v>
      </c>
      <c r="C93" s="12" t="s">
        <v>586</v>
      </c>
      <c r="D93" s="12" t="n">
        <v>2020</v>
      </c>
      <c r="E93" s="12" t="s">
        <v>547</v>
      </c>
      <c r="F93" s="12" t="s">
        <v>587</v>
      </c>
      <c r="G93" s="12" t="s">
        <v>588</v>
      </c>
      <c r="H93" s="12" t="s">
        <v>145</v>
      </c>
      <c r="I93" s="12" t="s">
        <v>153</v>
      </c>
      <c r="J93" s="12" t="s">
        <v>589</v>
      </c>
      <c r="K93" s="12" t="s">
        <v>114</v>
      </c>
      <c r="L93" s="12" t="s">
        <v>590</v>
      </c>
    </row>
    <row r="94" customFormat="false" ht="23.25" hidden="false" customHeight="true" outlineLevel="0" collapsed="false">
      <c r="A94" s="13" t="n">
        <v>68</v>
      </c>
      <c r="B94" s="14" t="s">
        <v>9</v>
      </c>
      <c r="C94" s="14" t="s">
        <v>591</v>
      </c>
      <c r="D94" s="14" t="n">
        <v>2019</v>
      </c>
      <c r="E94" s="14" t="s">
        <v>592</v>
      </c>
      <c r="F94" s="14" t="s">
        <v>143</v>
      </c>
      <c r="G94" s="14" t="s">
        <v>593</v>
      </c>
      <c r="H94" s="14" t="s">
        <v>145</v>
      </c>
      <c r="I94" s="14" t="s">
        <v>533</v>
      </c>
      <c r="J94" s="14" t="s">
        <v>594</v>
      </c>
      <c r="K94" s="14"/>
      <c r="L94" s="14" t="s">
        <v>595</v>
      </c>
    </row>
    <row r="95" customFormat="false" ht="34.5" hidden="false" customHeight="true" outlineLevel="0" collapsed="false">
      <c r="A95" s="15" t="n">
        <v>68</v>
      </c>
      <c r="B95" s="16" t="s">
        <v>87</v>
      </c>
      <c r="C95" s="16" t="s">
        <v>591</v>
      </c>
      <c r="D95" s="16" t="n">
        <v>2019</v>
      </c>
      <c r="E95" s="16" t="s">
        <v>592</v>
      </c>
      <c r="F95" s="16" t="s">
        <v>579</v>
      </c>
      <c r="G95" s="16" t="s">
        <v>197</v>
      </c>
      <c r="H95" s="16" t="s">
        <v>145</v>
      </c>
      <c r="I95" s="16" t="s">
        <v>153</v>
      </c>
      <c r="J95" s="16" t="s">
        <v>596</v>
      </c>
      <c r="K95" s="16" t="s">
        <v>114</v>
      </c>
      <c r="L95" s="16" t="s">
        <v>597</v>
      </c>
    </row>
    <row r="96" customFormat="false" ht="34.5" hidden="false" customHeight="true" outlineLevel="0" collapsed="false">
      <c r="A96" s="15" t="n">
        <v>68</v>
      </c>
      <c r="B96" s="16" t="s">
        <v>89</v>
      </c>
      <c r="C96" s="16" t="s">
        <v>598</v>
      </c>
      <c r="D96" s="16" t="n">
        <v>2019</v>
      </c>
      <c r="E96" s="16" t="s">
        <v>599</v>
      </c>
      <c r="F96" s="16" t="s">
        <v>201</v>
      </c>
      <c r="G96" s="16" t="s">
        <v>600</v>
      </c>
      <c r="H96" s="16" t="s">
        <v>145</v>
      </c>
      <c r="I96" s="16" t="s">
        <v>153</v>
      </c>
      <c r="J96" s="16" t="s">
        <v>601</v>
      </c>
      <c r="K96" s="16" t="s">
        <v>114</v>
      </c>
      <c r="L96" s="16" t="s">
        <v>602</v>
      </c>
    </row>
    <row r="97" customFormat="false" ht="34.5" hidden="false" customHeight="true" outlineLevel="0" collapsed="false">
      <c r="A97" s="9" t="n">
        <v>69</v>
      </c>
      <c r="B97" s="10" t="s">
        <v>9</v>
      </c>
      <c r="C97" s="10" t="s">
        <v>603</v>
      </c>
      <c r="D97" s="10" t="n">
        <v>2022</v>
      </c>
      <c r="E97" s="10" t="s">
        <v>604</v>
      </c>
      <c r="F97" s="10" t="s">
        <v>143</v>
      </c>
      <c r="G97" s="10" t="s">
        <v>605</v>
      </c>
      <c r="H97" s="10" t="s">
        <v>606</v>
      </c>
      <c r="I97" s="10" t="s">
        <v>387</v>
      </c>
      <c r="J97" s="10" t="s">
        <v>607</v>
      </c>
      <c r="K97" s="10" t="s">
        <v>112</v>
      </c>
      <c r="L97" s="10" t="s">
        <v>608</v>
      </c>
    </row>
    <row r="98" customFormat="false" ht="34.5" hidden="false" customHeight="true" outlineLevel="0" collapsed="false">
      <c r="A98" s="11" t="n">
        <v>69</v>
      </c>
      <c r="B98" s="12" t="s">
        <v>73</v>
      </c>
      <c r="C98" s="12" t="s">
        <v>609</v>
      </c>
      <c r="D98" s="12" t="n">
        <v>2022</v>
      </c>
      <c r="E98" s="12" t="s">
        <v>604</v>
      </c>
      <c r="F98" s="12" t="s">
        <v>143</v>
      </c>
      <c r="G98" s="12" t="s">
        <v>610</v>
      </c>
      <c r="H98" s="12" t="s">
        <v>611</v>
      </c>
      <c r="I98" s="12" t="s">
        <v>146</v>
      </c>
      <c r="J98" s="12" t="s">
        <v>612</v>
      </c>
      <c r="K98" s="12" t="s">
        <v>112</v>
      </c>
      <c r="L98" s="12" t="s">
        <v>613</v>
      </c>
    </row>
    <row r="99" customFormat="false" ht="23.25" hidden="false" customHeight="true" outlineLevel="0" collapsed="false">
      <c r="A99" s="8" t="n">
        <v>70</v>
      </c>
      <c r="B99" s="8" t="s">
        <v>9</v>
      </c>
      <c r="C99" s="8" t="s">
        <v>614</v>
      </c>
      <c r="D99" s="8" t="n">
        <v>2016</v>
      </c>
      <c r="E99" s="8" t="s">
        <v>615</v>
      </c>
      <c r="F99" s="8" t="s">
        <v>143</v>
      </c>
      <c r="G99" s="8" t="s">
        <v>495</v>
      </c>
      <c r="H99" s="8" t="s">
        <v>616</v>
      </c>
      <c r="I99" s="8" t="s">
        <v>146</v>
      </c>
      <c r="J99" s="8" t="s">
        <v>617</v>
      </c>
      <c r="K99" s="8" t="s">
        <v>116</v>
      </c>
      <c r="L99" s="8" t="s">
        <v>618</v>
      </c>
    </row>
    <row r="100" customFormat="false" ht="34.5" hidden="false" customHeight="true" outlineLevel="0" collapsed="false">
      <c r="A100" s="9" t="n">
        <v>71</v>
      </c>
      <c r="B100" s="10" t="s">
        <v>9</v>
      </c>
      <c r="C100" s="10" t="s">
        <v>619</v>
      </c>
      <c r="D100" s="10" t="n">
        <v>2023</v>
      </c>
      <c r="E100" s="10" t="s">
        <v>620</v>
      </c>
      <c r="F100" s="10" t="s">
        <v>143</v>
      </c>
      <c r="G100" s="10" t="s">
        <v>621</v>
      </c>
      <c r="H100" s="10" t="s">
        <v>622</v>
      </c>
      <c r="I100" s="10" t="s">
        <v>387</v>
      </c>
      <c r="J100" s="10" t="s">
        <v>623</v>
      </c>
      <c r="K100" s="10" t="s">
        <v>112</v>
      </c>
      <c r="L100" s="10" t="s">
        <v>624</v>
      </c>
    </row>
    <row r="101" customFormat="false" ht="34.5" hidden="false" customHeight="true" outlineLevel="0" collapsed="false">
      <c r="A101" s="11" t="n">
        <v>71</v>
      </c>
      <c r="B101" s="12" t="s">
        <v>47</v>
      </c>
      <c r="C101" s="12" t="s">
        <v>625</v>
      </c>
      <c r="D101" s="12" t="n">
        <v>2023</v>
      </c>
      <c r="E101" s="12" t="s">
        <v>620</v>
      </c>
      <c r="F101" s="12" t="s">
        <v>151</v>
      </c>
      <c r="G101" s="12" t="s">
        <v>626</v>
      </c>
      <c r="H101" s="12" t="s">
        <v>145</v>
      </c>
      <c r="I101" s="12" t="s">
        <v>387</v>
      </c>
      <c r="J101" s="12" t="s">
        <v>627</v>
      </c>
      <c r="K101" s="12" t="s">
        <v>112</v>
      </c>
      <c r="L101" s="12" t="s">
        <v>628</v>
      </c>
    </row>
    <row r="102" customFormat="false" ht="23.25" hidden="false" customHeight="true" outlineLevel="0" collapsed="false">
      <c r="A102" s="8" t="n">
        <v>72</v>
      </c>
      <c r="B102" s="8" t="s">
        <v>9</v>
      </c>
      <c r="C102" s="8" t="s">
        <v>629</v>
      </c>
      <c r="D102" s="8" t="n">
        <v>2023</v>
      </c>
      <c r="E102" s="8" t="s">
        <v>630</v>
      </c>
      <c r="F102" s="8" t="s">
        <v>151</v>
      </c>
      <c r="G102" s="8" t="s">
        <v>631</v>
      </c>
      <c r="H102" s="8" t="s">
        <v>632</v>
      </c>
      <c r="I102" s="8" t="s">
        <v>146</v>
      </c>
      <c r="J102" s="8" t="s">
        <v>633</v>
      </c>
      <c r="K102" s="8"/>
      <c r="L102" s="8" t="s">
        <v>634</v>
      </c>
    </row>
    <row r="103" customFormat="false" ht="34.5" hidden="false" customHeight="true" outlineLevel="0" collapsed="false">
      <c r="A103" s="8" t="n">
        <v>73</v>
      </c>
      <c r="B103" s="8" t="s">
        <v>9</v>
      </c>
      <c r="C103" s="8" t="s">
        <v>635</v>
      </c>
      <c r="D103" s="8" t="n">
        <v>2021</v>
      </c>
      <c r="E103" s="8" t="s">
        <v>636</v>
      </c>
      <c r="F103" s="8" t="s">
        <v>143</v>
      </c>
      <c r="G103" s="8" t="s">
        <v>637</v>
      </c>
      <c r="H103" s="8" t="s">
        <v>638</v>
      </c>
      <c r="I103" s="8" t="s">
        <v>387</v>
      </c>
      <c r="J103" s="8" t="s">
        <v>507</v>
      </c>
      <c r="K103" s="8" t="s">
        <v>114</v>
      </c>
      <c r="L103" s="8" t="s">
        <v>639</v>
      </c>
    </row>
    <row r="104" customFormat="false" ht="23.25" hidden="false" customHeight="true" outlineLevel="0" collapsed="false">
      <c r="A104" s="8" t="n">
        <v>74</v>
      </c>
      <c r="B104" s="8" t="s">
        <v>9</v>
      </c>
      <c r="C104" s="8" t="s">
        <v>635</v>
      </c>
      <c r="D104" s="8" t="n">
        <v>2024</v>
      </c>
      <c r="E104" s="8" t="s">
        <v>640</v>
      </c>
      <c r="F104" s="8" t="s">
        <v>151</v>
      </c>
      <c r="G104" s="8" t="s">
        <v>641</v>
      </c>
      <c r="H104" s="8" t="s">
        <v>642</v>
      </c>
      <c r="I104" s="8" t="s">
        <v>387</v>
      </c>
      <c r="J104" s="8" t="s">
        <v>507</v>
      </c>
      <c r="K104" s="8" t="s">
        <v>114</v>
      </c>
      <c r="L104" s="8" t="s">
        <v>643</v>
      </c>
    </row>
    <row r="105" customFormat="false" ht="34.5" hidden="false" customHeight="true" outlineLevel="0" collapsed="false">
      <c r="A105" s="8" t="n">
        <v>75</v>
      </c>
      <c r="B105" s="8" t="s">
        <v>9</v>
      </c>
      <c r="C105" s="8" t="s">
        <v>635</v>
      </c>
      <c r="D105" s="8" t="n">
        <v>2025</v>
      </c>
      <c r="E105" s="8" t="s">
        <v>644</v>
      </c>
      <c r="F105" s="8" t="s">
        <v>143</v>
      </c>
      <c r="G105" s="8" t="s">
        <v>645</v>
      </c>
      <c r="H105" s="8" t="s">
        <v>145</v>
      </c>
      <c r="I105" s="8" t="s">
        <v>533</v>
      </c>
      <c r="J105" s="8" t="s">
        <v>646</v>
      </c>
      <c r="K105" s="8" t="s">
        <v>110</v>
      </c>
      <c r="L105" s="8" t="s">
        <v>647</v>
      </c>
    </row>
    <row r="106" customFormat="false" ht="34.5" hidden="false" customHeight="true" outlineLevel="0" collapsed="false">
      <c r="A106" s="8" t="n">
        <v>76</v>
      </c>
      <c r="B106" s="8" t="s">
        <v>9</v>
      </c>
      <c r="C106" s="8" t="s">
        <v>648</v>
      </c>
      <c r="D106" s="8" t="n">
        <v>2022</v>
      </c>
      <c r="E106" s="8" t="s">
        <v>649</v>
      </c>
      <c r="F106" s="8" t="s">
        <v>143</v>
      </c>
      <c r="G106" s="8" t="s">
        <v>650</v>
      </c>
      <c r="H106" s="8" t="s">
        <v>145</v>
      </c>
      <c r="I106" s="8" t="s">
        <v>146</v>
      </c>
      <c r="J106" s="8" t="s">
        <v>651</v>
      </c>
      <c r="K106" s="8" t="s">
        <v>116</v>
      </c>
      <c r="L106" s="8" t="s">
        <v>652</v>
      </c>
    </row>
    <row r="107" customFormat="false" ht="23.25" hidden="false" customHeight="true" outlineLevel="0" collapsed="false">
      <c r="A107" s="8" t="n">
        <v>77</v>
      </c>
      <c r="B107" s="8" t="s">
        <v>9</v>
      </c>
      <c r="C107" s="8" t="s">
        <v>653</v>
      </c>
      <c r="D107" s="8" t="n">
        <v>2020</v>
      </c>
      <c r="E107" s="8" t="s">
        <v>654</v>
      </c>
      <c r="F107" s="8" t="s">
        <v>143</v>
      </c>
      <c r="G107" s="8" t="s">
        <v>655</v>
      </c>
      <c r="H107" s="8" t="s">
        <v>656</v>
      </c>
      <c r="I107" s="8" t="s">
        <v>146</v>
      </c>
      <c r="J107" s="8" t="s">
        <v>657</v>
      </c>
      <c r="K107" s="8" t="s">
        <v>116</v>
      </c>
      <c r="L107" s="8" t="s">
        <v>658</v>
      </c>
    </row>
    <row r="108" customFormat="false" ht="34.5" hidden="false" customHeight="true" outlineLevel="0" collapsed="false">
      <c r="A108" s="8" t="n">
        <v>78</v>
      </c>
      <c r="B108" s="8" t="s">
        <v>9</v>
      </c>
      <c r="C108" s="8" t="s">
        <v>659</v>
      </c>
      <c r="D108" s="8" t="n">
        <v>2019</v>
      </c>
      <c r="E108" s="8" t="s">
        <v>660</v>
      </c>
      <c r="F108" s="8" t="s">
        <v>151</v>
      </c>
      <c r="G108" s="8" t="s">
        <v>661</v>
      </c>
      <c r="H108" s="8" t="s">
        <v>145</v>
      </c>
      <c r="I108" s="8" t="s">
        <v>387</v>
      </c>
      <c r="J108" s="8" t="s">
        <v>662</v>
      </c>
      <c r="K108" s="8" t="s">
        <v>116</v>
      </c>
      <c r="L108" s="8" t="s">
        <v>663</v>
      </c>
    </row>
    <row r="109" customFormat="false" ht="34.5" hidden="false" customHeight="true" outlineLevel="0" collapsed="false">
      <c r="A109" s="8" t="n">
        <v>79</v>
      </c>
      <c r="B109" s="8" t="s">
        <v>9</v>
      </c>
      <c r="C109" s="8" t="s">
        <v>664</v>
      </c>
      <c r="D109" s="8" t="n">
        <v>2018</v>
      </c>
      <c r="E109" s="8" t="s">
        <v>665</v>
      </c>
      <c r="F109" s="8" t="s">
        <v>151</v>
      </c>
      <c r="G109" s="8" t="s">
        <v>495</v>
      </c>
      <c r="H109" s="8" t="s">
        <v>666</v>
      </c>
      <c r="I109" s="8" t="s">
        <v>146</v>
      </c>
      <c r="J109" s="8" t="s">
        <v>667</v>
      </c>
      <c r="K109" s="8" t="s">
        <v>116</v>
      </c>
      <c r="L109" s="8" t="s">
        <v>668</v>
      </c>
    </row>
    <row r="110" customFormat="false" ht="34.5" hidden="false" customHeight="true" outlineLevel="0" collapsed="false">
      <c r="A110" s="8" t="n">
        <v>80</v>
      </c>
      <c r="B110" s="8" t="s">
        <v>9</v>
      </c>
      <c r="C110" s="8" t="s">
        <v>669</v>
      </c>
      <c r="D110" s="8" t="n">
        <v>2014</v>
      </c>
      <c r="E110" s="8" t="s">
        <v>670</v>
      </c>
      <c r="F110" s="8" t="s">
        <v>143</v>
      </c>
      <c r="G110" s="8" t="s">
        <v>671</v>
      </c>
      <c r="H110" s="8" t="s">
        <v>672</v>
      </c>
      <c r="I110" s="8" t="s">
        <v>146</v>
      </c>
      <c r="J110" s="8" t="s">
        <v>673</v>
      </c>
      <c r="K110" s="8" t="s">
        <v>116</v>
      </c>
      <c r="L110" s="8" t="s">
        <v>674</v>
      </c>
    </row>
    <row r="111" customFormat="false" ht="34.5" hidden="false" customHeight="true" outlineLevel="0" collapsed="false">
      <c r="A111" s="8" t="n">
        <v>81</v>
      </c>
      <c r="B111" s="8" t="s">
        <v>9</v>
      </c>
      <c r="C111" s="8" t="s">
        <v>675</v>
      </c>
      <c r="D111" s="8" t="n">
        <v>2023</v>
      </c>
      <c r="E111" s="8" t="s">
        <v>676</v>
      </c>
      <c r="F111" s="8" t="s">
        <v>151</v>
      </c>
      <c r="G111" s="8" t="s">
        <v>677</v>
      </c>
      <c r="H111" s="8" t="s">
        <v>678</v>
      </c>
      <c r="I111" s="8" t="s">
        <v>146</v>
      </c>
      <c r="J111" s="8" t="s">
        <v>679</v>
      </c>
      <c r="K111" s="8" t="s">
        <v>116</v>
      </c>
      <c r="L111" s="8" t="s">
        <v>680</v>
      </c>
    </row>
    <row r="112" customFormat="false" ht="23.25" hidden="false" customHeight="true" outlineLevel="0" collapsed="false">
      <c r="A112" s="8" t="n">
        <v>82</v>
      </c>
      <c r="B112" s="8" t="s">
        <v>9</v>
      </c>
      <c r="C112" s="8" t="s">
        <v>681</v>
      </c>
      <c r="D112" s="8" t="n">
        <v>2009</v>
      </c>
      <c r="E112" s="8" t="s">
        <v>682</v>
      </c>
      <c r="F112" s="8" t="s">
        <v>151</v>
      </c>
      <c r="G112" s="8" t="s">
        <v>683</v>
      </c>
      <c r="H112" s="8" t="s">
        <v>684</v>
      </c>
      <c r="I112" s="8" t="s">
        <v>146</v>
      </c>
      <c r="J112" s="8" t="s">
        <v>685</v>
      </c>
      <c r="K112" s="8" t="s">
        <v>116</v>
      </c>
      <c r="L112" s="8" t="s">
        <v>686</v>
      </c>
    </row>
    <row r="113" customFormat="false" ht="23.25" hidden="false" customHeight="true" outlineLevel="0" collapsed="false">
      <c r="A113" s="8" t="n">
        <v>83</v>
      </c>
      <c r="B113" s="8" t="s">
        <v>9</v>
      </c>
      <c r="C113" s="8" t="s">
        <v>687</v>
      </c>
      <c r="D113" s="8" t="n">
        <v>2022</v>
      </c>
      <c r="E113" s="8" t="s">
        <v>688</v>
      </c>
      <c r="F113" s="8" t="s">
        <v>151</v>
      </c>
      <c r="G113" s="8" t="s">
        <v>689</v>
      </c>
      <c r="H113" s="8" t="s">
        <v>690</v>
      </c>
      <c r="I113" s="8" t="s">
        <v>146</v>
      </c>
      <c r="J113" s="8" t="s">
        <v>691</v>
      </c>
      <c r="K113" s="8" t="s">
        <v>116</v>
      </c>
      <c r="L113" s="8" t="s">
        <v>692</v>
      </c>
    </row>
    <row r="114" customFormat="false" ht="34.5" hidden="false" customHeight="true" outlineLevel="0" collapsed="false">
      <c r="A114" s="8" t="n">
        <v>84</v>
      </c>
      <c r="B114" s="8" t="s">
        <v>9</v>
      </c>
      <c r="C114" s="8" t="s">
        <v>693</v>
      </c>
      <c r="D114" s="8" t="n">
        <v>2013</v>
      </c>
      <c r="E114" s="8" t="s">
        <v>694</v>
      </c>
      <c r="F114" s="8" t="s">
        <v>151</v>
      </c>
      <c r="G114" s="8" t="s">
        <v>695</v>
      </c>
      <c r="H114" s="8" t="s">
        <v>696</v>
      </c>
      <c r="I114" s="8" t="s">
        <v>146</v>
      </c>
      <c r="J114" s="8" t="s">
        <v>697</v>
      </c>
      <c r="K114" s="8" t="s">
        <v>116</v>
      </c>
      <c r="L114" s="8" t="s">
        <v>698</v>
      </c>
    </row>
    <row r="115" customFormat="false" ht="23.25" hidden="false" customHeight="true" outlineLevel="0" collapsed="false">
      <c r="A115" s="8" t="n">
        <v>85</v>
      </c>
      <c r="B115" s="8" t="s">
        <v>9</v>
      </c>
      <c r="C115" s="8" t="s">
        <v>699</v>
      </c>
      <c r="D115" s="8" t="n">
        <v>2024</v>
      </c>
      <c r="E115" s="8" t="s">
        <v>700</v>
      </c>
      <c r="F115" s="8" t="s">
        <v>151</v>
      </c>
      <c r="G115" s="8" t="s">
        <v>677</v>
      </c>
      <c r="H115" s="8" t="s">
        <v>423</v>
      </c>
      <c r="I115" s="8" t="s">
        <v>146</v>
      </c>
      <c r="J115" s="8" t="s">
        <v>701</v>
      </c>
      <c r="K115" s="8" t="s">
        <v>116</v>
      </c>
      <c r="L115" s="8" t="s">
        <v>702</v>
      </c>
    </row>
    <row r="116" customFormat="false" ht="23.25" hidden="false" customHeight="true" outlineLevel="0" collapsed="false">
      <c r="A116" s="8" t="n">
        <v>86</v>
      </c>
      <c r="B116" s="8" t="s">
        <v>9</v>
      </c>
      <c r="C116" s="8" t="s">
        <v>703</v>
      </c>
      <c r="D116" s="8" t="n">
        <v>2016</v>
      </c>
      <c r="E116" s="8" t="s">
        <v>704</v>
      </c>
      <c r="F116" s="8" t="s">
        <v>143</v>
      </c>
      <c r="G116" s="8" t="s">
        <v>705</v>
      </c>
      <c r="H116" s="8" t="s">
        <v>145</v>
      </c>
      <c r="I116" s="8" t="s">
        <v>387</v>
      </c>
      <c r="J116" s="8" t="s">
        <v>397</v>
      </c>
      <c r="K116" s="8" t="s">
        <v>116</v>
      </c>
      <c r="L116" s="8" t="s">
        <v>706</v>
      </c>
    </row>
    <row r="117" customFormat="false" ht="34.5" hidden="false" customHeight="true" outlineLevel="0" collapsed="false">
      <c r="A117" s="8" t="n">
        <v>87</v>
      </c>
      <c r="B117" s="8" t="s">
        <v>9</v>
      </c>
      <c r="C117" s="8" t="s">
        <v>707</v>
      </c>
      <c r="D117" s="8" t="n">
        <v>2017</v>
      </c>
      <c r="E117" s="8" t="s">
        <v>708</v>
      </c>
      <c r="F117" s="8" t="s">
        <v>151</v>
      </c>
      <c r="G117" s="8" t="s">
        <v>709</v>
      </c>
      <c r="H117" s="8" t="s">
        <v>710</v>
      </c>
      <c r="I117" s="8" t="s">
        <v>146</v>
      </c>
      <c r="J117" s="8" t="s">
        <v>662</v>
      </c>
      <c r="K117" s="8" t="s">
        <v>116</v>
      </c>
      <c r="L117" s="8" t="s">
        <v>711</v>
      </c>
    </row>
    <row r="118" customFormat="false" ht="23.25" hidden="false" customHeight="true" outlineLevel="0" collapsed="false">
      <c r="A118" s="8" t="n">
        <v>88</v>
      </c>
      <c r="B118" s="8" t="s">
        <v>9</v>
      </c>
      <c r="C118" s="8" t="s">
        <v>712</v>
      </c>
      <c r="D118" s="8" t="n">
        <v>2024</v>
      </c>
      <c r="E118" s="8" t="s">
        <v>713</v>
      </c>
      <c r="F118" s="8" t="s">
        <v>143</v>
      </c>
      <c r="G118" s="8" t="s">
        <v>714</v>
      </c>
      <c r="H118" s="8" t="s">
        <v>715</v>
      </c>
      <c r="I118" s="8" t="s">
        <v>146</v>
      </c>
      <c r="J118" s="8" t="s">
        <v>716</v>
      </c>
      <c r="K118" s="8" t="s">
        <v>116</v>
      </c>
      <c r="L118" s="8" t="s">
        <v>717</v>
      </c>
    </row>
    <row r="119" customFormat="false" ht="23.25" hidden="false" customHeight="true" outlineLevel="0" collapsed="false">
      <c r="A119" s="8" t="n">
        <v>89</v>
      </c>
      <c r="B119" s="8" t="s">
        <v>9</v>
      </c>
      <c r="C119" s="8" t="s">
        <v>718</v>
      </c>
      <c r="D119" s="8" t="n">
        <v>2012</v>
      </c>
      <c r="E119" s="8" t="s">
        <v>719</v>
      </c>
      <c r="F119" s="8" t="s">
        <v>143</v>
      </c>
      <c r="G119" s="8" t="s">
        <v>720</v>
      </c>
      <c r="H119" s="8" t="s">
        <v>721</v>
      </c>
      <c r="I119" s="8" t="s">
        <v>146</v>
      </c>
      <c r="J119" s="8" t="s">
        <v>722</v>
      </c>
      <c r="K119" s="8" t="s">
        <v>116</v>
      </c>
      <c r="L119" s="8" t="s">
        <v>723</v>
      </c>
    </row>
    <row r="120" customFormat="false" ht="23.25" hidden="false" customHeight="true" outlineLevel="0" collapsed="false">
      <c r="A120" s="8" t="n">
        <v>90</v>
      </c>
      <c r="B120" s="8" t="s">
        <v>9</v>
      </c>
      <c r="C120" s="8" t="s">
        <v>724</v>
      </c>
      <c r="D120" s="8" t="n">
        <v>2011</v>
      </c>
      <c r="E120" s="8" t="s">
        <v>725</v>
      </c>
      <c r="F120" s="8" t="s">
        <v>151</v>
      </c>
      <c r="G120" s="8" t="s">
        <v>726</v>
      </c>
      <c r="H120" s="8" t="s">
        <v>490</v>
      </c>
      <c r="I120" s="8" t="s">
        <v>146</v>
      </c>
      <c r="J120" s="8" t="s">
        <v>727</v>
      </c>
      <c r="K120" s="8" t="s">
        <v>116</v>
      </c>
      <c r="L120" s="8" t="s">
        <v>728</v>
      </c>
    </row>
    <row r="121" customFormat="false" ht="34.5" hidden="false" customHeight="true" outlineLevel="0" collapsed="false">
      <c r="A121" s="8" t="n">
        <v>91</v>
      </c>
      <c r="B121" s="8" t="s">
        <v>9</v>
      </c>
      <c r="C121" s="8" t="s">
        <v>729</v>
      </c>
      <c r="D121" s="8" t="n">
        <v>2024</v>
      </c>
      <c r="E121" s="8" t="s">
        <v>730</v>
      </c>
      <c r="F121" s="8" t="s">
        <v>151</v>
      </c>
      <c r="G121" s="8" t="s">
        <v>731</v>
      </c>
      <c r="H121" s="8" t="s">
        <v>490</v>
      </c>
      <c r="I121" s="8" t="s">
        <v>146</v>
      </c>
      <c r="J121" s="8" t="s">
        <v>732</v>
      </c>
      <c r="K121" s="8" t="s">
        <v>116</v>
      </c>
      <c r="L121" s="8" t="s">
        <v>733</v>
      </c>
    </row>
    <row r="122" customFormat="false" ht="23.25" hidden="false" customHeight="true" outlineLevel="0" collapsed="false">
      <c r="A122" s="8" t="n">
        <v>92</v>
      </c>
      <c r="B122" s="8" t="s">
        <v>9</v>
      </c>
      <c r="C122" s="8" t="s">
        <v>734</v>
      </c>
      <c r="D122" s="8" t="n">
        <v>2018</v>
      </c>
      <c r="E122" s="8" t="s">
        <v>735</v>
      </c>
      <c r="F122" s="8" t="s">
        <v>143</v>
      </c>
      <c r="G122" s="8" t="s">
        <v>736</v>
      </c>
      <c r="H122" s="8" t="s">
        <v>737</v>
      </c>
      <c r="I122" s="8" t="s">
        <v>146</v>
      </c>
      <c r="J122" s="8" t="s">
        <v>738</v>
      </c>
      <c r="K122" s="8" t="s">
        <v>116</v>
      </c>
      <c r="L122" s="8" t="s">
        <v>739</v>
      </c>
    </row>
    <row r="123" customFormat="false" ht="23.25" hidden="false" customHeight="true" outlineLevel="0" collapsed="false">
      <c r="A123" s="8" t="n">
        <v>93</v>
      </c>
      <c r="B123" s="8" t="s">
        <v>9</v>
      </c>
      <c r="C123" s="8" t="s">
        <v>740</v>
      </c>
      <c r="D123" s="8" t="n">
        <v>2008</v>
      </c>
      <c r="E123" s="8" t="s">
        <v>741</v>
      </c>
      <c r="F123" s="8" t="s">
        <v>151</v>
      </c>
      <c r="G123" s="8" t="s">
        <v>677</v>
      </c>
      <c r="H123" s="8" t="s">
        <v>423</v>
      </c>
      <c r="I123" s="8" t="s">
        <v>146</v>
      </c>
      <c r="J123" s="8" t="s">
        <v>742</v>
      </c>
      <c r="K123" s="8" t="s">
        <v>116</v>
      </c>
      <c r="L123" s="8" t="s">
        <v>743</v>
      </c>
    </row>
    <row r="124" customFormat="false" ht="34.5" hidden="false" customHeight="true" outlineLevel="0" collapsed="false">
      <c r="A124" s="8" t="n">
        <v>94</v>
      </c>
      <c r="B124" s="8" t="s">
        <v>9</v>
      </c>
      <c r="C124" s="8" t="s">
        <v>744</v>
      </c>
      <c r="D124" s="8" t="n">
        <v>2024</v>
      </c>
      <c r="E124" s="8" t="s">
        <v>745</v>
      </c>
      <c r="F124" s="8" t="s">
        <v>143</v>
      </c>
      <c r="G124" s="8" t="s">
        <v>746</v>
      </c>
      <c r="H124" s="8" t="s">
        <v>747</v>
      </c>
      <c r="I124" s="8" t="s">
        <v>748</v>
      </c>
      <c r="J124" s="8" t="s">
        <v>749</v>
      </c>
      <c r="K124" s="8" t="s">
        <v>116</v>
      </c>
      <c r="L124" s="8" t="s">
        <v>750</v>
      </c>
    </row>
    <row r="125" customFormat="false" ht="23.25" hidden="false" customHeight="true" outlineLevel="0" collapsed="false">
      <c r="A125" s="8" t="n">
        <v>95</v>
      </c>
      <c r="B125" s="8" t="s">
        <v>9</v>
      </c>
      <c r="C125" s="8" t="s">
        <v>751</v>
      </c>
      <c r="D125" s="8" t="n">
        <v>2017</v>
      </c>
      <c r="E125" s="8" t="s">
        <v>752</v>
      </c>
      <c r="F125" s="8" t="s">
        <v>151</v>
      </c>
      <c r="G125" s="8" t="s">
        <v>753</v>
      </c>
      <c r="H125" s="8" t="s">
        <v>754</v>
      </c>
      <c r="I125" s="8" t="s">
        <v>146</v>
      </c>
      <c r="J125" s="8" t="s">
        <v>755</v>
      </c>
      <c r="K125" s="8" t="s">
        <v>116</v>
      </c>
      <c r="L125" s="8" t="s">
        <v>756</v>
      </c>
    </row>
    <row r="126" customFormat="false" ht="23.25" hidden="false" customHeight="true" outlineLevel="0" collapsed="false">
      <c r="A126" s="8" t="n">
        <v>96</v>
      </c>
      <c r="B126" s="8" t="s">
        <v>9</v>
      </c>
      <c r="C126" s="8" t="s">
        <v>757</v>
      </c>
      <c r="D126" s="8" t="n">
        <v>2015</v>
      </c>
      <c r="E126" s="8" t="s">
        <v>758</v>
      </c>
      <c r="F126" s="8" t="s">
        <v>143</v>
      </c>
      <c r="G126" s="8" t="s">
        <v>759</v>
      </c>
      <c r="H126" s="8" t="s">
        <v>760</v>
      </c>
      <c r="I126" s="8" t="s">
        <v>387</v>
      </c>
      <c r="J126" s="8" t="s">
        <v>761</v>
      </c>
      <c r="K126" s="8" t="s">
        <v>116</v>
      </c>
      <c r="L126" s="8" t="s">
        <v>762</v>
      </c>
    </row>
    <row r="127" customFormat="false" ht="34.5" hidden="false" customHeight="true" outlineLevel="0" collapsed="false">
      <c r="A127" s="8" t="n">
        <v>97</v>
      </c>
      <c r="B127" s="8" t="s">
        <v>9</v>
      </c>
      <c r="C127" s="8" t="s">
        <v>763</v>
      </c>
      <c r="D127" s="8" t="n">
        <v>2022</v>
      </c>
      <c r="E127" s="8" t="s">
        <v>764</v>
      </c>
      <c r="F127" s="8" t="s">
        <v>151</v>
      </c>
      <c r="G127" s="8" t="s">
        <v>765</v>
      </c>
      <c r="H127" s="8" t="s">
        <v>423</v>
      </c>
      <c r="I127" s="8" t="s">
        <v>146</v>
      </c>
      <c r="J127" s="8" t="s">
        <v>528</v>
      </c>
      <c r="K127" s="8" t="s">
        <v>116</v>
      </c>
      <c r="L127" s="8" t="s">
        <v>766</v>
      </c>
    </row>
    <row r="128" customFormat="false" ht="34.5" hidden="false" customHeight="true" outlineLevel="0" collapsed="false">
      <c r="A128" s="8" t="n">
        <v>98</v>
      </c>
      <c r="B128" s="8" t="s">
        <v>9</v>
      </c>
      <c r="C128" s="8" t="s">
        <v>767</v>
      </c>
      <c r="D128" s="8" t="n">
        <v>2021</v>
      </c>
      <c r="E128" s="8" t="s">
        <v>768</v>
      </c>
      <c r="F128" s="8" t="s">
        <v>151</v>
      </c>
      <c r="G128" s="8" t="s">
        <v>765</v>
      </c>
      <c r="H128" s="8" t="s">
        <v>769</v>
      </c>
      <c r="I128" s="8" t="s">
        <v>146</v>
      </c>
      <c r="J128" s="8" t="s">
        <v>617</v>
      </c>
      <c r="K128" s="8" t="s">
        <v>116</v>
      </c>
      <c r="L128" s="8" t="s">
        <v>770</v>
      </c>
    </row>
    <row r="129" customFormat="false" ht="23.25" hidden="false" customHeight="true" outlineLevel="0" collapsed="false">
      <c r="A129" s="8" t="n">
        <v>99</v>
      </c>
      <c r="B129" s="8" t="s">
        <v>9</v>
      </c>
      <c r="C129" s="8" t="s">
        <v>771</v>
      </c>
      <c r="D129" s="8" t="n">
        <v>2023</v>
      </c>
      <c r="E129" s="8" t="s">
        <v>772</v>
      </c>
      <c r="F129" s="8" t="s">
        <v>151</v>
      </c>
      <c r="G129" s="8" t="s">
        <v>731</v>
      </c>
      <c r="H129" s="8" t="s">
        <v>773</v>
      </c>
      <c r="I129" s="8" t="s">
        <v>146</v>
      </c>
      <c r="J129" s="8" t="s">
        <v>774</v>
      </c>
      <c r="K129" s="8" t="s">
        <v>116</v>
      </c>
      <c r="L129" s="8" t="s">
        <v>775</v>
      </c>
    </row>
    <row r="130" customFormat="false" ht="23.25" hidden="false" customHeight="true" outlineLevel="0" collapsed="false">
      <c r="A130" s="8" t="n">
        <v>100</v>
      </c>
      <c r="B130" s="8" t="s">
        <v>9</v>
      </c>
      <c r="C130" s="8" t="s">
        <v>776</v>
      </c>
      <c r="D130" s="8" t="n">
        <v>2005</v>
      </c>
      <c r="E130" s="8" t="s">
        <v>777</v>
      </c>
      <c r="F130" s="8" t="s">
        <v>143</v>
      </c>
      <c r="G130" s="8" t="s">
        <v>778</v>
      </c>
      <c r="H130" s="8" t="s">
        <v>779</v>
      </c>
      <c r="I130" s="8" t="s">
        <v>146</v>
      </c>
      <c r="J130" s="8" t="s">
        <v>780</v>
      </c>
      <c r="K130" s="8" t="s">
        <v>116</v>
      </c>
      <c r="L130" s="8" t="s">
        <v>781</v>
      </c>
    </row>
    <row r="131" customFormat="false" ht="23.25" hidden="false" customHeight="true" outlineLevel="0" collapsed="false">
      <c r="A131" s="8" t="n">
        <v>101</v>
      </c>
      <c r="B131" s="8" t="s">
        <v>9</v>
      </c>
      <c r="C131" s="8" t="s">
        <v>782</v>
      </c>
      <c r="D131" s="8" t="n">
        <v>2018</v>
      </c>
      <c r="E131" s="8" t="s">
        <v>783</v>
      </c>
      <c r="F131" s="8" t="s">
        <v>143</v>
      </c>
      <c r="G131" s="8" t="s">
        <v>784</v>
      </c>
      <c r="H131" s="8" t="s">
        <v>501</v>
      </c>
      <c r="I131" s="8" t="s">
        <v>146</v>
      </c>
      <c r="J131" s="8" t="s">
        <v>785</v>
      </c>
      <c r="K131" s="8" t="s">
        <v>116</v>
      </c>
      <c r="L131" s="8" t="s">
        <v>786</v>
      </c>
    </row>
    <row r="132" customFormat="false" ht="23.25" hidden="false" customHeight="true" outlineLevel="0" collapsed="false">
      <c r="A132" s="8" t="n">
        <v>102</v>
      </c>
      <c r="B132" s="8" t="s">
        <v>9</v>
      </c>
      <c r="C132" s="8" t="s">
        <v>787</v>
      </c>
      <c r="D132" s="8" t="n">
        <v>2018</v>
      </c>
      <c r="E132" s="8" t="s">
        <v>788</v>
      </c>
      <c r="F132" s="8" t="s">
        <v>151</v>
      </c>
      <c r="G132" s="8" t="s">
        <v>753</v>
      </c>
      <c r="H132" s="8" t="s">
        <v>490</v>
      </c>
      <c r="I132" s="8" t="s">
        <v>146</v>
      </c>
      <c r="J132" s="8" t="s">
        <v>789</v>
      </c>
      <c r="K132" s="8" t="s">
        <v>116</v>
      </c>
      <c r="L132" s="8" t="s">
        <v>790</v>
      </c>
    </row>
    <row r="133" customFormat="false" ht="23.25" hidden="false" customHeight="true" outlineLevel="0" collapsed="false">
      <c r="A133" s="8" t="n">
        <v>103</v>
      </c>
      <c r="B133" s="8" t="s">
        <v>9</v>
      </c>
      <c r="C133" s="8" t="s">
        <v>791</v>
      </c>
      <c r="D133" s="8" t="n">
        <v>2019</v>
      </c>
      <c r="E133" s="8" t="s">
        <v>792</v>
      </c>
      <c r="F133" s="8" t="s">
        <v>143</v>
      </c>
      <c r="G133" s="8" t="s">
        <v>793</v>
      </c>
      <c r="H133" s="8" t="s">
        <v>145</v>
      </c>
      <c r="I133" s="8" t="s">
        <v>146</v>
      </c>
      <c r="J133" s="8" t="s">
        <v>794</v>
      </c>
      <c r="K133" s="8" t="s">
        <v>116</v>
      </c>
      <c r="L133" s="8" t="s">
        <v>795</v>
      </c>
    </row>
    <row r="134" customFormat="false" ht="23.25" hidden="false" customHeight="true" outlineLevel="0" collapsed="false">
      <c r="A134" s="8" t="n">
        <v>104</v>
      </c>
      <c r="B134" s="8" t="s">
        <v>9</v>
      </c>
      <c r="C134" s="8" t="s">
        <v>796</v>
      </c>
      <c r="D134" s="8" t="n">
        <v>2023</v>
      </c>
      <c r="E134" s="8" t="s">
        <v>797</v>
      </c>
      <c r="F134" s="8" t="s">
        <v>151</v>
      </c>
      <c r="G134" s="8" t="s">
        <v>798</v>
      </c>
      <c r="H134" s="8" t="s">
        <v>145</v>
      </c>
      <c r="I134" s="8" t="s">
        <v>146</v>
      </c>
      <c r="J134" s="8" t="s">
        <v>491</v>
      </c>
      <c r="K134" s="8" t="s">
        <v>116</v>
      </c>
      <c r="L134" s="8" t="s">
        <v>799</v>
      </c>
    </row>
    <row r="135" customFormat="false" ht="34.5" hidden="false" customHeight="true" outlineLevel="0" collapsed="false">
      <c r="A135" s="8" t="n">
        <v>105</v>
      </c>
      <c r="B135" s="8" t="s">
        <v>9</v>
      </c>
      <c r="C135" s="8" t="s">
        <v>800</v>
      </c>
      <c r="D135" s="8" t="n">
        <v>2012</v>
      </c>
      <c r="E135" s="8" t="s">
        <v>801</v>
      </c>
      <c r="F135" s="8" t="s">
        <v>143</v>
      </c>
      <c r="G135" s="8" t="s">
        <v>802</v>
      </c>
      <c r="H135" s="8" t="s">
        <v>187</v>
      </c>
      <c r="I135" s="8" t="s">
        <v>748</v>
      </c>
      <c r="J135" s="8" t="s">
        <v>803</v>
      </c>
      <c r="K135" s="8" t="s">
        <v>116</v>
      </c>
      <c r="L135" s="8" t="s">
        <v>804</v>
      </c>
    </row>
    <row r="136" customFormat="false" ht="23.25" hidden="false" customHeight="true" outlineLevel="0" collapsed="false">
      <c r="A136" s="8" t="n">
        <v>106</v>
      </c>
      <c r="B136" s="8" t="s">
        <v>9</v>
      </c>
      <c r="C136" s="8" t="s">
        <v>805</v>
      </c>
      <c r="D136" s="8" t="n">
        <v>2015</v>
      </c>
      <c r="E136" s="8" t="s">
        <v>806</v>
      </c>
      <c r="F136" s="8" t="s">
        <v>143</v>
      </c>
      <c r="G136" s="8" t="s">
        <v>807</v>
      </c>
      <c r="H136" s="8" t="s">
        <v>145</v>
      </c>
      <c r="I136" s="8" t="s">
        <v>146</v>
      </c>
      <c r="J136" s="8" t="s">
        <v>808</v>
      </c>
      <c r="K136" s="8" t="s">
        <v>116</v>
      </c>
      <c r="L136" s="8" t="s">
        <v>809</v>
      </c>
    </row>
    <row r="137" customFormat="false" ht="34.5" hidden="false" customHeight="true" outlineLevel="0" collapsed="false">
      <c r="A137" s="8" t="n">
        <v>107</v>
      </c>
      <c r="B137" s="8" t="s">
        <v>9</v>
      </c>
      <c r="C137" s="8" t="s">
        <v>810</v>
      </c>
      <c r="D137" s="8" t="n">
        <v>2022</v>
      </c>
      <c r="E137" s="8" t="s">
        <v>811</v>
      </c>
      <c r="F137" s="8" t="s">
        <v>151</v>
      </c>
      <c r="G137" s="8" t="s">
        <v>495</v>
      </c>
      <c r="H137" s="8" t="s">
        <v>812</v>
      </c>
      <c r="I137" s="8" t="s">
        <v>146</v>
      </c>
      <c r="J137" s="8" t="s">
        <v>813</v>
      </c>
      <c r="K137" s="8" t="s">
        <v>116</v>
      </c>
      <c r="L137" s="8" t="s">
        <v>814</v>
      </c>
    </row>
    <row r="138" customFormat="false" ht="34.5" hidden="false" customHeight="true" outlineLevel="0" collapsed="false">
      <c r="A138" s="8" t="n">
        <v>108</v>
      </c>
      <c r="B138" s="8" t="s">
        <v>9</v>
      </c>
      <c r="C138" s="8" t="s">
        <v>815</v>
      </c>
      <c r="D138" s="8" t="n">
        <v>2023</v>
      </c>
      <c r="E138" s="8" t="s">
        <v>816</v>
      </c>
      <c r="F138" s="8" t="s">
        <v>151</v>
      </c>
      <c r="G138" s="8" t="s">
        <v>495</v>
      </c>
      <c r="H138" s="8" t="s">
        <v>817</v>
      </c>
      <c r="I138" s="8" t="s">
        <v>146</v>
      </c>
      <c r="J138" s="8" t="s">
        <v>818</v>
      </c>
      <c r="K138" s="8" t="s">
        <v>116</v>
      </c>
      <c r="L138" s="8" t="s">
        <v>819</v>
      </c>
    </row>
    <row r="139" customFormat="false" ht="23.25" hidden="false" customHeight="true" outlineLevel="0" collapsed="false">
      <c r="A139" s="8" t="n">
        <v>109</v>
      </c>
      <c r="B139" s="8" t="s">
        <v>9</v>
      </c>
      <c r="C139" s="8" t="s">
        <v>456</v>
      </c>
      <c r="D139" s="8" t="n">
        <v>2021</v>
      </c>
      <c r="E139" s="8" t="s">
        <v>820</v>
      </c>
      <c r="F139" s="8" t="s">
        <v>143</v>
      </c>
      <c r="G139" s="8" t="s">
        <v>821</v>
      </c>
      <c r="H139" s="8" t="s">
        <v>145</v>
      </c>
      <c r="I139" s="8" t="s">
        <v>387</v>
      </c>
      <c r="J139" s="8" t="s">
        <v>822</v>
      </c>
      <c r="K139" s="8" t="s">
        <v>116</v>
      </c>
      <c r="L139" s="8" t="s">
        <v>823</v>
      </c>
    </row>
    <row r="140" customFormat="false" ht="34.5" hidden="false" customHeight="true" outlineLevel="0" collapsed="false">
      <c r="A140" s="8" t="n">
        <v>110</v>
      </c>
      <c r="B140" s="8" t="s">
        <v>9</v>
      </c>
      <c r="C140" s="8" t="s">
        <v>824</v>
      </c>
      <c r="D140" s="8" t="n">
        <v>2021</v>
      </c>
      <c r="E140" s="8" t="s">
        <v>825</v>
      </c>
      <c r="F140" s="8" t="s">
        <v>151</v>
      </c>
      <c r="G140" s="8" t="s">
        <v>495</v>
      </c>
      <c r="H140" s="8" t="s">
        <v>826</v>
      </c>
      <c r="I140" s="8" t="s">
        <v>146</v>
      </c>
      <c r="J140" s="8" t="s">
        <v>528</v>
      </c>
      <c r="K140" s="8" t="s">
        <v>116</v>
      </c>
      <c r="L140" s="8" t="s">
        <v>827</v>
      </c>
    </row>
    <row r="141" customFormat="false" ht="23.25" hidden="false" customHeight="true" outlineLevel="0" collapsed="false">
      <c r="A141" s="9" t="n">
        <v>111</v>
      </c>
      <c r="B141" s="10" t="s">
        <v>9</v>
      </c>
      <c r="C141" s="10" t="s">
        <v>828</v>
      </c>
      <c r="D141" s="10" t="n">
        <v>2020</v>
      </c>
      <c r="E141" s="10" t="s">
        <v>829</v>
      </c>
      <c r="F141" s="10" t="s">
        <v>143</v>
      </c>
      <c r="G141" s="10" t="s">
        <v>830</v>
      </c>
      <c r="H141" s="10" t="s">
        <v>145</v>
      </c>
      <c r="I141" s="10" t="s">
        <v>387</v>
      </c>
      <c r="J141" s="10" t="s">
        <v>507</v>
      </c>
      <c r="K141" s="10" t="s">
        <v>116</v>
      </c>
      <c r="L141" s="10" t="s">
        <v>831</v>
      </c>
    </row>
    <row r="142" customFormat="false" ht="23.25" hidden="false" customHeight="true" outlineLevel="0" collapsed="false">
      <c r="A142" s="11" t="n">
        <v>111</v>
      </c>
      <c r="B142" s="12" t="s">
        <v>27</v>
      </c>
      <c r="C142" s="12" t="s">
        <v>828</v>
      </c>
      <c r="D142" s="12" t="n">
        <v>2020</v>
      </c>
      <c r="E142" s="12" t="s">
        <v>829</v>
      </c>
      <c r="F142" s="12" t="s">
        <v>201</v>
      </c>
      <c r="G142" s="12" t="s">
        <v>832</v>
      </c>
      <c r="H142" s="12" t="s">
        <v>145</v>
      </c>
      <c r="I142" s="12" t="s">
        <v>153</v>
      </c>
      <c r="J142" s="12" t="s">
        <v>833</v>
      </c>
      <c r="K142" s="12" t="s">
        <v>116</v>
      </c>
      <c r="L142" s="12" t="s">
        <v>834</v>
      </c>
    </row>
    <row r="143" customFormat="false" ht="34.5" hidden="false" customHeight="true" outlineLevel="0" collapsed="false">
      <c r="A143" s="8" t="n">
        <v>112</v>
      </c>
      <c r="B143" s="8" t="s">
        <v>9</v>
      </c>
      <c r="C143" s="8" t="s">
        <v>835</v>
      </c>
      <c r="D143" s="8" t="n">
        <v>2008</v>
      </c>
      <c r="E143" s="8" t="s">
        <v>836</v>
      </c>
      <c r="F143" s="8" t="s">
        <v>151</v>
      </c>
      <c r="G143" s="8" t="s">
        <v>837</v>
      </c>
      <c r="H143" s="8" t="s">
        <v>501</v>
      </c>
      <c r="I143" s="8" t="s">
        <v>146</v>
      </c>
      <c r="J143" s="8" t="s">
        <v>785</v>
      </c>
      <c r="K143" s="8" t="s">
        <v>116</v>
      </c>
      <c r="L143" s="8" t="s">
        <v>838</v>
      </c>
    </row>
    <row r="144" customFormat="false" ht="23.25" hidden="false" customHeight="true" outlineLevel="0" collapsed="false">
      <c r="A144" s="8" t="n">
        <v>113</v>
      </c>
      <c r="B144" s="8" t="s">
        <v>9</v>
      </c>
      <c r="C144" s="8" t="s">
        <v>839</v>
      </c>
      <c r="D144" s="8" t="n">
        <v>2020</v>
      </c>
      <c r="E144" s="8" t="s">
        <v>840</v>
      </c>
      <c r="F144" s="8" t="s">
        <v>151</v>
      </c>
      <c r="G144" s="8" t="s">
        <v>683</v>
      </c>
      <c r="H144" s="8" t="s">
        <v>684</v>
      </c>
      <c r="I144" s="8" t="s">
        <v>146</v>
      </c>
      <c r="J144" s="8" t="s">
        <v>841</v>
      </c>
      <c r="K144" s="8" t="s">
        <v>116</v>
      </c>
      <c r="L144" s="8" t="s">
        <v>842</v>
      </c>
    </row>
    <row r="145" customFormat="false" ht="34.5" hidden="false" customHeight="true" outlineLevel="0" collapsed="false">
      <c r="A145" s="8" t="n">
        <v>114</v>
      </c>
      <c r="B145" s="8" t="s">
        <v>9</v>
      </c>
      <c r="C145" s="8" t="s">
        <v>843</v>
      </c>
      <c r="D145" s="8" t="n">
        <v>2020</v>
      </c>
      <c r="E145" s="8" t="s">
        <v>844</v>
      </c>
      <c r="F145" s="8" t="s">
        <v>151</v>
      </c>
      <c r="G145" s="8" t="s">
        <v>845</v>
      </c>
      <c r="H145" s="8" t="s">
        <v>846</v>
      </c>
      <c r="I145" s="8" t="s">
        <v>146</v>
      </c>
      <c r="J145" s="8" t="s">
        <v>617</v>
      </c>
      <c r="K145" s="8" t="s">
        <v>116</v>
      </c>
      <c r="L145" s="8" t="s">
        <v>847</v>
      </c>
    </row>
    <row r="146" customFormat="false" ht="34.5" hidden="false" customHeight="true" outlineLevel="0" collapsed="false">
      <c r="A146" s="8" t="n">
        <v>115</v>
      </c>
      <c r="B146" s="8" t="s">
        <v>9</v>
      </c>
      <c r="C146" s="8" t="s">
        <v>848</v>
      </c>
      <c r="D146" s="8" t="n">
        <v>2024</v>
      </c>
      <c r="E146" s="8" t="s">
        <v>849</v>
      </c>
      <c r="F146" s="8" t="s">
        <v>151</v>
      </c>
      <c r="G146" s="8" t="s">
        <v>850</v>
      </c>
      <c r="H146" s="8" t="s">
        <v>145</v>
      </c>
      <c r="I146" s="8" t="s">
        <v>748</v>
      </c>
      <c r="J146" s="8" t="s">
        <v>851</v>
      </c>
      <c r="K146" s="8"/>
      <c r="L146" s="8" t="s">
        <v>852</v>
      </c>
    </row>
    <row r="147" customFormat="false" ht="23.25" hidden="false" customHeight="true" outlineLevel="0" collapsed="false">
      <c r="A147" s="8" t="n">
        <v>116</v>
      </c>
      <c r="B147" s="8" t="s">
        <v>9</v>
      </c>
      <c r="C147" s="8" t="s">
        <v>853</v>
      </c>
      <c r="D147" s="8" t="n">
        <v>2023</v>
      </c>
      <c r="E147" s="8" t="s">
        <v>854</v>
      </c>
      <c r="F147" s="8" t="s">
        <v>143</v>
      </c>
      <c r="G147" s="8" t="s">
        <v>855</v>
      </c>
      <c r="H147" s="8" t="s">
        <v>856</v>
      </c>
      <c r="I147" s="8" t="s">
        <v>146</v>
      </c>
      <c r="J147" s="8" t="s">
        <v>857</v>
      </c>
      <c r="K147" s="8"/>
      <c r="L147" s="8" t="s">
        <v>858</v>
      </c>
    </row>
    <row r="148" customFormat="false" ht="23.25" hidden="false" customHeight="true" outlineLevel="0" collapsed="false">
      <c r="A148" s="8" t="n">
        <v>117</v>
      </c>
      <c r="B148" s="8" t="s">
        <v>9</v>
      </c>
      <c r="C148" s="8" t="s">
        <v>859</v>
      </c>
      <c r="D148" s="8" t="n">
        <v>2008</v>
      </c>
      <c r="E148" s="8" t="s">
        <v>860</v>
      </c>
      <c r="F148" s="8" t="s">
        <v>151</v>
      </c>
      <c r="G148" s="8" t="s">
        <v>861</v>
      </c>
      <c r="H148" s="8" t="s">
        <v>145</v>
      </c>
      <c r="I148" s="8" t="s">
        <v>153</v>
      </c>
      <c r="J148" s="8" t="s">
        <v>862</v>
      </c>
      <c r="K148" s="8"/>
      <c r="L148" s="8" t="s">
        <v>863</v>
      </c>
    </row>
    <row r="149" customFormat="false" ht="23.25" hidden="false" customHeight="true" outlineLevel="0" collapsed="false">
      <c r="A149" s="8" t="n">
        <v>118</v>
      </c>
      <c r="B149" s="8" t="s">
        <v>9</v>
      </c>
      <c r="C149" s="8" t="s">
        <v>864</v>
      </c>
      <c r="D149" s="8" t="n">
        <v>2019</v>
      </c>
      <c r="E149" s="8" t="s">
        <v>865</v>
      </c>
      <c r="F149" s="8" t="s">
        <v>143</v>
      </c>
      <c r="G149" s="8" t="s">
        <v>866</v>
      </c>
      <c r="H149" s="8" t="s">
        <v>678</v>
      </c>
      <c r="I149" s="8" t="s">
        <v>748</v>
      </c>
      <c r="J149" s="8" t="s">
        <v>867</v>
      </c>
      <c r="K149" s="8"/>
      <c r="L149" s="8" t="s">
        <v>868</v>
      </c>
    </row>
    <row r="150" customFormat="false" ht="34.5" hidden="false" customHeight="true" outlineLevel="0" collapsed="false">
      <c r="A150" s="8" t="n">
        <v>119</v>
      </c>
      <c r="B150" s="8" t="s">
        <v>9</v>
      </c>
      <c r="C150" s="8" t="s">
        <v>869</v>
      </c>
      <c r="D150" s="8" t="n">
        <v>2022</v>
      </c>
      <c r="E150" s="8" t="s">
        <v>870</v>
      </c>
      <c r="F150" s="8" t="s">
        <v>143</v>
      </c>
      <c r="G150" s="8" t="s">
        <v>495</v>
      </c>
      <c r="H150" s="8" t="s">
        <v>871</v>
      </c>
      <c r="I150" s="8" t="s">
        <v>146</v>
      </c>
      <c r="J150" s="8" t="s">
        <v>872</v>
      </c>
      <c r="K150" s="8"/>
      <c r="L150" s="8" t="s">
        <v>873</v>
      </c>
    </row>
    <row r="151" customFormat="false" ht="34.5" hidden="false" customHeight="true" outlineLevel="0" collapsed="false">
      <c r="A151" s="8" t="n">
        <v>120</v>
      </c>
      <c r="B151" s="8" t="s">
        <v>9</v>
      </c>
      <c r="C151" s="8" t="s">
        <v>874</v>
      </c>
      <c r="D151" s="8" t="n">
        <v>2016</v>
      </c>
      <c r="E151" s="8" t="s">
        <v>875</v>
      </c>
      <c r="F151" s="8" t="s">
        <v>143</v>
      </c>
      <c r="G151" s="8" t="s">
        <v>876</v>
      </c>
      <c r="H151" s="8" t="s">
        <v>877</v>
      </c>
      <c r="I151" s="8" t="s">
        <v>146</v>
      </c>
      <c r="J151" s="8" t="s">
        <v>878</v>
      </c>
      <c r="K151" s="8"/>
      <c r="L151" s="8" t="s">
        <v>879</v>
      </c>
    </row>
    <row r="152" customFormat="false" ht="34.5" hidden="false" customHeight="true" outlineLevel="0" collapsed="false">
      <c r="A152" s="8" t="n">
        <v>121</v>
      </c>
      <c r="B152" s="8" t="s">
        <v>9</v>
      </c>
      <c r="C152" s="8" t="s">
        <v>880</v>
      </c>
      <c r="D152" s="8" t="n">
        <v>2021</v>
      </c>
      <c r="E152" s="8" t="s">
        <v>881</v>
      </c>
      <c r="F152" s="8" t="s">
        <v>151</v>
      </c>
      <c r="G152" s="8" t="s">
        <v>882</v>
      </c>
      <c r="H152" s="8" t="s">
        <v>883</v>
      </c>
      <c r="I152" s="8" t="s">
        <v>208</v>
      </c>
      <c r="J152" s="8" t="s">
        <v>884</v>
      </c>
      <c r="K152" s="8"/>
      <c r="L152" s="8" t="s">
        <v>885</v>
      </c>
    </row>
    <row r="153" customFormat="false" ht="34.5" hidden="false" customHeight="true" outlineLevel="0" collapsed="false">
      <c r="A153" s="8" t="n">
        <v>122</v>
      </c>
      <c r="B153" s="8" t="s">
        <v>9</v>
      </c>
      <c r="C153" s="8" t="s">
        <v>886</v>
      </c>
      <c r="D153" s="8" t="n">
        <v>2019</v>
      </c>
      <c r="E153" s="8" t="s">
        <v>887</v>
      </c>
      <c r="F153" s="8" t="s">
        <v>151</v>
      </c>
      <c r="G153" s="8" t="s">
        <v>888</v>
      </c>
      <c r="H153" s="8" t="s">
        <v>889</v>
      </c>
      <c r="I153" s="8" t="s">
        <v>748</v>
      </c>
      <c r="J153" s="8" t="s">
        <v>890</v>
      </c>
      <c r="K153" s="8"/>
      <c r="L153" s="8" t="s">
        <v>891</v>
      </c>
    </row>
    <row r="154" customFormat="false" ht="23.25" hidden="false" customHeight="true" outlineLevel="0" collapsed="false">
      <c r="A154" s="8" t="n">
        <v>123</v>
      </c>
      <c r="B154" s="8" t="s">
        <v>9</v>
      </c>
      <c r="C154" s="8" t="s">
        <v>892</v>
      </c>
      <c r="D154" s="8" t="n">
        <v>2007</v>
      </c>
      <c r="E154" s="8" t="s">
        <v>893</v>
      </c>
      <c r="F154" s="8" t="s">
        <v>143</v>
      </c>
      <c r="G154" s="8" t="s">
        <v>894</v>
      </c>
      <c r="H154" s="8" t="s">
        <v>895</v>
      </c>
      <c r="I154" s="8" t="s">
        <v>748</v>
      </c>
      <c r="J154" s="8" t="s">
        <v>896</v>
      </c>
      <c r="K154" s="8"/>
      <c r="L154" s="8" t="s">
        <v>897</v>
      </c>
    </row>
    <row r="155" customFormat="false" ht="34.5" hidden="false" customHeight="true" outlineLevel="0" collapsed="false">
      <c r="A155" s="8" t="n">
        <v>124</v>
      </c>
      <c r="B155" s="8" t="s">
        <v>9</v>
      </c>
      <c r="C155" s="8" t="s">
        <v>898</v>
      </c>
      <c r="D155" s="8" t="n">
        <v>2007</v>
      </c>
      <c r="E155" s="8" t="s">
        <v>899</v>
      </c>
      <c r="F155" s="8" t="s">
        <v>143</v>
      </c>
      <c r="G155" s="8" t="s">
        <v>900</v>
      </c>
      <c r="H155" s="8" t="s">
        <v>901</v>
      </c>
      <c r="I155" s="8" t="s">
        <v>146</v>
      </c>
      <c r="J155" s="8" t="s">
        <v>902</v>
      </c>
      <c r="K155" s="8"/>
      <c r="L155" s="8" t="s">
        <v>903</v>
      </c>
    </row>
    <row r="156" customFormat="false" ht="23.25" hidden="false" customHeight="true" outlineLevel="0" collapsed="false">
      <c r="A156" s="8" t="n">
        <v>125</v>
      </c>
      <c r="B156" s="8" t="s">
        <v>9</v>
      </c>
      <c r="C156" s="8" t="s">
        <v>904</v>
      </c>
      <c r="D156" s="8" t="n">
        <v>2019</v>
      </c>
      <c r="E156" s="8" t="s">
        <v>905</v>
      </c>
      <c r="F156" s="8" t="s">
        <v>143</v>
      </c>
      <c r="G156" s="8" t="s">
        <v>906</v>
      </c>
      <c r="H156" s="8" t="s">
        <v>145</v>
      </c>
      <c r="I156" s="8" t="s">
        <v>748</v>
      </c>
      <c r="J156" s="8" t="s">
        <v>907</v>
      </c>
      <c r="K156" s="8"/>
      <c r="L156" s="8" t="s">
        <v>908</v>
      </c>
    </row>
    <row r="157" customFormat="false" ht="34.5" hidden="false" customHeight="true" outlineLevel="0" collapsed="false">
      <c r="A157" s="8" t="n">
        <v>126</v>
      </c>
      <c r="B157" s="8" t="s">
        <v>9</v>
      </c>
      <c r="C157" s="8" t="s">
        <v>909</v>
      </c>
      <c r="D157" s="8" t="n">
        <v>2017</v>
      </c>
      <c r="E157" s="8" t="s">
        <v>910</v>
      </c>
      <c r="F157" s="8" t="s">
        <v>143</v>
      </c>
      <c r="G157" s="8" t="s">
        <v>802</v>
      </c>
      <c r="H157" s="8" t="s">
        <v>678</v>
      </c>
      <c r="I157" s="8" t="s">
        <v>146</v>
      </c>
      <c r="J157" s="8" t="s">
        <v>513</v>
      </c>
      <c r="K157" s="8"/>
      <c r="L157" s="8" t="s">
        <v>911</v>
      </c>
    </row>
    <row r="158" customFormat="false" ht="34.5" hidden="false" customHeight="true" outlineLevel="0" collapsed="false">
      <c r="A158" s="8" t="n">
        <v>127</v>
      </c>
      <c r="B158" s="8" t="s">
        <v>9</v>
      </c>
      <c r="C158" s="8" t="s">
        <v>912</v>
      </c>
      <c r="D158" s="8" t="n">
        <v>2023</v>
      </c>
      <c r="E158" s="8" t="s">
        <v>913</v>
      </c>
      <c r="F158" s="8" t="s">
        <v>151</v>
      </c>
      <c r="G158" s="8" t="s">
        <v>888</v>
      </c>
      <c r="H158" s="8" t="s">
        <v>914</v>
      </c>
      <c r="I158" s="8" t="s">
        <v>748</v>
      </c>
      <c r="J158" s="8" t="s">
        <v>915</v>
      </c>
      <c r="K158" s="8"/>
      <c r="L158" s="8" t="s">
        <v>916</v>
      </c>
    </row>
    <row r="159" customFormat="false" ht="34.5" hidden="false" customHeight="true" outlineLevel="0" collapsed="false">
      <c r="A159" s="8" t="n">
        <v>128</v>
      </c>
      <c r="B159" s="8" t="s">
        <v>9</v>
      </c>
      <c r="C159" s="8" t="s">
        <v>917</v>
      </c>
      <c r="D159" s="8" t="n">
        <v>2022</v>
      </c>
      <c r="E159" s="8" t="s">
        <v>918</v>
      </c>
      <c r="F159" s="8" t="s">
        <v>151</v>
      </c>
      <c r="G159" s="8" t="s">
        <v>919</v>
      </c>
      <c r="H159" s="8" t="s">
        <v>920</v>
      </c>
      <c r="I159" s="8" t="s">
        <v>146</v>
      </c>
      <c r="J159" s="8" t="s">
        <v>921</v>
      </c>
      <c r="K159" s="8"/>
      <c r="L159" s="8" t="s">
        <v>922</v>
      </c>
    </row>
    <row r="160" customFormat="false" ht="34.5" hidden="false" customHeight="true" outlineLevel="0" collapsed="false">
      <c r="A160" s="8" t="n">
        <v>129</v>
      </c>
      <c r="B160" s="8" t="s">
        <v>9</v>
      </c>
      <c r="C160" s="8" t="s">
        <v>923</v>
      </c>
      <c r="D160" s="8" t="n">
        <v>2021</v>
      </c>
      <c r="E160" s="8" t="s">
        <v>924</v>
      </c>
      <c r="F160" s="8" t="s">
        <v>143</v>
      </c>
      <c r="G160" s="8" t="s">
        <v>925</v>
      </c>
      <c r="H160" s="8" t="s">
        <v>926</v>
      </c>
      <c r="I160" s="8" t="s">
        <v>146</v>
      </c>
      <c r="J160" s="8" t="s">
        <v>617</v>
      </c>
      <c r="K160" s="8"/>
      <c r="L160" s="8" t="s">
        <v>927</v>
      </c>
    </row>
    <row r="161" customFormat="false" ht="23.25" hidden="false" customHeight="true" outlineLevel="0" collapsed="false">
      <c r="A161" s="8" t="n">
        <v>130</v>
      </c>
      <c r="B161" s="8" t="s">
        <v>9</v>
      </c>
      <c r="C161" s="8" t="s">
        <v>928</v>
      </c>
      <c r="D161" s="8" t="n">
        <v>2018</v>
      </c>
      <c r="E161" s="8" t="s">
        <v>929</v>
      </c>
      <c r="F161" s="8" t="s">
        <v>151</v>
      </c>
      <c r="G161" s="8" t="s">
        <v>930</v>
      </c>
      <c r="H161" s="8" t="s">
        <v>931</v>
      </c>
      <c r="I161" s="8" t="s">
        <v>146</v>
      </c>
      <c r="J161" s="8" t="s">
        <v>932</v>
      </c>
      <c r="K161" s="8"/>
      <c r="L161" s="8" t="s">
        <v>933</v>
      </c>
    </row>
    <row r="162" customFormat="false" ht="34.5" hidden="false" customHeight="true" outlineLevel="0" collapsed="false">
      <c r="A162" s="8" t="n">
        <v>131</v>
      </c>
      <c r="B162" s="8" t="s">
        <v>9</v>
      </c>
      <c r="C162" s="8" t="s">
        <v>934</v>
      </c>
      <c r="D162" s="8" t="n">
        <v>2010</v>
      </c>
      <c r="E162" s="8" t="s">
        <v>935</v>
      </c>
      <c r="F162" s="8" t="s">
        <v>151</v>
      </c>
      <c r="G162" s="8" t="s">
        <v>802</v>
      </c>
      <c r="H162" s="8" t="s">
        <v>936</v>
      </c>
      <c r="I162" s="8" t="s">
        <v>748</v>
      </c>
      <c r="J162" s="8" t="s">
        <v>803</v>
      </c>
      <c r="K162" s="8"/>
      <c r="L162" s="8" t="s">
        <v>937</v>
      </c>
    </row>
    <row r="163" customFormat="false" ht="34.5" hidden="false" customHeight="true" outlineLevel="0" collapsed="false">
      <c r="A163" s="8" t="n">
        <v>132</v>
      </c>
      <c r="B163" s="8" t="s">
        <v>9</v>
      </c>
      <c r="C163" s="8" t="s">
        <v>938</v>
      </c>
      <c r="D163" s="8" t="n">
        <v>2023</v>
      </c>
      <c r="E163" s="8" t="s">
        <v>939</v>
      </c>
      <c r="F163" s="8" t="s">
        <v>143</v>
      </c>
      <c r="G163" s="8" t="s">
        <v>798</v>
      </c>
      <c r="H163" s="8" t="s">
        <v>145</v>
      </c>
      <c r="I163" s="8" t="s">
        <v>208</v>
      </c>
      <c r="J163" s="8" t="s">
        <v>940</v>
      </c>
      <c r="K163" s="8"/>
      <c r="L163" s="8" t="s">
        <v>941</v>
      </c>
    </row>
    <row r="164" customFormat="false" ht="23.25" hidden="false" customHeight="true" outlineLevel="0" collapsed="false">
      <c r="A164" s="8" t="n">
        <v>133</v>
      </c>
      <c r="B164" s="8" t="s">
        <v>9</v>
      </c>
      <c r="C164" s="8" t="s">
        <v>942</v>
      </c>
      <c r="D164" s="8" t="n">
        <v>2017</v>
      </c>
      <c r="E164" s="8" t="s">
        <v>943</v>
      </c>
      <c r="F164" s="8" t="s">
        <v>151</v>
      </c>
      <c r="G164" s="8" t="s">
        <v>944</v>
      </c>
      <c r="H164" s="8" t="s">
        <v>945</v>
      </c>
      <c r="I164" s="8" t="s">
        <v>387</v>
      </c>
      <c r="J164" s="8" t="s">
        <v>946</v>
      </c>
      <c r="K164" s="8"/>
      <c r="L164" s="8" t="s">
        <v>947</v>
      </c>
    </row>
    <row r="165" customFormat="false" ht="23.25" hidden="false" customHeight="true" outlineLevel="0" collapsed="false">
      <c r="A165" s="8" t="n">
        <v>134</v>
      </c>
      <c r="B165" s="8" t="s">
        <v>9</v>
      </c>
      <c r="C165" s="8" t="s">
        <v>948</v>
      </c>
      <c r="D165" s="8" t="n">
        <v>2015</v>
      </c>
      <c r="E165" s="8" t="s">
        <v>949</v>
      </c>
      <c r="F165" s="8" t="s">
        <v>143</v>
      </c>
      <c r="G165" s="8" t="s">
        <v>950</v>
      </c>
      <c r="H165" s="8" t="s">
        <v>951</v>
      </c>
      <c r="I165" s="8" t="s">
        <v>748</v>
      </c>
      <c r="J165" s="8" t="s">
        <v>952</v>
      </c>
      <c r="K165" s="8"/>
      <c r="L165" s="8" t="s">
        <v>953</v>
      </c>
    </row>
    <row r="166" customFormat="false" ht="23.25" hidden="false" customHeight="true" outlineLevel="0" collapsed="false">
      <c r="A166" s="8" t="n">
        <v>135</v>
      </c>
      <c r="B166" s="8" t="s">
        <v>9</v>
      </c>
      <c r="C166" s="8" t="s">
        <v>954</v>
      </c>
      <c r="D166" s="8" t="n">
        <v>2021</v>
      </c>
      <c r="E166" s="8" t="s">
        <v>955</v>
      </c>
      <c r="F166" s="8" t="s">
        <v>143</v>
      </c>
      <c r="G166" s="8" t="s">
        <v>956</v>
      </c>
      <c r="H166" s="8" t="s">
        <v>327</v>
      </c>
      <c r="I166" s="8" t="s">
        <v>387</v>
      </c>
      <c r="J166" s="8" t="s">
        <v>397</v>
      </c>
      <c r="K166" s="8"/>
      <c r="L166" s="8" t="s">
        <v>957</v>
      </c>
    </row>
    <row r="167" customFormat="false" ht="34.5" hidden="false" customHeight="true" outlineLevel="0" collapsed="false">
      <c r="A167" s="8" t="n">
        <v>136</v>
      </c>
      <c r="B167" s="8" t="s">
        <v>9</v>
      </c>
      <c r="C167" s="8" t="s">
        <v>958</v>
      </c>
      <c r="D167" s="8" t="n">
        <v>2018</v>
      </c>
      <c r="E167" s="8" t="s">
        <v>959</v>
      </c>
      <c r="F167" s="8" t="s">
        <v>143</v>
      </c>
      <c r="G167" s="8" t="s">
        <v>960</v>
      </c>
      <c r="H167" s="8" t="s">
        <v>914</v>
      </c>
      <c r="I167" s="8" t="s">
        <v>208</v>
      </c>
      <c r="J167" s="8" t="s">
        <v>961</v>
      </c>
      <c r="K167" s="8"/>
      <c r="L167" s="8" t="s">
        <v>962</v>
      </c>
    </row>
    <row r="168" customFormat="false" ht="23.25" hidden="false" customHeight="true" outlineLevel="0" collapsed="false">
      <c r="A168" s="8" t="n">
        <v>137</v>
      </c>
      <c r="B168" s="8" t="s">
        <v>9</v>
      </c>
      <c r="C168" s="8" t="s">
        <v>963</v>
      </c>
      <c r="D168" s="8" t="n">
        <v>2024</v>
      </c>
      <c r="E168" s="8" t="s">
        <v>964</v>
      </c>
      <c r="F168" s="8" t="s">
        <v>143</v>
      </c>
      <c r="G168" s="8" t="s">
        <v>965</v>
      </c>
      <c r="H168" s="8" t="s">
        <v>490</v>
      </c>
      <c r="I168" s="8" t="s">
        <v>387</v>
      </c>
      <c r="J168" s="8" t="s">
        <v>966</v>
      </c>
      <c r="K168" s="8"/>
      <c r="L168" s="8" t="s">
        <v>967</v>
      </c>
    </row>
    <row r="169" customFormat="false" ht="34.5" hidden="false" customHeight="true" outlineLevel="0" collapsed="false">
      <c r="A169" s="8" t="n">
        <v>138</v>
      </c>
      <c r="B169" s="8" t="s">
        <v>9</v>
      </c>
      <c r="C169" s="8" t="s">
        <v>968</v>
      </c>
      <c r="D169" s="8" t="n">
        <v>2020</v>
      </c>
      <c r="E169" s="8" t="s">
        <v>969</v>
      </c>
      <c r="F169" s="8" t="s">
        <v>143</v>
      </c>
      <c r="G169" s="8" t="s">
        <v>925</v>
      </c>
      <c r="H169" s="8" t="s">
        <v>616</v>
      </c>
      <c r="I169" s="8" t="s">
        <v>387</v>
      </c>
      <c r="J169" s="8" t="s">
        <v>970</v>
      </c>
      <c r="K169" s="8"/>
      <c r="L169" s="8" t="s">
        <v>971</v>
      </c>
    </row>
    <row r="170" customFormat="false" ht="23.25" hidden="false" customHeight="true" outlineLevel="0" collapsed="false">
      <c r="A170" s="8" t="n">
        <v>139</v>
      </c>
      <c r="B170" s="8" t="s">
        <v>9</v>
      </c>
      <c r="C170" s="8" t="s">
        <v>972</v>
      </c>
      <c r="D170" s="8" t="n">
        <v>2019</v>
      </c>
      <c r="E170" s="8" t="s">
        <v>973</v>
      </c>
      <c r="F170" s="8" t="s">
        <v>143</v>
      </c>
      <c r="G170" s="8" t="s">
        <v>974</v>
      </c>
      <c r="H170" s="8" t="s">
        <v>975</v>
      </c>
      <c r="I170" s="8" t="s">
        <v>146</v>
      </c>
      <c r="J170" s="8" t="s">
        <v>976</v>
      </c>
      <c r="K170" s="8"/>
      <c r="L170" s="8" t="s">
        <v>977</v>
      </c>
    </row>
    <row r="171" customFormat="false" ht="34.5" hidden="false" customHeight="true" outlineLevel="0" collapsed="false">
      <c r="A171" s="8" t="n">
        <v>140</v>
      </c>
      <c r="B171" s="8" t="s">
        <v>9</v>
      </c>
      <c r="C171" s="8" t="s">
        <v>978</v>
      </c>
      <c r="D171" s="8" t="n">
        <v>2022</v>
      </c>
      <c r="E171" s="8" t="s">
        <v>979</v>
      </c>
      <c r="F171" s="8" t="s">
        <v>143</v>
      </c>
      <c r="G171" s="8" t="s">
        <v>980</v>
      </c>
      <c r="H171" s="8" t="s">
        <v>678</v>
      </c>
      <c r="I171" s="8" t="s">
        <v>748</v>
      </c>
      <c r="J171" s="8" t="s">
        <v>981</v>
      </c>
      <c r="K171" s="8"/>
      <c r="L171" s="8" t="s">
        <v>982</v>
      </c>
    </row>
    <row r="172" customFormat="false" ht="23.25" hidden="false" customHeight="true" outlineLevel="0" collapsed="false">
      <c r="A172" s="8" t="n">
        <v>141</v>
      </c>
      <c r="B172" s="8" t="s">
        <v>9</v>
      </c>
      <c r="C172" s="8" t="s">
        <v>983</v>
      </c>
      <c r="D172" s="8" t="n">
        <v>2023</v>
      </c>
      <c r="E172" s="8" t="s">
        <v>984</v>
      </c>
      <c r="F172" s="8" t="s">
        <v>151</v>
      </c>
      <c r="G172" s="8" t="s">
        <v>985</v>
      </c>
      <c r="H172" s="8" t="s">
        <v>684</v>
      </c>
      <c r="I172" s="8" t="s">
        <v>208</v>
      </c>
      <c r="J172" s="8" t="s">
        <v>986</v>
      </c>
      <c r="K172" s="8"/>
      <c r="L172" s="8" t="s">
        <v>987</v>
      </c>
    </row>
    <row r="173" customFormat="false" ht="23.25" hidden="false" customHeight="true" outlineLevel="0" collapsed="false">
      <c r="A173" s="8" t="n">
        <v>142</v>
      </c>
      <c r="B173" s="8" t="s">
        <v>9</v>
      </c>
      <c r="C173" s="8" t="s">
        <v>988</v>
      </c>
      <c r="D173" s="8" t="n">
        <v>2002</v>
      </c>
      <c r="E173" s="8" t="s">
        <v>989</v>
      </c>
      <c r="F173" s="8" t="s">
        <v>143</v>
      </c>
      <c r="G173" s="8" t="s">
        <v>990</v>
      </c>
      <c r="H173" s="8" t="s">
        <v>991</v>
      </c>
      <c r="I173" s="8" t="s">
        <v>208</v>
      </c>
      <c r="J173" s="8" t="s">
        <v>992</v>
      </c>
      <c r="K173" s="8"/>
      <c r="L173" s="8" t="s">
        <v>993</v>
      </c>
    </row>
    <row r="174" customFormat="false" ht="34.5" hidden="false" customHeight="true" outlineLevel="0" collapsed="false">
      <c r="A174" s="8" t="n">
        <v>143</v>
      </c>
      <c r="B174" s="8" t="s">
        <v>9</v>
      </c>
      <c r="C174" s="8" t="s">
        <v>994</v>
      </c>
      <c r="D174" s="8" t="n">
        <v>2023</v>
      </c>
      <c r="E174" s="8" t="s">
        <v>995</v>
      </c>
      <c r="F174" s="8" t="s">
        <v>151</v>
      </c>
      <c r="G174" s="8" t="s">
        <v>996</v>
      </c>
      <c r="H174" s="8" t="s">
        <v>187</v>
      </c>
      <c r="I174" s="8" t="s">
        <v>748</v>
      </c>
      <c r="J174" s="8" t="s">
        <v>997</v>
      </c>
      <c r="K174" s="8" t="s">
        <v>112</v>
      </c>
      <c r="L174" s="8" t="s">
        <v>998</v>
      </c>
    </row>
    <row r="175" customFormat="false" ht="23.25" hidden="false" customHeight="true" outlineLevel="0" collapsed="false">
      <c r="A175" s="8" t="n">
        <v>144</v>
      </c>
      <c r="B175" s="8" t="s">
        <v>9</v>
      </c>
      <c r="C175" s="8" t="s">
        <v>999</v>
      </c>
      <c r="D175" s="8" t="n">
        <v>2023</v>
      </c>
      <c r="E175" s="8" t="s">
        <v>1000</v>
      </c>
      <c r="F175" s="8" t="s">
        <v>143</v>
      </c>
      <c r="G175" s="8" t="s">
        <v>1001</v>
      </c>
      <c r="H175" s="8" t="s">
        <v>1002</v>
      </c>
      <c r="I175" s="8" t="s">
        <v>208</v>
      </c>
      <c r="J175" s="8" t="s">
        <v>1003</v>
      </c>
      <c r="K175" s="8"/>
      <c r="L175" s="8" t="s">
        <v>1004</v>
      </c>
    </row>
    <row r="176" customFormat="false" ht="34.5" hidden="false" customHeight="true" outlineLevel="0" collapsed="false">
      <c r="A176" s="8" t="n">
        <v>145</v>
      </c>
      <c r="B176" s="8" t="s">
        <v>9</v>
      </c>
      <c r="C176" s="8" t="s">
        <v>1005</v>
      </c>
      <c r="D176" s="8" t="n">
        <v>2008</v>
      </c>
      <c r="E176" s="8" t="s">
        <v>1006</v>
      </c>
      <c r="F176" s="8" t="s">
        <v>151</v>
      </c>
      <c r="G176" s="8" t="s">
        <v>1007</v>
      </c>
      <c r="H176" s="8" t="s">
        <v>1008</v>
      </c>
      <c r="I176" s="8" t="s">
        <v>208</v>
      </c>
      <c r="J176" s="8" t="s">
        <v>1009</v>
      </c>
      <c r="K176" s="8"/>
      <c r="L176" s="8" t="s">
        <v>1010</v>
      </c>
    </row>
    <row r="177" customFormat="false" ht="34.5" hidden="false" customHeight="true" outlineLevel="0" collapsed="false">
      <c r="A177" s="8" t="n">
        <v>146</v>
      </c>
      <c r="B177" s="8" t="s">
        <v>9</v>
      </c>
      <c r="C177" s="8" t="s">
        <v>1011</v>
      </c>
      <c r="D177" s="8" t="n">
        <v>2015</v>
      </c>
      <c r="E177" s="8" t="s">
        <v>1012</v>
      </c>
      <c r="F177" s="8" t="s">
        <v>143</v>
      </c>
      <c r="G177" s="8" t="s">
        <v>1013</v>
      </c>
      <c r="H177" s="8" t="s">
        <v>1014</v>
      </c>
      <c r="I177" s="8" t="s">
        <v>748</v>
      </c>
      <c r="J177" s="8" t="s">
        <v>1015</v>
      </c>
      <c r="K177" s="8"/>
      <c r="L177" s="8" t="s">
        <v>1016</v>
      </c>
    </row>
    <row r="178" customFormat="false" ht="34.5" hidden="false" customHeight="true" outlineLevel="0" collapsed="false">
      <c r="A178" s="8" t="n">
        <v>147</v>
      </c>
      <c r="B178" s="8" t="s">
        <v>9</v>
      </c>
      <c r="C178" s="8" t="s">
        <v>1017</v>
      </c>
      <c r="D178" s="8" t="n">
        <v>2021</v>
      </c>
      <c r="E178" s="8" t="s">
        <v>1018</v>
      </c>
      <c r="F178" s="8" t="s">
        <v>143</v>
      </c>
      <c r="G178" s="8" t="s">
        <v>1019</v>
      </c>
      <c r="H178" s="8" t="s">
        <v>1020</v>
      </c>
      <c r="I178" s="8" t="s">
        <v>146</v>
      </c>
      <c r="J178" s="8" t="s">
        <v>1021</v>
      </c>
      <c r="K178" s="8"/>
      <c r="L178" s="8" t="s">
        <v>1022</v>
      </c>
    </row>
    <row r="179" customFormat="false" ht="34.5" hidden="false" customHeight="true" outlineLevel="0" collapsed="false">
      <c r="A179" s="8" t="n">
        <v>148</v>
      </c>
      <c r="B179" s="8" t="s">
        <v>9</v>
      </c>
      <c r="C179" s="8" t="s">
        <v>1023</v>
      </c>
      <c r="D179" s="8" t="n">
        <v>2018</v>
      </c>
      <c r="E179" s="8" t="s">
        <v>1024</v>
      </c>
      <c r="F179" s="8" t="s">
        <v>143</v>
      </c>
      <c r="G179" s="8" t="s">
        <v>1025</v>
      </c>
      <c r="H179" s="8" t="s">
        <v>1026</v>
      </c>
      <c r="I179" s="8" t="s">
        <v>146</v>
      </c>
      <c r="J179" s="8" t="s">
        <v>1027</v>
      </c>
      <c r="K179" s="8"/>
      <c r="L179" s="8" t="s">
        <v>1028</v>
      </c>
    </row>
    <row r="180" customFormat="false" ht="34.5" hidden="false" customHeight="true" outlineLevel="0" collapsed="false">
      <c r="A180" s="8" t="n">
        <v>149</v>
      </c>
      <c r="B180" s="8" t="s">
        <v>9</v>
      </c>
      <c r="C180" s="8" t="s">
        <v>1029</v>
      </c>
      <c r="D180" s="8" t="n">
        <v>2022</v>
      </c>
      <c r="E180" s="8" t="s">
        <v>1030</v>
      </c>
      <c r="F180" s="8" t="s">
        <v>143</v>
      </c>
      <c r="G180" s="8" t="s">
        <v>1031</v>
      </c>
      <c r="H180" s="8" t="s">
        <v>1032</v>
      </c>
      <c r="I180" s="8" t="s">
        <v>208</v>
      </c>
      <c r="J180" s="8" t="s">
        <v>1033</v>
      </c>
      <c r="K180" s="8"/>
      <c r="L180" s="8" t="s">
        <v>1034</v>
      </c>
    </row>
    <row r="181" customFormat="false" ht="23.25" hidden="false" customHeight="true" outlineLevel="0" collapsed="false">
      <c r="A181" s="8" t="n">
        <v>150</v>
      </c>
      <c r="B181" s="8" t="s">
        <v>9</v>
      </c>
      <c r="C181" s="8" t="s">
        <v>1035</v>
      </c>
      <c r="D181" s="8" t="n">
        <v>2024</v>
      </c>
      <c r="E181" s="8" t="s">
        <v>1036</v>
      </c>
      <c r="F181" s="8" t="s">
        <v>143</v>
      </c>
      <c r="G181" s="8" t="s">
        <v>990</v>
      </c>
      <c r="H181" s="8" t="s">
        <v>285</v>
      </c>
      <c r="I181" s="8" t="s">
        <v>208</v>
      </c>
      <c r="J181" s="8" t="s">
        <v>1037</v>
      </c>
      <c r="K181" s="8"/>
      <c r="L181" s="8" t="s">
        <v>1038</v>
      </c>
    </row>
    <row r="182" customFormat="false" ht="23.25" hidden="false" customHeight="true" outlineLevel="0" collapsed="false">
      <c r="A182" s="8" t="n">
        <v>151</v>
      </c>
      <c r="B182" s="8" t="s">
        <v>9</v>
      </c>
      <c r="C182" s="8" t="s">
        <v>1039</v>
      </c>
      <c r="D182" s="8" t="n">
        <v>2021</v>
      </c>
      <c r="E182" s="8" t="s">
        <v>1040</v>
      </c>
      <c r="F182" s="8" t="s">
        <v>143</v>
      </c>
      <c r="G182" s="8" t="s">
        <v>1041</v>
      </c>
      <c r="H182" s="8" t="s">
        <v>1042</v>
      </c>
      <c r="I182" s="8" t="s">
        <v>208</v>
      </c>
      <c r="J182" s="8" t="s">
        <v>1043</v>
      </c>
      <c r="K182" s="8"/>
      <c r="L182" s="8" t="s">
        <v>1044</v>
      </c>
    </row>
    <row r="183" customFormat="false" ht="34.5" hidden="false" customHeight="true" outlineLevel="0" collapsed="false">
      <c r="A183" s="8" t="n">
        <v>152</v>
      </c>
      <c r="B183" s="8" t="s">
        <v>9</v>
      </c>
      <c r="C183" s="8" t="s">
        <v>1045</v>
      </c>
      <c r="D183" s="8" t="n">
        <v>2015</v>
      </c>
      <c r="E183" s="8" t="s">
        <v>1046</v>
      </c>
      <c r="F183" s="8" t="s">
        <v>143</v>
      </c>
      <c r="G183" s="8" t="s">
        <v>1047</v>
      </c>
      <c r="H183" s="8" t="s">
        <v>1048</v>
      </c>
      <c r="I183" s="8" t="s">
        <v>146</v>
      </c>
      <c r="J183" s="8" t="s">
        <v>1049</v>
      </c>
      <c r="K183" s="8"/>
      <c r="L183" s="8" t="s">
        <v>1050</v>
      </c>
    </row>
    <row r="184" customFormat="false" ht="34.5" hidden="false" customHeight="true" outlineLevel="0" collapsed="false">
      <c r="A184" s="8" t="n">
        <v>153</v>
      </c>
      <c r="B184" s="8" t="s">
        <v>9</v>
      </c>
      <c r="C184" s="8" t="s">
        <v>1051</v>
      </c>
      <c r="D184" s="8" t="n">
        <v>2018</v>
      </c>
      <c r="E184" s="8" t="s">
        <v>1052</v>
      </c>
      <c r="F184" s="8" t="s">
        <v>143</v>
      </c>
      <c r="G184" s="8" t="s">
        <v>1053</v>
      </c>
      <c r="H184" s="8" t="s">
        <v>285</v>
      </c>
      <c r="I184" s="8" t="s">
        <v>208</v>
      </c>
      <c r="J184" s="8" t="s">
        <v>1054</v>
      </c>
      <c r="K184" s="8"/>
      <c r="L184" s="8" t="s">
        <v>1055</v>
      </c>
    </row>
    <row r="185" customFormat="false" ht="34.5" hidden="false" customHeight="true" outlineLevel="0" collapsed="false">
      <c r="A185" s="8" t="n">
        <v>154</v>
      </c>
      <c r="B185" s="8" t="s">
        <v>9</v>
      </c>
      <c r="C185" s="8" t="s">
        <v>1056</v>
      </c>
      <c r="D185" s="8" t="n">
        <v>2017</v>
      </c>
      <c r="E185" s="8" t="s">
        <v>1057</v>
      </c>
      <c r="F185" s="8" t="s">
        <v>143</v>
      </c>
      <c r="G185" s="8" t="s">
        <v>1058</v>
      </c>
      <c r="H185" s="8" t="s">
        <v>817</v>
      </c>
      <c r="I185" s="8" t="s">
        <v>208</v>
      </c>
      <c r="J185" s="8" t="s">
        <v>1059</v>
      </c>
      <c r="K185" s="8"/>
      <c r="L185" s="8" t="s">
        <v>1060</v>
      </c>
    </row>
    <row r="186" customFormat="false" ht="23.25" hidden="false" customHeight="true" outlineLevel="0" collapsed="false">
      <c r="A186" s="8" t="n">
        <v>155</v>
      </c>
      <c r="B186" s="8" t="s">
        <v>9</v>
      </c>
      <c r="C186" s="8" t="s">
        <v>1061</v>
      </c>
      <c r="D186" s="8" t="n">
        <v>2020</v>
      </c>
      <c r="E186" s="8" t="s">
        <v>1062</v>
      </c>
      <c r="F186" s="8" t="s">
        <v>151</v>
      </c>
      <c r="G186" s="8" t="s">
        <v>798</v>
      </c>
      <c r="H186" s="8" t="s">
        <v>1063</v>
      </c>
      <c r="I186" s="8" t="s">
        <v>208</v>
      </c>
      <c r="J186" s="8" t="s">
        <v>1064</v>
      </c>
      <c r="K186" s="8"/>
      <c r="L186" s="8" t="s">
        <v>1065</v>
      </c>
    </row>
    <row r="187" customFormat="false" ht="34.5" hidden="false" customHeight="true" outlineLevel="0" collapsed="false">
      <c r="A187" s="8" t="n">
        <v>156</v>
      </c>
      <c r="B187" s="8" t="s">
        <v>9</v>
      </c>
      <c r="C187" s="8" t="s">
        <v>1066</v>
      </c>
      <c r="D187" s="8" t="n">
        <v>2012</v>
      </c>
      <c r="E187" s="8" t="s">
        <v>1067</v>
      </c>
      <c r="F187" s="8" t="s">
        <v>143</v>
      </c>
      <c r="G187" s="8" t="s">
        <v>1068</v>
      </c>
      <c r="H187" s="8" t="s">
        <v>1069</v>
      </c>
      <c r="I187" s="8" t="s">
        <v>208</v>
      </c>
      <c r="J187" s="8" t="s">
        <v>1070</v>
      </c>
      <c r="K187" s="8"/>
      <c r="L187" s="8" t="s">
        <v>1071</v>
      </c>
    </row>
    <row r="188" customFormat="false" ht="23.25" hidden="false" customHeight="true" outlineLevel="0" collapsed="false">
      <c r="A188" s="8" t="n">
        <v>157</v>
      </c>
      <c r="B188" s="8" t="s">
        <v>9</v>
      </c>
      <c r="C188" s="8" t="s">
        <v>1072</v>
      </c>
      <c r="D188" s="8" t="n">
        <v>2017</v>
      </c>
      <c r="E188" s="8" t="s">
        <v>1073</v>
      </c>
      <c r="F188" s="8" t="s">
        <v>151</v>
      </c>
      <c r="G188" s="8" t="s">
        <v>1074</v>
      </c>
      <c r="H188" s="8" t="s">
        <v>1075</v>
      </c>
      <c r="I188" s="8" t="s">
        <v>208</v>
      </c>
      <c r="J188" s="8" t="s">
        <v>1076</v>
      </c>
      <c r="K188" s="8"/>
      <c r="L188" s="8" t="s">
        <v>1077</v>
      </c>
    </row>
    <row r="189" customFormat="false" ht="34.5" hidden="false" customHeight="true" outlineLevel="0" collapsed="false">
      <c r="A189" s="8" t="n">
        <v>158</v>
      </c>
      <c r="B189" s="8" t="s">
        <v>9</v>
      </c>
      <c r="C189" s="8" t="s">
        <v>1078</v>
      </c>
      <c r="D189" s="8" t="n">
        <v>2023</v>
      </c>
      <c r="E189" s="8" t="s">
        <v>1079</v>
      </c>
      <c r="F189" s="8" t="s">
        <v>143</v>
      </c>
      <c r="G189" s="8" t="s">
        <v>1080</v>
      </c>
      <c r="H189" s="8" t="s">
        <v>1081</v>
      </c>
      <c r="I189" s="8" t="s">
        <v>208</v>
      </c>
      <c r="J189" s="8" t="s">
        <v>662</v>
      </c>
      <c r="K189" s="8"/>
      <c r="L189" s="8" t="s">
        <v>1082</v>
      </c>
    </row>
    <row r="190" customFormat="false" ht="23.25" hidden="false" customHeight="true" outlineLevel="0" collapsed="false">
      <c r="A190" s="8" t="n">
        <v>159</v>
      </c>
      <c r="B190" s="8" t="s">
        <v>9</v>
      </c>
      <c r="C190" s="8" t="s">
        <v>1083</v>
      </c>
      <c r="D190" s="8" t="n">
        <v>2018</v>
      </c>
      <c r="E190" s="8" t="s">
        <v>1084</v>
      </c>
      <c r="F190" s="8" t="s">
        <v>151</v>
      </c>
      <c r="G190" s="8" t="s">
        <v>1085</v>
      </c>
      <c r="H190" s="8" t="s">
        <v>632</v>
      </c>
      <c r="I190" s="8" t="s">
        <v>208</v>
      </c>
      <c r="J190" s="8" t="s">
        <v>1086</v>
      </c>
      <c r="K190" s="8"/>
      <c r="L190" s="8" t="s">
        <v>1087</v>
      </c>
    </row>
    <row r="191" customFormat="false" ht="34.5" hidden="false" customHeight="true" outlineLevel="0" collapsed="false">
      <c r="A191" s="13" t="n">
        <v>160</v>
      </c>
      <c r="B191" s="14" t="s">
        <v>9</v>
      </c>
      <c r="C191" s="14" t="s">
        <v>1088</v>
      </c>
      <c r="D191" s="14" t="n">
        <v>2012</v>
      </c>
      <c r="E191" s="14" t="s">
        <v>1089</v>
      </c>
      <c r="F191" s="14" t="s">
        <v>143</v>
      </c>
      <c r="G191" s="14" t="s">
        <v>798</v>
      </c>
      <c r="H191" s="14" t="s">
        <v>145</v>
      </c>
      <c r="I191" s="14" t="s">
        <v>387</v>
      </c>
      <c r="J191" s="14" t="s">
        <v>507</v>
      </c>
      <c r="K191" s="14" t="s">
        <v>114</v>
      </c>
      <c r="L191" s="14" t="s">
        <v>1090</v>
      </c>
    </row>
    <row r="192" customFormat="false" ht="23.25" hidden="false" customHeight="true" outlineLevel="0" collapsed="false">
      <c r="A192" s="15" t="n">
        <v>160</v>
      </c>
      <c r="B192" s="16" t="s">
        <v>77</v>
      </c>
      <c r="C192" s="16" t="s">
        <v>1091</v>
      </c>
      <c r="D192" s="16" t="n">
        <v>2012</v>
      </c>
      <c r="E192" s="16" t="s">
        <v>1092</v>
      </c>
      <c r="F192" s="16" t="s">
        <v>143</v>
      </c>
      <c r="G192" s="16" t="s">
        <v>152</v>
      </c>
      <c r="H192" s="16" t="s">
        <v>145</v>
      </c>
      <c r="I192" s="16" t="s">
        <v>387</v>
      </c>
      <c r="J192" s="16" t="s">
        <v>523</v>
      </c>
      <c r="K192" s="16" t="s">
        <v>114</v>
      </c>
      <c r="L192" s="16" t="s">
        <v>1093</v>
      </c>
    </row>
    <row r="193" customFormat="false" ht="34.5" hidden="false" customHeight="true" outlineLevel="0" collapsed="false">
      <c r="A193" s="8" t="n">
        <v>161</v>
      </c>
      <c r="B193" s="8" t="s">
        <v>9</v>
      </c>
      <c r="C193" s="8" t="s">
        <v>1094</v>
      </c>
      <c r="D193" s="8" t="n">
        <v>2020</v>
      </c>
      <c r="E193" s="8" t="s">
        <v>1095</v>
      </c>
      <c r="F193" s="8" t="s">
        <v>143</v>
      </c>
      <c r="G193" s="8" t="s">
        <v>956</v>
      </c>
      <c r="H193" s="8" t="s">
        <v>145</v>
      </c>
      <c r="I193" s="8" t="s">
        <v>748</v>
      </c>
      <c r="J193" s="8" t="s">
        <v>1096</v>
      </c>
      <c r="K193" s="8"/>
      <c r="L193" s="8" t="s">
        <v>1097</v>
      </c>
    </row>
    <row r="194" customFormat="false" ht="34.5" hidden="false" customHeight="true" outlineLevel="0" collapsed="false">
      <c r="A194" s="8" t="n">
        <v>162</v>
      </c>
      <c r="B194" s="8" t="s">
        <v>9</v>
      </c>
      <c r="C194" s="8" t="s">
        <v>1098</v>
      </c>
      <c r="D194" s="8" t="n">
        <v>2021</v>
      </c>
      <c r="E194" s="8" t="s">
        <v>1099</v>
      </c>
      <c r="F194" s="8" t="s">
        <v>143</v>
      </c>
      <c r="G194" s="8" t="s">
        <v>495</v>
      </c>
      <c r="H194" s="8" t="s">
        <v>285</v>
      </c>
      <c r="I194" s="8" t="s">
        <v>387</v>
      </c>
      <c r="J194" s="8" t="s">
        <v>1100</v>
      </c>
      <c r="K194" s="8"/>
      <c r="L194" s="8" t="s">
        <v>1101</v>
      </c>
    </row>
    <row r="195" customFormat="false" ht="34.5" hidden="false" customHeight="true" outlineLevel="0" collapsed="false">
      <c r="A195" s="8" t="n">
        <v>163</v>
      </c>
      <c r="B195" s="8" t="s">
        <v>9</v>
      </c>
      <c r="C195" s="8" t="s">
        <v>1102</v>
      </c>
      <c r="D195" s="8" t="n">
        <v>2018</v>
      </c>
      <c r="E195" s="8" t="s">
        <v>1103</v>
      </c>
      <c r="F195" s="8" t="s">
        <v>143</v>
      </c>
      <c r="G195" s="8" t="s">
        <v>396</v>
      </c>
      <c r="H195" s="8" t="s">
        <v>145</v>
      </c>
      <c r="I195" s="8" t="s">
        <v>208</v>
      </c>
      <c r="J195" s="8" t="s">
        <v>1054</v>
      </c>
      <c r="K195" s="8"/>
      <c r="L195" s="8" t="s">
        <v>1104</v>
      </c>
    </row>
    <row r="196" customFormat="false" ht="23.25" hidden="false" customHeight="true" outlineLevel="0" collapsed="false">
      <c r="A196" s="8" t="n">
        <v>164</v>
      </c>
      <c r="B196" s="8" t="s">
        <v>9</v>
      </c>
      <c r="C196" s="8" t="s">
        <v>1105</v>
      </c>
      <c r="D196" s="8" t="n">
        <v>2006</v>
      </c>
      <c r="E196" s="8" t="s">
        <v>1106</v>
      </c>
      <c r="F196" s="8" t="s">
        <v>143</v>
      </c>
      <c r="G196" s="8" t="s">
        <v>798</v>
      </c>
      <c r="H196" s="8" t="s">
        <v>145</v>
      </c>
      <c r="I196" s="8" t="s">
        <v>387</v>
      </c>
      <c r="J196" s="8" t="s">
        <v>862</v>
      </c>
      <c r="K196" s="8"/>
      <c r="L196" s="8" t="s">
        <v>1107</v>
      </c>
    </row>
    <row r="197" customFormat="false" ht="23.25" hidden="false" customHeight="true" outlineLevel="0" collapsed="false">
      <c r="A197" s="8" t="n">
        <v>165</v>
      </c>
      <c r="B197" s="8" t="s">
        <v>9</v>
      </c>
      <c r="C197" s="8" t="s">
        <v>1108</v>
      </c>
      <c r="D197" s="8" t="n">
        <v>2017</v>
      </c>
      <c r="E197" s="8" t="s">
        <v>1109</v>
      </c>
      <c r="F197" s="8" t="s">
        <v>143</v>
      </c>
      <c r="G197" s="8" t="s">
        <v>1110</v>
      </c>
      <c r="H197" s="8" t="s">
        <v>1111</v>
      </c>
      <c r="I197" s="8" t="s">
        <v>208</v>
      </c>
      <c r="J197" s="8" t="s">
        <v>1112</v>
      </c>
      <c r="K197" s="8"/>
      <c r="L197" s="8" t="s">
        <v>1113</v>
      </c>
    </row>
    <row r="198" customFormat="false" ht="23.25" hidden="false" customHeight="true" outlineLevel="0" collapsed="false">
      <c r="A198" s="8" t="n">
        <v>166</v>
      </c>
      <c r="B198" s="8" t="s">
        <v>9</v>
      </c>
      <c r="C198" s="8" t="s">
        <v>1114</v>
      </c>
      <c r="D198" s="8" t="n">
        <v>2024</v>
      </c>
      <c r="E198" s="8" t="s">
        <v>1115</v>
      </c>
      <c r="F198" s="8" t="s">
        <v>143</v>
      </c>
      <c r="G198" s="8" t="s">
        <v>1116</v>
      </c>
      <c r="H198" s="8" t="s">
        <v>1117</v>
      </c>
      <c r="I198" s="8" t="s">
        <v>208</v>
      </c>
      <c r="J198" s="8" t="s">
        <v>1118</v>
      </c>
      <c r="K198" s="8"/>
      <c r="L198" s="8" t="s">
        <v>1119</v>
      </c>
    </row>
    <row r="199" customFormat="false" ht="23.25" hidden="false" customHeight="true" outlineLevel="0" collapsed="false">
      <c r="A199" s="8" t="n">
        <v>167</v>
      </c>
      <c r="B199" s="8" t="s">
        <v>9</v>
      </c>
      <c r="C199" s="8" t="s">
        <v>1120</v>
      </c>
      <c r="D199" s="8" t="n">
        <v>2013</v>
      </c>
      <c r="E199" s="8" t="s">
        <v>1121</v>
      </c>
      <c r="F199" s="8" t="s">
        <v>143</v>
      </c>
      <c r="G199" s="8" t="s">
        <v>1122</v>
      </c>
      <c r="H199" s="8" t="s">
        <v>1123</v>
      </c>
      <c r="I199" s="8" t="s">
        <v>208</v>
      </c>
      <c r="J199" s="8" t="s">
        <v>1124</v>
      </c>
      <c r="K199" s="8"/>
      <c r="L199" s="8" t="s">
        <v>1125</v>
      </c>
    </row>
    <row r="200" customFormat="false" ht="34.5" hidden="false" customHeight="true" outlineLevel="0" collapsed="false">
      <c r="A200" s="8" t="n">
        <v>168</v>
      </c>
      <c r="B200" s="8" t="s">
        <v>9</v>
      </c>
      <c r="C200" s="8" t="s">
        <v>1126</v>
      </c>
      <c r="D200" s="8" t="n">
        <v>2012</v>
      </c>
      <c r="E200" s="8" t="s">
        <v>1127</v>
      </c>
      <c r="F200" s="8" t="s">
        <v>143</v>
      </c>
      <c r="G200" s="8" t="s">
        <v>1128</v>
      </c>
      <c r="H200" s="8" t="s">
        <v>145</v>
      </c>
      <c r="I200" s="8" t="s">
        <v>387</v>
      </c>
      <c r="J200" s="8" t="s">
        <v>1129</v>
      </c>
      <c r="K200" s="8" t="s">
        <v>112</v>
      </c>
      <c r="L200" s="8" t="s">
        <v>1130</v>
      </c>
    </row>
    <row r="201" customFormat="false" ht="34.5" hidden="false" customHeight="true" outlineLevel="0" collapsed="false">
      <c r="A201" s="8" t="n">
        <v>169</v>
      </c>
      <c r="B201" s="8" t="s">
        <v>9</v>
      </c>
      <c r="C201" s="8" t="s">
        <v>1131</v>
      </c>
      <c r="D201" s="8" t="n">
        <v>2017</v>
      </c>
      <c r="E201" s="8" t="s">
        <v>1132</v>
      </c>
      <c r="F201" s="8" t="s">
        <v>151</v>
      </c>
      <c r="G201" s="8" t="s">
        <v>1133</v>
      </c>
      <c r="H201" s="8" t="s">
        <v>145</v>
      </c>
      <c r="I201" s="8" t="s">
        <v>387</v>
      </c>
      <c r="J201" s="8" t="s">
        <v>507</v>
      </c>
      <c r="K201" s="8" t="s">
        <v>112</v>
      </c>
      <c r="L201" s="8" t="s">
        <v>1134</v>
      </c>
    </row>
    <row r="202" customFormat="false" ht="34.5" hidden="false" customHeight="true" outlineLevel="0" collapsed="false">
      <c r="A202" s="8" t="n">
        <v>170</v>
      </c>
      <c r="B202" s="8" t="s">
        <v>9</v>
      </c>
      <c r="C202" s="8" t="s">
        <v>1135</v>
      </c>
      <c r="D202" s="8" t="n">
        <v>2021</v>
      </c>
      <c r="E202" s="8" t="s">
        <v>1136</v>
      </c>
      <c r="F202" s="8" t="s">
        <v>143</v>
      </c>
      <c r="G202" s="8" t="s">
        <v>1137</v>
      </c>
      <c r="H202" s="8" t="s">
        <v>1138</v>
      </c>
      <c r="I202" s="8" t="s">
        <v>146</v>
      </c>
      <c r="J202" s="8" t="s">
        <v>1139</v>
      </c>
      <c r="K202" s="8" t="s">
        <v>112</v>
      </c>
      <c r="L202" s="8" t="s">
        <v>1140</v>
      </c>
    </row>
    <row r="203" customFormat="false" ht="34.5" hidden="false" customHeight="true" outlineLevel="0" collapsed="false">
      <c r="A203" s="8" t="n">
        <v>171</v>
      </c>
      <c r="B203" s="8" t="s">
        <v>9</v>
      </c>
      <c r="C203" s="8" t="s">
        <v>1141</v>
      </c>
      <c r="D203" s="8" t="n">
        <v>2019</v>
      </c>
      <c r="E203" s="8" t="s">
        <v>1142</v>
      </c>
      <c r="F203" s="8" t="s">
        <v>151</v>
      </c>
      <c r="G203" s="8" t="s">
        <v>605</v>
      </c>
      <c r="H203" s="8" t="s">
        <v>1143</v>
      </c>
      <c r="I203" s="8" t="s">
        <v>146</v>
      </c>
      <c r="J203" s="8" t="s">
        <v>1144</v>
      </c>
      <c r="K203" s="8" t="s">
        <v>112</v>
      </c>
      <c r="L203" s="8" t="s">
        <v>1145</v>
      </c>
    </row>
    <row r="204" customFormat="false" ht="23.25" hidden="false" customHeight="true" outlineLevel="0" collapsed="false">
      <c r="A204" s="8" t="n">
        <v>172</v>
      </c>
      <c r="B204" s="8" t="s">
        <v>9</v>
      </c>
      <c r="C204" s="8" t="s">
        <v>1146</v>
      </c>
      <c r="D204" s="8" t="n">
        <v>2020</v>
      </c>
      <c r="E204" s="8" t="s">
        <v>1147</v>
      </c>
      <c r="F204" s="8" t="s">
        <v>143</v>
      </c>
      <c r="G204" s="8" t="s">
        <v>1148</v>
      </c>
      <c r="H204" s="8" t="s">
        <v>871</v>
      </c>
      <c r="I204" s="8" t="s">
        <v>146</v>
      </c>
      <c r="J204" s="8" t="s">
        <v>1149</v>
      </c>
      <c r="K204" s="8" t="s">
        <v>112</v>
      </c>
      <c r="L204" s="8" t="s">
        <v>1150</v>
      </c>
    </row>
    <row r="205" customFormat="false" ht="34.5" hidden="false" customHeight="true" outlineLevel="0" collapsed="false">
      <c r="A205" s="9" t="n">
        <v>173</v>
      </c>
      <c r="B205" s="10" t="s">
        <v>9</v>
      </c>
      <c r="C205" s="10" t="s">
        <v>1151</v>
      </c>
      <c r="D205" s="10" t="n">
        <v>2018</v>
      </c>
      <c r="E205" s="10" t="s">
        <v>1152</v>
      </c>
      <c r="F205" s="10" t="s">
        <v>151</v>
      </c>
      <c r="G205" s="10" t="s">
        <v>1080</v>
      </c>
      <c r="H205" s="10" t="s">
        <v>1153</v>
      </c>
      <c r="I205" s="10" t="s">
        <v>387</v>
      </c>
      <c r="J205" s="10" t="s">
        <v>1154</v>
      </c>
      <c r="K205" s="10" t="s">
        <v>112</v>
      </c>
      <c r="L205" s="10" t="s">
        <v>1155</v>
      </c>
    </row>
    <row r="206" customFormat="false" ht="34.5" hidden="false" customHeight="true" outlineLevel="0" collapsed="false">
      <c r="A206" s="11" t="n">
        <v>173</v>
      </c>
      <c r="B206" s="12" t="s">
        <v>23</v>
      </c>
      <c r="C206" s="12" t="s">
        <v>1151</v>
      </c>
      <c r="D206" s="12" t="n">
        <v>2018</v>
      </c>
      <c r="E206" s="12" t="s">
        <v>1156</v>
      </c>
      <c r="F206" s="12" t="s">
        <v>151</v>
      </c>
      <c r="G206" s="12" t="s">
        <v>626</v>
      </c>
      <c r="H206" s="12" t="s">
        <v>145</v>
      </c>
      <c r="I206" s="12" t="s">
        <v>387</v>
      </c>
      <c r="J206" s="12" t="s">
        <v>1157</v>
      </c>
      <c r="K206" s="12" t="s">
        <v>112</v>
      </c>
      <c r="L206" s="12" t="s">
        <v>1158</v>
      </c>
    </row>
    <row r="207" customFormat="false" ht="34.5" hidden="false" customHeight="true" outlineLevel="0" collapsed="false">
      <c r="A207" s="11" t="n">
        <v>173</v>
      </c>
      <c r="B207" s="12" t="s">
        <v>27</v>
      </c>
      <c r="C207" s="12" t="s">
        <v>1151</v>
      </c>
      <c r="D207" s="12" t="n">
        <v>2018</v>
      </c>
      <c r="E207" s="12" t="s">
        <v>1156</v>
      </c>
      <c r="F207" s="12" t="s">
        <v>151</v>
      </c>
      <c r="G207" s="12" t="s">
        <v>610</v>
      </c>
      <c r="H207" s="12" t="s">
        <v>1159</v>
      </c>
      <c r="I207" s="12" t="s">
        <v>387</v>
      </c>
      <c r="J207" s="12" t="s">
        <v>1160</v>
      </c>
      <c r="K207" s="12" t="s">
        <v>112</v>
      </c>
      <c r="L207" s="12" t="s">
        <v>1161</v>
      </c>
    </row>
    <row r="208" customFormat="false" ht="23.25" hidden="false" customHeight="true" outlineLevel="0" collapsed="false">
      <c r="A208" s="11" t="n">
        <v>173</v>
      </c>
      <c r="B208" s="12" t="s">
        <v>81</v>
      </c>
      <c r="C208" s="12" t="s">
        <v>1151</v>
      </c>
      <c r="D208" s="12" t="n">
        <v>2018</v>
      </c>
      <c r="E208" s="12" t="s">
        <v>1152</v>
      </c>
      <c r="F208" s="12" t="s">
        <v>1162</v>
      </c>
      <c r="G208" s="12" t="s">
        <v>1163</v>
      </c>
      <c r="H208" s="12" t="s">
        <v>1159</v>
      </c>
      <c r="I208" s="12" t="s">
        <v>153</v>
      </c>
      <c r="J208" s="12" t="s">
        <v>1164</v>
      </c>
      <c r="K208" s="12" t="s">
        <v>112</v>
      </c>
      <c r="L208" s="12" t="s">
        <v>1165</v>
      </c>
    </row>
    <row r="209" customFormat="false" ht="34.5" hidden="false" customHeight="true" outlineLevel="0" collapsed="false">
      <c r="A209" s="8" t="n">
        <v>174</v>
      </c>
      <c r="B209" s="8" t="s">
        <v>9</v>
      </c>
      <c r="C209" s="8" t="s">
        <v>1166</v>
      </c>
      <c r="D209" s="8" t="n">
        <v>2018</v>
      </c>
      <c r="E209" s="8" t="s">
        <v>1167</v>
      </c>
      <c r="F209" s="8" t="s">
        <v>143</v>
      </c>
      <c r="G209" s="8" t="s">
        <v>1168</v>
      </c>
      <c r="H209" s="8" t="s">
        <v>145</v>
      </c>
      <c r="I209" s="8" t="s">
        <v>146</v>
      </c>
      <c r="J209" s="8" t="s">
        <v>1169</v>
      </c>
      <c r="K209" s="8" t="s">
        <v>112</v>
      </c>
      <c r="L209" s="8" t="s">
        <v>1170</v>
      </c>
    </row>
    <row r="210" customFormat="false" ht="34.5" hidden="false" customHeight="true" outlineLevel="0" collapsed="false">
      <c r="A210" s="9" t="n">
        <v>175</v>
      </c>
      <c r="B210" s="10" t="s">
        <v>9</v>
      </c>
      <c r="C210" s="10" t="s">
        <v>1171</v>
      </c>
      <c r="D210" s="10" t="n">
        <v>2017</v>
      </c>
      <c r="E210" s="10" t="s">
        <v>1172</v>
      </c>
      <c r="F210" s="10" t="s">
        <v>143</v>
      </c>
      <c r="G210" s="10" t="s">
        <v>1173</v>
      </c>
      <c r="H210" s="10" t="s">
        <v>187</v>
      </c>
      <c r="I210" s="10" t="s">
        <v>146</v>
      </c>
      <c r="J210" s="10" t="s">
        <v>1174</v>
      </c>
      <c r="K210" s="10" t="s">
        <v>112</v>
      </c>
      <c r="L210" s="10" t="s">
        <v>1175</v>
      </c>
    </row>
    <row r="211" customFormat="false" ht="34.5" hidden="false" customHeight="true" outlineLevel="0" collapsed="false">
      <c r="A211" s="11" t="n">
        <v>175</v>
      </c>
      <c r="B211" s="12" t="s">
        <v>27</v>
      </c>
      <c r="C211" s="12" t="s">
        <v>1171</v>
      </c>
      <c r="D211" s="12" t="n">
        <v>2017</v>
      </c>
      <c r="E211" s="12" t="s">
        <v>1176</v>
      </c>
      <c r="F211" s="12" t="s">
        <v>151</v>
      </c>
      <c r="G211" s="12" t="s">
        <v>1177</v>
      </c>
      <c r="H211" s="12" t="s">
        <v>187</v>
      </c>
      <c r="I211" s="12" t="s">
        <v>146</v>
      </c>
      <c r="J211" s="12" t="s">
        <v>1174</v>
      </c>
      <c r="K211" s="12" t="s">
        <v>112</v>
      </c>
      <c r="L211" s="12" t="s">
        <v>1178</v>
      </c>
    </row>
    <row r="212" customFormat="false" ht="34.5" hidden="false" customHeight="true" outlineLevel="0" collapsed="false">
      <c r="A212" s="11" t="n">
        <v>175</v>
      </c>
      <c r="B212" s="12" t="s">
        <v>37</v>
      </c>
      <c r="C212" s="12" t="s">
        <v>1179</v>
      </c>
      <c r="D212" s="12" t="n">
        <v>2017</v>
      </c>
      <c r="E212" s="12" t="s">
        <v>1180</v>
      </c>
      <c r="F212" s="12" t="s">
        <v>151</v>
      </c>
      <c r="G212" s="12" t="s">
        <v>1181</v>
      </c>
      <c r="H212" s="12" t="s">
        <v>187</v>
      </c>
      <c r="I212" s="12" t="s">
        <v>146</v>
      </c>
      <c r="J212" s="12" t="s">
        <v>1182</v>
      </c>
      <c r="K212" s="12" t="s">
        <v>112</v>
      </c>
      <c r="L212" s="12" t="s">
        <v>1183</v>
      </c>
    </row>
    <row r="213" customFormat="false" ht="34.5" hidden="false" customHeight="true" outlineLevel="0" collapsed="false">
      <c r="A213" s="13" t="n">
        <v>176</v>
      </c>
      <c r="B213" s="14" t="s">
        <v>9</v>
      </c>
      <c r="C213" s="14" t="s">
        <v>1184</v>
      </c>
      <c r="D213" s="14" t="n">
        <v>2011</v>
      </c>
      <c r="E213" s="14" t="s">
        <v>1185</v>
      </c>
      <c r="F213" s="14" t="s">
        <v>143</v>
      </c>
      <c r="G213" s="14" t="s">
        <v>605</v>
      </c>
      <c r="H213" s="14" t="s">
        <v>1186</v>
      </c>
      <c r="I213" s="14" t="s">
        <v>748</v>
      </c>
      <c r="J213" s="14" t="s">
        <v>1187</v>
      </c>
      <c r="K213" s="14" t="s">
        <v>112</v>
      </c>
      <c r="L213" s="14" t="s">
        <v>1188</v>
      </c>
    </row>
    <row r="214" customFormat="false" ht="34.5" hidden="false" customHeight="true" outlineLevel="0" collapsed="false">
      <c r="A214" s="15" t="n">
        <v>176</v>
      </c>
      <c r="B214" s="16" t="s">
        <v>81</v>
      </c>
      <c r="C214" s="16" t="s">
        <v>1184</v>
      </c>
      <c r="D214" s="16" t="n">
        <v>2011</v>
      </c>
      <c r="E214" s="16" t="s">
        <v>1185</v>
      </c>
      <c r="F214" s="16" t="s">
        <v>201</v>
      </c>
      <c r="G214" s="16" t="s">
        <v>1189</v>
      </c>
      <c r="H214" s="16" t="s">
        <v>1186</v>
      </c>
      <c r="I214" s="16" t="s">
        <v>208</v>
      </c>
      <c r="J214" s="16" t="s">
        <v>1190</v>
      </c>
      <c r="K214" s="16" t="s">
        <v>112</v>
      </c>
      <c r="L214" s="16" t="s">
        <v>1191</v>
      </c>
    </row>
    <row r="215" customFormat="false" ht="23.25" hidden="false" customHeight="true" outlineLevel="0" collapsed="false">
      <c r="A215" s="8" t="n">
        <v>177</v>
      </c>
      <c r="B215" s="8" t="s">
        <v>9</v>
      </c>
      <c r="C215" s="8" t="s">
        <v>1192</v>
      </c>
      <c r="D215" s="8" t="n">
        <v>2021</v>
      </c>
      <c r="E215" s="8" t="s">
        <v>1193</v>
      </c>
      <c r="F215" s="8" t="s">
        <v>143</v>
      </c>
      <c r="G215" s="8" t="s">
        <v>621</v>
      </c>
      <c r="H215" s="8" t="s">
        <v>145</v>
      </c>
      <c r="I215" s="8" t="s">
        <v>146</v>
      </c>
      <c r="J215" s="8" t="s">
        <v>623</v>
      </c>
      <c r="K215" s="8" t="s">
        <v>112</v>
      </c>
      <c r="L215" s="8" t="s">
        <v>1194</v>
      </c>
    </row>
    <row r="216" customFormat="false" ht="34.5" hidden="false" customHeight="true" outlineLevel="0" collapsed="false">
      <c r="A216" s="13" t="n">
        <v>178</v>
      </c>
      <c r="B216" s="14" t="s">
        <v>9</v>
      </c>
      <c r="C216" s="14" t="s">
        <v>1195</v>
      </c>
      <c r="D216" s="14" t="n">
        <v>2022</v>
      </c>
      <c r="E216" s="14" t="s">
        <v>1196</v>
      </c>
      <c r="F216" s="14" t="s">
        <v>151</v>
      </c>
      <c r="G216" s="14" t="s">
        <v>1197</v>
      </c>
      <c r="H216" s="14" t="s">
        <v>1198</v>
      </c>
      <c r="I216" s="14" t="s">
        <v>146</v>
      </c>
      <c r="J216" s="14" t="s">
        <v>1199</v>
      </c>
      <c r="K216" s="14" t="s">
        <v>112</v>
      </c>
      <c r="L216" s="14" t="s">
        <v>1200</v>
      </c>
    </row>
    <row r="217" customFormat="false" ht="34.5" hidden="false" customHeight="true" outlineLevel="0" collapsed="false">
      <c r="A217" s="15" t="n">
        <v>178</v>
      </c>
      <c r="B217" s="16" t="s">
        <v>23</v>
      </c>
      <c r="C217" s="16" t="s">
        <v>1195</v>
      </c>
      <c r="D217" s="16" t="n">
        <v>2022</v>
      </c>
      <c r="E217" s="16" t="s">
        <v>1201</v>
      </c>
      <c r="F217" s="16" t="s">
        <v>151</v>
      </c>
      <c r="G217" s="16" t="s">
        <v>1202</v>
      </c>
      <c r="H217" s="16" t="s">
        <v>1198</v>
      </c>
      <c r="I217" s="16" t="s">
        <v>146</v>
      </c>
      <c r="J217" s="16" t="s">
        <v>1203</v>
      </c>
      <c r="K217" s="16" t="s">
        <v>112</v>
      </c>
      <c r="L217" s="16" t="s">
        <v>1204</v>
      </c>
    </row>
    <row r="218" customFormat="false" ht="34.5" hidden="false" customHeight="true" outlineLevel="0" collapsed="false">
      <c r="A218" s="15" t="n">
        <v>178</v>
      </c>
      <c r="B218" s="16" t="s">
        <v>27</v>
      </c>
      <c r="C218" s="16" t="s">
        <v>1195</v>
      </c>
      <c r="D218" s="16" t="n">
        <v>2022</v>
      </c>
      <c r="E218" s="16" t="s">
        <v>1201</v>
      </c>
      <c r="F218" s="16" t="s">
        <v>151</v>
      </c>
      <c r="G218" s="16" t="s">
        <v>1205</v>
      </c>
      <c r="H218" s="16" t="s">
        <v>1198</v>
      </c>
      <c r="I218" s="16" t="s">
        <v>146</v>
      </c>
      <c r="J218" s="16" t="s">
        <v>1199</v>
      </c>
      <c r="K218" s="16" t="s">
        <v>112</v>
      </c>
      <c r="L218" s="16" t="s">
        <v>1206</v>
      </c>
    </row>
    <row r="219" customFormat="false" ht="23.25" hidden="false" customHeight="true" outlineLevel="0" collapsed="false">
      <c r="A219" s="9" t="n">
        <v>179</v>
      </c>
      <c r="B219" s="10" t="s">
        <v>9</v>
      </c>
      <c r="C219" s="10" t="s">
        <v>1207</v>
      </c>
      <c r="D219" s="10" t="n">
        <v>2024</v>
      </c>
      <c r="E219" s="10" t="s">
        <v>1208</v>
      </c>
      <c r="F219" s="10" t="s">
        <v>143</v>
      </c>
      <c r="G219" s="10" t="s">
        <v>1080</v>
      </c>
      <c r="H219" s="10" t="s">
        <v>1209</v>
      </c>
      <c r="I219" s="10" t="s">
        <v>146</v>
      </c>
      <c r="J219" s="10" t="s">
        <v>1210</v>
      </c>
      <c r="K219" s="10" t="s">
        <v>112</v>
      </c>
      <c r="L219" s="10" t="s">
        <v>1211</v>
      </c>
    </row>
    <row r="220" customFormat="false" ht="34.5" hidden="false" customHeight="true" outlineLevel="0" collapsed="false">
      <c r="A220" s="11" t="n">
        <v>179</v>
      </c>
      <c r="B220" s="12" t="s">
        <v>29</v>
      </c>
      <c r="C220" s="12" t="s">
        <v>1207</v>
      </c>
      <c r="D220" s="12" t="n">
        <v>2024</v>
      </c>
      <c r="E220" s="12" t="s">
        <v>1212</v>
      </c>
      <c r="F220" s="12" t="s">
        <v>201</v>
      </c>
      <c r="G220" s="12" t="s">
        <v>396</v>
      </c>
      <c r="H220" s="12" t="s">
        <v>1213</v>
      </c>
      <c r="I220" s="12" t="s">
        <v>146</v>
      </c>
      <c r="J220" s="12" t="s">
        <v>1214</v>
      </c>
      <c r="K220" s="12" t="s">
        <v>112</v>
      </c>
      <c r="L220" s="12" t="s">
        <v>1215</v>
      </c>
    </row>
    <row r="221" customFormat="false" ht="34.5" hidden="false" customHeight="true" outlineLevel="0" collapsed="false">
      <c r="A221" s="8" t="n">
        <v>180</v>
      </c>
      <c r="B221" s="8" t="s">
        <v>9</v>
      </c>
      <c r="C221" s="8" t="s">
        <v>1216</v>
      </c>
      <c r="D221" s="8" t="n">
        <v>2021</v>
      </c>
      <c r="E221" s="8" t="s">
        <v>1217</v>
      </c>
      <c r="F221" s="8" t="s">
        <v>151</v>
      </c>
      <c r="G221" s="8" t="s">
        <v>925</v>
      </c>
      <c r="H221" s="8" t="s">
        <v>871</v>
      </c>
      <c r="I221" s="8" t="s">
        <v>146</v>
      </c>
      <c r="J221" s="8" t="s">
        <v>623</v>
      </c>
      <c r="K221" s="8" t="s">
        <v>112</v>
      </c>
      <c r="L221" s="8" t="s">
        <v>1218</v>
      </c>
    </row>
    <row r="222" customFormat="false" ht="23.25" hidden="false" customHeight="true" outlineLevel="0" collapsed="false">
      <c r="A222" s="8" t="n">
        <v>181</v>
      </c>
      <c r="B222" s="8" t="s">
        <v>9</v>
      </c>
      <c r="C222" s="8" t="s">
        <v>1219</v>
      </c>
      <c r="D222" s="8" t="n">
        <v>2017</v>
      </c>
      <c r="E222" s="8" t="s">
        <v>1220</v>
      </c>
      <c r="F222" s="8" t="s">
        <v>151</v>
      </c>
      <c r="G222" s="8" t="s">
        <v>1148</v>
      </c>
      <c r="H222" s="8" t="s">
        <v>1117</v>
      </c>
      <c r="I222" s="8" t="s">
        <v>146</v>
      </c>
      <c r="J222" s="8" t="s">
        <v>1221</v>
      </c>
      <c r="K222" s="8" t="s">
        <v>112</v>
      </c>
      <c r="L222" s="8" t="s">
        <v>1222</v>
      </c>
    </row>
    <row r="223" customFormat="false" ht="34.5" hidden="false" customHeight="true" outlineLevel="0" collapsed="false">
      <c r="A223" s="13" t="n">
        <v>182</v>
      </c>
      <c r="B223" s="14" t="s">
        <v>9</v>
      </c>
      <c r="C223" s="14" t="s">
        <v>1223</v>
      </c>
      <c r="D223" s="14" t="n">
        <v>2015</v>
      </c>
      <c r="E223" s="14" t="s">
        <v>1224</v>
      </c>
      <c r="F223" s="14" t="s">
        <v>143</v>
      </c>
      <c r="G223" s="14" t="s">
        <v>1225</v>
      </c>
      <c r="H223" s="14" t="s">
        <v>1226</v>
      </c>
      <c r="I223" s="14" t="s">
        <v>146</v>
      </c>
      <c r="J223" s="14" t="s">
        <v>1227</v>
      </c>
      <c r="K223" s="14" t="s">
        <v>112</v>
      </c>
      <c r="L223" s="14" t="s">
        <v>1228</v>
      </c>
    </row>
    <row r="224" customFormat="false" ht="34.5" hidden="false" customHeight="true" outlineLevel="0" collapsed="false">
      <c r="A224" s="15" t="n">
        <v>182</v>
      </c>
      <c r="B224" s="16" t="s">
        <v>19</v>
      </c>
      <c r="C224" s="16" t="s">
        <v>1223</v>
      </c>
      <c r="D224" s="16" t="n">
        <v>2015</v>
      </c>
      <c r="E224" s="16" t="s">
        <v>1229</v>
      </c>
      <c r="F224" s="16" t="s">
        <v>143</v>
      </c>
      <c r="G224" s="16" t="s">
        <v>1230</v>
      </c>
      <c r="H224" s="16" t="s">
        <v>1226</v>
      </c>
      <c r="I224" s="16" t="s">
        <v>387</v>
      </c>
      <c r="J224" s="16" t="s">
        <v>1231</v>
      </c>
      <c r="K224" s="16" t="s">
        <v>112</v>
      </c>
      <c r="L224" s="16" t="s">
        <v>1232</v>
      </c>
    </row>
    <row r="225" customFormat="false" ht="34.5" hidden="false" customHeight="true" outlineLevel="0" collapsed="false">
      <c r="A225" s="15" t="n">
        <v>182</v>
      </c>
      <c r="B225" s="16" t="s">
        <v>41</v>
      </c>
      <c r="C225" s="16" t="s">
        <v>1223</v>
      </c>
      <c r="D225" s="16" t="n">
        <v>2015</v>
      </c>
      <c r="E225" s="16" t="s">
        <v>1224</v>
      </c>
      <c r="F225" s="16" t="s">
        <v>143</v>
      </c>
      <c r="G225" s="16" t="s">
        <v>1233</v>
      </c>
      <c r="H225" s="16" t="s">
        <v>1234</v>
      </c>
      <c r="I225" s="16" t="s">
        <v>146</v>
      </c>
      <c r="J225" s="16" t="s">
        <v>1235</v>
      </c>
      <c r="K225" s="16" t="s">
        <v>112</v>
      </c>
      <c r="L225" s="16" t="s">
        <v>1236</v>
      </c>
    </row>
    <row r="226" customFormat="false" ht="34.5" hidden="false" customHeight="true" outlineLevel="0" collapsed="false">
      <c r="A226" s="8" t="n">
        <v>183</v>
      </c>
      <c r="B226" s="8" t="s">
        <v>9</v>
      </c>
      <c r="C226" s="8" t="s">
        <v>1237</v>
      </c>
      <c r="D226" s="8" t="n">
        <v>2020</v>
      </c>
      <c r="E226" s="8" t="s">
        <v>1238</v>
      </c>
      <c r="F226" s="8" t="s">
        <v>143</v>
      </c>
      <c r="G226" s="8" t="s">
        <v>1239</v>
      </c>
      <c r="H226" s="8" t="s">
        <v>145</v>
      </c>
      <c r="I226" s="8" t="s">
        <v>208</v>
      </c>
      <c r="J226" s="8" t="s">
        <v>1240</v>
      </c>
      <c r="K226" s="8" t="s">
        <v>112</v>
      </c>
      <c r="L226" s="8" t="s">
        <v>1241</v>
      </c>
    </row>
    <row r="227" customFormat="false" ht="23.25" hidden="false" customHeight="true" outlineLevel="0" collapsed="false">
      <c r="A227" s="8" t="n">
        <v>184</v>
      </c>
      <c r="B227" s="8" t="s">
        <v>9</v>
      </c>
      <c r="C227" s="8" t="s">
        <v>1242</v>
      </c>
      <c r="D227" s="8" t="n">
        <v>2019</v>
      </c>
      <c r="E227" s="8" t="s">
        <v>1243</v>
      </c>
      <c r="F227" s="8" t="s">
        <v>143</v>
      </c>
      <c r="G227" s="8" t="s">
        <v>1244</v>
      </c>
      <c r="H227" s="8" t="s">
        <v>1245</v>
      </c>
      <c r="I227" s="8" t="s">
        <v>748</v>
      </c>
      <c r="J227" s="8" t="s">
        <v>1246</v>
      </c>
      <c r="K227" s="8" t="s">
        <v>112</v>
      </c>
      <c r="L227" s="8" t="s">
        <v>1247</v>
      </c>
    </row>
    <row r="228" customFormat="false" ht="34.5" hidden="false" customHeight="true" outlineLevel="0" collapsed="false">
      <c r="A228" s="8" t="n">
        <v>185</v>
      </c>
      <c r="B228" s="8" t="s">
        <v>9</v>
      </c>
      <c r="C228" s="8" t="s">
        <v>1248</v>
      </c>
      <c r="D228" s="8" t="n">
        <v>2021</v>
      </c>
      <c r="E228" s="8" t="s">
        <v>1249</v>
      </c>
      <c r="F228" s="8" t="s">
        <v>143</v>
      </c>
      <c r="G228" s="8" t="s">
        <v>798</v>
      </c>
      <c r="H228" s="8" t="s">
        <v>145</v>
      </c>
      <c r="I228" s="8" t="s">
        <v>146</v>
      </c>
      <c r="J228" s="8" t="s">
        <v>623</v>
      </c>
      <c r="K228" s="8" t="s">
        <v>112</v>
      </c>
      <c r="L228" s="8" t="s">
        <v>1250</v>
      </c>
    </row>
    <row r="229" customFormat="false" ht="34.5" hidden="false" customHeight="true" outlineLevel="0" collapsed="false">
      <c r="A229" s="8" t="n">
        <v>186</v>
      </c>
      <c r="B229" s="8" t="s">
        <v>9</v>
      </c>
      <c r="C229" s="8" t="s">
        <v>1251</v>
      </c>
      <c r="D229" s="8" t="n">
        <v>2016</v>
      </c>
      <c r="E229" s="8" t="s">
        <v>1252</v>
      </c>
      <c r="F229" s="8" t="s">
        <v>151</v>
      </c>
      <c r="G229" s="8" t="s">
        <v>1253</v>
      </c>
      <c r="H229" s="8" t="s">
        <v>187</v>
      </c>
      <c r="I229" s="8" t="s">
        <v>146</v>
      </c>
      <c r="J229" s="8" t="s">
        <v>1254</v>
      </c>
      <c r="K229" s="8" t="s">
        <v>112</v>
      </c>
      <c r="L229" s="8" t="s">
        <v>1255</v>
      </c>
    </row>
    <row r="230" customFormat="false" ht="34.5" hidden="false" customHeight="true" outlineLevel="0" collapsed="false">
      <c r="A230" s="8" t="n">
        <v>187</v>
      </c>
      <c r="B230" s="8" t="s">
        <v>9</v>
      </c>
      <c r="C230" s="8" t="s">
        <v>1256</v>
      </c>
      <c r="D230" s="8" t="n">
        <v>2024</v>
      </c>
      <c r="E230" s="8" t="s">
        <v>1257</v>
      </c>
      <c r="F230" s="8" t="s">
        <v>143</v>
      </c>
      <c r="G230" s="8" t="s">
        <v>1258</v>
      </c>
      <c r="H230" s="8" t="s">
        <v>145</v>
      </c>
      <c r="I230" s="8" t="s">
        <v>146</v>
      </c>
      <c r="J230" s="8" t="s">
        <v>1259</v>
      </c>
      <c r="K230" s="8" t="s">
        <v>112</v>
      </c>
      <c r="L230" s="8" t="s">
        <v>1260</v>
      </c>
    </row>
    <row r="231" customFormat="false" ht="23.25" hidden="false" customHeight="true" outlineLevel="0" collapsed="false">
      <c r="A231" s="13" t="n">
        <v>188</v>
      </c>
      <c r="B231" s="14" t="s">
        <v>9</v>
      </c>
      <c r="C231" s="14" t="s">
        <v>1261</v>
      </c>
      <c r="D231" s="14" t="n">
        <v>2018</v>
      </c>
      <c r="E231" s="14" t="s">
        <v>1262</v>
      </c>
      <c r="F231" s="14" t="s">
        <v>143</v>
      </c>
      <c r="G231" s="14" t="s">
        <v>798</v>
      </c>
      <c r="H231" s="14" t="s">
        <v>145</v>
      </c>
      <c r="I231" s="14" t="s">
        <v>387</v>
      </c>
      <c r="J231" s="14" t="s">
        <v>507</v>
      </c>
      <c r="K231" s="14" t="s">
        <v>112</v>
      </c>
      <c r="L231" s="14" t="s">
        <v>1263</v>
      </c>
    </row>
    <row r="232" customFormat="false" ht="34.5" hidden="false" customHeight="true" outlineLevel="0" collapsed="false">
      <c r="A232" s="15" t="n">
        <v>188</v>
      </c>
      <c r="B232" s="16" t="s">
        <v>51</v>
      </c>
      <c r="C232" s="16" t="s">
        <v>1261</v>
      </c>
      <c r="D232" s="16" t="n">
        <v>2018</v>
      </c>
      <c r="E232" s="16" t="s">
        <v>1262</v>
      </c>
      <c r="F232" s="16" t="s">
        <v>143</v>
      </c>
      <c r="G232" s="16" t="s">
        <v>1264</v>
      </c>
      <c r="H232" s="16" t="s">
        <v>145</v>
      </c>
      <c r="I232" s="16" t="s">
        <v>153</v>
      </c>
      <c r="J232" s="16" t="s">
        <v>1265</v>
      </c>
      <c r="K232" s="16" t="s">
        <v>112</v>
      </c>
      <c r="L232" s="16" t="s">
        <v>1266</v>
      </c>
    </row>
    <row r="233" customFormat="false" ht="34.5" hidden="false" customHeight="true" outlineLevel="0" collapsed="false">
      <c r="A233" s="8" t="n">
        <v>189</v>
      </c>
      <c r="B233" s="8" t="s">
        <v>9</v>
      </c>
      <c r="C233" s="8" t="s">
        <v>1261</v>
      </c>
      <c r="D233" s="8" t="n">
        <v>2025</v>
      </c>
      <c r="E233" s="8" t="s">
        <v>1267</v>
      </c>
      <c r="F233" s="8" t="s">
        <v>143</v>
      </c>
      <c r="G233" s="8" t="s">
        <v>1080</v>
      </c>
      <c r="H233" s="8" t="s">
        <v>145</v>
      </c>
      <c r="I233" s="8" t="s">
        <v>387</v>
      </c>
      <c r="J233" s="8" t="s">
        <v>507</v>
      </c>
      <c r="K233" s="8" t="s">
        <v>112</v>
      </c>
      <c r="L233" s="8" t="s">
        <v>1268</v>
      </c>
    </row>
    <row r="234" customFormat="false" ht="34.5" hidden="false" customHeight="true" outlineLevel="0" collapsed="false">
      <c r="A234" s="8" t="n">
        <v>190</v>
      </c>
      <c r="B234" s="8" t="s">
        <v>9</v>
      </c>
      <c r="C234" s="8" t="s">
        <v>619</v>
      </c>
      <c r="D234" s="8" t="n">
        <v>2024</v>
      </c>
      <c r="E234" s="8" t="s">
        <v>1269</v>
      </c>
      <c r="F234" s="8" t="s">
        <v>151</v>
      </c>
      <c r="G234" s="8" t="s">
        <v>1080</v>
      </c>
      <c r="H234" s="8" t="s">
        <v>1209</v>
      </c>
      <c r="I234" s="8" t="s">
        <v>146</v>
      </c>
      <c r="J234" s="8" t="s">
        <v>1270</v>
      </c>
      <c r="K234" s="8" t="s">
        <v>112</v>
      </c>
      <c r="L234" s="8" t="s">
        <v>1271</v>
      </c>
    </row>
    <row r="235" customFormat="false" ht="23.25" hidden="false" customHeight="true" outlineLevel="0" collapsed="false">
      <c r="A235" s="9" t="n">
        <v>191</v>
      </c>
      <c r="B235" s="10" t="s">
        <v>9</v>
      </c>
      <c r="C235" s="10" t="s">
        <v>1272</v>
      </c>
      <c r="D235" s="10" t="n">
        <v>2021</v>
      </c>
      <c r="E235" s="10" t="s">
        <v>1273</v>
      </c>
      <c r="F235" s="10" t="s">
        <v>143</v>
      </c>
      <c r="G235" s="10" t="s">
        <v>798</v>
      </c>
      <c r="H235" s="10" t="s">
        <v>1274</v>
      </c>
      <c r="I235" s="10" t="s">
        <v>146</v>
      </c>
      <c r="J235" s="10" t="s">
        <v>1275</v>
      </c>
      <c r="K235" s="10" t="s">
        <v>112</v>
      </c>
      <c r="L235" s="10" t="s">
        <v>1276</v>
      </c>
    </row>
    <row r="236" customFormat="false" ht="34.5" hidden="false" customHeight="true" outlineLevel="0" collapsed="false">
      <c r="A236" s="11" t="n">
        <v>191</v>
      </c>
      <c r="B236" s="12" t="s">
        <v>27</v>
      </c>
      <c r="C236" s="12" t="s">
        <v>1272</v>
      </c>
      <c r="D236" s="12" t="n">
        <v>2021</v>
      </c>
      <c r="E236" s="12" t="s">
        <v>1277</v>
      </c>
      <c r="F236" s="12" t="s">
        <v>151</v>
      </c>
      <c r="G236" s="12" t="s">
        <v>1278</v>
      </c>
      <c r="H236" s="12" t="s">
        <v>1274</v>
      </c>
      <c r="I236" s="12" t="s">
        <v>146</v>
      </c>
      <c r="J236" s="12" t="s">
        <v>1279</v>
      </c>
      <c r="K236" s="12" t="s">
        <v>112</v>
      </c>
      <c r="L236" s="12" t="s">
        <v>1280</v>
      </c>
    </row>
    <row r="237" customFormat="false" ht="23.25" hidden="false" customHeight="true" outlineLevel="0" collapsed="false">
      <c r="A237" s="8" t="n">
        <v>192</v>
      </c>
      <c r="B237" s="8" t="s">
        <v>9</v>
      </c>
      <c r="C237" s="8" t="s">
        <v>1281</v>
      </c>
      <c r="D237" s="8" t="n">
        <v>2009</v>
      </c>
      <c r="E237" s="8" t="s">
        <v>1282</v>
      </c>
      <c r="F237" s="8" t="s">
        <v>143</v>
      </c>
      <c r="G237" s="8" t="s">
        <v>1148</v>
      </c>
      <c r="H237" s="8" t="s">
        <v>145</v>
      </c>
      <c r="I237" s="8" t="s">
        <v>146</v>
      </c>
      <c r="J237" s="8" t="s">
        <v>623</v>
      </c>
      <c r="K237" s="8" t="s">
        <v>112</v>
      </c>
      <c r="L237" s="8" t="s">
        <v>1283</v>
      </c>
    </row>
    <row r="238" customFormat="false" ht="34.5" hidden="false" customHeight="true" outlineLevel="0" collapsed="false">
      <c r="A238" s="8" t="n">
        <v>193</v>
      </c>
      <c r="B238" s="8" t="s">
        <v>9</v>
      </c>
      <c r="C238" s="8" t="s">
        <v>1284</v>
      </c>
      <c r="D238" s="8" t="n">
        <v>2009</v>
      </c>
      <c r="E238" s="8" t="s">
        <v>1285</v>
      </c>
      <c r="F238" s="8" t="s">
        <v>151</v>
      </c>
      <c r="G238" s="8" t="s">
        <v>798</v>
      </c>
      <c r="H238" s="8" t="s">
        <v>145</v>
      </c>
      <c r="I238" s="8" t="s">
        <v>146</v>
      </c>
      <c r="J238" s="8" t="s">
        <v>1286</v>
      </c>
      <c r="K238" s="8" t="s">
        <v>112</v>
      </c>
      <c r="L238" s="8" t="s">
        <v>1287</v>
      </c>
    </row>
    <row r="239" customFormat="false" ht="34.5" hidden="false" customHeight="true" outlineLevel="0" collapsed="false">
      <c r="A239" s="8" t="n">
        <v>194</v>
      </c>
      <c r="B239" s="8" t="s">
        <v>9</v>
      </c>
      <c r="C239" s="8" t="s">
        <v>1288</v>
      </c>
      <c r="D239" s="8" t="n">
        <v>2023</v>
      </c>
      <c r="E239" s="8" t="s">
        <v>1289</v>
      </c>
      <c r="F239" s="8" t="s">
        <v>151</v>
      </c>
      <c r="G239" s="8" t="s">
        <v>1290</v>
      </c>
      <c r="H239" s="8" t="s">
        <v>1291</v>
      </c>
      <c r="I239" s="8" t="s">
        <v>387</v>
      </c>
      <c r="J239" s="8" t="s">
        <v>1292</v>
      </c>
      <c r="K239" s="8" t="s">
        <v>114</v>
      </c>
      <c r="L239" s="8" t="s">
        <v>1293</v>
      </c>
    </row>
    <row r="240" customFormat="false" ht="34.5" hidden="false" customHeight="true" outlineLevel="0" collapsed="false">
      <c r="A240" s="8" t="n">
        <v>195</v>
      </c>
      <c r="B240" s="8" t="s">
        <v>9</v>
      </c>
      <c r="C240" s="8" t="s">
        <v>1294</v>
      </c>
      <c r="D240" s="8" t="n">
        <v>2019</v>
      </c>
      <c r="E240" s="8" t="s">
        <v>1295</v>
      </c>
      <c r="F240" s="8" t="s">
        <v>151</v>
      </c>
      <c r="G240" s="8" t="s">
        <v>1296</v>
      </c>
      <c r="H240" s="8" t="s">
        <v>255</v>
      </c>
      <c r="I240" s="8" t="s">
        <v>146</v>
      </c>
      <c r="J240" s="8" t="s">
        <v>1297</v>
      </c>
      <c r="K240" s="8" t="s">
        <v>112</v>
      </c>
      <c r="L240" s="8" t="s">
        <v>1298</v>
      </c>
    </row>
    <row r="241" customFormat="false" ht="34.5" hidden="false" customHeight="true" outlineLevel="0" collapsed="false">
      <c r="A241" s="8" t="n">
        <v>196</v>
      </c>
      <c r="B241" s="8" t="s">
        <v>9</v>
      </c>
      <c r="C241" s="8" t="s">
        <v>1299</v>
      </c>
      <c r="D241" s="8" t="n">
        <v>2017</v>
      </c>
      <c r="E241" s="8" t="s">
        <v>1300</v>
      </c>
      <c r="F241" s="8" t="s">
        <v>143</v>
      </c>
      <c r="G241" s="8" t="s">
        <v>1148</v>
      </c>
      <c r="H241" s="8" t="s">
        <v>145</v>
      </c>
      <c r="I241" s="8" t="s">
        <v>146</v>
      </c>
      <c r="J241" s="8" t="s">
        <v>1301</v>
      </c>
      <c r="K241" s="8" t="s">
        <v>112</v>
      </c>
      <c r="L241" s="8" t="s">
        <v>1302</v>
      </c>
    </row>
    <row r="242" customFormat="false" ht="34.5" hidden="false" customHeight="true" outlineLevel="0" collapsed="false">
      <c r="A242" s="8" t="n">
        <v>197</v>
      </c>
      <c r="B242" s="8" t="s">
        <v>9</v>
      </c>
      <c r="C242" s="8" t="s">
        <v>1303</v>
      </c>
      <c r="D242" s="8" t="n">
        <v>2023</v>
      </c>
      <c r="E242" s="8" t="s">
        <v>1304</v>
      </c>
      <c r="F242" s="8" t="s">
        <v>143</v>
      </c>
      <c r="G242" s="8" t="s">
        <v>1148</v>
      </c>
      <c r="H242" s="8" t="s">
        <v>1209</v>
      </c>
      <c r="I242" s="8" t="s">
        <v>146</v>
      </c>
      <c r="J242" s="8" t="s">
        <v>1144</v>
      </c>
      <c r="K242" s="8" t="s">
        <v>112</v>
      </c>
      <c r="L242" s="8" t="s">
        <v>1305</v>
      </c>
    </row>
    <row r="243" customFormat="false" ht="34.5" hidden="false" customHeight="true" outlineLevel="0" collapsed="false">
      <c r="A243" s="13" t="n">
        <v>198</v>
      </c>
      <c r="B243" s="14" t="s">
        <v>9</v>
      </c>
      <c r="C243" s="14" t="s">
        <v>1306</v>
      </c>
      <c r="D243" s="14" t="n">
        <v>2024</v>
      </c>
      <c r="E243" s="14" t="s">
        <v>1307</v>
      </c>
      <c r="F243" s="14" t="s">
        <v>151</v>
      </c>
      <c r="G243" s="14" t="s">
        <v>1308</v>
      </c>
      <c r="H243" s="14" t="s">
        <v>145</v>
      </c>
      <c r="I243" s="14" t="s">
        <v>387</v>
      </c>
      <c r="J243" s="14" t="s">
        <v>507</v>
      </c>
      <c r="K243" s="14" t="s">
        <v>110</v>
      </c>
      <c r="L243" s="14" t="s">
        <v>1309</v>
      </c>
    </row>
    <row r="244" customFormat="false" ht="34.5" hidden="false" customHeight="true" outlineLevel="0" collapsed="false">
      <c r="A244" s="15" t="n">
        <v>198</v>
      </c>
      <c r="B244" s="16" t="s">
        <v>29</v>
      </c>
      <c r="C244" s="16" t="s">
        <v>1306</v>
      </c>
      <c r="D244" s="16" t="n">
        <v>2024</v>
      </c>
      <c r="E244" s="16" t="s">
        <v>1310</v>
      </c>
      <c r="F244" s="16" t="s">
        <v>151</v>
      </c>
      <c r="G244" s="16" t="s">
        <v>1311</v>
      </c>
      <c r="H244" s="16" t="s">
        <v>145</v>
      </c>
      <c r="I244" s="16" t="s">
        <v>387</v>
      </c>
      <c r="J244" s="16" t="s">
        <v>1312</v>
      </c>
      <c r="K244" s="16" t="s">
        <v>110</v>
      </c>
      <c r="L244" s="16" t="s">
        <v>1313</v>
      </c>
    </row>
    <row r="245" customFormat="false" ht="34.5" hidden="false" customHeight="true" outlineLevel="0" collapsed="false">
      <c r="A245" s="8" t="n">
        <v>199</v>
      </c>
      <c r="B245" s="8" t="s">
        <v>9</v>
      </c>
      <c r="C245" s="8" t="s">
        <v>1314</v>
      </c>
      <c r="D245" s="8" t="n">
        <v>2019</v>
      </c>
      <c r="E245" s="8" t="s">
        <v>1315</v>
      </c>
      <c r="F245" s="8" t="s">
        <v>143</v>
      </c>
      <c r="G245" s="8" t="s">
        <v>798</v>
      </c>
      <c r="H245" s="8" t="s">
        <v>145</v>
      </c>
      <c r="I245" s="8" t="s">
        <v>387</v>
      </c>
      <c r="J245" s="8" t="s">
        <v>507</v>
      </c>
      <c r="K245" s="8" t="s">
        <v>112</v>
      </c>
      <c r="L245" s="8" t="s">
        <v>1316</v>
      </c>
    </row>
    <row r="246" customFormat="false" ht="34.5" hidden="false" customHeight="true" outlineLevel="0" collapsed="false">
      <c r="A246" s="8" t="n">
        <v>200</v>
      </c>
      <c r="B246" s="8" t="s">
        <v>9</v>
      </c>
      <c r="C246" s="8" t="s">
        <v>1317</v>
      </c>
      <c r="D246" s="8" t="n">
        <v>2021</v>
      </c>
      <c r="E246" s="8" t="s">
        <v>1318</v>
      </c>
      <c r="F246" s="8" t="s">
        <v>151</v>
      </c>
      <c r="G246" s="8" t="s">
        <v>1080</v>
      </c>
      <c r="H246" s="8" t="s">
        <v>1319</v>
      </c>
      <c r="I246" s="8" t="s">
        <v>146</v>
      </c>
      <c r="J246" s="8" t="s">
        <v>1320</v>
      </c>
      <c r="K246" s="8" t="s">
        <v>112</v>
      </c>
      <c r="L246" s="8" t="s">
        <v>1321</v>
      </c>
    </row>
    <row r="247" customFormat="false" ht="23.25" hidden="false" customHeight="true" outlineLevel="0" collapsed="false">
      <c r="A247" s="8" t="n">
        <v>201</v>
      </c>
      <c r="B247" s="8" t="s">
        <v>9</v>
      </c>
      <c r="C247" s="8" t="s">
        <v>1322</v>
      </c>
      <c r="D247" s="8" t="n">
        <v>2021</v>
      </c>
      <c r="E247" s="8" t="s">
        <v>1323</v>
      </c>
      <c r="F247" s="8" t="s">
        <v>151</v>
      </c>
      <c r="G247" s="8" t="s">
        <v>621</v>
      </c>
      <c r="H247" s="8" t="s">
        <v>871</v>
      </c>
      <c r="I247" s="8" t="s">
        <v>146</v>
      </c>
      <c r="J247" s="8" t="s">
        <v>1324</v>
      </c>
      <c r="K247" s="8" t="s">
        <v>112</v>
      </c>
      <c r="L247" s="8" t="s">
        <v>1325</v>
      </c>
    </row>
    <row r="248" customFormat="false" ht="34.5" hidden="false" customHeight="true" outlineLevel="0" collapsed="false">
      <c r="A248" s="8" t="n">
        <v>202</v>
      </c>
      <c r="B248" s="8" t="s">
        <v>9</v>
      </c>
      <c r="C248" s="8" t="s">
        <v>1326</v>
      </c>
      <c r="D248" s="8" t="n">
        <v>2004</v>
      </c>
      <c r="E248" s="8" t="s">
        <v>1327</v>
      </c>
      <c r="F248" s="8" t="s">
        <v>143</v>
      </c>
      <c r="G248" s="8" t="s">
        <v>1328</v>
      </c>
      <c r="H248" s="8" t="s">
        <v>145</v>
      </c>
      <c r="I248" s="8" t="s">
        <v>387</v>
      </c>
      <c r="J248" s="8" t="s">
        <v>1329</v>
      </c>
      <c r="K248" s="8" t="s">
        <v>112</v>
      </c>
      <c r="L248" s="8" t="s">
        <v>1330</v>
      </c>
    </row>
    <row r="249" customFormat="false" ht="34.5" hidden="false" customHeight="true" outlineLevel="0" collapsed="false">
      <c r="A249" s="9" t="n">
        <v>203</v>
      </c>
      <c r="B249" s="10" t="s">
        <v>9</v>
      </c>
      <c r="C249" s="10" t="s">
        <v>1331</v>
      </c>
      <c r="D249" s="10" t="n">
        <v>2019</v>
      </c>
      <c r="E249" s="10" t="s">
        <v>1332</v>
      </c>
      <c r="F249" s="10" t="s">
        <v>151</v>
      </c>
      <c r="G249" s="10" t="s">
        <v>1080</v>
      </c>
      <c r="H249" s="10" t="s">
        <v>1333</v>
      </c>
      <c r="I249" s="10" t="s">
        <v>387</v>
      </c>
      <c r="J249" s="10" t="s">
        <v>507</v>
      </c>
      <c r="K249" s="10" t="s">
        <v>112</v>
      </c>
      <c r="L249" s="10" t="s">
        <v>1334</v>
      </c>
    </row>
    <row r="250" customFormat="false" ht="34.5" hidden="false" customHeight="true" outlineLevel="0" collapsed="false">
      <c r="A250" s="11" t="n">
        <v>203</v>
      </c>
      <c r="B250" s="12" t="s">
        <v>23</v>
      </c>
      <c r="C250" s="12" t="s">
        <v>1331</v>
      </c>
      <c r="D250" s="12" t="n">
        <v>2019</v>
      </c>
      <c r="E250" s="12" t="s">
        <v>1335</v>
      </c>
      <c r="F250" s="12" t="s">
        <v>151</v>
      </c>
      <c r="G250" s="12" t="s">
        <v>626</v>
      </c>
      <c r="H250" s="12" t="s">
        <v>145</v>
      </c>
      <c r="I250" s="12" t="s">
        <v>387</v>
      </c>
      <c r="J250" s="12" t="s">
        <v>1336</v>
      </c>
      <c r="K250" s="12" t="s">
        <v>112</v>
      </c>
      <c r="L250" s="12" t="s">
        <v>1337</v>
      </c>
    </row>
    <row r="251" customFormat="false" ht="23.25" hidden="false" customHeight="true" outlineLevel="0" collapsed="false">
      <c r="A251" s="11" t="n">
        <v>203</v>
      </c>
      <c r="B251" s="12" t="s">
        <v>81</v>
      </c>
      <c r="C251" s="12" t="s">
        <v>1331</v>
      </c>
      <c r="D251" s="12" t="n">
        <v>2019</v>
      </c>
      <c r="E251" s="12" t="s">
        <v>1338</v>
      </c>
      <c r="F251" s="12" t="s">
        <v>1339</v>
      </c>
      <c r="G251" s="12" t="s">
        <v>1278</v>
      </c>
      <c r="H251" s="12" t="s">
        <v>145</v>
      </c>
      <c r="I251" s="12" t="s">
        <v>153</v>
      </c>
      <c r="J251" s="12" t="s">
        <v>1340</v>
      </c>
      <c r="K251" s="12" t="s">
        <v>112</v>
      </c>
      <c r="L251" s="12" t="s">
        <v>1341</v>
      </c>
    </row>
    <row r="252" customFormat="false" ht="34.5" hidden="false" customHeight="true" outlineLevel="0" collapsed="false">
      <c r="A252" s="13" t="n">
        <v>204</v>
      </c>
      <c r="B252" s="14" t="s">
        <v>9</v>
      </c>
      <c r="C252" s="14" t="s">
        <v>1342</v>
      </c>
      <c r="D252" s="14" t="n">
        <v>2022</v>
      </c>
      <c r="E252" s="14" t="s">
        <v>1343</v>
      </c>
      <c r="F252" s="14" t="s">
        <v>143</v>
      </c>
      <c r="G252" s="14" t="s">
        <v>1344</v>
      </c>
      <c r="H252" s="14" t="s">
        <v>1345</v>
      </c>
      <c r="I252" s="14" t="s">
        <v>387</v>
      </c>
      <c r="J252" s="14" t="s">
        <v>1346</v>
      </c>
      <c r="K252" s="14" t="s">
        <v>114</v>
      </c>
      <c r="L252" s="14" t="s">
        <v>1347</v>
      </c>
    </row>
    <row r="253" customFormat="false" ht="34.5" hidden="false" customHeight="true" outlineLevel="0" collapsed="false">
      <c r="A253" s="15" t="n">
        <v>204</v>
      </c>
      <c r="B253" s="16" t="s">
        <v>27</v>
      </c>
      <c r="C253" s="16" t="s">
        <v>1331</v>
      </c>
      <c r="D253" s="16" t="n">
        <v>2022</v>
      </c>
      <c r="E253" s="16" t="s">
        <v>1348</v>
      </c>
      <c r="F253" s="16" t="s">
        <v>201</v>
      </c>
      <c r="G253" s="16" t="s">
        <v>1349</v>
      </c>
      <c r="H253" s="16" t="s">
        <v>145</v>
      </c>
      <c r="I253" s="16" t="s">
        <v>153</v>
      </c>
      <c r="J253" s="16" t="s">
        <v>1350</v>
      </c>
      <c r="K253" s="16" t="s">
        <v>114</v>
      </c>
      <c r="L253" s="16" t="s">
        <v>1351</v>
      </c>
    </row>
    <row r="254" customFormat="false" ht="34.5" hidden="false" customHeight="true" outlineLevel="0" collapsed="false">
      <c r="A254" s="9" t="n">
        <v>205</v>
      </c>
      <c r="B254" s="10" t="s">
        <v>9</v>
      </c>
      <c r="C254" s="10" t="s">
        <v>1352</v>
      </c>
      <c r="D254" s="10" t="n">
        <v>2023</v>
      </c>
      <c r="E254" s="10" t="s">
        <v>1353</v>
      </c>
      <c r="F254" s="10" t="s">
        <v>151</v>
      </c>
      <c r="G254" s="10" t="s">
        <v>925</v>
      </c>
      <c r="H254" s="10" t="s">
        <v>1354</v>
      </c>
      <c r="I254" s="10" t="s">
        <v>146</v>
      </c>
      <c r="J254" s="10" t="s">
        <v>1221</v>
      </c>
      <c r="K254" s="10" t="s">
        <v>112</v>
      </c>
      <c r="L254" s="10" t="s">
        <v>1355</v>
      </c>
    </row>
    <row r="255" customFormat="false" ht="34.5" hidden="false" customHeight="true" outlineLevel="0" collapsed="false">
      <c r="A255" s="11" t="n">
        <v>205</v>
      </c>
      <c r="B255" s="12" t="s">
        <v>27</v>
      </c>
      <c r="C255" s="12" t="s">
        <v>1331</v>
      </c>
      <c r="D255" s="12" t="n">
        <v>2023</v>
      </c>
      <c r="E255" s="12" t="s">
        <v>1356</v>
      </c>
      <c r="F255" s="12" t="s">
        <v>151</v>
      </c>
      <c r="G255" s="12" t="s">
        <v>626</v>
      </c>
      <c r="H255" s="12" t="s">
        <v>1354</v>
      </c>
      <c r="I255" s="12" t="s">
        <v>146</v>
      </c>
      <c r="J255" s="12" t="s">
        <v>1357</v>
      </c>
      <c r="K255" s="12" t="s">
        <v>112</v>
      </c>
      <c r="L255" s="12" t="s">
        <v>1358</v>
      </c>
    </row>
    <row r="256" customFormat="false" ht="34.5" hidden="false" customHeight="true" outlineLevel="0" collapsed="false">
      <c r="A256" s="11" t="n">
        <v>205</v>
      </c>
      <c r="B256" s="12" t="s">
        <v>43</v>
      </c>
      <c r="C256" s="12" t="s">
        <v>1331</v>
      </c>
      <c r="D256" s="12" t="n">
        <v>2023</v>
      </c>
      <c r="E256" s="12" t="s">
        <v>1353</v>
      </c>
      <c r="F256" s="12" t="s">
        <v>151</v>
      </c>
      <c r="G256" s="12" t="s">
        <v>1359</v>
      </c>
      <c r="H256" s="12" t="s">
        <v>1360</v>
      </c>
      <c r="I256" s="12" t="s">
        <v>146</v>
      </c>
      <c r="J256" s="12" t="s">
        <v>1361</v>
      </c>
      <c r="K256" s="12" t="s">
        <v>112</v>
      </c>
      <c r="L256" s="12" t="s">
        <v>1362</v>
      </c>
    </row>
    <row r="257" customFormat="false" ht="34.5" hidden="false" customHeight="true" outlineLevel="0" collapsed="false">
      <c r="A257" s="11" t="n">
        <v>205</v>
      </c>
      <c r="B257" s="12" t="s">
        <v>81</v>
      </c>
      <c r="C257" s="12" t="s">
        <v>1363</v>
      </c>
      <c r="D257" s="12" t="n">
        <v>2023</v>
      </c>
      <c r="E257" s="12" t="s">
        <v>1353</v>
      </c>
      <c r="F257" s="12" t="s">
        <v>587</v>
      </c>
      <c r="G257" s="12" t="s">
        <v>1278</v>
      </c>
      <c r="H257" s="12" t="s">
        <v>255</v>
      </c>
      <c r="I257" s="12" t="s">
        <v>146</v>
      </c>
      <c r="J257" s="12" t="s">
        <v>1364</v>
      </c>
      <c r="K257" s="12" t="s">
        <v>112</v>
      </c>
      <c r="L257" s="12" t="s">
        <v>1365</v>
      </c>
    </row>
    <row r="258" customFormat="false" ht="23.25" hidden="false" customHeight="true" outlineLevel="0" collapsed="false">
      <c r="A258" s="8" t="n">
        <v>206</v>
      </c>
      <c r="B258" s="8" t="s">
        <v>9</v>
      </c>
      <c r="C258" s="8" t="s">
        <v>1366</v>
      </c>
      <c r="D258" s="8" t="n">
        <v>2024</v>
      </c>
      <c r="E258" s="8" t="s">
        <v>1367</v>
      </c>
      <c r="F258" s="8" t="s">
        <v>143</v>
      </c>
      <c r="G258" s="8" t="s">
        <v>1368</v>
      </c>
      <c r="H258" s="8" t="s">
        <v>145</v>
      </c>
      <c r="I258" s="8" t="s">
        <v>146</v>
      </c>
      <c r="J258" s="8" t="s">
        <v>491</v>
      </c>
      <c r="K258" s="8" t="s">
        <v>110</v>
      </c>
      <c r="L258" s="8" t="s">
        <v>1369</v>
      </c>
    </row>
    <row r="259" customFormat="false" ht="34.5" hidden="false" customHeight="true" outlineLevel="0" collapsed="false">
      <c r="A259" s="9" t="n">
        <v>207</v>
      </c>
      <c r="B259" s="10" t="s">
        <v>9</v>
      </c>
      <c r="C259" s="10" t="s">
        <v>1370</v>
      </c>
      <c r="D259" s="10" t="n">
        <v>2022</v>
      </c>
      <c r="E259" s="10" t="s">
        <v>1371</v>
      </c>
      <c r="F259" s="10" t="s">
        <v>143</v>
      </c>
      <c r="G259" s="10" t="s">
        <v>1372</v>
      </c>
      <c r="H259" s="10" t="s">
        <v>1373</v>
      </c>
      <c r="I259" s="10" t="s">
        <v>387</v>
      </c>
      <c r="J259" s="10" t="s">
        <v>1374</v>
      </c>
      <c r="K259" s="10" t="s">
        <v>110</v>
      </c>
      <c r="L259" s="10" t="s">
        <v>1375</v>
      </c>
    </row>
    <row r="260" customFormat="false" ht="34.5" hidden="false" customHeight="true" outlineLevel="0" collapsed="false">
      <c r="A260" s="11" t="n">
        <v>207</v>
      </c>
      <c r="B260" s="12" t="s">
        <v>27</v>
      </c>
      <c r="C260" s="12" t="s">
        <v>1370</v>
      </c>
      <c r="D260" s="12" t="n">
        <v>2022</v>
      </c>
      <c r="E260" s="12" t="s">
        <v>1371</v>
      </c>
      <c r="F260" s="12" t="s">
        <v>143</v>
      </c>
      <c r="G260" s="12" t="s">
        <v>1376</v>
      </c>
      <c r="H260" s="12" t="s">
        <v>1373</v>
      </c>
      <c r="I260" s="12" t="s">
        <v>387</v>
      </c>
      <c r="J260" s="12" t="s">
        <v>1377</v>
      </c>
      <c r="K260" s="12" t="s">
        <v>110</v>
      </c>
      <c r="L260" s="12" t="s">
        <v>1378</v>
      </c>
    </row>
    <row r="261" customFormat="false" ht="34.5" hidden="false" customHeight="true" outlineLevel="0" collapsed="false">
      <c r="A261" s="8" t="n">
        <v>208</v>
      </c>
      <c r="B261" s="8" t="s">
        <v>9</v>
      </c>
      <c r="C261" s="8" t="s">
        <v>1379</v>
      </c>
      <c r="D261" s="8" t="n">
        <v>2024</v>
      </c>
      <c r="E261" s="8" t="s">
        <v>1380</v>
      </c>
      <c r="F261" s="8" t="s">
        <v>143</v>
      </c>
      <c r="G261" s="8" t="s">
        <v>1381</v>
      </c>
      <c r="H261" s="8" t="s">
        <v>479</v>
      </c>
      <c r="I261" s="8" t="s">
        <v>146</v>
      </c>
      <c r="J261" s="8" t="s">
        <v>1382</v>
      </c>
      <c r="K261" s="8" t="s">
        <v>110</v>
      </c>
      <c r="L261" s="8" t="s">
        <v>1383</v>
      </c>
    </row>
    <row r="262" customFormat="false" ht="34.5" hidden="false" customHeight="true" outlineLevel="0" collapsed="false">
      <c r="A262" s="8" t="n">
        <v>209</v>
      </c>
      <c r="B262" s="8" t="s">
        <v>9</v>
      </c>
      <c r="C262" s="8" t="s">
        <v>1384</v>
      </c>
      <c r="D262" s="8" t="n">
        <v>2023</v>
      </c>
      <c r="E262" s="8" t="s">
        <v>1385</v>
      </c>
      <c r="F262" s="8" t="s">
        <v>143</v>
      </c>
      <c r="G262" s="8" t="s">
        <v>1386</v>
      </c>
      <c r="H262" s="8" t="s">
        <v>145</v>
      </c>
      <c r="I262" s="8" t="s">
        <v>387</v>
      </c>
      <c r="J262" s="8" t="s">
        <v>507</v>
      </c>
      <c r="K262" s="8" t="s">
        <v>110</v>
      </c>
      <c r="L262" s="8" t="s">
        <v>1387</v>
      </c>
    </row>
    <row r="263" customFormat="false" ht="23.25" hidden="false" customHeight="true" outlineLevel="0" collapsed="false">
      <c r="A263" s="13" t="n">
        <v>210</v>
      </c>
      <c r="B263" s="14" t="s">
        <v>9</v>
      </c>
      <c r="C263" s="14" t="s">
        <v>1388</v>
      </c>
      <c r="D263" s="14" t="n">
        <v>2024</v>
      </c>
      <c r="E263" s="14" t="s">
        <v>1389</v>
      </c>
      <c r="F263" s="14" t="s">
        <v>143</v>
      </c>
      <c r="G263" s="14" t="s">
        <v>1390</v>
      </c>
      <c r="H263" s="14" t="s">
        <v>145</v>
      </c>
      <c r="I263" s="14" t="s">
        <v>387</v>
      </c>
      <c r="J263" s="14" t="s">
        <v>507</v>
      </c>
      <c r="K263" s="14" t="s">
        <v>110</v>
      </c>
      <c r="L263" s="14" t="s">
        <v>1391</v>
      </c>
    </row>
    <row r="264" customFormat="false" ht="34.5" hidden="false" customHeight="true" outlineLevel="0" collapsed="false">
      <c r="A264" s="15" t="n">
        <v>210</v>
      </c>
      <c r="B264" s="16" t="s">
        <v>11</v>
      </c>
      <c r="C264" s="16" t="s">
        <v>1392</v>
      </c>
      <c r="D264" s="16" t="n">
        <v>2024</v>
      </c>
      <c r="E264" s="16" t="s">
        <v>1389</v>
      </c>
      <c r="F264" s="16" t="s">
        <v>143</v>
      </c>
      <c r="G264" s="16" t="s">
        <v>1393</v>
      </c>
      <c r="H264" s="16" t="s">
        <v>145</v>
      </c>
      <c r="I264" s="16" t="s">
        <v>387</v>
      </c>
      <c r="J264" s="16" t="s">
        <v>1394</v>
      </c>
      <c r="K264" s="16" t="s">
        <v>110</v>
      </c>
      <c r="L264" s="16" t="s">
        <v>1395</v>
      </c>
    </row>
    <row r="265" customFormat="false" ht="34.5" hidden="false" customHeight="true" outlineLevel="0" collapsed="false">
      <c r="A265" s="15" t="n">
        <v>210</v>
      </c>
      <c r="B265" s="16" t="s">
        <v>15</v>
      </c>
      <c r="C265" s="16" t="s">
        <v>1388</v>
      </c>
      <c r="D265" s="16" t="n">
        <v>2024</v>
      </c>
      <c r="E265" s="16" t="s">
        <v>1396</v>
      </c>
      <c r="F265" s="16" t="s">
        <v>143</v>
      </c>
      <c r="G265" s="16" t="s">
        <v>1397</v>
      </c>
      <c r="H265" s="16" t="s">
        <v>145</v>
      </c>
      <c r="I265" s="16" t="s">
        <v>387</v>
      </c>
      <c r="J265" s="16" t="s">
        <v>907</v>
      </c>
      <c r="K265" s="16" t="s">
        <v>110</v>
      </c>
      <c r="L265" s="16" t="s">
        <v>1398</v>
      </c>
    </row>
    <row r="266" customFormat="false" ht="34.5" hidden="false" customHeight="true" outlineLevel="0" collapsed="false">
      <c r="A266" s="15" t="n">
        <v>210</v>
      </c>
      <c r="B266" s="16" t="s">
        <v>29</v>
      </c>
      <c r="C266" s="16" t="s">
        <v>1399</v>
      </c>
      <c r="D266" s="16" t="n">
        <v>2024</v>
      </c>
      <c r="E266" s="16" t="s">
        <v>1389</v>
      </c>
      <c r="F266" s="16" t="s">
        <v>143</v>
      </c>
      <c r="G266" s="16" t="s">
        <v>1400</v>
      </c>
      <c r="H266" s="16" t="s">
        <v>145</v>
      </c>
      <c r="I266" s="16" t="s">
        <v>387</v>
      </c>
      <c r="J266" s="16" t="s">
        <v>1401</v>
      </c>
      <c r="K266" s="16" t="s">
        <v>110</v>
      </c>
      <c r="L266" s="16" t="s">
        <v>1402</v>
      </c>
    </row>
    <row r="267" customFormat="false" ht="34.5" hidden="false" customHeight="true" outlineLevel="0" collapsed="false">
      <c r="A267" s="15" t="n">
        <v>210</v>
      </c>
      <c r="B267" s="16" t="s">
        <v>43</v>
      </c>
      <c r="C267" s="16" t="s">
        <v>1388</v>
      </c>
      <c r="D267" s="16" t="n">
        <v>2024</v>
      </c>
      <c r="E267" s="16" t="s">
        <v>1396</v>
      </c>
      <c r="F267" s="16" t="s">
        <v>143</v>
      </c>
      <c r="G267" s="16" t="s">
        <v>1403</v>
      </c>
      <c r="H267" s="16" t="s">
        <v>145</v>
      </c>
      <c r="I267" s="16" t="s">
        <v>153</v>
      </c>
      <c r="J267" s="16" t="s">
        <v>1404</v>
      </c>
      <c r="K267" s="16" t="s">
        <v>110</v>
      </c>
      <c r="L267" s="16" t="s">
        <v>1405</v>
      </c>
    </row>
    <row r="268" customFormat="false" ht="45.75" hidden="false" customHeight="true" outlineLevel="0" collapsed="false">
      <c r="A268" s="15" t="n">
        <v>210</v>
      </c>
      <c r="B268" s="16" t="s">
        <v>69</v>
      </c>
      <c r="C268" s="16" t="s">
        <v>1406</v>
      </c>
      <c r="D268" s="16" t="n">
        <v>2024</v>
      </c>
      <c r="E268" s="16" t="s">
        <v>1396</v>
      </c>
      <c r="F268" s="16" t="s">
        <v>143</v>
      </c>
      <c r="G268" s="16" t="s">
        <v>1407</v>
      </c>
      <c r="H268" s="16" t="s">
        <v>145</v>
      </c>
      <c r="I268" s="16" t="s">
        <v>153</v>
      </c>
      <c r="J268" s="16" t="s">
        <v>1408</v>
      </c>
      <c r="K268" s="16" t="s">
        <v>110</v>
      </c>
      <c r="L268" s="16" t="s">
        <v>1409</v>
      </c>
    </row>
    <row r="269" customFormat="false" ht="45.75" hidden="false" customHeight="true" outlineLevel="0" collapsed="false">
      <c r="A269" s="15" t="n">
        <v>210</v>
      </c>
      <c r="B269" s="16" t="s">
        <v>83</v>
      </c>
      <c r="C269" s="16" t="s">
        <v>1399</v>
      </c>
      <c r="D269" s="16" t="n">
        <v>2024</v>
      </c>
      <c r="E269" s="16" t="s">
        <v>1396</v>
      </c>
      <c r="F269" s="16" t="s">
        <v>1410</v>
      </c>
      <c r="G269" s="16" t="s">
        <v>1411</v>
      </c>
      <c r="H269" s="16" t="s">
        <v>145</v>
      </c>
      <c r="I269" s="16" t="s">
        <v>153</v>
      </c>
      <c r="J269" s="16" t="s">
        <v>1412</v>
      </c>
      <c r="K269" s="16" t="s">
        <v>110</v>
      </c>
      <c r="L269" s="16" t="s">
        <v>1413</v>
      </c>
    </row>
    <row r="270" customFormat="false" ht="23.25" hidden="false" customHeight="true" outlineLevel="0" collapsed="false">
      <c r="A270" s="9" t="n">
        <v>211</v>
      </c>
      <c r="B270" s="10" t="s">
        <v>9</v>
      </c>
      <c r="C270" s="10" t="s">
        <v>1414</v>
      </c>
      <c r="D270" s="10" t="n">
        <v>2023</v>
      </c>
      <c r="E270" s="10" t="s">
        <v>1415</v>
      </c>
      <c r="F270" s="10" t="s">
        <v>143</v>
      </c>
      <c r="G270" s="10" t="s">
        <v>1416</v>
      </c>
      <c r="H270" s="10" t="s">
        <v>145</v>
      </c>
      <c r="I270" s="10" t="s">
        <v>387</v>
      </c>
      <c r="J270" s="10" t="s">
        <v>507</v>
      </c>
      <c r="K270" s="10" t="s">
        <v>110</v>
      </c>
      <c r="L270" s="10" t="s">
        <v>1417</v>
      </c>
    </row>
    <row r="271" customFormat="false" ht="34.5" hidden="false" customHeight="true" outlineLevel="0" collapsed="false">
      <c r="A271" s="11" t="n">
        <v>211</v>
      </c>
      <c r="B271" s="12" t="s">
        <v>25</v>
      </c>
      <c r="C271" s="12" t="s">
        <v>1418</v>
      </c>
      <c r="D271" s="12" t="n">
        <v>2023</v>
      </c>
      <c r="E271" s="12" t="s">
        <v>1419</v>
      </c>
      <c r="F271" s="12" t="s">
        <v>143</v>
      </c>
      <c r="G271" s="12" t="s">
        <v>1420</v>
      </c>
      <c r="H271" s="12" t="s">
        <v>145</v>
      </c>
      <c r="I271" s="12" t="s">
        <v>153</v>
      </c>
      <c r="J271" s="12" t="s">
        <v>1421</v>
      </c>
      <c r="K271" s="12" t="s">
        <v>110</v>
      </c>
      <c r="L271" s="12" t="s">
        <v>1422</v>
      </c>
    </row>
    <row r="272" customFormat="false" ht="34.5" hidden="false" customHeight="true" outlineLevel="0" collapsed="false">
      <c r="A272" s="11" t="n">
        <v>211</v>
      </c>
      <c r="B272" s="12" t="s">
        <v>29</v>
      </c>
      <c r="C272" s="12" t="s">
        <v>1423</v>
      </c>
      <c r="D272" s="12" t="n">
        <v>2023</v>
      </c>
      <c r="E272" s="12" t="s">
        <v>1419</v>
      </c>
      <c r="F272" s="12" t="s">
        <v>143</v>
      </c>
      <c r="G272" s="12" t="s">
        <v>1424</v>
      </c>
      <c r="H272" s="12" t="s">
        <v>145</v>
      </c>
      <c r="I272" s="12" t="s">
        <v>387</v>
      </c>
      <c r="J272" s="12" t="s">
        <v>1425</v>
      </c>
      <c r="K272" s="12" t="s">
        <v>110</v>
      </c>
      <c r="L272" s="12" t="s">
        <v>1426</v>
      </c>
    </row>
    <row r="273" customFormat="false" ht="34.5" hidden="false" customHeight="true" outlineLevel="0" collapsed="false">
      <c r="A273" s="11" t="n">
        <v>211</v>
      </c>
      <c r="B273" s="12" t="s">
        <v>43</v>
      </c>
      <c r="C273" s="12" t="s">
        <v>1418</v>
      </c>
      <c r="D273" s="12" t="n">
        <v>2023</v>
      </c>
      <c r="E273" s="12" t="s">
        <v>1427</v>
      </c>
      <c r="F273" s="12" t="s">
        <v>143</v>
      </c>
      <c r="G273" s="12" t="s">
        <v>1428</v>
      </c>
      <c r="H273" s="12" t="s">
        <v>145</v>
      </c>
      <c r="I273" s="12" t="s">
        <v>153</v>
      </c>
      <c r="J273" s="12" t="s">
        <v>1429</v>
      </c>
      <c r="K273" s="12" t="s">
        <v>110</v>
      </c>
      <c r="L273" s="12" t="s">
        <v>1430</v>
      </c>
    </row>
    <row r="274" customFormat="false" ht="34.5" hidden="false" customHeight="true" outlineLevel="0" collapsed="false">
      <c r="A274" s="11" t="n">
        <v>211</v>
      </c>
      <c r="B274" s="12" t="s">
        <v>73</v>
      </c>
      <c r="C274" s="12" t="s">
        <v>1431</v>
      </c>
      <c r="D274" s="12" t="n">
        <v>2023</v>
      </c>
      <c r="E274" s="12" t="s">
        <v>1415</v>
      </c>
      <c r="F274" s="12" t="s">
        <v>143</v>
      </c>
      <c r="G274" s="12" t="s">
        <v>1432</v>
      </c>
      <c r="H274" s="12" t="s">
        <v>145</v>
      </c>
      <c r="I274" s="12" t="s">
        <v>153</v>
      </c>
      <c r="J274" s="12" t="s">
        <v>1433</v>
      </c>
      <c r="K274" s="12" t="s">
        <v>110</v>
      </c>
      <c r="L274" s="12" t="s">
        <v>1434</v>
      </c>
    </row>
    <row r="275" customFormat="false" ht="23.25" hidden="false" customHeight="true" outlineLevel="0" collapsed="false">
      <c r="A275" s="13" t="n">
        <v>212</v>
      </c>
      <c r="B275" s="14" t="s">
        <v>9</v>
      </c>
      <c r="C275" s="14" t="s">
        <v>1435</v>
      </c>
      <c r="D275" s="14" t="n">
        <v>2023</v>
      </c>
      <c r="E275" s="14" t="s">
        <v>1436</v>
      </c>
      <c r="F275" s="14" t="s">
        <v>143</v>
      </c>
      <c r="G275" s="14" t="s">
        <v>1437</v>
      </c>
      <c r="H275" s="14" t="s">
        <v>145</v>
      </c>
      <c r="I275" s="14" t="s">
        <v>387</v>
      </c>
      <c r="J275" s="14" t="s">
        <v>507</v>
      </c>
      <c r="K275" s="14" t="s">
        <v>110</v>
      </c>
      <c r="L275" s="14" t="s">
        <v>1438</v>
      </c>
    </row>
    <row r="276" customFormat="false" ht="34.5" hidden="false" customHeight="true" outlineLevel="0" collapsed="false">
      <c r="A276" s="15" t="n">
        <v>212</v>
      </c>
      <c r="B276" s="16" t="s">
        <v>11</v>
      </c>
      <c r="C276" s="16" t="s">
        <v>1439</v>
      </c>
      <c r="D276" s="16" t="n">
        <v>2023</v>
      </c>
      <c r="E276" s="16" t="s">
        <v>1440</v>
      </c>
      <c r="F276" s="16" t="s">
        <v>143</v>
      </c>
      <c r="G276" s="16" t="s">
        <v>1441</v>
      </c>
      <c r="H276" s="16" t="s">
        <v>145</v>
      </c>
      <c r="I276" s="16" t="s">
        <v>387</v>
      </c>
      <c r="J276" s="16" t="s">
        <v>1442</v>
      </c>
      <c r="K276" s="16" t="s">
        <v>110</v>
      </c>
      <c r="L276" s="16" t="s">
        <v>1443</v>
      </c>
    </row>
    <row r="277" customFormat="false" ht="34.5" hidden="false" customHeight="true" outlineLevel="0" collapsed="false">
      <c r="A277" s="8" t="n">
        <v>213</v>
      </c>
      <c r="B277" s="8" t="s">
        <v>9</v>
      </c>
      <c r="C277" s="8" t="s">
        <v>1435</v>
      </c>
      <c r="D277" s="8" t="n">
        <v>2024</v>
      </c>
      <c r="E277" s="8" t="s">
        <v>1444</v>
      </c>
      <c r="F277" s="8" t="s">
        <v>151</v>
      </c>
      <c r="G277" s="8" t="s">
        <v>1445</v>
      </c>
      <c r="H277" s="8" t="s">
        <v>145</v>
      </c>
      <c r="I277" s="8" t="s">
        <v>387</v>
      </c>
      <c r="J277" s="8" t="s">
        <v>507</v>
      </c>
      <c r="K277" s="8" t="s">
        <v>110</v>
      </c>
      <c r="L277" s="8" t="s">
        <v>1446</v>
      </c>
    </row>
    <row r="278" customFormat="false" ht="34.5" hidden="false" customHeight="true" outlineLevel="0" collapsed="false">
      <c r="A278" s="8" t="n">
        <v>214</v>
      </c>
      <c r="B278" s="8" t="s">
        <v>9</v>
      </c>
      <c r="C278" s="8" t="s">
        <v>1447</v>
      </c>
      <c r="D278" s="8" t="n">
        <v>2023</v>
      </c>
      <c r="E278" s="8" t="s">
        <v>1448</v>
      </c>
      <c r="F278" s="8" t="s">
        <v>143</v>
      </c>
      <c r="G278" s="8" t="s">
        <v>1449</v>
      </c>
      <c r="H278" s="8" t="s">
        <v>1450</v>
      </c>
      <c r="I278" s="8" t="s">
        <v>146</v>
      </c>
      <c r="J278" s="8" t="s">
        <v>1451</v>
      </c>
      <c r="K278" s="8" t="s">
        <v>1452</v>
      </c>
      <c r="L278" s="8" t="s">
        <v>1453</v>
      </c>
    </row>
    <row r="279" customFormat="false" ht="34.5" hidden="false" customHeight="true" outlineLevel="0" collapsed="false">
      <c r="A279" s="9" t="n">
        <v>215</v>
      </c>
      <c r="B279" s="10" t="s">
        <v>9</v>
      </c>
      <c r="C279" s="10" t="s">
        <v>1454</v>
      </c>
      <c r="D279" s="10" t="n">
        <v>2024</v>
      </c>
      <c r="E279" s="10" t="s">
        <v>1455</v>
      </c>
      <c r="F279" s="10" t="s">
        <v>143</v>
      </c>
      <c r="G279" s="10" t="s">
        <v>1080</v>
      </c>
      <c r="H279" s="10" t="s">
        <v>145</v>
      </c>
      <c r="I279" s="10" t="s">
        <v>387</v>
      </c>
      <c r="J279" s="10" t="s">
        <v>507</v>
      </c>
      <c r="K279" s="10" t="s">
        <v>110</v>
      </c>
      <c r="L279" s="10" t="s">
        <v>1456</v>
      </c>
    </row>
    <row r="280" customFormat="false" ht="34.5" hidden="false" customHeight="true" outlineLevel="0" collapsed="false">
      <c r="A280" s="11" t="n">
        <v>215</v>
      </c>
      <c r="B280" s="12" t="s">
        <v>27</v>
      </c>
      <c r="C280" s="12" t="s">
        <v>1454</v>
      </c>
      <c r="D280" s="12" t="n">
        <v>2024</v>
      </c>
      <c r="E280" s="12" t="s">
        <v>1457</v>
      </c>
      <c r="F280" s="12" t="s">
        <v>143</v>
      </c>
      <c r="G280" s="12" t="s">
        <v>1458</v>
      </c>
      <c r="H280" s="12" t="s">
        <v>145</v>
      </c>
      <c r="I280" s="12" t="s">
        <v>153</v>
      </c>
      <c r="J280" s="12" t="s">
        <v>1459</v>
      </c>
      <c r="K280" s="12" t="s">
        <v>110</v>
      </c>
      <c r="L280" s="12" t="s">
        <v>1460</v>
      </c>
    </row>
    <row r="281" customFormat="false" ht="34.5" hidden="false" customHeight="true" outlineLevel="0" collapsed="false">
      <c r="A281" s="11" t="n">
        <v>215</v>
      </c>
      <c r="B281" s="12" t="s">
        <v>69</v>
      </c>
      <c r="C281" s="12" t="s">
        <v>1454</v>
      </c>
      <c r="D281" s="12" t="n">
        <v>2024</v>
      </c>
      <c r="E281" s="12" t="s">
        <v>1455</v>
      </c>
      <c r="F281" s="12" t="s">
        <v>143</v>
      </c>
      <c r="G281" s="12" t="s">
        <v>1461</v>
      </c>
      <c r="H281" s="12" t="s">
        <v>145</v>
      </c>
      <c r="I281" s="12" t="s">
        <v>153</v>
      </c>
      <c r="J281" s="12" t="s">
        <v>1462</v>
      </c>
      <c r="K281" s="12" t="s">
        <v>110</v>
      </c>
      <c r="L281" s="12" t="s">
        <v>1463</v>
      </c>
    </row>
    <row r="282" customFormat="false" ht="23.25" hidden="false" customHeight="true" outlineLevel="0" collapsed="false">
      <c r="A282" s="13" t="n">
        <v>216</v>
      </c>
      <c r="B282" s="14" t="s">
        <v>9</v>
      </c>
      <c r="C282" s="14" t="s">
        <v>1464</v>
      </c>
      <c r="D282" s="14" t="n">
        <v>2022</v>
      </c>
      <c r="E282" s="14" t="s">
        <v>1465</v>
      </c>
      <c r="F282" s="14" t="s">
        <v>143</v>
      </c>
      <c r="G282" s="14" t="s">
        <v>1466</v>
      </c>
      <c r="H282" s="14" t="s">
        <v>145</v>
      </c>
      <c r="I282" s="14" t="s">
        <v>387</v>
      </c>
      <c r="J282" s="14" t="s">
        <v>507</v>
      </c>
      <c r="K282" s="14" t="s">
        <v>110</v>
      </c>
      <c r="L282" s="14" t="s">
        <v>1467</v>
      </c>
    </row>
    <row r="283" customFormat="false" ht="45.75" hidden="false" customHeight="true" outlineLevel="0" collapsed="false">
      <c r="A283" s="15" t="n">
        <v>216</v>
      </c>
      <c r="B283" s="16" t="s">
        <v>23</v>
      </c>
      <c r="C283" s="16" t="s">
        <v>1464</v>
      </c>
      <c r="D283" s="16" t="n">
        <v>2022</v>
      </c>
      <c r="E283" s="16" t="s">
        <v>1465</v>
      </c>
      <c r="F283" s="16" t="s">
        <v>143</v>
      </c>
      <c r="G283" s="16" t="s">
        <v>1468</v>
      </c>
      <c r="H283" s="16" t="s">
        <v>145</v>
      </c>
      <c r="I283" s="16" t="s">
        <v>153</v>
      </c>
      <c r="J283" s="16" t="s">
        <v>1469</v>
      </c>
      <c r="K283" s="16" t="s">
        <v>110</v>
      </c>
      <c r="L283" s="16" t="s">
        <v>1470</v>
      </c>
    </row>
    <row r="284" customFormat="false" ht="45.75" hidden="false" customHeight="true" outlineLevel="0" collapsed="false">
      <c r="A284" s="15" t="n">
        <v>216</v>
      </c>
      <c r="B284" s="16" t="s">
        <v>25</v>
      </c>
      <c r="C284" s="16" t="s">
        <v>1471</v>
      </c>
      <c r="D284" s="16" t="n">
        <v>2022</v>
      </c>
      <c r="E284" s="16" t="s">
        <v>1472</v>
      </c>
      <c r="F284" s="16" t="s">
        <v>143</v>
      </c>
      <c r="G284" s="16" t="s">
        <v>1473</v>
      </c>
      <c r="H284" s="16" t="s">
        <v>145</v>
      </c>
      <c r="I284" s="16" t="s">
        <v>153</v>
      </c>
      <c r="J284" s="16" t="s">
        <v>1474</v>
      </c>
      <c r="K284" s="16" t="s">
        <v>110</v>
      </c>
      <c r="L284" s="16" t="s">
        <v>1475</v>
      </c>
    </row>
    <row r="285" customFormat="false" ht="34.5" hidden="false" customHeight="true" outlineLevel="0" collapsed="false">
      <c r="A285" s="15" t="n">
        <v>216</v>
      </c>
      <c r="B285" s="16" t="s">
        <v>29</v>
      </c>
      <c r="C285" s="16" t="s">
        <v>1476</v>
      </c>
      <c r="D285" s="16" t="n">
        <v>2022</v>
      </c>
      <c r="E285" s="16" t="s">
        <v>1465</v>
      </c>
      <c r="F285" s="16" t="s">
        <v>143</v>
      </c>
      <c r="G285" s="16" t="s">
        <v>1477</v>
      </c>
      <c r="H285" s="16" t="s">
        <v>145</v>
      </c>
      <c r="I285" s="16" t="s">
        <v>387</v>
      </c>
      <c r="J285" s="16" t="s">
        <v>1478</v>
      </c>
      <c r="K285" s="16" t="s">
        <v>110</v>
      </c>
      <c r="L285" s="16" t="s">
        <v>1479</v>
      </c>
    </row>
    <row r="286" customFormat="false" ht="34.5" hidden="false" customHeight="true" outlineLevel="0" collapsed="false">
      <c r="A286" s="15" t="n">
        <v>216</v>
      </c>
      <c r="B286" s="16" t="s">
        <v>69</v>
      </c>
      <c r="C286" s="16" t="s">
        <v>1471</v>
      </c>
      <c r="D286" s="16" t="n">
        <v>2022</v>
      </c>
      <c r="E286" s="16" t="s">
        <v>1465</v>
      </c>
      <c r="F286" s="16" t="s">
        <v>143</v>
      </c>
      <c r="G286" s="16" t="s">
        <v>1480</v>
      </c>
      <c r="H286" s="16" t="s">
        <v>145</v>
      </c>
      <c r="I286" s="16" t="s">
        <v>153</v>
      </c>
      <c r="J286" s="16" t="s">
        <v>1481</v>
      </c>
      <c r="K286" s="16" t="s">
        <v>110</v>
      </c>
      <c r="L286" s="16" t="s">
        <v>1482</v>
      </c>
    </row>
    <row r="287" customFormat="false" ht="34.5" hidden="false" customHeight="true" outlineLevel="0" collapsed="false">
      <c r="A287" s="15" t="n">
        <v>216</v>
      </c>
      <c r="B287" s="16" t="s">
        <v>73</v>
      </c>
      <c r="C287" s="16" t="s">
        <v>1476</v>
      </c>
      <c r="D287" s="16" t="n">
        <v>2022</v>
      </c>
      <c r="E287" s="16" t="s">
        <v>1465</v>
      </c>
      <c r="F287" s="16" t="s">
        <v>143</v>
      </c>
      <c r="G287" s="16" t="s">
        <v>1483</v>
      </c>
      <c r="H287" s="16" t="s">
        <v>145</v>
      </c>
      <c r="I287" s="16" t="s">
        <v>153</v>
      </c>
      <c r="J287" s="16" t="s">
        <v>1484</v>
      </c>
      <c r="K287" s="16" t="s">
        <v>110</v>
      </c>
      <c r="L287" s="16" t="s">
        <v>1485</v>
      </c>
    </row>
    <row r="288" customFormat="false" ht="34.5" hidden="false" customHeight="true" outlineLevel="0" collapsed="false">
      <c r="A288" s="15" t="n">
        <v>216</v>
      </c>
      <c r="B288" s="16" t="s">
        <v>87</v>
      </c>
      <c r="C288" s="16" t="s">
        <v>1486</v>
      </c>
      <c r="D288" s="16" t="n">
        <v>2022</v>
      </c>
      <c r="E288" s="16" t="s">
        <v>1465</v>
      </c>
      <c r="F288" s="16" t="s">
        <v>143</v>
      </c>
      <c r="G288" s="16" t="s">
        <v>1487</v>
      </c>
      <c r="H288" s="16" t="s">
        <v>145</v>
      </c>
      <c r="I288" s="16" t="s">
        <v>153</v>
      </c>
      <c r="J288" s="16" t="s">
        <v>1488</v>
      </c>
      <c r="K288" s="16" t="s">
        <v>110</v>
      </c>
      <c r="L288" s="16" t="s">
        <v>1489</v>
      </c>
    </row>
    <row r="289" customFormat="false" ht="23.25" hidden="false" customHeight="true" outlineLevel="0" collapsed="false">
      <c r="A289" s="9" t="n">
        <v>217</v>
      </c>
      <c r="B289" s="10" t="s">
        <v>9</v>
      </c>
      <c r="C289" s="10" t="s">
        <v>1464</v>
      </c>
      <c r="D289" s="10" t="n">
        <v>2023</v>
      </c>
      <c r="E289" s="10" t="s">
        <v>1490</v>
      </c>
      <c r="F289" s="10" t="s">
        <v>143</v>
      </c>
      <c r="G289" s="10" t="s">
        <v>1491</v>
      </c>
      <c r="H289" s="10" t="s">
        <v>145</v>
      </c>
      <c r="I289" s="10" t="s">
        <v>387</v>
      </c>
      <c r="J289" s="10" t="s">
        <v>507</v>
      </c>
      <c r="K289" s="10" t="s">
        <v>110</v>
      </c>
      <c r="L289" s="10" t="s">
        <v>1492</v>
      </c>
    </row>
    <row r="290" customFormat="false" ht="34.5" hidden="false" customHeight="true" outlineLevel="0" collapsed="false">
      <c r="A290" s="11" t="n">
        <v>217</v>
      </c>
      <c r="B290" s="12" t="s">
        <v>85</v>
      </c>
      <c r="C290" s="12" t="s">
        <v>1476</v>
      </c>
      <c r="D290" s="12" t="n">
        <v>2023</v>
      </c>
      <c r="E290" s="12" t="s">
        <v>1493</v>
      </c>
      <c r="F290" s="12" t="s">
        <v>1494</v>
      </c>
      <c r="G290" s="12" t="s">
        <v>1495</v>
      </c>
      <c r="H290" s="12" t="s">
        <v>145</v>
      </c>
      <c r="I290" s="12" t="s">
        <v>153</v>
      </c>
      <c r="J290" s="12" t="s">
        <v>1496</v>
      </c>
      <c r="K290" s="12" t="s">
        <v>110</v>
      </c>
      <c r="L290" s="12" t="s">
        <v>1497</v>
      </c>
    </row>
    <row r="291" customFormat="false" ht="34.5" hidden="false" customHeight="true" outlineLevel="0" collapsed="false">
      <c r="A291" s="8" t="n">
        <v>218</v>
      </c>
      <c r="B291" s="8" t="s">
        <v>9</v>
      </c>
      <c r="C291" s="8" t="s">
        <v>1464</v>
      </c>
      <c r="D291" s="8" t="n">
        <v>2024</v>
      </c>
      <c r="E291" s="8" t="s">
        <v>1498</v>
      </c>
      <c r="F291" s="8" t="s">
        <v>143</v>
      </c>
      <c r="G291" s="8" t="s">
        <v>1499</v>
      </c>
      <c r="H291" s="8" t="s">
        <v>145</v>
      </c>
      <c r="I291" s="8" t="s">
        <v>387</v>
      </c>
      <c r="J291" s="8" t="s">
        <v>507</v>
      </c>
      <c r="K291" s="8" t="s">
        <v>110</v>
      </c>
      <c r="L291" s="8" t="s">
        <v>1500</v>
      </c>
    </row>
    <row r="292" customFormat="false" ht="34.5" hidden="false" customHeight="true" outlineLevel="0" collapsed="false">
      <c r="A292" s="9" t="n">
        <v>219</v>
      </c>
      <c r="B292" s="10" t="s">
        <v>9</v>
      </c>
      <c r="C292" s="10" t="s">
        <v>1501</v>
      </c>
      <c r="D292" s="10" t="n">
        <v>2024</v>
      </c>
      <c r="E292" s="10" t="s">
        <v>1502</v>
      </c>
      <c r="F292" s="10" t="s">
        <v>143</v>
      </c>
      <c r="G292" s="10" t="s">
        <v>956</v>
      </c>
      <c r="H292" s="10" t="s">
        <v>145</v>
      </c>
      <c r="I292" s="10" t="s">
        <v>522</v>
      </c>
      <c r="J292" s="10" t="s">
        <v>1503</v>
      </c>
      <c r="K292" s="10"/>
      <c r="L292" s="10" t="s">
        <v>1504</v>
      </c>
    </row>
    <row r="293" customFormat="false" ht="34.5" hidden="false" customHeight="true" outlineLevel="0" collapsed="false">
      <c r="A293" s="11" t="n">
        <v>219</v>
      </c>
      <c r="B293" s="12" t="s">
        <v>43</v>
      </c>
      <c r="C293" s="12" t="s">
        <v>1505</v>
      </c>
      <c r="D293" s="12" t="n">
        <v>2024</v>
      </c>
      <c r="E293" s="12" t="s">
        <v>1502</v>
      </c>
      <c r="F293" s="12" t="s">
        <v>143</v>
      </c>
      <c r="G293" s="12" t="s">
        <v>1506</v>
      </c>
      <c r="H293" s="12" t="s">
        <v>145</v>
      </c>
      <c r="I293" s="12" t="s">
        <v>153</v>
      </c>
      <c r="J293" s="12" t="s">
        <v>1507</v>
      </c>
      <c r="K293" s="12" t="s">
        <v>112</v>
      </c>
      <c r="L293" s="12" t="s">
        <v>1508</v>
      </c>
    </row>
    <row r="294" customFormat="false" ht="34.5" hidden="false" customHeight="true" outlineLevel="0" collapsed="false">
      <c r="A294" s="8" t="n">
        <v>220</v>
      </c>
      <c r="B294" s="8" t="s">
        <v>9</v>
      </c>
      <c r="C294" s="8" t="s">
        <v>1501</v>
      </c>
      <c r="D294" s="8" t="n">
        <v>2025</v>
      </c>
      <c r="E294" s="8" t="s">
        <v>1509</v>
      </c>
      <c r="F294" s="8" t="s">
        <v>143</v>
      </c>
      <c r="G294" s="8" t="s">
        <v>956</v>
      </c>
      <c r="H294" s="8" t="s">
        <v>145</v>
      </c>
      <c r="I294" s="8" t="s">
        <v>522</v>
      </c>
      <c r="J294" s="8" t="s">
        <v>1503</v>
      </c>
      <c r="K294" s="8"/>
      <c r="L294" s="8" t="s">
        <v>1510</v>
      </c>
    </row>
    <row r="295" customFormat="false" ht="23.25" hidden="false" customHeight="true" outlineLevel="0" collapsed="false">
      <c r="A295" s="9" t="n">
        <v>221</v>
      </c>
      <c r="B295" s="10" t="s">
        <v>9</v>
      </c>
      <c r="C295" s="10" t="s">
        <v>1511</v>
      </c>
      <c r="D295" s="10" t="n">
        <v>2023</v>
      </c>
      <c r="E295" s="10" t="s">
        <v>1512</v>
      </c>
      <c r="F295" s="10" t="s">
        <v>143</v>
      </c>
      <c r="G295" s="10" t="s">
        <v>1513</v>
      </c>
      <c r="H295" s="10" t="s">
        <v>145</v>
      </c>
      <c r="I295" s="10" t="s">
        <v>387</v>
      </c>
      <c r="J295" s="10" t="s">
        <v>1514</v>
      </c>
      <c r="K295" s="10" t="s">
        <v>114</v>
      </c>
      <c r="L295" s="10" t="s">
        <v>1515</v>
      </c>
    </row>
    <row r="296" customFormat="false" ht="34.5" hidden="false" customHeight="true" outlineLevel="0" collapsed="false">
      <c r="A296" s="11" t="n">
        <v>221</v>
      </c>
      <c r="B296" s="12" t="s">
        <v>29</v>
      </c>
      <c r="C296" s="12" t="s">
        <v>1511</v>
      </c>
      <c r="D296" s="12" t="n">
        <v>2023</v>
      </c>
      <c r="E296" s="12" t="s">
        <v>1516</v>
      </c>
      <c r="F296" s="12" t="s">
        <v>143</v>
      </c>
      <c r="G296" s="12" t="s">
        <v>1517</v>
      </c>
      <c r="H296" s="12" t="s">
        <v>145</v>
      </c>
      <c r="I296" s="12" t="s">
        <v>153</v>
      </c>
      <c r="J296" s="12" t="s">
        <v>1518</v>
      </c>
      <c r="K296" s="12" t="s">
        <v>114</v>
      </c>
      <c r="L296" s="12" t="s">
        <v>1519</v>
      </c>
    </row>
    <row r="297" customFormat="false" ht="23.25" hidden="false" customHeight="true" outlineLevel="0" collapsed="false">
      <c r="A297" s="13" t="n">
        <v>222</v>
      </c>
      <c r="B297" s="14" t="s">
        <v>9</v>
      </c>
      <c r="C297" s="14" t="s">
        <v>828</v>
      </c>
      <c r="D297" s="14" t="n">
        <v>2024</v>
      </c>
      <c r="E297" s="14" t="s">
        <v>1520</v>
      </c>
      <c r="F297" s="14" t="s">
        <v>143</v>
      </c>
      <c r="G297" s="14" t="s">
        <v>830</v>
      </c>
      <c r="H297" s="14" t="s">
        <v>1521</v>
      </c>
      <c r="I297" s="14" t="s">
        <v>387</v>
      </c>
      <c r="J297" s="14" t="s">
        <v>507</v>
      </c>
      <c r="K297" s="14" t="s">
        <v>110</v>
      </c>
      <c r="L297" s="14" t="s">
        <v>1522</v>
      </c>
    </row>
    <row r="298" customFormat="false" ht="34.5" hidden="false" customHeight="true" outlineLevel="0" collapsed="false">
      <c r="A298" s="15" t="n">
        <v>222</v>
      </c>
      <c r="B298" s="16" t="s">
        <v>43</v>
      </c>
      <c r="C298" s="16" t="s">
        <v>828</v>
      </c>
      <c r="D298" s="16" t="n">
        <v>2024</v>
      </c>
      <c r="E298" s="16" t="s">
        <v>1520</v>
      </c>
      <c r="F298" s="16" t="s">
        <v>143</v>
      </c>
      <c r="G298" s="16" t="s">
        <v>1523</v>
      </c>
      <c r="H298" s="16" t="s">
        <v>1521</v>
      </c>
      <c r="I298" s="16" t="s">
        <v>387</v>
      </c>
      <c r="J298" s="16" t="s">
        <v>1524</v>
      </c>
      <c r="K298" s="16" t="s">
        <v>110</v>
      </c>
      <c r="L298" s="16" t="s">
        <v>1525</v>
      </c>
    </row>
    <row r="299" customFormat="false" ht="34.5" hidden="false" customHeight="true" outlineLevel="0" collapsed="false">
      <c r="A299" s="15" t="n">
        <v>222</v>
      </c>
      <c r="B299" s="16" t="s">
        <v>69</v>
      </c>
      <c r="C299" s="16" t="s">
        <v>828</v>
      </c>
      <c r="D299" s="16" t="n">
        <v>2024</v>
      </c>
      <c r="E299" s="16" t="s">
        <v>1520</v>
      </c>
      <c r="F299" s="16" t="s">
        <v>143</v>
      </c>
      <c r="G299" s="16" t="s">
        <v>1523</v>
      </c>
      <c r="H299" s="16" t="s">
        <v>145</v>
      </c>
      <c r="I299" s="16" t="s">
        <v>387</v>
      </c>
      <c r="J299" s="16" t="s">
        <v>1526</v>
      </c>
      <c r="K299" s="16" t="s">
        <v>110</v>
      </c>
      <c r="L299" s="16" t="s">
        <v>1527</v>
      </c>
    </row>
    <row r="300" customFormat="false" ht="34.5" hidden="false" customHeight="true" outlineLevel="0" collapsed="false">
      <c r="A300" s="15" t="n">
        <v>222</v>
      </c>
      <c r="B300" s="16" t="s">
        <v>81</v>
      </c>
      <c r="C300" s="16" t="s">
        <v>828</v>
      </c>
      <c r="D300" s="16" t="n">
        <v>2024</v>
      </c>
      <c r="E300" s="16" t="s">
        <v>1520</v>
      </c>
      <c r="F300" s="16" t="s">
        <v>143</v>
      </c>
      <c r="G300" s="16" t="s">
        <v>1461</v>
      </c>
      <c r="H300" s="16" t="s">
        <v>145</v>
      </c>
      <c r="I300" s="16" t="s">
        <v>153</v>
      </c>
      <c r="J300" s="16" t="s">
        <v>1528</v>
      </c>
      <c r="K300" s="16" t="s">
        <v>110</v>
      </c>
      <c r="L300" s="16" t="s">
        <v>1529</v>
      </c>
    </row>
    <row r="301" customFormat="false" ht="34.5" hidden="false" customHeight="true" outlineLevel="0" collapsed="false">
      <c r="A301" s="9" t="n">
        <v>223</v>
      </c>
      <c r="B301" s="10" t="s">
        <v>9</v>
      </c>
      <c r="C301" s="10" t="s">
        <v>1530</v>
      </c>
      <c r="D301" s="10" t="n">
        <v>2011</v>
      </c>
      <c r="E301" s="10" t="s">
        <v>1531</v>
      </c>
      <c r="F301" s="10" t="s">
        <v>143</v>
      </c>
      <c r="G301" s="10" t="s">
        <v>1532</v>
      </c>
      <c r="H301" s="10" t="s">
        <v>1319</v>
      </c>
      <c r="I301" s="10" t="s">
        <v>387</v>
      </c>
      <c r="J301" s="10" t="s">
        <v>997</v>
      </c>
      <c r="K301" s="10" t="s">
        <v>1533</v>
      </c>
      <c r="L301" s="10" t="s">
        <v>1534</v>
      </c>
    </row>
    <row r="302" customFormat="false" ht="34.5" hidden="false" customHeight="true" outlineLevel="0" collapsed="false">
      <c r="A302" s="11" t="n">
        <v>223</v>
      </c>
      <c r="B302" s="12" t="s">
        <v>27</v>
      </c>
      <c r="C302" s="12" t="s">
        <v>1530</v>
      </c>
      <c r="D302" s="12" t="n">
        <v>2011</v>
      </c>
      <c r="E302" s="12" t="s">
        <v>1531</v>
      </c>
      <c r="F302" s="12" t="s">
        <v>143</v>
      </c>
      <c r="G302" s="12" t="s">
        <v>1535</v>
      </c>
      <c r="H302" s="12" t="s">
        <v>1319</v>
      </c>
      <c r="I302" s="12" t="s">
        <v>153</v>
      </c>
      <c r="J302" s="12" t="s">
        <v>1536</v>
      </c>
      <c r="K302" s="12" t="s">
        <v>116</v>
      </c>
      <c r="L302" s="12" t="s">
        <v>1537</v>
      </c>
    </row>
    <row r="303" customFormat="false" ht="34.5" hidden="false" customHeight="true" outlineLevel="0" collapsed="false">
      <c r="A303" s="8" t="n">
        <v>224</v>
      </c>
      <c r="B303" s="8" t="s">
        <v>9</v>
      </c>
      <c r="C303" s="8" t="s">
        <v>1538</v>
      </c>
      <c r="D303" s="8" t="n">
        <v>2021</v>
      </c>
      <c r="E303" s="8" t="s">
        <v>1539</v>
      </c>
      <c r="F303" s="8" t="s">
        <v>143</v>
      </c>
      <c r="G303" s="8" t="s">
        <v>956</v>
      </c>
      <c r="H303" s="8" t="s">
        <v>721</v>
      </c>
      <c r="I303" s="8" t="s">
        <v>146</v>
      </c>
      <c r="J303" s="8" t="s">
        <v>1540</v>
      </c>
      <c r="K303" s="8" t="s">
        <v>1533</v>
      </c>
      <c r="L303" s="8" t="s">
        <v>1541</v>
      </c>
    </row>
    <row r="304" customFormat="false" ht="34.5" hidden="false" customHeight="true" outlineLevel="0" collapsed="false">
      <c r="A304" s="8" t="n">
        <v>225</v>
      </c>
      <c r="B304" s="8" t="s">
        <v>9</v>
      </c>
      <c r="C304" s="8" t="s">
        <v>1542</v>
      </c>
      <c r="D304" s="8" t="n">
        <v>2022</v>
      </c>
      <c r="E304" s="8" t="s">
        <v>1543</v>
      </c>
      <c r="F304" s="8" t="s">
        <v>143</v>
      </c>
      <c r="G304" s="8" t="s">
        <v>1080</v>
      </c>
      <c r="H304" s="8" t="s">
        <v>145</v>
      </c>
      <c r="I304" s="8" t="s">
        <v>387</v>
      </c>
      <c r="J304" s="8" t="s">
        <v>397</v>
      </c>
      <c r="K304" s="8" t="s">
        <v>110</v>
      </c>
      <c r="L304" s="8" t="s">
        <v>1544</v>
      </c>
    </row>
    <row r="305" customFormat="false" ht="23.25" hidden="false" customHeight="true" outlineLevel="0" collapsed="false">
      <c r="A305" s="13" t="n">
        <v>226</v>
      </c>
      <c r="B305" s="14" t="s">
        <v>9</v>
      </c>
      <c r="C305" s="14" t="s">
        <v>1545</v>
      </c>
      <c r="D305" s="14" t="n">
        <v>2017</v>
      </c>
      <c r="E305" s="14" t="s">
        <v>1546</v>
      </c>
      <c r="F305" s="14" t="s">
        <v>151</v>
      </c>
      <c r="G305" s="14" t="s">
        <v>1080</v>
      </c>
      <c r="H305" s="14" t="s">
        <v>145</v>
      </c>
      <c r="I305" s="14" t="s">
        <v>387</v>
      </c>
      <c r="J305" s="14" t="s">
        <v>1547</v>
      </c>
      <c r="K305" s="14" t="s">
        <v>110</v>
      </c>
      <c r="L305" s="14" t="s">
        <v>1548</v>
      </c>
    </row>
    <row r="306" customFormat="false" ht="34.5" hidden="false" customHeight="true" outlineLevel="0" collapsed="false">
      <c r="A306" s="15" t="n">
        <v>226</v>
      </c>
      <c r="B306" s="16" t="s">
        <v>15</v>
      </c>
      <c r="C306" s="16" t="s">
        <v>1545</v>
      </c>
      <c r="D306" s="16" t="n">
        <v>2017</v>
      </c>
      <c r="E306" s="16" t="s">
        <v>1546</v>
      </c>
      <c r="F306" s="16" t="s">
        <v>151</v>
      </c>
      <c r="G306" s="16" t="s">
        <v>626</v>
      </c>
      <c r="H306" s="16" t="s">
        <v>145</v>
      </c>
      <c r="I306" s="16" t="s">
        <v>387</v>
      </c>
      <c r="J306" s="16" t="s">
        <v>1549</v>
      </c>
      <c r="K306" s="16" t="s">
        <v>116</v>
      </c>
      <c r="L306" s="16" t="s">
        <v>1550</v>
      </c>
    </row>
    <row r="307" customFormat="false" ht="34.5" hidden="false" customHeight="true" outlineLevel="0" collapsed="false">
      <c r="A307" s="15" t="n">
        <v>226</v>
      </c>
      <c r="B307" s="16" t="s">
        <v>59</v>
      </c>
      <c r="C307" s="16" t="s">
        <v>1545</v>
      </c>
      <c r="D307" s="16" t="n">
        <v>2017</v>
      </c>
      <c r="E307" s="16" t="s">
        <v>1546</v>
      </c>
      <c r="F307" s="16" t="s">
        <v>151</v>
      </c>
      <c r="G307" s="16" t="s">
        <v>1551</v>
      </c>
      <c r="H307" s="16" t="s">
        <v>145</v>
      </c>
      <c r="I307" s="16" t="s">
        <v>153</v>
      </c>
      <c r="J307" s="16" t="s">
        <v>1552</v>
      </c>
      <c r="K307" s="16" t="s">
        <v>116</v>
      </c>
      <c r="L307" s="16" t="s">
        <v>1553</v>
      </c>
    </row>
    <row r="308" customFormat="false" ht="34.5" hidden="false" customHeight="true" outlineLevel="0" collapsed="false">
      <c r="A308" s="8" t="n">
        <v>227</v>
      </c>
      <c r="B308" s="8" t="s">
        <v>9</v>
      </c>
      <c r="C308" s="8" t="s">
        <v>1554</v>
      </c>
      <c r="D308" s="8" t="n">
        <v>2015</v>
      </c>
      <c r="E308" s="8" t="s">
        <v>1555</v>
      </c>
      <c r="F308" s="8" t="s">
        <v>151</v>
      </c>
      <c r="G308" s="8" t="s">
        <v>396</v>
      </c>
      <c r="H308" s="8" t="s">
        <v>1556</v>
      </c>
      <c r="I308" s="8" t="s">
        <v>387</v>
      </c>
      <c r="J308" s="8" t="s">
        <v>803</v>
      </c>
      <c r="K308" s="8" t="s">
        <v>1533</v>
      </c>
      <c r="L308" s="8" t="s">
        <v>1557</v>
      </c>
    </row>
    <row r="309" customFormat="false" ht="34.5" hidden="false" customHeight="true" outlineLevel="0" collapsed="false">
      <c r="A309" s="8" t="n">
        <v>228</v>
      </c>
      <c r="B309" s="8" t="s">
        <v>9</v>
      </c>
      <c r="C309" s="8" t="s">
        <v>1558</v>
      </c>
      <c r="D309" s="8" t="n">
        <v>2019</v>
      </c>
      <c r="E309" s="8" t="s">
        <v>1559</v>
      </c>
      <c r="F309" s="8" t="s">
        <v>143</v>
      </c>
      <c r="G309" s="8" t="s">
        <v>798</v>
      </c>
      <c r="H309" s="8" t="s">
        <v>145</v>
      </c>
      <c r="I309" s="8" t="s">
        <v>146</v>
      </c>
      <c r="J309" s="8" t="s">
        <v>1560</v>
      </c>
      <c r="K309" s="8" t="s">
        <v>110</v>
      </c>
      <c r="L309" s="8" t="s">
        <v>1561</v>
      </c>
    </row>
    <row r="310" customFormat="false" ht="23.25" hidden="false" customHeight="true" outlineLevel="0" collapsed="false">
      <c r="A310" s="8" t="n">
        <v>229</v>
      </c>
      <c r="B310" s="8" t="s">
        <v>9</v>
      </c>
      <c r="C310" s="8" t="s">
        <v>341</v>
      </c>
      <c r="D310" s="8" t="n">
        <v>2025</v>
      </c>
      <c r="E310" s="8" t="s">
        <v>1562</v>
      </c>
      <c r="F310" s="8" t="s">
        <v>143</v>
      </c>
      <c r="G310" s="8" t="s">
        <v>1563</v>
      </c>
      <c r="H310" s="8" t="s">
        <v>145</v>
      </c>
      <c r="I310" s="8" t="s">
        <v>153</v>
      </c>
      <c r="J310" s="8" t="s">
        <v>1564</v>
      </c>
      <c r="K310" s="8" t="s">
        <v>114</v>
      </c>
      <c r="L310" s="8" t="s">
        <v>1565</v>
      </c>
    </row>
    <row r="311" customFormat="false" ht="23.25" hidden="false" customHeight="true" outlineLevel="0" collapsed="false">
      <c r="A311" s="8" t="n">
        <v>230</v>
      </c>
      <c r="B311" s="8" t="s">
        <v>9</v>
      </c>
      <c r="C311" s="8" t="s">
        <v>1566</v>
      </c>
      <c r="D311" s="8" t="n">
        <v>2004</v>
      </c>
      <c r="E311" s="8" t="s">
        <v>1567</v>
      </c>
      <c r="F311" s="8" t="s">
        <v>151</v>
      </c>
      <c r="G311" s="8" t="s">
        <v>1568</v>
      </c>
      <c r="H311" s="8" t="s">
        <v>1569</v>
      </c>
      <c r="I311" s="8" t="s">
        <v>146</v>
      </c>
      <c r="J311" s="8" t="s">
        <v>1570</v>
      </c>
      <c r="K311" s="8"/>
      <c r="L311" s="8" t="s">
        <v>1571</v>
      </c>
    </row>
    <row r="312" customFormat="false" ht="34.5" hidden="false" customHeight="true" outlineLevel="0" collapsed="false">
      <c r="A312" s="8" t="n">
        <v>231</v>
      </c>
      <c r="B312" s="8" t="s">
        <v>9</v>
      </c>
      <c r="C312" s="8" t="s">
        <v>1572</v>
      </c>
      <c r="D312" s="8" t="n">
        <v>2015</v>
      </c>
      <c r="E312" s="8" t="s">
        <v>1573</v>
      </c>
      <c r="F312" s="8" t="s">
        <v>143</v>
      </c>
      <c r="G312" s="8" t="s">
        <v>798</v>
      </c>
      <c r="H312" s="8" t="s">
        <v>145</v>
      </c>
      <c r="I312" s="8" t="s">
        <v>387</v>
      </c>
      <c r="J312" s="8" t="s">
        <v>507</v>
      </c>
      <c r="K312" s="8"/>
      <c r="L312" s="8" t="s">
        <v>1574</v>
      </c>
    </row>
    <row r="313" customFormat="false" ht="34.5" hidden="false" customHeight="true" outlineLevel="0" collapsed="false">
      <c r="A313" s="8" t="n">
        <v>232</v>
      </c>
      <c r="B313" s="8" t="s">
        <v>9</v>
      </c>
      <c r="C313" s="8" t="s">
        <v>1575</v>
      </c>
      <c r="D313" s="8" t="n">
        <v>2014</v>
      </c>
      <c r="E313" s="8" t="s">
        <v>1576</v>
      </c>
      <c r="F313" s="8" t="s">
        <v>143</v>
      </c>
      <c r="G313" s="8" t="s">
        <v>1047</v>
      </c>
      <c r="H313" s="8" t="s">
        <v>1186</v>
      </c>
      <c r="I313" s="8" t="s">
        <v>387</v>
      </c>
      <c r="J313" s="8" t="s">
        <v>1577</v>
      </c>
      <c r="K313" s="8" t="s">
        <v>1533</v>
      </c>
      <c r="L313" s="8" t="s">
        <v>1578</v>
      </c>
    </row>
    <row r="314" customFormat="false" ht="34.5" hidden="false" customHeight="true" outlineLevel="0" collapsed="false">
      <c r="A314" s="9" t="n">
        <v>233</v>
      </c>
      <c r="B314" s="10" t="s">
        <v>9</v>
      </c>
      <c r="C314" s="10" t="s">
        <v>1579</v>
      </c>
      <c r="D314" s="10" t="n">
        <v>2014</v>
      </c>
      <c r="E314" s="10" t="s">
        <v>1580</v>
      </c>
      <c r="F314" s="10" t="s">
        <v>143</v>
      </c>
      <c r="G314" s="10" t="s">
        <v>798</v>
      </c>
      <c r="H314" s="10" t="s">
        <v>187</v>
      </c>
      <c r="I314" s="10" t="s">
        <v>387</v>
      </c>
      <c r="J314" s="10" t="s">
        <v>397</v>
      </c>
      <c r="K314" s="10" t="s">
        <v>1533</v>
      </c>
      <c r="L314" s="10" t="s">
        <v>1581</v>
      </c>
    </row>
    <row r="315" customFormat="false" ht="34.5" hidden="false" customHeight="true" outlineLevel="0" collapsed="false">
      <c r="A315" s="11" t="n">
        <v>233</v>
      </c>
      <c r="B315" s="12" t="s">
        <v>27</v>
      </c>
      <c r="C315" s="12" t="s">
        <v>1579</v>
      </c>
      <c r="D315" s="12" t="n">
        <v>2014</v>
      </c>
      <c r="E315" s="12" t="s">
        <v>1582</v>
      </c>
      <c r="F315" s="12" t="s">
        <v>143</v>
      </c>
      <c r="G315" s="12" t="s">
        <v>1424</v>
      </c>
      <c r="H315" s="12" t="s">
        <v>187</v>
      </c>
      <c r="I315" s="12" t="s">
        <v>153</v>
      </c>
      <c r="J315" s="12" t="s">
        <v>1583</v>
      </c>
      <c r="K315" s="12" t="s">
        <v>116</v>
      </c>
      <c r="L315" s="12" t="s">
        <v>1584</v>
      </c>
    </row>
    <row r="316" customFormat="false" ht="23.25" hidden="false" customHeight="true" outlineLevel="0" collapsed="false">
      <c r="A316" s="13" t="n">
        <v>234</v>
      </c>
      <c r="B316" s="14" t="s">
        <v>9</v>
      </c>
      <c r="C316" s="14" t="s">
        <v>1585</v>
      </c>
      <c r="D316" s="14" t="n">
        <v>2020</v>
      </c>
      <c r="E316" s="14" t="s">
        <v>1586</v>
      </c>
      <c r="F316" s="14" t="s">
        <v>143</v>
      </c>
      <c r="G316" s="14" t="s">
        <v>1080</v>
      </c>
      <c r="H316" s="14" t="s">
        <v>145</v>
      </c>
      <c r="I316" s="14" t="s">
        <v>387</v>
      </c>
      <c r="J316" s="14" t="s">
        <v>507</v>
      </c>
      <c r="K316" s="14" t="s">
        <v>110</v>
      </c>
      <c r="L316" s="14" t="s">
        <v>1587</v>
      </c>
    </row>
    <row r="317" customFormat="false" ht="34.5" hidden="false" customHeight="true" outlineLevel="0" collapsed="false">
      <c r="A317" s="15" t="n">
        <v>234</v>
      </c>
      <c r="B317" s="16" t="s">
        <v>71</v>
      </c>
      <c r="C317" s="16" t="s">
        <v>1585</v>
      </c>
      <c r="D317" s="16" t="n">
        <v>2020</v>
      </c>
      <c r="E317" s="16" t="s">
        <v>1586</v>
      </c>
      <c r="F317" s="16" t="s">
        <v>1588</v>
      </c>
      <c r="G317" s="16" t="s">
        <v>1264</v>
      </c>
      <c r="H317" s="16" t="s">
        <v>145</v>
      </c>
      <c r="I317" s="16" t="s">
        <v>153</v>
      </c>
      <c r="J317" s="16" t="s">
        <v>1589</v>
      </c>
      <c r="K317" s="16" t="s">
        <v>114</v>
      </c>
      <c r="L317" s="16" t="s">
        <v>1590</v>
      </c>
    </row>
    <row r="318" customFormat="false" ht="23.25" hidden="false" customHeight="true" outlineLevel="0" collapsed="false">
      <c r="A318" s="8" t="n">
        <v>235</v>
      </c>
      <c r="B318" s="8" t="s">
        <v>9</v>
      </c>
      <c r="C318" s="8" t="s">
        <v>1591</v>
      </c>
      <c r="D318" s="8" t="n">
        <v>2018</v>
      </c>
      <c r="E318" s="8" t="s">
        <v>1592</v>
      </c>
      <c r="F318" s="8" t="s">
        <v>151</v>
      </c>
      <c r="G318" s="8" t="s">
        <v>798</v>
      </c>
      <c r="H318" s="8" t="s">
        <v>145</v>
      </c>
      <c r="I318" s="8" t="s">
        <v>146</v>
      </c>
      <c r="J318" s="8" t="s">
        <v>1593</v>
      </c>
      <c r="K318" s="8"/>
      <c r="L318" s="8" t="s">
        <v>1594</v>
      </c>
    </row>
    <row r="319" customFormat="false" ht="34.5" hidden="false" customHeight="true" outlineLevel="0" collapsed="false">
      <c r="A319" s="8" t="n">
        <v>236</v>
      </c>
      <c r="B319" s="8" t="s">
        <v>9</v>
      </c>
      <c r="C319" s="8" t="s">
        <v>1595</v>
      </c>
      <c r="D319" s="8" t="n">
        <v>2018</v>
      </c>
      <c r="E319" s="8" t="s">
        <v>1596</v>
      </c>
      <c r="F319" s="8" t="s">
        <v>143</v>
      </c>
      <c r="G319" s="8" t="s">
        <v>1597</v>
      </c>
      <c r="H319" s="8" t="s">
        <v>145</v>
      </c>
      <c r="I319" s="8" t="s">
        <v>387</v>
      </c>
      <c r="J319" s="8" t="s">
        <v>397</v>
      </c>
      <c r="K319" s="8" t="s">
        <v>1533</v>
      </c>
      <c r="L319" s="8" t="s">
        <v>1598</v>
      </c>
    </row>
    <row r="320" customFormat="false" ht="34.5" hidden="false" customHeight="true" outlineLevel="0" collapsed="false">
      <c r="A320" s="9" t="n">
        <v>237</v>
      </c>
      <c r="B320" s="10" t="s">
        <v>9</v>
      </c>
      <c r="C320" s="10" t="s">
        <v>1599</v>
      </c>
      <c r="D320" s="10" t="n">
        <v>2025</v>
      </c>
      <c r="E320" s="10" t="s">
        <v>1600</v>
      </c>
      <c r="F320" s="10" t="s">
        <v>143</v>
      </c>
      <c r="G320" s="10" t="s">
        <v>1601</v>
      </c>
      <c r="H320" s="10" t="s">
        <v>678</v>
      </c>
      <c r="I320" s="10" t="s">
        <v>387</v>
      </c>
      <c r="J320" s="10" t="s">
        <v>1602</v>
      </c>
      <c r="K320" s="10" t="s">
        <v>1452</v>
      </c>
      <c r="L320" s="10" t="s">
        <v>1603</v>
      </c>
    </row>
    <row r="321" customFormat="false" ht="34.5" hidden="false" customHeight="true" outlineLevel="0" collapsed="false">
      <c r="A321" s="11" t="n">
        <v>237</v>
      </c>
      <c r="B321" s="12" t="s">
        <v>29</v>
      </c>
      <c r="C321" s="12" t="s">
        <v>1331</v>
      </c>
      <c r="D321" s="12" t="n">
        <v>2025</v>
      </c>
      <c r="E321" s="12" t="s">
        <v>1604</v>
      </c>
      <c r="F321" s="12" t="s">
        <v>201</v>
      </c>
      <c r="G321" s="12" t="s">
        <v>1605</v>
      </c>
      <c r="H321" s="12" t="s">
        <v>327</v>
      </c>
      <c r="I321" s="12" t="s">
        <v>387</v>
      </c>
      <c r="J321" s="12" t="s">
        <v>1606</v>
      </c>
      <c r="K321" s="12" t="s">
        <v>114</v>
      </c>
      <c r="L321" s="12" t="s">
        <v>1607</v>
      </c>
    </row>
    <row r="322" customFormat="false" ht="34.5" hidden="false" customHeight="true" outlineLevel="0" collapsed="false">
      <c r="A322" s="11" t="n">
        <v>237</v>
      </c>
      <c r="B322" s="12" t="s">
        <v>39</v>
      </c>
      <c r="C322" s="12" t="s">
        <v>1363</v>
      </c>
      <c r="D322" s="12" t="n">
        <v>2025</v>
      </c>
      <c r="E322" s="12" t="s">
        <v>1600</v>
      </c>
      <c r="F322" s="12" t="s">
        <v>153</v>
      </c>
      <c r="G322" s="12" t="s">
        <v>1608</v>
      </c>
      <c r="H322" s="12" t="s">
        <v>678</v>
      </c>
      <c r="I322" s="12" t="s">
        <v>522</v>
      </c>
      <c r="J322" s="12" t="s">
        <v>1609</v>
      </c>
      <c r="K322" s="12" t="s">
        <v>110</v>
      </c>
      <c r="L322" s="12" t="s">
        <v>1610</v>
      </c>
    </row>
    <row r="323" customFormat="false" ht="34.5" hidden="false" customHeight="true" outlineLevel="0" collapsed="false">
      <c r="A323" s="8" t="n">
        <v>238</v>
      </c>
      <c r="B323" s="8" t="s">
        <v>11</v>
      </c>
      <c r="C323" s="8" t="s">
        <v>1611</v>
      </c>
      <c r="D323" s="8" t="n">
        <v>2025</v>
      </c>
      <c r="E323" s="8" t="s">
        <v>1612</v>
      </c>
      <c r="F323" s="8" t="s">
        <v>143</v>
      </c>
      <c r="G323" s="8" t="s">
        <v>1613</v>
      </c>
      <c r="H323" s="8" t="s">
        <v>1614</v>
      </c>
      <c r="I323" s="8" t="s">
        <v>153</v>
      </c>
      <c r="J323" s="8" t="s">
        <v>1615</v>
      </c>
      <c r="K323" s="8" t="s">
        <v>114</v>
      </c>
      <c r="L323" s="8" t="s">
        <v>1616</v>
      </c>
    </row>
    <row r="324" customFormat="false" ht="34.5" hidden="false" customHeight="true" outlineLevel="0" collapsed="false">
      <c r="A324" s="8" t="n">
        <v>239</v>
      </c>
      <c r="B324" s="8" t="s">
        <v>11</v>
      </c>
      <c r="C324" s="8" t="s">
        <v>1617</v>
      </c>
      <c r="D324" s="8" t="n">
        <v>1992</v>
      </c>
      <c r="E324" s="8" t="s">
        <v>1618</v>
      </c>
      <c r="F324" s="8" t="s">
        <v>143</v>
      </c>
      <c r="G324" s="8" t="s">
        <v>1619</v>
      </c>
      <c r="H324" s="8" t="s">
        <v>145</v>
      </c>
      <c r="I324" s="8" t="s">
        <v>153</v>
      </c>
      <c r="J324" s="8" t="s">
        <v>1620</v>
      </c>
      <c r="K324" s="8" t="s">
        <v>110</v>
      </c>
      <c r="L324" s="8" t="s">
        <v>1621</v>
      </c>
    </row>
    <row r="325" customFormat="false" ht="34.5" hidden="false" customHeight="true" outlineLevel="0" collapsed="false">
      <c r="A325" s="8" t="n">
        <v>240</v>
      </c>
      <c r="B325" s="8" t="s">
        <v>11</v>
      </c>
      <c r="C325" s="8" t="s">
        <v>1622</v>
      </c>
      <c r="D325" s="8" t="n">
        <v>2025</v>
      </c>
      <c r="E325" s="8" t="s">
        <v>1623</v>
      </c>
      <c r="F325" s="8" t="s">
        <v>143</v>
      </c>
      <c r="G325" s="8" t="s">
        <v>1624</v>
      </c>
      <c r="H325" s="8" t="s">
        <v>327</v>
      </c>
      <c r="I325" s="8" t="s">
        <v>146</v>
      </c>
      <c r="J325" s="8" t="s">
        <v>1625</v>
      </c>
      <c r="K325" s="8" t="s">
        <v>116</v>
      </c>
      <c r="L325" s="8" t="s">
        <v>1626</v>
      </c>
    </row>
    <row r="326" customFormat="false" ht="34.5" hidden="false" customHeight="true" outlineLevel="0" collapsed="false">
      <c r="A326" s="8" t="n">
        <v>241</v>
      </c>
      <c r="B326" s="8" t="s">
        <v>11</v>
      </c>
      <c r="C326" s="8" t="s">
        <v>1622</v>
      </c>
      <c r="D326" s="8" t="n">
        <v>2025</v>
      </c>
      <c r="E326" s="8" t="s">
        <v>1627</v>
      </c>
      <c r="F326" s="8" t="s">
        <v>143</v>
      </c>
      <c r="G326" s="8" t="s">
        <v>1628</v>
      </c>
      <c r="H326" s="8" t="s">
        <v>327</v>
      </c>
      <c r="I326" s="8" t="s">
        <v>208</v>
      </c>
      <c r="J326" s="8" t="s">
        <v>1629</v>
      </c>
      <c r="K326" s="8" t="s">
        <v>110</v>
      </c>
      <c r="L326" s="8" t="s">
        <v>1630</v>
      </c>
    </row>
    <row r="327" customFormat="false" ht="34.5" hidden="false" customHeight="true" outlineLevel="0" collapsed="false">
      <c r="A327" s="8" t="n">
        <v>242</v>
      </c>
      <c r="B327" s="8" t="s">
        <v>11</v>
      </c>
      <c r="C327" s="8" t="s">
        <v>1622</v>
      </c>
      <c r="D327" s="8" t="n">
        <v>2025</v>
      </c>
      <c r="E327" s="8" t="s">
        <v>1631</v>
      </c>
      <c r="F327" s="8" t="s">
        <v>143</v>
      </c>
      <c r="G327" s="8" t="s">
        <v>1632</v>
      </c>
      <c r="H327" s="8" t="s">
        <v>327</v>
      </c>
      <c r="I327" s="8" t="s">
        <v>208</v>
      </c>
      <c r="J327" s="8" t="s">
        <v>1633</v>
      </c>
      <c r="K327" s="8" t="s">
        <v>110</v>
      </c>
      <c r="L327" s="8" t="s">
        <v>1634</v>
      </c>
    </row>
    <row r="328" customFormat="false" ht="34.5" hidden="false" customHeight="true" outlineLevel="0" collapsed="false">
      <c r="A328" s="9" t="n">
        <v>243</v>
      </c>
      <c r="B328" s="10" t="s">
        <v>11</v>
      </c>
      <c r="C328" s="10" t="s">
        <v>1476</v>
      </c>
      <c r="D328" s="10" t="n">
        <v>2020</v>
      </c>
      <c r="E328" s="10" t="s">
        <v>1635</v>
      </c>
      <c r="F328" s="10" t="s">
        <v>151</v>
      </c>
      <c r="G328" s="10" t="s">
        <v>1636</v>
      </c>
      <c r="H328" s="10" t="s">
        <v>145</v>
      </c>
      <c r="I328" s="10" t="s">
        <v>153</v>
      </c>
      <c r="J328" s="10" t="s">
        <v>1637</v>
      </c>
      <c r="K328" s="10" t="s">
        <v>114</v>
      </c>
      <c r="L328" s="10" t="s">
        <v>1638</v>
      </c>
    </row>
    <row r="329" customFormat="false" ht="34.5" hidden="false" customHeight="true" outlineLevel="0" collapsed="false">
      <c r="A329" s="11" t="n">
        <v>243</v>
      </c>
      <c r="B329" s="12" t="s">
        <v>29</v>
      </c>
      <c r="C329" s="12" t="s">
        <v>1476</v>
      </c>
      <c r="D329" s="12" t="n">
        <v>2020</v>
      </c>
      <c r="E329" s="12" t="s">
        <v>1635</v>
      </c>
      <c r="F329" s="12" t="s">
        <v>151</v>
      </c>
      <c r="G329" s="12" t="s">
        <v>1499</v>
      </c>
      <c r="H329" s="12" t="s">
        <v>145</v>
      </c>
      <c r="I329" s="12" t="s">
        <v>153</v>
      </c>
      <c r="J329" s="12" t="s">
        <v>1639</v>
      </c>
      <c r="K329" s="12" t="s">
        <v>114</v>
      </c>
      <c r="L329" s="12" t="s">
        <v>1640</v>
      </c>
    </row>
    <row r="330" customFormat="false" ht="34.5" hidden="false" customHeight="true" outlineLevel="0" collapsed="false">
      <c r="A330" s="11" t="n">
        <v>243</v>
      </c>
      <c r="B330" s="12" t="s">
        <v>43</v>
      </c>
      <c r="C330" s="12" t="s">
        <v>1476</v>
      </c>
      <c r="D330" s="12" t="n">
        <v>2020</v>
      </c>
      <c r="E330" s="12" t="s">
        <v>1635</v>
      </c>
      <c r="F330" s="12" t="s">
        <v>151</v>
      </c>
      <c r="G330" s="12" t="s">
        <v>1636</v>
      </c>
      <c r="H330" s="12" t="s">
        <v>145</v>
      </c>
      <c r="I330" s="12" t="s">
        <v>153</v>
      </c>
      <c r="J330" s="12" t="s">
        <v>1641</v>
      </c>
      <c r="K330" s="12" t="s">
        <v>114</v>
      </c>
      <c r="L330" s="12" t="s">
        <v>1642</v>
      </c>
    </row>
    <row r="331" customFormat="false" ht="34.5" hidden="false" customHeight="true" outlineLevel="0" collapsed="false">
      <c r="A331" s="11" t="n">
        <v>243</v>
      </c>
      <c r="B331" s="12" t="s">
        <v>69</v>
      </c>
      <c r="C331" s="12" t="s">
        <v>1471</v>
      </c>
      <c r="D331" s="12" t="n">
        <v>2020</v>
      </c>
      <c r="E331" s="12" t="s">
        <v>1635</v>
      </c>
      <c r="F331" s="12" t="s">
        <v>151</v>
      </c>
      <c r="G331" s="12" t="s">
        <v>1636</v>
      </c>
      <c r="H331" s="12" t="s">
        <v>145</v>
      </c>
      <c r="I331" s="12" t="s">
        <v>153</v>
      </c>
      <c r="J331" s="12" t="s">
        <v>1643</v>
      </c>
      <c r="K331" s="12" t="s">
        <v>114</v>
      </c>
      <c r="L331" s="12" t="s">
        <v>1644</v>
      </c>
    </row>
    <row r="332" customFormat="false" ht="34.5" hidden="false" customHeight="true" outlineLevel="0" collapsed="false">
      <c r="A332" s="11" t="n">
        <v>243</v>
      </c>
      <c r="B332" s="12" t="s">
        <v>87</v>
      </c>
      <c r="C332" s="12" t="s">
        <v>1486</v>
      </c>
      <c r="D332" s="12" t="n">
        <v>2020</v>
      </c>
      <c r="E332" s="12" t="s">
        <v>1635</v>
      </c>
      <c r="F332" s="12" t="s">
        <v>1645</v>
      </c>
      <c r="G332" s="12" t="s">
        <v>1636</v>
      </c>
      <c r="H332" s="12" t="s">
        <v>145</v>
      </c>
      <c r="I332" s="12" t="s">
        <v>153</v>
      </c>
      <c r="J332" s="12" t="s">
        <v>1646</v>
      </c>
      <c r="K332" s="12" t="s">
        <v>114</v>
      </c>
      <c r="L332" s="12" t="s">
        <v>1647</v>
      </c>
    </row>
    <row r="333" customFormat="false" ht="34.5" hidden="false" customHeight="true" outlineLevel="0" collapsed="false">
      <c r="A333" s="8" t="n">
        <v>244</v>
      </c>
      <c r="B333" s="8" t="s">
        <v>11</v>
      </c>
      <c r="C333" s="8" t="s">
        <v>1648</v>
      </c>
      <c r="D333" s="8" t="n">
        <v>2025</v>
      </c>
      <c r="E333" s="8" t="s">
        <v>1649</v>
      </c>
      <c r="F333" s="8" t="s">
        <v>151</v>
      </c>
      <c r="G333" s="8" t="s">
        <v>1650</v>
      </c>
      <c r="H333" s="8" t="s">
        <v>327</v>
      </c>
      <c r="I333" s="8" t="s">
        <v>153</v>
      </c>
      <c r="J333" s="8" t="s">
        <v>1651</v>
      </c>
      <c r="K333" s="8" t="s">
        <v>114</v>
      </c>
      <c r="L333" s="8" t="s">
        <v>1652</v>
      </c>
    </row>
    <row r="334" customFormat="false" ht="34.5" hidden="false" customHeight="true" outlineLevel="0" collapsed="false">
      <c r="A334" s="8" t="n">
        <v>245</v>
      </c>
      <c r="B334" s="8" t="s">
        <v>11</v>
      </c>
      <c r="C334" s="8" t="s">
        <v>1653</v>
      </c>
      <c r="D334" s="8" t="n">
        <v>2024</v>
      </c>
      <c r="E334" s="8" t="s">
        <v>1654</v>
      </c>
      <c r="F334" s="8" t="s">
        <v>151</v>
      </c>
      <c r="G334" s="8" t="s">
        <v>1655</v>
      </c>
      <c r="H334" s="8" t="s">
        <v>1656</v>
      </c>
      <c r="I334" s="8" t="s">
        <v>153</v>
      </c>
      <c r="J334" s="8" t="s">
        <v>1657</v>
      </c>
      <c r="K334" s="8" t="s">
        <v>114</v>
      </c>
      <c r="L334" s="8" t="s">
        <v>1658</v>
      </c>
    </row>
    <row r="335" customFormat="false" ht="34.5" hidden="false" customHeight="true" outlineLevel="0" collapsed="false">
      <c r="A335" s="8" t="n">
        <v>246</v>
      </c>
      <c r="B335" s="8" t="s">
        <v>11</v>
      </c>
      <c r="C335" s="8" t="s">
        <v>1659</v>
      </c>
      <c r="D335" s="8" t="n">
        <v>2020</v>
      </c>
      <c r="E335" s="8" t="s">
        <v>1660</v>
      </c>
      <c r="F335" s="8" t="s">
        <v>151</v>
      </c>
      <c r="G335" s="8" t="s">
        <v>1264</v>
      </c>
      <c r="H335" s="8" t="s">
        <v>327</v>
      </c>
      <c r="I335" s="8" t="s">
        <v>153</v>
      </c>
      <c r="J335" s="8" t="s">
        <v>1661</v>
      </c>
      <c r="K335" s="8" t="s">
        <v>116</v>
      </c>
      <c r="L335" s="8" t="s">
        <v>1662</v>
      </c>
    </row>
    <row r="336" customFormat="false" ht="34.5" hidden="false" customHeight="true" outlineLevel="0" collapsed="false">
      <c r="A336" s="8" t="n">
        <v>247</v>
      </c>
      <c r="B336" s="8" t="s">
        <v>11</v>
      </c>
      <c r="C336" s="8" t="s">
        <v>1663</v>
      </c>
      <c r="D336" s="8" t="n">
        <v>2022</v>
      </c>
      <c r="E336" s="8" t="s">
        <v>1664</v>
      </c>
      <c r="F336" s="8" t="s">
        <v>151</v>
      </c>
      <c r="G336" s="8" t="s">
        <v>1665</v>
      </c>
      <c r="H336" s="8" t="s">
        <v>327</v>
      </c>
      <c r="I336" s="8" t="s">
        <v>153</v>
      </c>
      <c r="J336" s="8" t="s">
        <v>1666</v>
      </c>
      <c r="K336" s="8" t="s">
        <v>114</v>
      </c>
      <c r="L336" s="8" t="s">
        <v>1667</v>
      </c>
    </row>
    <row r="337" customFormat="false" ht="23.25" hidden="false" customHeight="true" outlineLevel="0" collapsed="false">
      <c r="A337" s="8" t="n">
        <v>248</v>
      </c>
      <c r="B337" s="8" t="s">
        <v>11</v>
      </c>
      <c r="C337" s="8" t="s">
        <v>1622</v>
      </c>
      <c r="D337" s="8" t="n">
        <v>2021</v>
      </c>
      <c r="E337" s="8" t="s">
        <v>1668</v>
      </c>
      <c r="F337" s="8" t="s">
        <v>151</v>
      </c>
      <c r="G337" s="8" t="s">
        <v>1669</v>
      </c>
      <c r="H337" s="8" t="s">
        <v>327</v>
      </c>
      <c r="I337" s="8" t="s">
        <v>153</v>
      </c>
      <c r="J337" s="8" t="s">
        <v>1670</v>
      </c>
      <c r="K337" s="8" t="s">
        <v>116</v>
      </c>
      <c r="L337" s="8" t="s">
        <v>1671</v>
      </c>
    </row>
    <row r="338" customFormat="false" ht="34.5" hidden="false" customHeight="true" outlineLevel="0" collapsed="false">
      <c r="A338" s="8" t="n">
        <v>249</v>
      </c>
      <c r="B338" s="8" t="s">
        <v>11</v>
      </c>
      <c r="C338" s="8" t="s">
        <v>1672</v>
      </c>
      <c r="D338" s="8" t="n">
        <v>2022</v>
      </c>
      <c r="E338" s="8" t="s">
        <v>1673</v>
      </c>
      <c r="F338" s="8" t="s">
        <v>143</v>
      </c>
      <c r="G338" s="8" t="s">
        <v>1674</v>
      </c>
      <c r="H338" s="8" t="s">
        <v>145</v>
      </c>
      <c r="I338" s="8" t="s">
        <v>153</v>
      </c>
      <c r="J338" s="8" t="s">
        <v>1675</v>
      </c>
      <c r="K338" s="8" t="s">
        <v>110</v>
      </c>
      <c r="L338" s="8" t="s">
        <v>1676</v>
      </c>
    </row>
    <row r="339" customFormat="false" ht="34.5" hidden="false" customHeight="true" outlineLevel="0" collapsed="false">
      <c r="A339" s="8" t="n">
        <v>250</v>
      </c>
      <c r="B339" s="8" t="s">
        <v>11</v>
      </c>
      <c r="C339" s="8" t="s">
        <v>1622</v>
      </c>
      <c r="D339" s="8" t="n">
        <v>2025</v>
      </c>
      <c r="E339" s="8" t="s">
        <v>1677</v>
      </c>
      <c r="F339" s="8" t="s">
        <v>143</v>
      </c>
      <c r="G339" s="8" t="s">
        <v>1678</v>
      </c>
      <c r="H339" s="8" t="s">
        <v>327</v>
      </c>
      <c r="I339" s="8" t="s">
        <v>153</v>
      </c>
      <c r="J339" s="8" t="s">
        <v>1679</v>
      </c>
      <c r="K339" s="8"/>
      <c r="L339" s="8" t="s">
        <v>1680</v>
      </c>
    </row>
    <row r="340" customFormat="false" ht="34.5" hidden="false" customHeight="true" outlineLevel="0" collapsed="false">
      <c r="A340" s="8" t="n">
        <v>251</v>
      </c>
      <c r="B340" s="8" t="s">
        <v>11</v>
      </c>
      <c r="C340" s="8" t="s">
        <v>1681</v>
      </c>
      <c r="D340" s="8" t="n">
        <v>2024</v>
      </c>
      <c r="E340" s="8" t="s">
        <v>1682</v>
      </c>
      <c r="F340" s="8" t="s">
        <v>143</v>
      </c>
      <c r="G340" s="8" t="s">
        <v>1683</v>
      </c>
      <c r="H340" s="8" t="s">
        <v>327</v>
      </c>
      <c r="I340" s="8" t="s">
        <v>153</v>
      </c>
      <c r="J340" s="8" t="s">
        <v>1684</v>
      </c>
      <c r="K340" s="8"/>
      <c r="L340" s="8" t="s">
        <v>1685</v>
      </c>
    </row>
    <row r="341" customFormat="false" ht="34.5" hidden="false" customHeight="true" outlineLevel="0" collapsed="false">
      <c r="A341" s="8" t="n">
        <v>252</v>
      </c>
      <c r="B341" s="8" t="s">
        <v>11</v>
      </c>
      <c r="C341" s="8" t="s">
        <v>1686</v>
      </c>
      <c r="D341" s="8" t="n">
        <v>2022</v>
      </c>
      <c r="E341" s="8" t="s">
        <v>1687</v>
      </c>
      <c r="F341" s="8" t="s">
        <v>143</v>
      </c>
      <c r="G341" s="8" t="s">
        <v>1688</v>
      </c>
      <c r="H341" s="8" t="s">
        <v>1689</v>
      </c>
      <c r="I341" s="8" t="s">
        <v>153</v>
      </c>
      <c r="J341" s="8" t="s">
        <v>1690</v>
      </c>
      <c r="K341" s="8" t="s">
        <v>114</v>
      </c>
      <c r="L341" s="8" t="s">
        <v>1691</v>
      </c>
    </row>
    <row r="342" customFormat="false" ht="34.5" hidden="false" customHeight="true" outlineLevel="0" collapsed="false">
      <c r="A342" s="8" t="n">
        <v>253</v>
      </c>
      <c r="B342" s="8" t="s">
        <v>11</v>
      </c>
      <c r="C342" s="8" t="s">
        <v>1692</v>
      </c>
      <c r="D342" s="8" t="n">
        <v>2022</v>
      </c>
      <c r="E342" s="8" t="s">
        <v>1693</v>
      </c>
      <c r="F342" s="8" t="s">
        <v>143</v>
      </c>
      <c r="G342" s="8" t="s">
        <v>1694</v>
      </c>
      <c r="H342" s="8" t="s">
        <v>145</v>
      </c>
      <c r="I342" s="8" t="s">
        <v>153</v>
      </c>
      <c r="J342" s="8" t="s">
        <v>1695</v>
      </c>
      <c r="K342" s="8" t="s">
        <v>114</v>
      </c>
      <c r="L342" s="8" t="s">
        <v>1696</v>
      </c>
    </row>
    <row r="343" customFormat="false" ht="34.5" hidden="false" customHeight="true" outlineLevel="0" collapsed="false">
      <c r="A343" s="8" t="n">
        <v>254</v>
      </c>
      <c r="B343" s="8" t="s">
        <v>11</v>
      </c>
      <c r="C343" s="8" t="s">
        <v>1697</v>
      </c>
      <c r="D343" s="8" t="n">
        <v>2024</v>
      </c>
      <c r="E343" s="8" t="s">
        <v>1698</v>
      </c>
      <c r="F343" s="8" t="s">
        <v>151</v>
      </c>
      <c r="G343" s="8" t="s">
        <v>677</v>
      </c>
      <c r="H343" s="8" t="s">
        <v>145</v>
      </c>
      <c r="I343" s="8" t="s">
        <v>146</v>
      </c>
      <c r="J343" s="8" t="s">
        <v>1699</v>
      </c>
      <c r="K343" s="8"/>
      <c r="L343" s="8" t="s">
        <v>1700</v>
      </c>
    </row>
    <row r="344" customFormat="false" ht="23.25" hidden="false" customHeight="true" outlineLevel="0" collapsed="false">
      <c r="A344" s="8" t="n">
        <v>255</v>
      </c>
      <c r="B344" s="8" t="s">
        <v>11</v>
      </c>
      <c r="C344" s="8" t="s">
        <v>1701</v>
      </c>
      <c r="D344" s="8" t="n">
        <v>2024</v>
      </c>
      <c r="E344" s="8" t="s">
        <v>1702</v>
      </c>
      <c r="F344" s="8" t="s">
        <v>151</v>
      </c>
      <c r="G344" s="8" t="s">
        <v>1703</v>
      </c>
      <c r="H344" s="8" t="s">
        <v>145</v>
      </c>
      <c r="I344" s="8" t="s">
        <v>387</v>
      </c>
      <c r="J344" s="8" t="s">
        <v>1704</v>
      </c>
      <c r="K344" s="8" t="s">
        <v>114</v>
      </c>
      <c r="L344" s="8" t="s">
        <v>1705</v>
      </c>
    </row>
    <row r="345" customFormat="false" ht="34.5" hidden="false" customHeight="true" outlineLevel="0" collapsed="false">
      <c r="A345" s="8" t="n">
        <v>256</v>
      </c>
      <c r="B345" s="8" t="s">
        <v>11</v>
      </c>
      <c r="C345" s="8" t="s">
        <v>1706</v>
      </c>
      <c r="D345" s="8" t="n">
        <v>2023</v>
      </c>
      <c r="E345" s="8" t="s">
        <v>1707</v>
      </c>
      <c r="F345" s="8" t="s">
        <v>143</v>
      </c>
      <c r="G345" s="8" t="s">
        <v>1708</v>
      </c>
      <c r="H345" s="8" t="s">
        <v>678</v>
      </c>
      <c r="I345" s="8" t="s">
        <v>146</v>
      </c>
      <c r="J345" s="8" t="s">
        <v>1709</v>
      </c>
      <c r="K345" s="8" t="s">
        <v>116</v>
      </c>
      <c r="L345" s="8" t="s">
        <v>1710</v>
      </c>
    </row>
    <row r="346" customFormat="false" ht="34.5" hidden="false" customHeight="true" outlineLevel="0" collapsed="false">
      <c r="A346" s="8" t="n">
        <v>257</v>
      </c>
      <c r="B346" s="8" t="s">
        <v>11</v>
      </c>
      <c r="C346" s="8" t="s">
        <v>1711</v>
      </c>
      <c r="D346" s="8" t="n">
        <v>2023</v>
      </c>
      <c r="E346" s="8" t="s">
        <v>1712</v>
      </c>
      <c r="F346" s="8" t="s">
        <v>143</v>
      </c>
      <c r="G346" s="8" t="s">
        <v>1713</v>
      </c>
      <c r="H346" s="8" t="s">
        <v>1714</v>
      </c>
      <c r="I346" s="8" t="s">
        <v>387</v>
      </c>
      <c r="J346" s="8" t="s">
        <v>1715</v>
      </c>
      <c r="K346" s="8" t="s">
        <v>110</v>
      </c>
      <c r="L346" s="8" t="s">
        <v>1716</v>
      </c>
    </row>
    <row r="347" customFormat="false" ht="34.5" hidden="false" customHeight="true" outlineLevel="0" collapsed="false">
      <c r="A347" s="8" t="n">
        <v>258</v>
      </c>
      <c r="B347" s="8" t="s">
        <v>11</v>
      </c>
      <c r="C347" s="8" t="s">
        <v>1717</v>
      </c>
      <c r="D347" s="8" t="n">
        <v>2025</v>
      </c>
      <c r="E347" s="8" t="s">
        <v>1718</v>
      </c>
      <c r="F347" s="8" t="s">
        <v>143</v>
      </c>
      <c r="G347" s="8" t="s">
        <v>1719</v>
      </c>
      <c r="H347" s="8" t="s">
        <v>327</v>
      </c>
      <c r="I347" s="8" t="s">
        <v>208</v>
      </c>
      <c r="J347" s="8" t="s">
        <v>1720</v>
      </c>
      <c r="K347" s="8" t="s">
        <v>110</v>
      </c>
      <c r="L347" s="8" t="s">
        <v>1721</v>
      </c>
    </row>
    <row r="348" customFormat="false" ht="34.5" hidden="false" customHeight="true" outlineLevel="0" collapsed="false">
      <c r="A348" s="8" t="n">
        <v>259</v>
      </c>
      <c r="B348" s="8" t="s">
        <v>11</v>
      </c>
      <c r="C348" s="8" t="s">
        <v>1476</v>
      </c>
      <c r="D348" s="8" t="n">
        <v>2024</v>
      </c>
      <c r="E348" s="8" t="s">
        <v>1722</v>
      </c>
      <c r="F348" s="8" t="s">
        <v>143</v>
      </c>
      <c r="G348" s="8" t="s">
        <v>1723</v>
      </c>
      <c r="H348" s="8" t="s">
        <v>145</v>
      </c>
      <c r="I348" s="8" t="s">
        <v>153</v>
      </c>
      <c r="J348" s="8" t="s">
        <v>1724</v>
      </c>
      <c r="K348" s="8" t="s">
        <v>114</v>
      </c>
      <c r="L348" s="8" t="s">
        <v>1725</v>
      </c>
    </row>
    <row r="349" customFormat="false" ht="34.5" hidden="false" customHeight="true" outlineLevel="0" collapsed="false">
      <c r="A349" s="8" t="n">
        <v>260</v>
      </c>
      <c r="B349" s="8" t="s">
        <v>11</v>
      </c>
      <c r="C349" s="8" t="s">
        <v>1726</v>
      </c>
      <c r="D349" s="8" t="n">
        <v>2023</v>
      </c>
      <c r="E349" s="8" t="s">
        <v>1727</v>
      </c>
      <c r="F349" s="8" t="s">
        <v>143</v>
      </c>
      <c r="G349" s="8" t="s">
        <v>1728</v>
      </c>
      <c r="H349" s="8" t="s">
        <v>145</v>
      </c>
      <c r="I349" s="8" t="s">
        <v>153</v>
      </c>
      <c r="J349" s="8" t="s">
        <v>1729</v>
      </c>
      <c r="K349" s="8" t="s">
        <v>114</v>
      </c>
      <c r="L349" s="8" t="s">
        <v>1730</v>
      </c>
    </row>
    <row r="350" customFormat="false" ht="34.5" hidden="false" customHeight="true" outlineLevel="0" collapsed="false">
      <c r="A350" s="8" t="n">
        <v>261</v>
      </c>
      <c r="B350" s="8" t="s">
        <v>11</v>
      </c>
      <c r="C350" s="8" t="s">
        <v>1731</v>
      </c>
      <c r="D350" s="8" t="n">
        <v>2023</v>
      </c>
      <c r="E350" s="8" t="s">
        <v>1732</v>
      </c>
      <c r="F350" s="8" t="s">
        <v>143</v>
      </c>
      <c r="G350" s="8" t="s">
        <v>1733</v>
      </c>
      <c r="H350" s="8" t="s">
        <v>678</v>
      </c>
      <c r="I350" s="8" t="s">
        <v>387</v>
      </c>
      <c r="J350" s="8" t="s">
        <v>1734</v>
      </c>
      <c r="K350" s="8" t="s">
        <v>110</v>
      </c>
      <c r="L350" s="8" t="s">
        <v>1735</v>
      </c>
    </row>
    <row r="351" customFormat="false" ht="34.5" hidden="false" customHeight="true" outlineLevel="0" collapsed="false">
      <c r="A351" s="8" t="n">
        <v>262</v>
      </c>
      <c r="B351" s="8" t="s">
        <v>11</v>
      </c>
      <c r="C351" s="8" t="s">
        <v>1476</v>
      </c>
      <c r="D351" s="8" t="n">
        <v>2019</v>
      </c>
      <c r="E351" s="8" t="s">
        <v>1736</v>
      </c>
      <c r="F351" s="8" t="s">
        <v>143</v>
      </c>
      <c r="G351" s="8" t="s">
        <v>1737</v>
      </c>
      <c r="H351" s="8" t="s">
        <v>145</v>
      </c>
      <c r="I351" s="8" t="s">
        <v>153</v>
      </c>
      <c r="J351" s="8" t="s">
        <v>1738</v>
      </c>
      <c r="K351" s="8" t="s">
        <v>114</v>
      </c>
      <c r="L351" s="8" t="s">
        <v>1739</v>
      </c>
    </row>
    <row r="352" customFormat="false" ht="34.5" hidden="false" customHeight="true" outlineLevel="0" collapsed="false">
      <c r="A352" s="9" t="n">
        <v>263</v>
      </c>
      <c r="B352" s="10" t="s">
        <v>11</v>
      </c>
      <c r="C352" s="10" t="s">
        <v>1740</v>
      </c>
      <c r="D352" s="10" t="n">
        <v>2022</v>
      </c>
      <c r="E352" s="10" t="s">
        <v>1741</v>
      </c>
      <c r="F352" s="10" t="s">
        <v>143</v>
      </c>
      <c r="G352" s="10" t="s">
        <v>1742</v>
      </c>
      <c r="H352" s="10" t="s">
        <v>327</v>
      </c>
      <c r="I352" s="10" t="s">
        <v>153</v>
      </c>
      <c r="J352" s="10" t="s">
        <v>1743</v>
      </c>
      <c r="K352" s="10" t="s">
        <v>114</v>
      </c>
      <c r="L352" s="10" t="s">
        <v>1744</v>
      </c>
    </row>
    <row r="353" customFormat="false" ht="34.5" hidden="false" customHeight="true" outlineLevel="0" collapsed="false">
      <c r="A353" s="11" t="n">
        <v>263</v>
      </c>
      <c r="B353" s="12" t="s">
        <v>27</v>
      </c>
      <c r="C353" s="12" t="s">
        <v>1745</v>
      </c>
      <c r="D353" s="12" t="n">
        <v>2022</v>
      </c>
      <c r="E353" s="12" t="s">
        <v>1741</v>
      </c>
      <c r="F353" s="12" t="s">
        <v>143</v>
      </c>
      <c r="G353" s="12" t="s">
        <v>1746</v>
      </c>
      <c r="H353" s="12" t="s">
        <v>327</v>
      </c>
      <c r="I353" s="12" t="s">
        <v>153</v>
      </c>
      <c r="J353" s="12" t="s">
        <v>1747</v>
      </c>
      <c r="K353" s="12" t="s">
        <v>114</v>
      </c>
      <c r="L353" s="12" t="s">
        <v>1748</v>
      </c>
    </row>
    <row r="354" customFormat="false" ht="34.5" hidden="false" customHeight="true" outlineLevel="0" collapsed="false">
      <c r="A354" s="8" t="n">
        <v>264</v>
      </c>
      <c r="B354" s="8" t="s">
        <v>11</v>
      </c>
      <c r="C354" s="8" t="s">
        <v>1740</v>
      </c>
      <c r="D354" s="8" t="n">
        <v>2019</v>
      </c>
      <c r="E354" s="8" t="s">
        <v>1749</v>
      </c>
      <c r="F354" s="8" t="s">
        <v>143</v>
      </c>
      <c r="G354" s="8" t="s">
        <v>1750</v>
      </c>
      <c r="H354" s="8" t="s">
        <v>327</v>
      </c>
      <c r="I354" s="8" t="s">
        <v>153</v>
      </c>
      <c r="J354" s="8" t="s">
        <v>1751</v>
      </c>
      <c r="K354" s="8" t="s">
        <v>114</v>
      </c>
      <c r="L354" s="8" t="s">
        <v>1752</v>
      </c>
    </row>
    <row r="355" customFormat="false" ht="34.5" hidden="false" customHeight="true" outlineLevel="0" collapsed="false">
      <c r="A355" s="8" t="n">
        <v>265</v>
      </c>
      <c r="B355" s="8" t="s">
        <v>11</v>
      </c>
      <c r="C355" s="8" t="s">
        <v>1740</v>
      </c>
      <c r="D355" s="8" t="n">
        <v>2020</v>
      </c>
      <c r="E355" s="8" t="s">
        <v>1753</v>
      </c>
      <c r="F355" s="8" t="s">
        <v>143</v>
      </c>
      <c r="G355" s="8" t="s">
        <v>1754</v>
      </c>
      <c r="H355" s="8" t="s">
        <v>327</v>
      </c>
      <c r="I355" s="8" t="s">
        <v>153</v>
      </c>
      <c r="J355" s="8" t="s">
        <v>1755</v>
      </c>
      <c r="K355" s="8" t="s">
        <v>114</v>
      </c>
      <c r="L355" s="8" t="s">
        <v>1756</v>
      </c>
    </row>
    <row r="356" customFormat="false" ht="34.5" hidden="false" customHeight="true" outlineLevel="0" collapsed="false">
      <c r="A356" s="8" t="n">
        <v>266</v>
      </c>
      <c r="B356" s="8" t="s">
        <v>11</v>
      </c>
      <c r="C356" s="8" t="s">
        <v>1757</v>
      </c>
      <c r="D356" s="8" t="n">
        <v>2023</v>
      </c>
      <c r="E356" s="8" t="s">
        <v>1758</v>
      </c>
      <c r="F356" s="8" t="s">
        <v>143</v>
      </c>
      <c r="G356" s="8" t="s">
        <v>1759</v>
      </c>
      <c r="H356" s="8" t="s">
        <v>678</v>
      </c>
      <c r="I356" s="8" t="s">
        <v>387</v>
      </c>
      <c r="J356" s="8" t="s">
        <v>1760</v>
      </c>
      <c r="K356" s="8" t="s">
        <v>110</v>
      </c>
      <c r="L356" s="8" t="s">
        <v>1761</v>
      </c>
    </row>
    <row r="357" customFormat="false" ht="34.5" hidden="false" customHeight="true" outlineLevel="0" collapsed="false">
      <c r="A357" s="8" t="n">
        <v>267</v>
      </c>
      <c r="B357" s="8" t="s">
        <v>11</v>
      </c>
      <c r="C357" s="8" t="s">
        <v>1740</v>
      </c>
      <c r="D357" s="8" t="n">
        <v>2009</v>
      </c>
      <c r="E357" s="8" t="s">
        <v>1762</v>
      </c>
      <c r="F357" s="8" t="s">
        <v>143</v>
      </c>
      <c r="G357" s="8" t="s">
        <v>1763</v>
      </c>
      <c r="H357" s="8" t="s">
        <v>327</v>
      </c>
      <c r="I357" s="8" t="s">
        <v>387</v>
      </c>
      <c r="J357" s="8" t="s">
        <v>1764</v>
      </c>
      <c r="K357" s="8" t="s">
        <v>112</v>
      </c>
      <c r="L357" s="8" t="s">
        <v>1765</v>
      </c>
    </row>
    <row r="358" customFormat="false" ht="34.5" hidden="false" customHeight="true" outlineLevel="0" collapsed="false">
      <c r="A358" s="8" t="n">
        <v>268</v>
      </c>
      <c r="B358" s="8" t="s">
        <v>11</v>
      </c>
      <c r="C358" s="8" t="s">
        <v>1740</v>
      </c>
      <c r="D358" s="8" t="n">
        <v>2024</v>
      </c>
      <c r="E358" s="8" t="s">
        <v>1766</v>
      </c>
      <c r="F358" s="8" t="s">
        <v>143</v>
      </c>
      <c r="G358" s="8" t="s">
        <v>1767</v>
      </c>
      <c r="H358" s="8" t="s">
        <v>327</v>
      </c>
      <c r="I358" s="8" t="s">
        <v>387</v>
      </c>
      <c r="J358" s="8" t="s">
        <v>1768</v>
      </c>
      <c r="K358" s="8" t="s">
        <v>110</v>
      </c>
      <c r="L358" s="8" t="s">
        <v>1769</v>
      </c>
    </row>
    <row r="359" customFormat="false" ht="34.5" hidden="false" customHeight="true" outlineLevel="0" collapsed="false">
      <c r="A359" s="8" t="n">
        <v>269</v>
      </c>
      <c r="B359" s="8" t="s">
        <v>11</v>
      </c>
      <c r="C359" s="8" t="s">
        <v>1770</v>
      </c>
      <c r="D359" s="8" t="n">
        <v>2022</v>
      </c>
      <c r="E359" s="8" t="s">
        <v>1771</v>
      </c>
      <c r="F359" s="8" t="s">
        <v>151</v>
      </c>
      <c r="G359" s="8" t="s">
        <v>152</v>
      </c>
      <c r="H359" s="8" t="s">
        <v>327</v>
      </c>
      <c r="I359" s="8" t="s">
        <v>387</v>
      </c>
      <c r="J359" s="8" t="s">
        <v>1772</v>
      </c>
      <c r="K359" s="8"/>
      <c r="L359" s="8" t="s">
        <v>1773</v>
      </c>
    </row>
    <row r="360" customFormat="false" ht="34.5" hidden="false" customHeight="true" outlineLevel="0" collapsed="false">
      <c r="A360" s="8" t="n">
        <v>270</v>
      </c>
      <c r="B360" s="8" t="s">
        <v>11</v>
      </c>
      <c r="C360" s="8" t="s">
        <v>1774</v>
      </c>
      <c r="D360" s="8" t="n">
        <v>2023</v>
      </c>
      <c r="E360" s="8" t="s">
        <v>1775</v>
      </c>
      <c r="F360" s="8" t="s">
        <v>151</v>
      </c>
      <c r="G360" s="8" t="s">
        <v>1776</v>
      </c>
      <c r="H360" s="8" t="s">
        <v>678</v>
      </c>
      <c r="I360" s="8" t="s">
        <v>146</v>
      </c>
      <c r="J360" s="8" t="s">
        <v>1777</v>
      </c>
      <c r="K360" s="8"/>
      <c r="L360" s="8" t="s">
        <v>1778</v>
      </c>
    </row>
    <row r="361" customFormat="false" ht="34.5" hidden="false" customHeight="true" outlineLevel="0" collapsed="false">
      <c r="A361" s="8" t="n">
        <v>271</v>
      </c>
      <c r="B361" s="8" t="s">
        <v>11</v>
      </c>
      <c r="C361" s="8" t="s">
        <v>1779</v>
      </c>
      <c r="D361" s="8" t="n">
        <v>2021</v>
      </c>
      <c r="E361" s="8" t="s">
        <v>1780</v>
      </c>
      <c r="F361" s="8" t="s">
        <v>151</v>
      </c>
      <c r="G361" s="8" t="s">
        <v>1781</v>
      </c>
      <c r="H361" s="8" t="s">
        <v>145</v>
      </c>
      <c r="I361" s="8" t="s">
        <v>153</v>
      </c>
      <c r="J361" s="8" t="s">
        <v>1782</v>
      </c>
      <c r="K361" s="8"/>
      <c r="L361" s="8" t="s">
        <v>1783</v>
      </c>
    </row>
    <row r="362" customFormat="false" ht="34.5" hidden="false" customHeight="true" outlineLevel="0" collapsed="false">
      <c r="A362" s="8" t="n">
        <v>272</v>
      </c>
      <c r="B362" s="8" t="s">
        <v>11</v>
      </c>
      <c r="C362" s="8" t="s">
        <v>1740</v>
      </c>
      <c r="D362" s="8" t="n">
        <v>2018</v>
      </c>
      <c r="E362" s="8" t="s">
        <v>1784</v>
      </c>
      <c r="F362" s="8" t="s">
        <v>143</v>
      </c>
      <c r="G362" s="8" t="s">
        <v>1785</v>
      </c>
      <c r="H362" s="8" t="s">
        <v>327</v>
      </c>
      <c r="I362" s="8" t="s">
        <v>146</v>
      </c>
      <c r="J362" s="8" t="s">
        <v>1786</v>
      </c>
      <c r="K362" s="8" t="s">
        <v>116</v>
      </c>
      <c r="L362" s="8" t="s">
        <v>1787</v>
      </c>
    </row>
    <row r="363" customFormat="false" ht="34.5" hidden="false" customHeight="true" outlineLevel="0" collapsed="false">
      <c r="A363" s="8" t="n">
        <v>273</v>
      </c>
      <c r="B363" s="8" t="s">
        <v>11</v>
      </c>
      <c r="C363" s="8" t="s">
        <v>1788</v>
      </c>
      <c r="D363" s="8" t="n">
        <v>2023</v>
      </c>
      <c r="E363" s="8" t="s">
        <v>1789</v>
      </c>
      <c r="F363" s="8" t="s">
        <v>151</v>
      </c>
      <c r="G363" s="8" t="s">
        <v>1790</v>
      </c>
      <c r="H363" s="8" t="s">
        <v>145</v>
      </c>
      <c r="I363" s="8" t="s">
        <v>387</v>
      </c>
      <c r="J363" s="8" t="s">
        <v>1791</v>
      </c>
      <c r="K363" s="8" t="s">
        <v>110</v>
      </c>
      <c r="L363" s="8" t="s">
        <v>1792</v>
      </c>
    </row>
    <row r="364" customFormat="false" ht="34.5" hidden="false" customHeight="true" outlineLevel="0" collapsed="false">
      <c r="A364" s="8" t="n">
        <v>274</v>
      </c>
      <c r="B364" s="8" t="s">
        <v>11</v>
      </c>
      <c r="C364" s="8" t="s">
        <v>1793</v>
      </c>
      <c r="D364" s="8" t="n">
        <v>2023</v>
      </c>
      <c r="E364" s="8" t="s">
        <v>1794</v>
      </c>
      <c r="F364" s="8" t="s">
        <v>143</v>
      </c>
      <c r="G364" s="8" t="s">
        <v>1795</v>
      </c>
      <c r="H364" s="8" t="s">
        <v>145</v>
      </c>
      <c r="I364" s="8" t="s">
        <v>387</v>
      </c>
      <c r="J364" s="8" t="s">
        <v>1796</v>
      </c>
      <c r="K364" s="8" t="s">
        <v>110</v>
      </c>
      <c r="L364" s="8" t="s">
        <v>1797</v>
      </c>
    </row>
    <row r="365" customFormat="false" ht="34.5" hidden="false" customHeight="true" outlineLevel="0" collapsed="false">
      <c r="A365" s="8" t="n">
        <v>275</v>
      </c>
      <c r="B365" s="8" t="s">
        <v>11</v>
      </c>
      <c r="C365" s="8" t="s">
        <v>1476</v>
      </c>
      <c r="D365" s="8" t="n">
        <v>2023</v>
      </c>
      <c r="E365" s="8" t="s">
        <v>1798</v>
      </c>
      <c r="F365" s="8" t="s">
        <v>143</v>
      </c>
      <c r="G365" s="8" t="s">
        <v>1799</v>
      </c>
      <c r="H365" s="8" t="s">
        <v>145</v>
      </c>
      <c r="I365" s="8" t="s">
        <v>387</v>
      </c>
      <c r="J365" s="8" t="s">
        <v>1800</v>
      </c>
      <c r="K365" s="8" t="s">
        <v>110</v>
      </c>
      <c r="L365" s="8" t="s">
        <v>1801</v>
      </c>
    </row>
    <row r="366" customFormat="false" ht="34.5" hidden="false" customHeight="true" outlineLevel="0" collapsed="false">
      <c r="A366" s="8" t="n">
        <v>276</v>
      </c>
      <c r="B366" s="8" t="s">
        <v>11</v>
      </c>
      <c r="C366" s="8" t="s">
        <v>1802</v>
      </c>
      <c r="D366" s="8" t="n">
        <v>2023</v>
      </c>
      <c r="E366" s="8" t="s">
        <v>1803</v>
      </c>
      <c r="F366" s="8" t="s">
        <v>143</v>
      </c>
      <c r="G366" s="8" t="s">
        <v>1804</v>
      </c>
      <c r="H366" s="8" t="s">
        <v>145</v>
      </c>
      <c r="I366" s="8" t="s">
        <v>153</v>
      </c>
      <c r="J366" s="8" t="s">
        <v>1805</v>
      </c>
      <c r="K366" s="8" t="s">
        <v>114</v>
      </c>
      <c r="L366" s="8" t="s">
        <v>1806</v>
      </c>
    </row>
    <row r="367" customFormat="false" ht="34.5" hidden="false" customHeight="true" outlineLevel="0" collapsed="false">
      <c r="A367" s="8" t="n">
        <v>277</v>
      </c>
      <c r="B367" s="8" t="s">
        <v>11</v>
      </c>
      <c r="C367" s="8" t="s">
        <v>1807</v>
      </c>
      <c r="D367" s="8" t="n">
        <v>2023</v>
      </c>
      <c r="E367" s="8" t="s">
        <v>1808</v>
      </c>
      <c r="F367" s="8" t="s">
        <v>143</v>
      </c>
      <c r="G367" s="8" t="s">
        <v>1513</v>
      </c>
      <c r="H367" s="8" t="s">
        <v>145</v>
      </c>
      <c r="I367" s="8" t="s">
        <v>387</v>
      </c>
      <c r="J367" s="8" t="s">
        <v>1809</v>
      </c>
      <c r="K367" s="8" t="s">
        <v>114</v>
      </c>
      <c r="L367" s="8" t="s">
        <v>1810</v>
      </c>
    </row>
    <row r="368" customFormat="false" ht="34.5" hidden="false" customHeight="true" outlineLevel="0" collapsed="false">
      <c r="A368" s="8" t="n">
        <v>278</v>
      </c>
      <c r="B368" s="8" t="s">
        <v>11</v>
      </c>
      <c r="C368" s="8" t="s">
        <v>1811</v>
      </c>
      <c r="D368" s="8" t="n">
        <v>2023</v>
      </c>
      <c r="E368" s="8" t="s">
        <v>1812</v>
      </c>
      <c r="F368" s="8" t="s">
        <v>143</v>
      </c>
      <c r="G368" s="8" t="s">
        <v>1813</v>
      </c>
      <c r="H368" s="8" t="s">
        <v>871</v>
      </c>
      <c r="I368" s="8" t="s">
        <v>387</v>
      </c>
      <c r="J368" s="8" t="s">
        <v>1814</v>
      </c>
      <c r="K368" s="8" t="s">
        <v>112</v>
      </c>
      <c r="L368" s="8" t="s">
        <v>1815</v>
      </c>
    </row>
    <row r="369" customFormat="false" ht="34.5" hidden="false" customHeight="true" outlineLevel="0" collapsed="false">
      <c r="A369" s="8" t="n">
        <v>279</v>
      </c>
      <c r="B369" s="8" t="s">
        <v>11</v>
      </c>
      <c r="C369" s="8" t="s">
        <v>1816</v>
      </c>
      <c r="D369" s="8" t="n">
        <v>2023</v>
      </c>
      <c r="E369" s="8" t="s">
        <v>1817</v>
      </c>
      <c r="F369" s="8" t="s">
        <v>143</v>
      </c>
      <c r="G369" s="8" t="s">
        <v>1818</v>
      </c>
      <c r="H369" s="8" t="s">
        <v>895</v>
      </c>
      <c r="I369" s="8" t="s">
        <v>146</v>
      </c>
      <c r="J369" s="8" t="s">
        <v>1819</v>
      </c>
      <c r="K369" s="8" t="s">
        <v>110</v>
      </c>
      <c r="L369" s="8" t="s">
        <v>1820</v>
      </c>
    </row>
    <row r="370" customFormat="false" ht="34.5" hidden="false" customHeight="true" outlineLevel="0" collapsed="false">
      <c r="A370" s="8" t="n">
        <v>280</v>
      </c>
      <c r="B370" s="8" t="s">
        <v>11</v>
      </c>
      <c r="C370" s="8" t="s">
        <v>1821</v>
      </c>
      <c r="D370" s="8" t="n">
        <v>2023</v>
      </c>
      <c r="E370" s="8" t="s">
        <v>1822</v>
      </c>
      <c r="F370" s="8" t="s">
        <v>143</v>
      </c>
      <c r="G370" s="8" t="s">
        <v>1823</v>
      </c>
      <c r="H370" s="8" t="s">
        <v>936</v>
      </c>
      <c r="I370" s="8" t="s">
        <v>146</v>
      </c>
      <c r="J370" s="8" t="s">
        <v>1824</v>
      </c>
      <c r="K370" s="8" t="s">
        <v>110</v>
      </c>
      <c r="L370" s="8" t="s">
        <v>1825</v>
      </c>
    </row>
    <row r="371" customFormat="false" ht="34.5" hidden="false" customHeight="true" outlineLevel="0" collapsed="false">
      <c r="A371" s="8" t="n">
        <v>281</v>
      </c>
      <c r="B371" s="8" t="s">
        <v>11</v>
      </c>
      <c r="C371" s="8" t="s">
        <v>1826</v>
      </c>
      <c r="D371" s="8" t="n">
        <v>2021</v>
      </c>
      <c r="E371" s="8" t="s">
        <v>1827</v>
      </c>
      <c r="F371" s="8" t="s">
        <v>143</v>
      </c>
      <c r="G371" s="8" t="s">
        <v>1828</v>
      </c>
      <c r="H371" s="8" t="s">
        <v>1213</v>
      </c>
      <c r="I371" s="8" t="s">
        <v>146</v>
      </c>
      <c r="J371" s="8" t="s">
        <v>1829</v>
      </c>
      <c r="K371" s="8" t="s">
        <v>112</v>
      </c>
      <c r="L371" s="8" t="s">
        <v>1830</v>
      </c>
    </row>
    <row r="372" customFormat="false" ht="34.5" hidden="false" customHeight="true" outlineLevel="0" collapsed="false">
      <c r="A372" s="8" t="n">
        <v>282</v>
      </c>
      <c r="B372" s="8" t="s">
        <v>11</v>
      </c>
      <c r="C372" s="8" t="s">
        <v>1831</v>
      </c>
      <c r="D372" s="8" t="n">
        <v>2025</v>
      </c>
      <c r="E372" s="8" t="s">
        <v>1832</v>
      </c>
      <c r="F372" s="8" t="s">
        <v>151</v>
      </c>
      <c r="G372" s="8" t="s">
        <v>1833</v>
      </c>
      <c r="H372" s="8" t="s">
        <v>145</v>
      </c>
      <c r="I372" s="8" t="s">
        <v>387</v>
      </c>
      <c r="J372" s="8" t="s">
        <v>1834</v>
      </c>
      <c r="K372" s="8" t="s">
        <v>116</v>
      </c>
      <c r="L372" s="8" t="s">
        <v>1835</v>
      </c>
    </row>
    <row r="373" customFormat="false" ht="34.5" hidden="false" customHeight="true" outlineLevel="0" collapsed="false">
      <c r="A373" s="8" t="n">
        <v>283</v>
      </c>
      <c r="B373" s="8" t="s">
        <v>11</v>
      </c>
      <c r="C373" s="8" t="s">
        <v>1740</v>
      </c>
      <c r="D373" s="8" t="n">
        <v>2024</v>
      </c>
      <c r="E373" s="8" t="s">
        <v>1836</v>
      </c>
      <c r="F373" s="8" t="s">
        <v>143</v>
      </c>
      <c r="G373" s="8" t="s">
        <v>1767</v>
      </c>
      <c r="H373" s="8" t="s">
        <v>327</v>
      </c>
      <c r="I373" s="8" t="s">
        <v>146</v>
      </c>
      <c r="J373" s="8" t="s">
        <v>1837</v>
      </c>
      <c r="K373" s="8" t="s">
        <v>116</v>
      </c>
      <c r="L373" s="8" t="s">
        <v>1838</v>
      </c>
    </row>
    <row r="374" customFormat="false" ht="34.5" hidden="false" customHeight="true" outlineLevel="0" collapsed="false">
      <c r="A374" s="8" t="n">
        <v>284</v>
      </c>
      <c r="B374" s="8" t="s">
        <v>11</v>
      </c>
      <c r="C374" s="8" t="s">
        <v>1839</v>
      </c>
      <c r="D374" s="8" t="n">
        <v>2024</v>
      </c>
      <c r="E374" s="8" t="s">
        <v>1840</v>
      </c>
      <c r="F374" s="8" t="s">
        <v>143</v>
      </c>
      <c r="G374" s="8" t="s">
        <v>1841</v>
      </c>
      <c r="H374" s="8" t="s">
        <v>1842</v>
      </c>
      <c r="I374" s="8" t="s">
        <v>387</v>
      </c>
      <c r="J374" s="8" t="s">
        <v>1843</v>
      </c>
      <c r="K374" s="8" t="s">
        <v>110</v>
      </c>
      <c r="L374" s="8" t="s">
        <v>1844</v>
      </c>
    </row>
    <row r="375" customFormat="false" ht="34.5" hidden="false" customHeight="true" outlineLevel="0" collapsed="false">
      <c r="A375" s="8" t="n">
        <v>285</v>
      </c>
      <c r="B375" s="8" t="s">
        <v>11</v>
      </c>
      <c r="C375" s="8" t="s">
        <v>1845</v>
      </c>
      <c r="D375" s="8" t="n">
        <v>2024</v>
      </c>
      <c r="E375" s="8" t="s">
        <v>1846</v>
      </c>
      <c r="F375" s="8" t="s">
        <v>151</v>
      </c>
      <c r="G375" s="8" t="s">
        <v>1847</v>
      </c>
      <c r="H375" s="8" t="s">
        <v>512</v>
      </c>
      <c r="I375" s="8" t="s">
        <v>387</v>
      </c>
      <c r="J375" s="8" t="s">
        <v>1848</v>
      </c>
      <c r="K375" s="8"/>
      <c r="L375" s="8" t="s">
        <v>1849</v>
      </c>
    </row>
    <row r="376" customFormat="false" ht="34.5" hidden="false" customHeight="true" outlineLevel="0" collapsed="false">
      <c r="A376" s="8" t="n">
        <v>286</v>
      </c>
      <c r="B376" s="8" t="s">
        <v>11</v>
      </c>
      <c r="C376" s="8" t="s">
        <v>1622</v>
      </c>
      <c r="D376" s="8" t="n">
        <v>2024</v>
      </c>
      <c r="E376" s="8" t="s">
        <v>1850</v>
      </c>
      <c r="F376" s="8" t="s">
        <v>143</v>
      </c>
      <c r="G376" s="8" t="s">
        <v>1851</v>
      </c>
      <c r="H376" s="8" t="s">
        <v>327</v>
      </c>
      <c r="I376" s="8" t="s">
        <v>387</v>
      </c>
      <c r="J376" s="8" t="s">
        <v>1852</v>
      </c>
      <c r="K376" s="8" t="s">
        <v>110</v>
      </c>
      <c r="L376" s="8" t="s">
        <v>1853</v>
      </c>
    </row>
    <row r="377" customFormat="false" ht="34.5" hidden="false" customHeight="true" outlineLevel="0" collapsed="false">
      <c r="A377" s="8" t="n">
        <v>287</v>
      </c>
      <c r="B377" s="8" t="s">
        <v>11</v>
      </c>
      <c r="C377" s="8" t="s">
        <v>1854</v>
      </c>
      <c r="D377" s="8" t="n">
        <v>2024</v>
      </c>
      <c r="E377" s="8" t="s">
        <v>1855</v>
      </c>
      <c r="F377" s="8" t="s">
        <v>143</v>
      </c>
      <c r="G377" s="8" t="s">
        <v>1856</v>
      </c>
      <c r="H377" s="8" t="s">
        <v>327</v>
      </c>
      <c r="I377" s="8" t="s">
        <v>146</v>
      </c>
      <c r="J377" s="8" t="s">
        <v>1857</v>
      </c>
      <c r="K377" s="8" t="s">
        <v>110</v>
      </c>
      <c r="L377" s="8" t="s">
        <v>1858</v>
      </c>
    </row>
    <row r="378" customFormat="false" ht="34.5" hidden="false" customHeight="true" outlineLevel="0" collapsed="false">
      <c r="A378" s="8" t="n">
        <v>288</v>
      </c>
      <c r="B378" s="8" t="s">
        <v>11</v>
      </c>
      <c r="C378" s="8" t="s">
        <v>1859</v>
      </c>
      <c r="D378" s="8" t="n">
        <v>2024</v>
      </c>
      <c r="E378" s="8" t="s">
        <v>1860</v>
      </c>
      <c r="F378" s="8" t="s">
        <v>143</v>
      </c>
      <c r="G378" s="8" t="s">
        <v>1861</v>
      </c>
      <c r="H378" s="8" t="s">
        <v>327</v>
      </c>
      <c r="I378" s="8" t="s">
        <v>387</v>
      </c>
      <c r="J378" s="8" t="s">
        <v>1862</v>
      </c>
      <c r="K378" s="8" t="s">
        <v>110</v>
      </c>
      <c r="L378" s="8" t="s">
        <v>1863</v>
      </c>
    </row>
    <row r="379" customFormat="false" ht="45.75" hidden="false" customHeight="true" outlineLevel="0" collapsed="false">
      <c r="A379" s="8" t="n">
        <v>289</v>
      </c>
      <c r="B379" s="8" t="s">
        <v>13</v>
      </c>
      <c r="C379" s="8" t="s">
        <v>1864</v>
      </c>
      <c r="D379" s="8" t="n">
        <v>2021</v>
      </c>
      <c r="E379" s="8" t="s">
        <v>1865</v>
      </c>
      <c r="F379" s="8" t="s">
        <v>151</v>
      </c>
      <c r="G379" s="8" t="s">
        <v>152</v>
      </c>
      <c r="H379" s="8" t="s">
        <v>145</v>
      </c>
      <c r="I379" s="8" t="s">
        <v>387</v>
      </c>
      <c r="J379" s="8" t="s">
        <v>1866</v>
      </c>
      <c r="K379" s="8"/>
      <c r="L379" s="8" t="s">
        <v>1867</v>
      </c>
    </row>
    <row r="380" customFormat="false" ht="45.75" hidden="false" customHeight="true" outlineLevel="0" collapsed="false">
      <c r="A380" s="8" t="n">
        <v>290</v>
      </c>
      <c r="B380" s="8" t="s">
        <v>13</v>
      </c>
      <c r="C380" s="8" t="s">
        <v>1868</v>
      </c>
      <c r="D380" s="8" t="n">
        <v>2020</v>
      </c>
      <c r="E380" s="8" t="s">
        <v>1869</v>
      </c>
      <c r="F380" s="8" t="s">
        <v>151</v>
      </c>
      <c r="G380" s="8" t="s">
        <v>152</v>
      </c>
      <c r="H380" s="8" t="s">
        <v>1870</v>
      </c>
      <c r="I380" s="8" t="s">
        <v>208</v>
      </c>
      <c r="J380" s="8" t="s">
        <v>1871</v>
      </c>
      <c r="K380" s="8"/>
      <c r="L380" s="8" t="s">
        <v>1872</v>
      </c>
    </row>
    <row r="381" customFormat="false" ht="34.5" hidden="false" customHeight="true" outlineLevel="0" collapsed="false">
      <c r="A381" s="8" t="n">
        <v>291</v>
      </c>
      <c r="B381" s="8" t="s">
        <v>13</v>
      </c>
      <c r="C381" s="8" t="s">
        <v>1873</v>
      </c>
      <c r="D381" s="8" t="n">
        <v>2018</v>
      </c>
      <c r="E381" s="8" t="s">
        <v>1874</v>
      </c>
      <c r="F381" s="8" t="s">
        <v>143</v>
      </c>
      <c r="G381" s="8" t="s">
        <v>152</v>
      </c>
      <c r="H381" s="8" t="s">
        <v>145</v>
      </c>
      <c r="I381" s="8" t="s">
        <v>208</v>
      </c>
      <c r="J381" s="8" t="s">
        <v>1875</v>
      </c>
      <c r="K381" s="8"/>
      <c r="L381" s="8" t="s">
        <v>1876</v>
      </c>
    </row>
    <row r="382" customFormat="false" ht="57" hidden="false" customHeight="true" outlineLevel="0" collapsed="false">
      <c r="A382" s="13" t="n">
        <v>292</v>
      </c>
      <c r="B382" s="14" t="s">
        <v>13</v>
      </c>
      <c r="C382" s="14" t="s">
        <v>1877</v>
      </c>
      <c r="D382" s="14" t="n">
        <v>2004</v>
      </c>
      <c r="E382" s="14" t="s">
        <v>1878</v>
      </c>
      <c r="F382" s="14" t="s">
        <v>151</v>
      </c>
      <c r="G382" s="14" t="s">
        <v>1879</v>
      </c>
      <c r="H382" s="14" t="s">
        <v>1880</v>
      </c>
      <c r="I382" s="14" t="s">
        <v>146</v>
      </c>
      <c r="J382" s="14" t="s">
        <v>1881</v>
      </c>
      <c r="K382" s="14" t="s">
        <v>110</v>
      </c>
      <c r="L382" s="14" t="s">
        <v>1882</v>
      </c>
    </row>
    <row r="383" customFormat="false" ht="34.5" hidden="false" customHeight="true" outlineLevel="0" collapsed="false">
      <c r="A383" s="15" t="n">
        <v>292</v>
      </c>
      <c r="B383" s="16" t="s">
        <v>45</v>
      </c>
      <c r="C383" s="16" t="s">
        <v>1883</v>
      </c>
      <c r="D383" s="16" t="n">
        <v>2004</v>
      </c>
      <c r="E383" s="16" t="s">
        <v>1884</v>
      </c>
      <c r="F383" s="16" t="s">
        <v>579</v>
      </c>
      <c r="G383" s="16" t="s">
        <v>1885</v>
      </c>
      <c r="H383" s="16" t="s">
        <v>1354</v>
      </c>
      <c r="I383" s="16" t="s">
        <v>146</v>
      </c>
      <c r="J383" s="16" t="s">
        <v>1886</v>
      </c>
      <c r="K383" s="16" t="s">
        <v>112</v>
      </c>
      <c r="L383" s="16" t="s">
        <v>1887</v>
      </c>
    </row>
    <row r="384" customFormat="false" ht="57" hidden="false" customHeight="true" outlineLevel="0" collapsed="false">
      <c r="A384" s="8" t="n">
        <v>293</v>
      </c>
      <c r="B384" s="8" t="s">
        <v>13</v>
      </c>
      <c r="C384" s="8" t="s">
        <v>1888</v>
      </c>
      <c r="D384" s="8" t="n">
        <v>2023</v>
      </c>
      <c r="E384" s="8" t="s">
        <v>1889</v>
      </c>
      <c r="F384" s="8" t="s">
        <v>143</v>
      </c>
      <c r="G384" s="8" t="s">
        <v>1890</v>
      </c>
      <c r="H384" s="8" t="s">
        <v>1891</v>
      </c>
      <c r="I384" s="8" t="s">
        <v>146</v>
      </c>
      <c r="J384" s="8" t="s">
        <v>1892</v>
      </c>
      <c r="K384" s="8" t="s">
        <v>110</v>
      </c>
      <c r="L384" s="8" t="s">
        <v>1893</v>
      </c>
    </row>
    <row r="385" customFormat="false" ht="34.5" hidden="false" customHeight="true" outlineLevel="0" collapsed="false">
      <c r="A385" s="8" t="n">
        <v>294</v>
      </c>
      <c r="B385" s="8" t="s">
        <v>15</v>
      </c>
      <c r="C385" s="8" t="s">
        <v>1894</v>
      </c>
      <c r="D385" s="8" t="n">
        <v>2022</v>
      </c>
      <c r="E385" s="8" t="s">
        <v>1895</v>
      </c>
      <c r="F385" s="8" t="s">
        <v>143</v>
      </c>
      <c r="G385" s="8" t="s">
        <v>1776</v>
      </c>
      <c r="H385" s="8" t="s">
        <v>145</v>
      </c>
      <c r="I385" s="8" t="s">
        <v>146</v>
      </c>
      <c r="J385" s="8" t="s">
        <v>1896</v>
      </c>
      <c r="K385" s="8"/>
      <c r="L385" s="8" t="s">
        <v>1897</v>
      </c>
    </row>
    <row r="386" customFormat="false" ht="34.5" hidden="false" customHeight="true" outlineLevel="0" collapsed="false">
      <c r="A386" s="9" t="n">
        <v>295</v>
      </c>
      <c r="B386" s="10" t="s">
        <v>15</v>
      </c>
      <c r="C386" s="10" t="s">
        <v>1898</v>
      </c>
      <c r="D386" s="10" t="n">
        <v>2022</v>
      </c>
      <c r="E386" s="10" t="s">
        <v>1899</v>
      </c>
      <c r="F386" s="10" t="s">
        <v>151</v>
      </c>
      <c r="G386" s="10" t="s">
        <v>1900</v>
      </c>
      <c r="H386" s="10" t="s">
        <v>338</v>
      </c>
      <c r="I386" s="10" t="s">
        <v>146</v>
      </c>
      <c r="J386" s="10" t="s">
        <v>1901</v>
      </c>
      <c r="K386" s="10" t="s">
        <v>112</v>
      </c>
      <c r="L386" s="10" t="s">
        <v>1902</v>
      </c>
    </row>
    <row r="387" customFormat="false" ht="23.25" hidden="false" customHeight="true" outlineLevel="0" collapsed="false">
      <c r="A387" s="11" t="n">
        <v>295</v>
      </c>
      <c r="B387" s="12" t="s">
        <v>81</v>
      </c>
      <c r="C387" s="12" t="s">
        <v>1898</v>
      </c>
      <c r="D387" s="12" t="n">
        <v>2022</v>
      </c>
      <c r="E387" s="12" t="s">
        <v>1899</v>
      </c>
      <c r="F387" s="12" t="s">
        <v>587</v>
      </c>
      <c r="G387" s="12" t="s">
        <v>1903</v>
      </c>
      <c r="H387" s="12" t="s">
        <v>1904</v>
      </c>
      <c r="I387" s="12" t="s">
        <v>146</v>
      </c>
      <c r="J387" s="12" t="s">
        <v>1905</v>
      </c>
      <c r="K387" s="12" t="s">
        <v>112</v>
      </c>
      <c r="L387" s="12" t="s">
        <v>1906</v>
      </c>
    </row>
    <row r="388" customFormat="false" ht="34.5" hidden="false" customHeight="true" outlineLevel="0" collapsed="false">
      <c r="A388" s="8" t="n">
        <v>296</v>
      </c>
      <c r="B388" s="8" t="s">
        <v>15</v>
      </c>
      <c r="C388" s="8" t="s">
        <v>1907</v>
      </c>
      <c r="D388" s="8" t="n">
        <v>2022</v>
      </c>
      <c r="E388" s="8" t="s">
        <v>1908</v>
      </c>
      <c r="F388" s="8" t="s">
        <v>151</v>
      </c>
      <c r="G388" s="8" t="s">
        <v>1909</v>
      </c>
      <c r="H388" s="8" t="s">
        <v>145</v>
      </c>
      <c r="I388" s="8" t="s">
        <v>153</v>
      </c>
      <c r="J388" s="8" t="s">
        <v>1910</v>
      </c>
      <c r="K388" s="8" t="s">
        <v>114</v>
      </c>
      <c r="L388" s="8" t="s">
        <v>1911</v>
      </c>
    </row>
    <row r="389" customFormat="false" ht="34.5" hidden="false" customHeight="true" outlineLevel="0" collapsed="false">
      <c r="A389" s="8" t="n">
        <v>297</v>
      </c>
      <c r="B389" s="8" t="s">
        <v>15</v>
      </c>
      <c r="C389" s="8" t="s">
        <v>1912</v>
      </c>
      <c r="D389" s="8" t="n">
        <v>2025</v>
      </c>
      <c r="E389" s="8" t="s">
        <v>1913</v>
      </c>
      <c r="F389" s="8" t="s">
        <v>151</v>
      </c>
      <c r="G389" s="8" t="s">
        <v>1914</v>
      </c>
      <c r="H389" s="8" t="s">
        <v>1915</v>
      </c>
      <c r="I389" s="8" t="s">
        <v>522</v>
      </c>
      <c r="J389" s="8" t="s">
        <v>1916</v>
      </c>
      <c r="K389" s="8" t="s">
        <v>112</v>
      </c>
      <c r="L389" s="8" t="s">
        <v>1917</v>
      </c>
    </row>
    <row r="390" customFormat="false" ht="34.5" hidden="false" customHeight="true" outlineLevel="0" collapsed="false">
      <c r="A390" s="8" t="n">
        <v>298</v>
      </c>
      <c r="B390" s="8" t="s">
        <v>15</v>
      </c>
      <c r="C390" s="8" t="s">
        <v>1918</v>
      </c>
      <c r="D390" s="8" t="n">
        <v>2024</v>
      </c>
      <c r="E390" s="8" t="s">
        <v>1919</v>
      </c>
      <c r="F390" s="8" t="s">
        <v>143</v>
      </c>
      <c r="G390" s="8" t="s">
        <v>1920</v>
      </c>
      <c r="H390" s="8" t="s">
        <v>145</v>
      </c>
      <c r="I390" s="8" t="s">
        <v>387</v>
      </c>
      <c r="J390" s="8" t="s">
        <v>1921</v>
      </c>
      <c r="K390" s="8" t="s">
        <v>110</v>
      </c>
      <c r="L390" s="8" t="s">
        <v>1922</v>
      </c>
    </row>
    <row r="391" customFormat="false" ht="34.5" hidden="false" customHeight="true" outlineLevel="0" collapsed="false">
      <c r="A391" s="8" t="n">
        <v>299</v>
      </c>
      <c r="B391" s="8" t="s">
        <v>15</v>
      </c>
      <c r="C391" s="8" t="s">
        <v>1918</v>
      </c>
      <c r="D391" s="8" t="n">
        <v>2024</v>
      </c>
      <c r="E391" s="8" t="s">
        <v>1923</v>
      </c>
      <c r="F391" s="8" t="s">
        <v>143</v>
      </c>
      <c r="G391" s="8" t="s">
        <v>1163</v>
      </c>
      <c r="H391" s="8" t="s">
        <v>145</v>
      </c>
      <c r="I391" s="8" t="s">
        <v>387</v>
      </c>
      <c r="J391" s="8" t="s">
        <v>1924</v>
      </c>
      <c r="K391" s="8" t="s">
        <v>110</v>
      </c>
      <c r="L391" s="8" t="s">
        <v>1925</v>
      </c>
    </row>
    <row r="392" customFormat="false" ht="34.5" hidden="false" customHeight="true" outlineLevel="0" collapsed="false">
      <c r="A392" s="8" t="n">
        <v>300</v>
      </c>
      <c r="B392" s="8" t="s">
        <v>15</v>
      </c>
      <c r="C392" s="8" t="s">
        <v>1926</v>
      </c>
      <c r="D392" s="8" t="n">
        <v>2025</v>
      </c>
      <c r="E392" s="8" t="s">
        <v>1927</v>
      </c>
      <c r="F392" s="8" t="s">
        <v>143</v>
      </c>
      <c r="G392" s="8" t="s">
        <v>1928</v>
      </c>
      <c r="H392" s="8" t="s">
        <v>145</v>
      </c>
      <c r="I392" s="8" t="s">
        <v>387</v>
      </c>
      <c r="J392" s="8" t="s">
        <v>507</v>
      </c>
      <c r="K392" s="8" t="s">
        <v>110</v>
      </c>
      <c r="L392" s="8" t="s">
        <v>1929</v>
      </c>
    </row>
    <row r="393" customFormat="false" ht="34.5" hidden="false" customHeight="true" outlineLevel="0" collapsed="false">
      <c r="A393" s="8" t="n">
        <v>301</v>
      </c>
      <c r="B393" s="8" t="s">
        <v>15</v>
      </c>
      <c r="C393" s="8" t="s">
        <v>1930</v>
      </c>
      <c r="D393" s="8" t="n">
        <v>1997</v>
      </c>
      <c r="E393" s="8" t="s">
        <v>1931</v>
      </c>
      <c r="F393" s="8" t="s">
        <v>151</v>
      </c>
      <c r="G393" s="8" t="s">
        <v>197</v>
      </c>
      <c r="H393" s="8" t="s">
        <v>145</v>
      </c>
      <c r="I393" s="8" t="s">
        <v>387</v>
      </c>
      <c r="J393" s="8" t="s">
        <v>1932</v>
      </c>
      <c r="K393" s="8"/>
      <c r="L393" s="8" t="s">
        <v>1933</v>
      </c>
    </row>
    <row r="394" customFormat="false" ht="34.5" hidden="false" customHeight="true" outlineLevel="0" collapsed="false">
      <c r="A394" s="13" t="n">
        <v>302</v>
      </c>
      <c r="B394" s="14" t="s">
        <v>15</v>
      </c>
      <c r="C394" s="14" t="s">
        <v>1930</v>
      </c>
      <c r="D394" s="14" t="n">
        <v>2014</v>
      </c>
      <c r="E394" s="14" t="s">
        <v>1934</v>
      </c>
      <c r="F394" s="14" t="s">
        <v>151</v>
      </c>
      <c r="G394" s="14" t="s">
        <v>152</v>
      </c>
      <c r="H394" s="14" t="s">
        <v>145</v>
      </c>
      <c r="I394" s="14" t="s">
        <v>387</v>
      </c>
      <c r="J394" s="14" t="s">
        <v>1935</v>
      </c>
      <c r="K394" s="14"/>
      <c r="L394" s="14" t="s">
        <v>1936</v>
      </c>
    </row>
    <row r="395" customFormat="false" ht="23.25" hidden="false" customHeight="true" outlineLevel="0" collapsed="false">
      <c r="A395" s="15" t="n">
        <v>302</v>
      </c>
      <c r="B395" s="16" t="s">
        <v>89</v>
      </c>
      <c r="C395" s="16" t="s">
        <v>1937</v>
      </c>
      <c r="D395" s="16" t="n">
        <v>2014</v>
      </c>
      <c r="E395" s="16" t="s">
        <v>1934</v>
      </c>
      <c r="F395" s="16" t="s">
        <v>151</v>
      </c>
      <c r="G395" s="16" t="s">
        <v>1938</v>
      </c>
      <c r="H395" s="16" t="s">
        <v>145</v>
      </c>
      <c r="I395" s="16" t="s">
        <v>153</v>
      </c>
      <c r="J395" s="16" t="s">
        <v>544</v>
      </c>
      <c r="K395" s="16" t="s">
        <v>116</v>
      </c>
      <c r="L395" s="16" t="s">
        <v>1939</v>
      </c>
    </row>
    <row r="396" customFormat="false" ht="34.5" hidden="false" customHeight="true" outlineLevel="0" collapsed="false">
      <c r="A396" s="8" t="n">
        <v>303</v>
      </c>
      <c r="B396" s="8" t="s">
        <v>15</v>
      </c>
      <c r="C396" s="8" t="s">
        <v>1940</v>
      </c>
      <c r="D396" s="8" t="n">
        <v>2023</v>
      </c>
      <c r="E396" s="8" t="s">
        <v>1941</v>
      </c>
      <c r="F396" s="8" t="s">
        <v>151</v>
      </c>
      <c r="G396" s="8" t="s">
        <v>1942</v>
      </c>
      <c r="H396" s="8" t="s">
        <v>1213</v>
      </c>
      <c r="I396" s="8" t="s">
        <v>146</v>
      </c>
      <c r="J396" s="8" t="s">
        <v>1943</v>
      </c>
      <c r="K396" s="8" t="s">
        <v>112</v>
      </c>
      <c r="L396" s="8" t="s">
        <v>1944</v>
      </c>
    </row>
    <row r="397" customFormat="false" ht="34.5" hidden="false" customHeight="true" outlineLevel="0" collapsed="false">
      <c r="A397" s="8" t="n">
        <v>304</v>
      </c>
      <c r="B397" s="8" t="s">
        <v>15</v>
      </c>
      <c r="C397" s="8" t="s">
        <v>1945</v>
      </c>
      <c r="D397" s="8" t="n">
        <v>2010</v>
      </c>
      <c r="E397" s="8" t="s">
        <v>1946</v>
      </c>
      <c r="F397" s="8" t="s">
        <v>151</v>
      </c>
      <c r="G397" s="8" t="s">
        <v>152</v>
      </c>
      <c r="H397" s="8" t="s">
        <v>145</v>
      </c>
      <c r="I397" s="8" t="s">
        <v>146</v>
      </c>
      <c r="J397" s="8" t="s">
        <v>1947</v>
      </c>
      <c r="K397" s="8"/>
      <c r="L397" s="8" t="s">
        <v>1948</v>
      </c>
    </row>
    <row r="398" customFormat="false" ht="34.5" hidden="false" customHeight="true" outlineLevel="0" collapsed="false">
      <c r="A398" s="8" t="n">
        <v>305</v>
      </c>
      <c r="B398" s="8" t="s">
        <v>15</v>
      </c>
      <c r="C398" s="8" t="s">
        <v>1949</v>
      </c>
      <c r="D398" s="8" t="n">
        <v>2023</v>
      </c>
      <c r="E398" s="8" t="s">
        <v>1950</v>
      </c>
      <c r="F398" s="8" t="s">
        <v>143</v>
      </c>
      <c r="G398" s="8" t="s">
        <v>1264</v>
      </c>
      <c r="H398" s="8" t="s">
        <v>145</v>
      </c>
      <c r="I398" s="8" t="s">
        <v>522</v>
      </c>
      <c r="J398" s="8" t="s">
        <v>1951</v>
      </c>
      <c r="K398" s="8"/>
      <c r="L398" s="8" t="s">
        <v>1952</v>
      </c>
    </row>
    <row r="399" customFormat="false" ht="34.5" hidden="false" customHeight="true" outlineLevel="0" collapsed="false">
      <c r="A399" s="8" t="n">
        <v>306</v>
      </c>
      <c r="B399" s="8" t="s">
        <v>15</v>
      </c>
      <c r="C399" s="8" t="s">
        <v>1953</v>
      </c>
      <c r="D399" s="8" t="n">
        <v>2023</v>
      </c>
      <c r="E399" s="8" t="s">
        <v>1954</v>
      </c>
      <c r="F399" s="8" t="s">
        <v>151</v>
      </c>
      <c r="G399" s="8" t="s">
        <v>197</v>
      </c>
      <c r="H399" s="8" t="s">
        <v>145</v>
      </c>
      <c r="I399" s="8" t="s">
        <v>387</v>
      </c>
      <c r="J399" s="8" t="s">
        <v>1955</v>
      </c>
      <c r="K399" s="8"/>
      <c r="L399" s="8" t="s">
        <v>1956</v>
      </c>
    </row>
    <row r="400" customFormat="false" ht="34.5" hidden="false" customHeight="true" outlineLevel="0" collapsed="false">
      <c r="A400" s="8" t="n">
        <v>307</v>
      </c>
      <c r="B400" s="8" t="s">
        <v>15</v>
      </c>
      <c r="C400" s="8" t="s">
        <v>1957</v>
      </c>
      <c r="D400" s="8" t="n">
        <v>2024</v>
      </c>
      <c r="E400" s="8" t="s">
        <v>1958</v>
      </c>
      <c r="F400" s="8" t="s">
        <v>151</v>
      </c>
      <c r="G400" s="8" t="s">
        <v>1959</v>
      </c>
      <c r="H400" s="8" t="s">
        <v>1960</v>
      </c>
      <c r="I400" s="8" t="s">
        <v>522</v>
      </c>
      <c r="J400" s="8" t="s">
        <v>1961</v>
      </c>
      <c r="K400" s="8" t="s">
        <v>112</v>
      </c>
      <c r="L400" s="8" t="s">
        <v>1962</v>
      </c>
    </row>
    <row r="401" customFormat="false" ht="34.5" hidden="false" customHeight="true" outlineLevel="0" collapsed="false">
      <c r="A401" s="8" t="n">
        <v>308</v>
      </c>
      <c r="B401" s="8" t="s">
        <v>15</v>
      </c>
      <c r="C401" s="8" t="s">
        <v>1963</v>
      </c>
      <c r="D401" s="8" t="n">
        <v>2017</v>
      </c>
      <c r="E401" s="8" t="s">
        <v>1964</v>
      </c>
      <c r="F401" s="8" t="s">
        <v>151</v>
      </c>
      <c r="G401" s="8" t="s">
        <v>1619</v>
      </c>
      <c r="H401" s="8" t="s">
        <v>145</v>
      </c>
      <c r="I401" s="8" t="s">
        <v>146</v>
      </c>
      <c r="J401" s="8" t="s">
        <v>1965</v>
      </c>
      <c r="K401" s="8"/>
      <c r="L401" s="8" t="s">
        <v>1966</v>
      </c>
    </row>
    <row r="402" customFormat="false" ht="34.5" hidden="false" customHeight="true" outlineLevel="0" collapsed="false">
      <c r="A402" s="8" t="n">
        <v>309</v>
      </c>
      <c r="B402" s="8" t="s">
        <v>15</v>
      </c>
      <c r="C402" s="8" t="s">
        <v>1967</v>
      </c>
      <c r="D402" s="8" t="n">
        <v>2022</v>
      </c>
      <c r="E402" s="8" t="s">
        <v>1968</v>
      </c>
      <c r="F402" s="8" t="s">
        <v>151</v>
      </c>
      <c r="G402" s="8" t="s">
        <v>152</v>
      </c>
      <c r="H402" s="8" t="s">
        <v>145</v>
      </c>
      <c r="I402" s="8" t="s">
        <v>146</v>
      </c>
      <c r="J402" s="8" t="s">
        <v>1969</v>
      </c>
      <c r="K402" s="8"/>
      <c r="L402" s="8" t="s">
        <v>1970</v>
      </c>
    </row>
    <row r="403" customFormat="false" ht="34.5" hidden="false" customHeight="true" outlineLevel="0" collapsed="false">
      <c r="A403" s="8" t="n">
        <v>310</v>
      </c>
      <c r="B403" s="8" t="s">
        <v>15</v>
      </c>
      <c r="C403" s="8" t="s">
        <v>1971</v>
      </c>
      <c r="D403" s="8" t="n">
        <v>2020</v>
      </c>
      <c r="E403" s="8" t="s">
        <v>1972</v>
      </c>
      <c r="F403" s="8" t="s">
        <v>151</v>
      </c>
      <c r="G403" s="8" t="s">
        <v>1973</v>
      </c>
      <c r="H403" s="8" t="s">
        <v>338</v>
      </c>
      <c r="I403" s="8" t="s">
        <v>146</v>
      </c>
      <c r="J403" s="8" t="s">
        <v>1974</v>
      </c>
      <c r="K403" s="8" t="s">
        <v>112</v>
      </c>
      <c r="L403" s="8" t="s">
        <v>1975</v>
      </c>
    </row>
    <row r="404" customFormat="false" ht="34.5" hidden="false" customHeight="true" outlineLevel="0" collapsed="false">
      <c r="A404" s="8" t="n">
        <v>311</v>
      </c>
      <c r="B404" s="8" t="s">
        <v>15</v>
      </c>
      <c r="C404" s="8" t="s">
        <v>1976</v>
      </c>
      <c r="D404" s="8" t="n">
        <v>2020</v>
      </c>
      <c r="E404" s="8" t="s">
        <v>1977</v>
      </c>
      <c r="F404" s="8" t="s">
        <v>151</v>
      </c>
      <c r="G404" s="8" t="s">
        <v>1978</v>
      </c>
      <c r="H404" s="8" t="s">
        <v>1979</v>
      </c>
      <c r="I404" s="8" t="s">
        <v>146</v>
      </c>
      <c r="J404" s="8" t="s">
        <v>1980</v>
      </c>
      <c r="K404" s="8"/>
      <c r="L404" s="8" t="s">
        <v>1981</v>
      </c>
    </row>
    <row r="405" customFormat="false" ht="34.5" hidden="false" customHeight="true" outlineLevel="0" collapsed="false">
      <c r="A405" s="8" t="n">
        <v>312</v>
      </c>
      <c r="B405" s="8" t="s">
        <v>15</v>
      </c>
      <c r="C405" s="8" t="s">
        <v>1982</v>
      </c>
      <c r="D405" s="8" t="n">
        <v>2005</v>
      </c>
      <c r="E405" s="8" t="s">
        <v>1983</v>
      </c>
      <c r="F405" s="8" t="s">
        <v>151</v>
      </c>
      <c r="G405" s="8" t="s">
        <v>348</v>
      </c>
      <c r="H405" s="8" t="s">
        <v>145</v>
      </c>
      <c r="I405" s="8" t="s">
        <v>387</v>
      </c>
      <c r="J405" s="8" t="s">
        <v>1984</v>
      </c>
      <c r="K405" s="8"/>
      <c r="L405" s="8" t="s">
        <v>1985</v>
      </c>
    </row>
    <row r="406" customFormat="false" ht="34.5" hidden="false" customHeight="true" outlineLevel="0" collapsed="false">
      <c r="A406" s="8" t="n">
        <v>313</v>
      </c>
      <c r="B406" s="8" t="s">
        <v>15</v>
      </c>
      <c r="C406" s="8" t="s">
        <v>1986</v>
      </c>
      <c r="D406" s="8" t="n">
        <v>2005</v>
      </c>
      <c r="E406" s="8" t="s">
        <v>1987</v>
      </c>
      <c r="F406" s="8" t="s">
        <v>151</v>
      </c>
      <c r="G406" s="8" t="s">
        <v>197</v>
      </c>
      <c r="H406" s="8" t="s">
        <v>145</v>
      </c>
      <c r="I406" s="8" t="s">
        <v>387</v>
      </c>
      <c r="J406" s="8" t="s">
        <v>1988</v>
      </c>
      <c r="K406" s="8"/>
      <c r="L406" s="8" t="s">
        <v>1989</v>
      </c>
    </row>
    <row r="407" customFormat="false" ht="34.5" hidden="false" customHeight="true" outlineLevel="0" collapsed="false">
      <c r="A407" s="8" t="n">
        <v>314</v>
      </c>
      <c r="B407" s="8" t="s">
        <v>15</v>
      </c>
      <c r="C407" s="8" t="s">
        <v>1990</v>
      </c>
      <c r="D407" s="8" t="n">
        <v>2008</v>
      </c>
      <c r="E407" s="8" t="s">
        <v>1991</v>
      </c>
      <c r="F407" s="8" t="s">
        <v>151</v>
      </c>
      <c r="G407" s="8" t="s">
        <v>152</v>
      </c>
      <c r="H407" s="8" t="s">
        <v>145</v>
      </c>
      <c r="I407" s="8" t="s">
        <v>146</v>
      </c>
      <c r="J407" s="8" t="s">
        <v>1992</v>
      </c>
      <c r="K407" s="8"/>
      <c r="L407" s="8" t="s">
        <v>1993</v>
      </c>
    </row>
    <row r="408" customFormat="false" ht="34.5" hidden="false" customHeight="true" outlineLevel="0" collapsed="false">
      <c r="A408" s="8" t="n">
        <v>315</v>
      </c>
      <c r="B408" s="8" t="s">
        <v>15</v>
      </c>
      <c r="C408" s="8" t="s">
        <v>1994</v>
      </c>
      <c r="D408" s="8" t="n">
        <v>2024</v>
      </c>
      <c r="E408" s="8" t="s">
        <v>1995</v>
      </c>
      <c r="F408" s="8" t="s">
        <v>151</v>
      </c>
      <c r="G408" s="8" t="s">
        <v>152</v>
      </c>
      <c r="H408" s="8" t="s">
        <v>145</v>
      </c>
      <c r="I408" s="8" t="s">
        <v>146</v>
      </c>
      <c r="J408" s="8" t="s">
        <v>1996</v>
      </c>
      <c r="K408" s="8"/>
      <c r="L408" s="8" t="s">
        <v>1997</v>
      </c>
    </row>
    <row r="409" customFormat="false" ht="34.5" hidden="false" customHeight="true" outlineLevel="0" collapsed="false">
      <c r="A409" s="8" t="n">
        <v>316</v>
      </c>
      <c r="B409" s="8" t="s">
        <v>15</v>
      </c>
      <c r="C409" s="8" t="s">
        <v>1998</v>
      </c>
      <c r="D409" s="8" t="n">
        <v>2020</v>
      </c>
      <c r="E409" s="8" t="s">
        <v>1999</v>
      </c>
      <c r="F409" s="8" t="s">
        <v>151</v>
      </c>
      <c r="G409" s="8" t="s">
        <v>152</v>
      </c>
      <c r="H409" s="8" t="s">
        <v>2000</v>
      </c>
      <c r="I409" s="8" t="s">
        <v>146</v>
      </c>
      <c r="J409" s="8" t="s">
        <v>2001</v>
      </c>
      <c r="K409" s="8"/>
      <c r="L409" s="8" t="s">
        <v>2002</v>
      </c>
    </row>
    <row r="410" customFormat="false" ht="34.5" hidden="false" customHeight="true" outlineLevel="0" collapsed="false">
      <c r="A410" s="8" t="n">
        <v>317</v>
      </c>
      <c r="B410" s="8" t="s">
        <v>15</v>
      </c>
      <c r="C410" s="8" t="s">
        <v>2003</v>
      </c>
      <c r="D410" s="8" t="n">
        <v>2021</v>
      </c>
      <c r="E410" s="8" t="s">
        <v>2004</v>
      </c>
      <c r="F410" s="8" t="s">
        <v>143</v>
      </c>
      <c r="G410" s="8" t="s">
        <v>364</v>
      </c>
      <c r="H410" s="8" t="s">
        <v>145</v>
      </c>
      <c r="I410" s="8" t="s">
        <v>387</v>
      </c>
      <c r="J410" s="8" t="s">
        <v>2005</v>
      </c>
      <c r="K410" s="8"/>
      <c r="L410" s="8" t="s">
        <v>2006</v>
      </c>
    </row>
    <row r="411" customFormat="false" ht="23.25" hidden="false" customHeight="true" outlineLevel="0" collapsed="false">
      <c r="A411" s="8" t="n">
        <v>318</v>
      </c>
      <c r="B411" s="8" t="s">
        <v>15</v>
      </c>
      <c r="C411" s="8" t="s">
        <v>2007</v>
      </c>
      <c r="D411" s="8" t="n">
        <v>2020</v>
      </c>
      <c r="E411" s="8" t="s">
        <v>2008</v>
      </c>
      <c r="F411" s="8" t="s">
        <v>151</v>
      </c>
      <c r="G411" s="8" t="s">
        <v>152</v>
      </c>
      <c r="H411" s="8" t="s">
        <v>145</v>
      </c>
      <c r="I411" s="8" t="s">
        <v>387</v>
      </c>
      <c r="J411" s="8" t="s">
        <v>2009</v>
      </c>
      <c r="K411" s="8"/>
      <c r="L411" s="8" t="s">
        <v>2010</v>
      </c>
    </row>
    <row r="412" customFormat="false" ht="34.5" hidden="false" customHeight="true" outlineLevel="0" collapsed="false">
      <c r="A412" s="8" t="n">
        <v>319</v>
      </c>
      <c r="B412" s="8" t="s">
        <v>15</v>
      </c>
      <c r="C412" s="8" t="s">
        <v>2011</v>
      </c>
      <c r="D412" s="8" t="n">
        <v>2024</v>
      </c>
      <c r="E412" s="8" t="s">
        <v>2012</v>
      </c>
      <c r="F412" s="8" t="s">
        <v>143</v>
      </c>
      <c r="G412" s="8" t="s">
        <v>2013</v>
      </c>
      <c r="H412" s="8" t="s">
        <v>145</v>
      </c>
      <c r="I412" s="8" t="s">
        <v>522</v>
      </c>
      <c r="J412" s="8" t="s">
        <v>2014</v>
      </c>
      <c r="K412" s="8" t="s">
        <v>114</v>
      </c>
      <c r="L412" s="8" t="s">
        <v>2015</v>
      </c>
    </row>
    <row r="413" customFormat="false" ht="23.25" hidden="false" customHeight="true" outlineLevel="0" collapsed="false">
      <c r="A413" s="8" t="n">
        <v>320</v>
      </c>
      <c r="B413" s="8" t="s">
        <v>15</v>
      </c>
      <c r="C413" s="8" t="s">
        <v>2016</v>
      </c>
      <c r="D413" s="8" t="n">
        <v>2020</v>
      </c>
      <c r="E413" s="8" t="s">
        <v>2017</v>
      </c>
      <c r="F413" s="8" t="s">
        <v>151</v>
      </c>
      <c r="G413" s="8" t="s">
        <v>152</v>
      </c>
      <c r="H413" s="8" t="s">
        <v>145</v>
      </c>
      <c r="I413" s="8" t="s">
        <v>146</v>
      </c>
      <c r="J413" s="8" t="s">
        <v>1969</v>
      </c>
      <c r="K413" s="8"/>
      <c r="L413" s="8" t="s">
        <v>2018</v>
      </c>
    </row>
    <row r="414" customFormat="false" ht="34.5" hidden="false" customHeight="true" outlineLevel="0" collapsed="false">
      <c r="A414" s="8" t="n">
        <v>321</v>
      </c>
      <c r="B414" s="8" t="s">
        <v>15</v>
      </c>
      <c r="C414" s="8" t="s">
        <v>2019</v>
      </c>
      <c r="D414" s="8" t="n">
        <v>2009</v>
      </c>
      <c r="E414" s="8" t="s">
        <v>2020</v>
      </c>
      <c r="F414" s="8" t="s">
        <v>143</v>
      </c>
      <c r="G414" s="8" t="s">
        <v>1973</v>
      </c>
      <c r="H414" s="8" t="s">
        <v>1960</v>
      </c>
      <c r="I414" s="8" t="s">
        <v>522</v>
      </c>
      <c r="J414" s="8" t="s">
        <v>2021</v>
      </c>
      <c r="K414" s="8" t="s">
        <v>112</v>
      </c>
      <c r="L414" s="8" t="s">
        <v>2022</v>
      </c>
    </row>
    <row r="415" customFormat="false" ht="23.25" hidden="false" customHeight="true" outlineLevel="0" collapsed="false">
      <c r="A415" s="8" t="n">
        <v>322</v>
      </c>
      <c r="B415" s="8" t="s">
        <v>15</v>
      </c>
      <c r="C415" s="8" t="s">
        <v>2023</v>
      </c>
      <c r="D415" s="8" t="n">
        <v>2005</v>
      </c>
      <c r="E415" s="8" t="s">
        <v>2024</v>
      </c>
      <c r="F415" s="8" t="s">
        <v>151</v>
      </c>
      <c r="G415" s="8" t="s">
        <v>152</v>
      </c>
      <c r="H415" s="8" t="s">
        <v>2025</v>
      </c>
      <c r="I415" s="8" t="s">
        <v>146</v>
      </c>
      <c r="J415" s="8" t="s">
        <v>2026</v>
      </c>
      <c r="K415" s="8"/>
      <c r="L415" s="8" t="s">
        <v>2027</v>
      </c>
    </row>
    <row r="416" customFormat="false" ht="34.5" hidden="false" customHeight="true" outlineLevel="0" collapsed="false">
      <c r="A416" s="8" t="n">
        <v>323</v>
      </c>
      <c r="B416" s="8" t="s">
        <v>15</v>
      </c>
      <c r="C416" s="8" t="s">
        <v>2028</v>
      </c>
      <c r="D416" s="8" t="n">
        <v>2021</v>
      </c>
      <c r="E416" s="8" t="s">
        <v>2029</v>
      </c>
      <c r="F416" s="8" t="s">
        <v>143</v>
      </c>
      <c r="G416" s="8" t="s">
        <v>2030</v>
      </c>
      <c r="H416" s="8" t="s">
        <v>2031</v>
      </c>
      <c r="I416" s="8" t="s">
        <v>146</v>
      </c>
      <c r="J416" s="8" t="s">
        <v>2032</v>
      </c>
      <c r="K416" s="8" t="s">
        <v>110</v>
      </c>
      <c r="L416" s="8" t="s">
        <v>2033</v>
      </c>
    </row>
    <row r="417" customFormat="false" ht="34.5" hidden="false" customHeight="true" outlineLevel="0" collapsed="false">
      <c r="A417" s="13" t="n">
        <v>324</v>
      </c>
      <c r="B417" s="14" t="s">
        <v>15</v>
      </c>
      <c r="C417" s="14" t="s">
        <v>2034</v>
      </c>
      <c r="D417" s="14" t="n">
        <v>2020</v>
      </c>
      <c r="E417" s="14" t="s">
        <v>2035</v>
      </c>
      <c r="F417" s="14" t="s">
        <v>151</v>
      </c>
      <c r="G417" s="14" t="s">
        <v>2036</v>
      </c>
      <c r="H417" s="14" t="s">
        <v>2037</v>
      </c>
      <c r="I417" s="14" t="s">
        <v>146</v>
      </c>
      <c r="J417" s="14" t="s">
        <v>2038</v>
      </c>
      <c r="K417" s="14" t="s">
        <v>112</v>
      </c>
      <c r="L417" s="14" t="s">
        <v>2039</v>
      </c>
    </row>
    <row r="418" customFormat="false" ht="34.5" hidden="false" customHeight="true" outlineLevel="0" collapsed="false">
      <c r="A418" s="15" t="n">
        <v>324</v>
      </c>
      <c r="B418" s="16" t="s">
        <v>27</v>
      </c>
      <c r="C418" s="16" t="s">
        <v>2034</v>
      </c>
      <c r="D418" s="16" t="n">
        <v>2020</v>
      </c>
      <c r="E418" s="16" t="s">
        <v>2040</v>
      </c>
      <c r="F418" s="16" t="s">
        <v>151</v>
      </c>
      <c r="G418" s="16" t="s">
        <v>2041</v>
      </c>
      <c r="H418" s="16" t="s">
        <v>2037</v>
      </c>
      <c r="I418" s="16" t="s">
        <v>146</v>
      </c>
      <c r="J418" s="16" t="s">
        <v>2038</v>
      </c>
      <c r="K418" s="16" t="s">
        <v>116</v>
      </c>
      <c r="L418" s="16" t="s">
        <v>2042</v>
      </c>
    </row>
    <row r="419" customFormat="false" ht="34.5" hidden="false" customHeight="true" outlineLevel="0" collapsed="false">
      <c r="A419" s="15" t="n">
        <v>324</v>
      </c>
      <c r="B419" s="16" t="s">
        <v>29</v>
      </c>
      <c r="C419" s="16" t="s">
        <v>2034</v>
      </c>
      <c r="D419" s="16" t="n">
        <v>2020</v>
      </c>
      <c r="E419" s="16" t="s">
        <v>2040</v>
      </c>
      <c r="F419" s="16" t="s">
        <v>151</v>
      </c>
      <c r="G419" s="16" t="s">
        <v>1080</v>
      </c>
      <c r="H419" s="16" t="s">
        <v>2037</v>
      </c>
      <c r="I419" s="16" t="s">
        <v>146</v>
      </c>
      <c r="J419" s="16" t="s">
        <v>2043</v>
      </c>
      <c r="K419" s="16" t="s">
        <v>116</v>
      </c>
      <c r="L419" s="16" t="s">
        <v>2044</v>
      </c>
    </row>
    <row r="420" customFormat="false" ht="34.5" hidden="false" customHeight="true" outlineLevel="0" collapsed="false">
      <c r="A420" s="15" t="n">
        <v>324</v>
      </c>
      <c r="B420" s="16" t="s">
        <v>39</v>
      </c>
      <c r="C420" s="16" t="s">
        <v>2034</v>
      </c>
      <c r="D420" s="16" t="n">
        <v>2020</v>
      </c>
      <c r="E420" s="16" t="s">
        <v>2040</v>
      </c>
      <c r="F420" s="16" t="s">
        <v>151</v>
      </c>
      <c r="G420" s="16" t="s">
        <v>2045</v>
      </c>
      <c r="H420" s="16" t="s">
        <v>690</v>
      </c>
      <c r="I420" s="16" t="s">
        <v>146</v>
      </c>
      <c r="J420" s="16" t="s">
        <v>2046</v>
      </c>
      <c r="K420" s="16"/>
      <c r="L420" s="16" t="s">
        <v>2047</v>
      </c>
    </row>
    <row r="421" customFormat="false" ht="34.5" hidden="false" customHeight="true" outlineLevel="0" collapsed="false">
      <c r="A421" s="15" t="n">
        <v>324</v>
      </c>
      <c r="B421" s="16" t="s">
        <v>43</v>
      </c>
      <c r="C421" s="16" t="s">
        <v>2034</v>
      </c>
      <c r="D421" s="16" t="n">
        <v>2020</v>
      </c>
      <c r="E421" s="16" t="s">
        <v>2035</v>
      </c>
      <c r="F421" s="16" t="s">
        <v>151</v>
      </c>
      <c r="G421" s="16" t="s">
        <v>2048</v>
      </c>
      <c r="H421" s="16" t="s">
        <v>2037</v>
      </c>
      <c r="I421" s="16" t="s">
        <v>146</v>
      </c>
      <c r="J421" s="16" t="s">
        <v>2049</v>
      </c>
      <c r="K421" s="16" t="s">
        <v>116</v>
      </c>
      <c r="L421" s="16" t="s">
        <v>2050</v>
      </c>
    </row>
    <row r="422" customFormat="false" ht="23.25" hidden="false" customHeight="true" outlineLevel="0" collapsed="false">
      <c r="A422" s="8" t="n">
        <v>325</v>
      </c>
      <c r="B422" s="8" t="s">
        <v>15</v>
      </c>
      <c r="C422" s="8" t="s">
        <v>2051</v>
      </c>
      <c r="D422" s="8" t="n">
        <v>2023</v>
      </c>
      <c r="E422" s="8" t="s">
        <v>2052</v>
      </c>
      <c r="F422" s="8" t="s">
        <v>151</v>
      </c>
      <c r="G422" s="8" t="s">
        <v>2053</v>
      </c>
      <c r="H422" s="8" t="s">
        <v>145</v>
      </c>
      <c r="I422" s="8" t="s">
        <v>387</v>
      </c>
      <c r="J422" s="8" t="s">
        <v>2054</v>
      </c>
      <c r="K422" s="8"/>
      <c r="L422" s="8" t="s">
        <v>2055</v>
      </c>
    </row>
    <row r="423" customFormat="false" ht="34.5" hidden="false" customHeight="true" outlineLevel="0" collapsed="false">
      <c r="A423" s="8" t="n">
        <v>326</v>
      </c>
      <c r="B423" s="8" t="s">
        <v>15</v>
      </c>
      <c r="C423" s="8" t="s">
        <v>2051</v>
      </c>
      <c r="D423" s="8" t="n">
        <v>2024</v>
      </c>
      <c r="E423" s="8" t="s">
        <v>2056</v>
      </c>
      <c r="F423" s="8" t="s">
        <v>151</v>
      </c>
      <c r="G423" s="8" t="s">
        <v>2053</v>
      </c>
      <c r="H423" s="8" t="s">
        <v>145</v>
      </c>
      <c r="I423" s="8" t="s">
        <v>387</v>
      </c>
      <c r="J423" s="8" t="s">
        <v>2054</v>
      </c>
      <c r="K423" s="8"/>
      <c r="L423" s="8" t="s">
        <v>2057</v>
      </c>
    </row>
    <row r="424" customFormat="false" ht="34.5" hidden="false" customHeight="true" outlineLevel="0" collapsed="false">
      <c r="A424" s="8" t="n">
        <v>327</v>
      </c>
      <c r="B424" s="8" t="s">
        <v>15</v>
      </c>
      <c r="C424" s="8" t="s">
        <v>2058</v>
      </c>
      <c r="D424" s="8" t="n">
        <v>2021</v>
      </c>
      <c r="E424" s="8" t="s">
        <v>2059</v>
      </c>
      <c r="F424" s="8" t="s">
        <v>151</v>
      </c>
      <c r="G424" s="8" t="s">
        <v>152</v>
      </c>
      <c r="H424" s="8" t="s">
        <v>2060</v>
      </c>
      <c r="I424" s="8" t="s">
        <v>146</v>
      </c>
      <c r="J424" s="8" t="s">
        <v>2061</v>
      </c>
      <c r="K424" s="8"/>
      <c r="L424" s="8" t="s">
        <v>2062</v>
      </c>
    </row>
    <row r="425" customFormat="false" ht="45.75" hidden="false" customHeight="true" outlineLevel="0" collapsed="false">
      <c r="A425" s="8" t="n">
        <v>328</v>
      </c>
      <c r="B425" s="8" t="s">
        <v>17</v>
      </c>
      <c r="C425" s="8" t="s">
        <v>2063</v>
      </c>
      <c r="D425" s="8" t="n">
        <v>2025</v>
      </c>
      <c r="E425" s="8" t="s">
        <v>2064</v>
      </c>
      <c r="F425" s="8" t="s">
        <v>143</v>
      </c>
      <c r="G425" s="8" t="s">
        <v>2065</v>
      </c>
      <c r="H425" s="8" t="s">
        <v>2066</v>
      </c>
      <c r="I425" s="8" t="s">
        <v>146</v>
      </c>
      <c r="J425" s="8" t="s">
        <v>2067</v>
      </c>
      <c r="K425" s="8" t="s">
        <v>112</v>
      </c>
      <c r="L425" s="8" t="s">
        <v>2068</v>
      </c>
    </row>
    <row r="426" customFormat="false" ht="34.5" hidden="false" customHeight="true" outlineLevel="0" collapsed="false">
      <c r="A426" s="8" t="n">
        <v>329</v>
      </c>
      <c r="B426" s="8" t="s">
        <v>17</v>
      </c>
      <c r="C426" s="8" t="s">
        <v>2069</v>
      </c>
      <c r="D426" s="8" t="n">
        <v>2023</v>
      </c>
      <c r="E426" s="8" t="s">
        <v>2070</v>
      </c>
      <c r="F426" s="8" t="s">
        <v>143</v>
      </c>
      <c r="G426" s="8" t="s">
        <v>364</v>
      </c>
      <c r="H426" s="8" t="s">
        <v>145</v>
      </c>
      <c r="I426" s="8" t="s">
        <v>153</v>
      </c>
      <c r="J426" s="8" t="s">
        <v>2071</v>
      </c>
      <c r="K426" s="8"/>
      <c r="L426" s="8" t="s">
        <v>2072</v>
      </c>
    </row>
    <row r="427" customFormat="false" ht="34.5" hidden="false" customHeight="true" outlineLevel="0" collapsed="false">
      <c r="A427" s="8" t="n">
        <v>330</v>
      </c>
      <c r="B427" s="8" t="s">
        <v>17</v>
      </c>
      <c r="C427" s="8" t="s">
        <v>2069</v>
      </c>
      <c r="D427" s="8" t="n">
        <v>2022</v>
      </c>
      <c r="E427" s="8" t="s">
        <v>2073</v>
      </c>
      <c r="F427" s="8" t="s">
        <v>153</v>
      </c>
      <c r="G427" s="8" t="s">
        <v>364</v>
      </c>
      <c r="H427" s="8" t="s">
        <v>145</v>
      </c>
      <c r="I427" s="8" t="s">
        <v>153</v>
      </c>
      <c r="J427" s="8" t="s">
        <v>2074</v>
      </c>
      <c r="K427" s="8"/>
      <c r="L427" s="8" t="s">
        <v>2075</v>
      </c>
    </row>
    <row r="428" customFormat="false" ht="34.5" hidden="false" customHeight="true" outlineLevel="0" collapsed="false">
      <c r="A428" s="8" t="n">
        <v>331</v>
      </c>
      <c r="B428" s="8" t="s">
        <v>17</v>
      </c>
      <c r="C428" s="8" t="s">
        <v>2076</v>
      </c>
      <c r="D428" s="8" t="n">
        <v>2021</v>
      </c>
      <c r="E428" s="8" t="s">
        <v>2077</v>
      </c>
      <c r="F428" s="8" t="s">
        <v>151</v>
      </c>
      <c r="G428" s="8" t="s">
        <v>1163</v>
      </c>
      <c r="H428" s="8" t="s">
        <v>145</v>
      </c>
      <c r="I428" s="8" t="s">
        <v>146</v>
      </c>
      <c r="J428" s="8" t="s">
        <v>2078</v>
      </c>
      <c r="K428" s="8" t="s">
        <v>112</v>
      </c>
      <c r="L428" s="8" t="s">
        <v>2079</v>
      </c>
    </row>
    <row r="429" customFormat="false" ht="34.5" hidden="false" customHeight="true" outlineLevel="0" collapsed="false">
      <c r="A429" s="13" t="n">
        <v>332</v>
      </c>
      <c r="B429" s="14" t="s">
        <v>17</v>
      </c>
      <c r="C429" s="14" t="s">
        <v>2080</v>
      </c>
      <c r="D429" s="14" t="n">
        <v>2019</v>
      </c>
      <c r="E429" s="14" t="s">
        <v>2081</v>
      </c>
      <c r="F429" s="14" t="s">
        <v>143</v>
      </c>
      <c r="G429" s="14" t="s">
        <v>2082</v>
      </c>
      <c r="H429" s="14" t="s">
        <v>145</v>
      </c>
      <c r="I429" s="14" t="s">
        <v>153</v>
      </c>
      <c r="J429" s="14" t="s">
        <v>2083</v>
      </c>
      <c r="K429" s="14" t="s">
        <v>112</v>
      </c>
      <c r="L429" s="14" t="s">
        <v>2084</v>
      </c>
    </row>
    <row r="430" customFormat="false" ht="34.5" hidden="false" customHeight="true" outlineLevel="0" collapsed="false">
      <c r="A430" s="15" t="n">
        <v>332</v>
      </c>
      <c r="B430" s="16" t="s">
        <v>31</v>
      </c>
      <c r="C430" s="16" t="s">
        <v>2085</v>
      </c>
      <c r="D430" s="16" t="n">
        <v>2019</v>
      </c>
      <c r="E430" s="16" t="s">
        <v>2081</v>
      </c>
      <c r="F430" s="16" t="s">
        <v>143</v>
      </c>
      <c r="G430" s="16" t="s">
        <v>2086</v>
      </c>
      <c r="H430" s="16" t="s">
        <v>2087</v>
      </c>
      <c r="I430" s="16" t="s">
        <v>153</v>
      </c>
      <c r="J430" s="16" t="s">
        <v>2088</v>
      </c>
      <c r="K430" s="16" t="s">
        <v>112</v>
      </c>
      <c r="L430" s="16" t="s">
        <v>2089</v>
      </c>
    </row>
    <row r="431" customFormat="false" ht="34.5" hidden="false" customHeight="true" outlineLevel="0" collapsed="false">
      <c r="A431" s="8" t="n">
        <v>333</v>
      </c>
      <c r="B431" s="8" t="s">
        <v>17</v>
      </c>
      <c r="C431" s="8" t="s">
        <v>2090</v>
      </c>
      <c r="D431" s="8" t="n">
        <v>2024</v>
      </c>
      <c r="E431" s="8" t="s">
        <v>2091</v>
      </c>
      <c r="F431" s="8" t="s">
        <v>143</v>
      </c>
      <c r="G431" s="8" t="s">
        <v>2013</v>
      </c>
      <c r="H431" s="8" t="s">
        <v>145</v>
      </c>
      <c r="I431" s="8" t="s">
        <v>146</v>
      </c>
      <c r="J431" s="8" t="s">
        <v>2092</v>
      </c>
      <c r="K431" s="8" t="s">
        <v>114</v>
      </c>
      <c r="L431" s="8" t="s">
        <v>2093</v>
      </c>
    </row>
    <row r="432" customFormat="false" ht="34.5" hidden="false" customHeight="true" outlineLevel="0" collapsed="false">
      <c r="A432" s="8" t="n">
        <v>334</v>
      </c>
      <c r="B432" s="8" t="s">
        <v>17</v>
      </c>
      <c r="C432" s="8" t="s">
        <v>2094</v>
      </c>
      <c r="D432" s="8" t="n">
        <v>2023</v>
      </c>
      <c r="E432" s="8" t="s">
        <v>2095</v>
      </c>
      <c r="F432" s="8" t="s">
        <v>143</v>
      </c>
      <c r="G432" s="8" t="s">
        <v>2096</v>
      </c>
      <c r="H432" s="8" t="s">
        <v>145</v>
      </c>
      <c r="I432" s="8" t="s">
        <v>153</v>
      </c>
      <c r="J432" s="8" t="s">
        <v>2097</v>
      </c>
      <c r="K432" s="8" t="s">
        <v>114</v>
      </c>
      <c r="L432" s="8" t="s">
        <v>2098</v>
      </c>
    </row>
    <row r="433" customFormat="false" ht="34.5" hidden="false" customHeight="true" outlineLevel="0" collapsed="false">
      <c r="A433" s="8" t="n">
        <v>335</v>
      </c>
      <c r="B433" s="8" t="s">
        <v>17</v>
      </c>
      <c r="C433" s="8" t="s">
        <v>2099</v>
      </c>
      <c r="D433" s="8" t="n">
        <v>2023</v>
      </c>
      <c r="E433" s="8" t="s">
        <v>2100</v>
      </c>
      <c r="F433" s="8" t="s">
        <v>143</v>
      </c>
      <c r="G433" s="8" t="s">
        <v>2101</v>
      </c>
      <c r="H433" s="8" t="s">
        <v>145</v>
      </c>
      <c r="I433" s="8" t="s">
        <v>146</v>
      </c>
      <c r="J433" s="8" t="s">
        <v>2102</v>
      </c>
      <c r="K433" s="8" t="s">
        <v>112</v>
      </c>
      <c r="L433" s="8" t="s">
        <v>2103</v>
      </c>
    </row>
    <row r="434" customFormat="false" ht="34.5" hidden="false" customHeight="true" outlineLevel="0" collapsed="false">
      <c r="A434" s="8" t="n">
        <v>336</v>
      </c>
      <c r="B434" s="8" t="s">
        <v>17</v>
      </c>
      <c r="C434" s="8" t="s">
        <v>2104</v>
      </c>
      <c r="D434" s="8" t="n">
        <v>2022</v>
      </c>
      <c r="E434" s="8" t="s">
        <v>2105</v>
      </c>
      <c r="F434" s="8" t="s">
        <v>143</v>
      </c>
      <c r="G434" s="8" t="s">
        <v>2106</v>
      </c>
      <c r="H434" s="8" t="s">
        <v>145</v>
      </c>
      <c r="I434" s="8" t="s">
        <v>146</v>
      </c>
      <c r="J434" s="8" t="s">
        <v>2107</v>
      </c>
      <c r="K434" s="8" t="s">
        <v>112</v>
      </c>
      <c r="L434" s="8" t="s">
        <v>2108</v>
      </c>
    </row>
    <row r="435" customFormat="false" ht="34.5" hidden="false" customHeight="true" outlineLevel="0" collapsed="false">
      <c r="A435" s="8" t="n">
        <v>337</v>
      </c>
      <c r="B435" s="8" t="s">
        <v>17</v>
      </c>
      <c r="C435" s="8" t="s">
        <v>2109</v>
      </c>
      <c r="D435" s="8" t="n">
        <v>2023</v>
      </c>
      <c r="E435" s="8" t="s">
        <v>2110</v>
      </c>
      <c r="F435" s="8" t="s">
        <v>143</v>
      </c>
      <c r="G435" s="8" t="s">
        <v>2111</v>
      </c>
      <c r="H435" s="8" t="s">
        <v>1960</v>
      </c>
      <c r="I435" s="8" t="s">
        <v>146</v>
      </c>
      <c r="J435" s="8" t="s">
        <v>2112</v>
      </c>
      <c r="K435" s="8" t="s">
        <v>116</v>
      </c>
      <c r="L435" s="8" t="s">
        <v>2113</v>
      </c>
    </row>
    <row r="436" customFormat="false" ht="34.5" hidden="false" customHeight="true" outlineLevel="0" collapsed="false">
      <c r="A436" s="8" t="n">
        <v>338</v>
      </c>
      <c r="B436" s="8" t="s">
        <v>17</v>
      </c>
      <c r="C436" s="8" t="s">
        <v>2114</v>
      </c>
      <c r="D436" s="8" t="n">
        <v>2024</v>
      </c>
      <c r="E436" s="8" t="s">
        <v>2115</v>
      </c>
      <c r="F436" s="8" t="s">
        <v>143</v>
      </c>
      <c r="G436" s="8" t="s">
        <v>2116</v>
      </c>
      <c r="H436" s="8" t="s">
        <v>2117</v>
      </c>
      <c r="I436" s="8" t="s">
        <v>146</v>
      </c>
      <c r="J436" s="8" t="s">
        <v>2118</v>
      </c>
      <c r="K436" s="8" t="s">
        <v>112</v>
      </c>
      <c r="L436" s="8" t="s">
        <v>2119</v>
      </c>
    </row>
    <row r="437" customFormat="false" ht="34.5" hidden="false" customHeight="true" outlineLevel="0" collapsed="false">
      <c r="A437" s="8" t="n">
        <v>339</v>
      </c>
      <c r="B437" s="8" t="s">
        <v>17</v>
      </c>
      <c r="C437" s="8" t="s">
        <v>2120</v>
      </c>
      <c r="D437" s="8" t="n">
        <v>2024</v>
      </c>
      <c r="E437" s="8" t="s">
        <v>2121</v>
      </c>
      <c r="F437" s="8" t="s">
        <v>143</v>
      </c>
      <c r="G437" s="8" t="s">
        <v>2122</v>
      </c>
      <c r="H437" s="8" t="s">
        <v>145</v>
      </c>
      <c r="I437" s="8" t="s">
        <v>153</v>
      </c>
      <c r="J437" s="8" t="s">
        <v>2123</v>
      </c>
      <c r="K437" s="8" t="s">
        <v>112</v>
      </c>
      <c r="L437" s="8" t="s">
        <v>2124</v>
      </c>
    </row>
    <row r="438" customFormat="false" ht="34.5" hidden="false" customHeight="true" outlineLevel="0" collapsed="false">
      <c r="A438" s="8" t="n">
        <v>340</v>
      </c>
      <c r="B438" s="8" t="s">
        <v>17</v>
      </c>
      <c r="C438" s="8" t="s">
        <v>2125</v>
      </c>
      <c r="D438" s="8" t="n">
        <v>2024</v>
      </c>
      <c r="E438" s="8" t="s">
        <v>2126</v>
      </c>
      <c r="F438" s="8" t="s">
        <v>143</v>
      </c>
      <c r="G438" s="8" t="s">
        <v>2127</v>
      </c>
      <c r="H438" s="8" t="s">
        <v>145</v>
      </c>
      <c r="I438" s="8" t="s">
        <v>153</v>
      </c>
      <c r="J438" s="8" t="s">
        <v>2128</v>
      </c>
      <c r="K438" s="8"/>
      <c r="L438" s="8" t="s">
        <v>2129</v>
      </c>
    </row>
    <row r="439" customFormat="false" ht="34.5" hidden="false" customHeight="true" outlineLevel="0" collapsed="false">
      <c r="A439" s="8" t="n">
        <v>341</v>
      </c>
      <c r="B439" s="8" t="s">
        <v>17</v>
      </c>
      <c r="C439" s="8" t="s">
        <v>2130</v>
      </c>
      <c r="D439" s="8" t="n">
        <v>2024</v>
      </c>
      <c r="E439" s="8" t="s">
        <v>2131</v>
      </c>
      <c r="F439" s="8" t="s">
        <v>151</v>
      </c>
      <c r="G439" s="8" t="s">
        <v>2132</v>
      </c>
      <c r="H439" s="8" t="s">
        <v>2133</v>
      </c>
      <c r="I439" s="8" t="s">
        <v>153</v>
      </c>
      <c r="J439" s="8" t="s">
        <v>2134</v>
      </c>
      <c r="K439" s="8" t="s">
        <v>114</v>
      </c>
      <c r="L439" s="8" t="s">
        <v>2135</v>
      </c>
    </row>
    <row r="440" customFormat="false" ht="34.5" hidden="false" customHeight="true" outlineLevel="0" collapsed="false">
      <c r="A440" s="8" t="n">
        <v>342</v>
      </c>
      <c r="B440" s="8" t="s">
        <v>17</v>
      </c>
      <c r="C440" s="8" t="s">
        <v>2136</v>
      </c>
      <c r="D440" s="8" t="n">
        <v>2024</v>
      </c>
      <c r="E440" s="8" t="s">
        <v>2137</v>
      </c>
      <c r="F440" s="8" t="s">
        <v>143</v>
      </c>
      <c r="G440" s="8" t="s">
        <v>2138</v>
      </c>
      <c r="H440" s="8" t="s">
        <v>2139</v>
      </c>
      <c r="I440" s="8" t="s">
        <v>146</v>
      </c>
      <c r="J440" s="8" t="s">
        <v>2140</v>
      </c>
      <c r="K440" s="8" t="s">
        <v>112</v>
      </c>
      <c r="L440" s="8" t="s">
        <v>2141</v>
      </c>
    </row>
    <row r="441" customFormat="false" ht="34.5" hidden="false" customHeight="true" outlineLevel="0" collapsed="false">
      <c r="A441" s="8" t="n">
        <v>343</v>
      </c>
      <c r="B441" s="8" t="s">
        <v>17</v>
      </c>
      <c r="C441" s="8" t="s">
        <v>2142</v>
      </c>
      <c r="D441" s="8" t="n">
        <v>2024</v>
      </c>
      <c r="E441" s="8" t="s">
        <v>2143</v>
      </c>
      <c r="F441" s="8" t="s">
        <v>143</v>
      </c>
      <c r="G441" s="8" t="s">
        <v>2144</v>
      </c>
      <c r="H441" s="8" t="s">
        <v>1319</v>
      </c>
      <c r="I441" s="8" t="s">
        <v>146</v>
      </c>
      <c r="J441" s="8" t="s">
        <v>2145</v>
      </c>
      <c r="K441" s="8" t="s">
        <v>112</v>
      </c>
      <c r="L441" s="8" t="s">
        <v>2146</v>
      </c>
    </row>
    <row r="442" customFormat="false" ht="34.5" hidden="false" customHeight="true" outlineLevel="0" collapsed="false">
      <c r="A442" s="8" t="n">
        <v>344</v>
      </c>
      <c r="B442" s="8" t="s">
        <v>17</v>
      </c>
      <c r="C442" s="8" t="s">
        <v>2147</v>
      </c>
      <c r="D442" s="8" t="n">
        <v>2021</v>
      </c>
      <c r="E442" s="8" t="s">
        <v>2148</v>
      </c>
      <c r="F442" s="8" t="s">
        <v>151</v>
      </c>
      <c r="G442" s="8" t="s">
        <v>1441</v>
      </c>
      <c r="H442" s="8" t="s">
        <v>145</v>
      </c>
      <c r="I442" s="8" t="s">
        <v>522</v>
      </c>
      <c r="J442" s="8" t="s">
        <v>2149</v>
      </c>
      <c r="K442" s="8"/>
      <c r="L442" s="8" t="s">
        <v>2150</v>
      </c>
    </row>
    <row r="443" customFormat="false" ht="34.5" hidden="false" customHeight="true" outlineLevel="0" collapsed="false">
      <c r="A443" s="9" t="n">
        <v>345</v>
      </c>
      <c r="B443" s="10" t="s">
        <v>17</v>
      </c>
      <c r="C443" s="10" t="s">
        <v>2151</v>
      </c>
      <c r="D443" s="10" t="n">
        <v>2021</v>
      </c>
      <c r="E443" s="10" t="s">
        <v>2152</v>
      </c>
      <c r="F443" s="10" t="s">
        <v>151</v>
      </c>
      <c r="G443" s="10" t="s">
        <v>2153</v>
      </c>
      <c r="H443" s="10" t="s">
        <v>145</v>
      </c>
      <c r="I443" s="10" t="s">
        <v>522</v>
      </c>
      <c r="J443" s="10" t="s">
        <v>2154</v>
      </c>
      <c r="K443" s="10" t="s">
        <v>114</v>
      </c>
      <c r="L443" s="10" t="s">
        <v>2155</v>
      </c>
    </row>
    <row r="444" customFormat="false" ht="34.5" hidden="false" customHeight="true" outlineLevel="0" collapsed="false">
      <c r="A444" s="11" t="n">
        <v>345</v>
      </c>
      <c r="B444" s="12" t="s">
        <v>87</v>
      </c>
      <c r="C444" s="12" t="s">
        <v>2156</v>
      </c>
      <c r="D444" s="12" t="n">
        <v>2021</v>
      </c>
      <c r="E444" s="12" t="s">
        <v>2152</v>
      </c>
      <c r="F444" s="12" t="s">
        <v>2157</v>
      </c>
      <c r="G444" s="12" t="s">
        <v>1799</v>
      </c>
      <c r="H444" s="12" t="s">
        <v>145</v>
      </c>
      <c r="I444" s="12" t="s">
        <v>153</v>
      </c>
      <c r="J444" s="12" t="s">
        <v>2158</v>
      </c>
      <c r="K444" s="12" t="s">
        <v>112</v>
      </c>
      <c r="L444" s="12" t="s">
        <v>2159</v>
      </c>
    </row>
    <row r="445" customFormat="false" ht="34.5" hidden="false" customHeight="true" outlineLevel="0" collapsed="false">
      <c r="A445" s="11" t="n">
        <v>345</v>
      </c>
      <c r="B445" s="12" t="s">
        <v>87</v>
      </c>
      <c r="C445" s="12" t="s">
        <v>2160</v>
      </c>
      <c r="D445" s="12" t="n">
        <v>2021</v>
      </c>
      <c r="E445" s="12" t="s">
        <v>2152</v>
      </c>
      <c r="F445" s="12" t="s">
        <v>2161</v>
      </c>
      <c r="G445" s="12" t="s">
        <v>2162</v>
      </c>
      <c r="H445" s="12" t="s">
        <v>145</v>
      </c>
      <c r="I445" s="12" t="s">
        <v>153</v>
      </c>
      <c r="J445" s="12" t="s">
        <v>2163</v>
      </c>
      <c r="K445" s="12" t="s">
        <v>112</v>
      </c>
      <c r="L445" s="12" t="s">
        <v>2164</v>
      </c>
    </row>
    <row r="446" customFormat="false" ht="34.5" hidden="false" customHeight="true" outlineLevel="0" collapsed="false">
      <c r="A446" s="8" t="n">
        <v>346</v>
      </c>
      <c r="B446" s="8" t="s">
        <v>19</v>
      </c>
      <c r="C446" s="8" t="s">
        <v>2165</v>
      </c>
      <c r="D446" s="8" t="n">
        <v>2016</v>
      </c>
      <c r="E446" s="8" t="s">
        <v>2166</v>
      </c>
      <c r="F446" s="8" t="s">
        <v>143</v>
      </c>
      <c r="G446" s="8" t="s">
        <v>2167</v>
      </c>
      <c r="H446" s="8" t="s">
        <v>2168</v>
      </c>
      <c r="I446" s="8" t="s">
        <v>208</v>
      </c>
      <c r="J446" s="8" t="s">
        <v>2169</v>
      </c>
      <c r="K446" s="8"/>
      <c r="L446" s="8" t="s">
        <v>2170</v>
      </c>
    </row>
    <row r="447" customFormat="false" ht="34.5" hidden="false" customHeight="true" outlineLevel="0" collapsed="false">
      <c r="A447" s="8" t="n">
        <v>347</v>
      </c>
      <c r="B447" s="8" t="s">
        <v>19</v>
      </c>
      <c r="C447" s="8" t="s">
        <v>2171</v>
      </c>
      <c r="D447" s="8" t="n">
        <v>2016</v>
      </c>
      <c r="E447" s="8" t="s">
        <v>2172</v>
      </c>
      <c r="F447" s="8" t="s">
        <v>143</v>
      </c>
      <c r="G447" s="8" t="s">
        <v>588</v>
      </c>
      <c r="H447" s="8" t="s">
        <v>145</v>
      </c>
      <c r="I447" s="8" t="s">
        <v>153</v>
      </c>
      <c r="J447" s="8" t="s">
        <v>2173</v>
      </c>
      <c r="K447" s="8" t="s">
        <v>114</v>
      </c>
      <c r="L447" s="8" t="s">
        <v>2174</v>
      </c>
    </row>
    <row r="448" customFormat="false" ht="34.5" hidden="false" customHeight="true" outlineLevel="0" collapsed="false">
      <c r="A448" s="8" t="n">
        <v>348</v>
      </c>
      <c r="B448" s="8" t="s">
        <v>19</v>
      </c>
      <c r="C448" s="8" t="s">
        <v>2175</v>
      </c>
      <c r="D448" s="8" t="n">
        <v>2009</v>
      </c>
      <c r="E448" s="8" t="s">
        <v>2176</v>
      </c>
      <c r="F448" s="8" t="s">
        <v>151</v>
      </c>
      <c r="G448" s="8" t="s">
        <v>2177</v>
      </c>
      <c r="H448" s="8" t="s">
        <v>145</v>
      </c>
      <c r="I448" s="8" t="s">
        <v>208</v>
      </c>
      <c r="J448" s="8" t="s">
        <v>2178</v>
      </c>
      <c r="K448" s="8"/>
      <c r="L448" s="8" t="s">
        <v>2179</v>
      </c>
    </row>
    <row r="449" customFormat="false" ht="34.5" hidden="false" customHeight="true" outlineLevel="0" collapsed="false">
      <c r="A449" s="8" t="n">
        <v>349</v>
      </c>
      <c r="B449" s="8" t="s">
        <v>19</v>
      </c>
      <c r="C449" s="8" t="s">
        <v>2180</v>
      </c>
      <c r="D449" s="8" t="n">
        <v>2014</v>
      </c>
      <c r="E449" s="8" t="s">
        <v>2181</v>
      </c>
      <c r="F449" s="8" t="s">
        <v>143</v>
      </c>
      <c r="G449" s="8" t="s">
        <v>1636</v>
      </c>
      <c r="H449" s="8" t="s">
        <v>145</v>
      </c>
      <c r="I449" s="8" t="s">
        <v>153</v>
      </c>
      <c r="J449" s="8" t="s">
        <v>2182</v>
      </c>
      <c r="K449" s="8" t="s">
        <v>114</v>
      </c>
      <c r="L449" s="8" t="s">
        <v>2183</v>
      </c>
    </row>
    <row r="450" customFormat="false" ht="34.5" hidden="false" customHeight="true" outlineLevel="0" collapsed="false">
      <c r="A450" s="8" t="n">
        <v>350</v>
      </c>
      <c r="B450" s="8" t="s">
        <v>19</v>
      </c>
      <c r="C450" s="8" t="s">
        <v>2184</v>
      </c>
      <c r="D450" s="8" t="n">
        <v>2014</v>
      </c>
      <c r="E450" s="8" t="s">
        <v>2185</v>
      </c>
      <c r="F450" s="8" t="s">
        <v>143</v>
      </c>
      <c r="G450" s="8" t="s">
        <v>2186</v>
      </c>
      <c r="H450" s="8" t="s">
        <v>2187</v>
      </c>
      <c r="I450" s="8" t="s">
        <v>208</v>
      </c>
      <c r="J450" s="8" t="s">
        <v>2188</v>
      </c>
      <c r="K450" s="8"/>
      <c r="L450" s="8" t="s">
        <v>2189</v>
      </c>
    </row>
    <row r="451" customFormat="false" ht="34.5" hidden="false" customHeight="true" outlineLevel="0" collapsed="false">
      <c r="A451" s="8" t="n">
        <v>351</v>
      </c>
      <c r="B451" s="8" t="s">
        <v>19</v>
      </c>
      <c r="C451" s="8" t="s">
        <v>2190</v>
      </c>
      <c r="D451" s="8" t="n">
        <v>2015</v>
      </c>
      <c r="E451" s="8" t="s">
        <v>2191</v>
      </c>
      <c r="F451" s="8" t="s">
        <v>143</v>
      </c>
      <c r="G451" s="8" t="s">
        <v>2192</v>
      </c>
      <c r="H451" s="8" t="s">
        <v>901</v>
      </c>
      <c r="I451" s="8" t="s">
        <v>153</v>
      </c>
      <c r="J451" s="8" t="s">
        <v>2193</v>
      </c>
      <c r="K451" s="8" t="s">
        <v>110</v>
      </c>
      <c r="L451" s="8" t="s">
        <v>2194</v>
      </c>
    </row>
    <row r="452" customFormat="false" ht="34.5" hidden="false" customHeight="true" outlineLevel="0" collapsed="false">
      <c r="A452" s="8" t="n">
        <v>352</v>
      </c>
      <c r="B452" s="8" t="s">
        <v>19</v>
      </c>
      <c r="C452" s="8" t="s">
        <v>2195</v>
      </c>
      <c r="D452" s="8" t="n">
        <v>2016</v>
      </c>
      <c r="E452" s="8" t="s">
        <v>2196</v>
      </c>
      <c r="F452" s="8" t="s">
        <v>143</v>
      </c>
      <c r="G452" s="8" t="s">
        <v>2197</v>
      </c>
      <c r="H452" s="8" t="s">
        <v>2187</v>
      </c>
      <c r="I452" s="8" t="s">
        <v>208</v>
      </c>
      <c r="J452" s="8" t="s">
        <v>2198</v>
      </c>
      <c r="K452" s="8"/>
      <c r="L452" s="8" t="s">
        <v>2199</v>
      </c>
    </row>
    <row r="453" customFormat="false" ht="34.5" hidden="false" customHeight="true" outlineLevel="0" collapsed="false">
      <c r="A453" s="8" t="n">
        <v>353</v>
      </c>
      <c r="B453" s="8" t="s">
        <v>19</v>
      </c>
      <c r="C453" s="8" t="s">
        <v>2200</v>
      </c>
      <c r="D453" s="8" t="n">
        <v>2012</v>
      </c>
      <c r="E453" s="8" t="s">
        <v>2201</v>
      </c>
      <c r="F453" s="8" t="s">
        <v>143</v>
      </c>
      <c r="G453" s="8" t="s">
        <v>364</v>
      </c>
      <c r="H453" s="8" t="s">
        <v>145</v>
      </c>
      <c r="I453" s="8" t="s">
        <v>208</v>
      </c>
      <c r="J453" s="8" t="s">
        <v>2202</v>
      </c>
      <c r="K453" s="8"/>
      <c r="L453" s="8" t="s">
        <v>2203</v>
      </c>
    </row>
    <row r="454" customFormat="false" ht="34.5" hidden="false" customHeight="true" outlineLevel="0" collapsed="false">
      <c r="A454" s="8" t="n">
        <v>354</v>
      </c>
      <c r="B454" s="8" t="s">
        <v>19</v>
      </c>
      <c r="C454" s="8" t="s">
        <v>2204</v>
      </c>
      <c r="D454" s="8" t="n">
        <v>2015</v>
      </c>
      <c r="E454" s="8" t="s">
        <v>2205</v>
      </c>
      <c r="F454" s="8" t="s">
        <v>143</v>
      </c>
      <c r="G454" s="8" t="s">
        <v>2206</v>
      </c>
      <c r="H454" s="8" t="s">
        <v>2207</v>
      </c>
      <c r="I454" s="8" t="s">
        <v>208</v>
      </c>
      <c r="J454" s="8" t="s">
        <v>2208</v>
      </c>
      <c r="K454" s="8" t="s">
        <v>116</v>
      </c>
      <c r="L454" s="8" t="s">
        <v>2209</v>
      </c>
    </row>
    <row r="455" customFormat="false" ht="34.5" hidden="false" customHeight="true" outlineLevel="0" collapsed="false">
      <c r="A455" s="8" t="n">
        <v>355</v>
      </c>
      <c r="B455" s="8" t="s">
        <v>19</v>
      </c>
      <c r="C455" s="8" t="s">
        <v>2210</v>
      </c>
      <c r="D455" s="8" t="n">
        <v>2016</v>
      </c>
      <c r="E455" s="8" t="s">
        <v>2211</v>
      </c>
      <c r="F455" s="8" t="s">
        <v>151</v>
      </c>
      <c r="G455" s="8" t="s">
        <v>2212</v>
      </c>
      <c r="H455" s="8" t="s">
        <v>2213</v>
      </c>
      <c r="I455" s="8" t="s">
        <v>208</v>
      </c>
      <c r="J455" s="8" t="s">
        <v>2214</v>
      </c>
      <c r="K455" s="8" t="s">
        <v>116</v>
      </c>
      <c r="L455" s="8" t="s">
        <v>2215</v>
      </c>
    </row>
    <row r="456" customFormat="false" ht="34.5" hidden="false" customHeight="true" outlineLevel="0" collapsed="false">
      <c r="A456" s="8" t="n">
        <v>356</v>
      </c>
      <c r="B456" s="8" t="s">
        <v>19</v>
      </c>
      <c r="C456" s="8" t="s">
        <v>2216</v>
      </c>
      <c r="D456" s="8" t="n">
        <v>2015</v>
      </c>
      <c r="E456" s="8" t="s">
        <v>2217</v>
      </c>
      <c r="F456" s="8" t="s">
        <v>143</v>
      </c>
      <c r="G456" s="8" t="s">
        <v>2218</v>
      </c>
      <c r="H456" s="8" t="s">
        <v>145</v>
      </c>
      <c r="I456" s="8" t="s">
        <v>153</v>
      </c>
      <c r="J456" s="8" t="s">
        <v>2219</v>
      </c>
      <c r="K456" s="8"/>
      <c r="L456" s="8" t="s">
        <v>2220</v>
      </c>
    </row>
    <row r="457" customFormat="false" ht="45.75" hidden="false" customHeight="true" outlineLevel="0" collapsed="false">
      <c r="A457" s="9" t="n">
        <v>357</v>
      </c>
      <c r="B457" s="10" t="s">
        <v>19</v>
      </c>
      <c r="C457" s="10" t="s">
        <v>2221</v>
      </c>
      <c r="D457" s="10" t="n">
        <v>2015</v>
      </c>
      <c r="E457" s="10" t="s">
        <v>2222</v>
      </c>
      <c r="F457" s="10" t="s">
        <v>143</v>
      </c>
      <c r="G457" s="10" t="s">
        <v>555</v>
      </c>
      <c r="H457" s="10" t="s">
        <v>145</v>
      </c>
      <c r="I457" s="10" t="s">
        <v>208</v>
      </c>
      <c r="J457" s="10" t="s">
        <v>2223</v>
      </c>
      <c r="K457" s="10" t="s">
        <v>110</v>
      </c>
      <c r="L457" s="10" t="s">
        <v>2224</v>
      </c>
    </row>
    <row r="458" customFormat="false" ht="34.5" hidden="false" customHeight="true" outlineLevel="0" collapsed="false">
      <c r="A458" s="11" t="n">
        <v>357</v>
      </c>
      <c r="B458" s="12" t="s">
        <v>41</v>
      </c>
      <c r="C458" s="12" t="s">
        <v>2225</v>
      </c>
      <c r="D458" s="12" t="n">
        <v>2015</v>
      </c>
      <c r="E458" s="12" t="s">
        <v>2226</v>
      </c>
      <c r="F458" s="12" t="s">
        <v>143</v>
      </c>
      <c r="G458" s="12" t="s">
        <v>2227</v>
      </c>
      <c r="H458" s="12" t="s">
        <v>145</v>
      </c>
      <c r="I458" s="12" t="s">
        <v>208</v>
      </c>
      <c r="J458" s="12" t="s">
        <v>1240</v>
      </c>
      <c r="K458" s="12" t="s">
        <v>110</v>
      </c>
      <c r="L458" s="12" t="s">
        <v>2228</v>
      </c>
    </row>
    <row r="459" customFormat="false" ht="45.75" hidden="false" customHeight="true" outlineLevel="0" collapsed="false">
      <c r="A459" s="11" t="n">
        <v>357</v>
      </c>
      <c r="B459" s="12" t="s">
        <v>55</v>
      </c>
      <c r="C459" s="12" t="s">
        <v>2221</v>
      </c>
      <c r="D459" s="12" t="n">
        <v>2015</v>
      </c>
      <c r="E459" s="12" t="s">
        <v>2226</v>
      </c>
      <c r="F459" s="12" t="s">
        <v>143</v>
      </c>
      <c r="G459" s="12" t="s">
        <v>551</v>
      </c>
      <c r="H459" s="12" t="s">
        <v>145</v>
      </c>
      <c r="I459" s="12" t="s">
        <v>208</v>
      </c>
      <c r="J459" s="12" t="s">
        <v>2229</v>
      </c>
      <c r="K459" s="12" t="s">
        <v>110</v>
      </c>
      <c r="L459" s="12" t="s">
        <v>2230</v>
      </c>
    </row>
    <row r="460" customFormat="false" ht="34.5" hidden="false" customHeight="true" outlineLevel="0" collapsed="false">
      <c r="A460" s="8" t="n">
        <v>358</v>
      </c>
      <c r="B460" s="8" t="s">
        <v>19</v>
      </c>
      <c r="C460" s="8" t="s">
        <v>2231</v>
      </c>
      <c r="D460" s="8" t="n">
        <v>2013</v>
      </c>
      <c r="E460" s="8" t="s">
        <v>2232</v>
      </c>
      <c r="F460" s="8" t="s">
        <v>143</v>
      </c>
      <c r="G460" s="8" t="s">
        <v>2233</v>
      </c>
      <c r="H460" s="8" t="s">
        <v>145</v>
      </c>
      <c r="I460" s="8" t="s">
        <v>153</v>
      </c>
      <c r="J460" s="8" t="s">
        <v>2234</v>
      </c>
      <c r="K460" s="8" t="s">
        <v>114</v>
      </c>
      <c r="L460" s="8" t="s">
        <v>2235</v>
      </c>
    </row>
    <row r="461" customFormat="false" ht="34.5" hidden="false" customHeight="true" outlineLevel="0" collapsed="false">
      <c r="A461" s="8" t="n">
        <v>359</v>
      </c>
      <c r="B461" s="8" t="s">
        <v>19</v>
      </c>
      <c r="C461" s="8" t="s">
        <v>2236</v>
      </c>
      <c r="D461" s="8" t="n">
        <v>2011</v>
      </c>
      <c r="E461" s="8" t="s">
        <v>2237</v>
      </c>
      <c r="F461" s="8" t="s">
        <v>151</v>
      </c>
      <c r="G461" s="8" t="s">
        <v>1665</v>
      </c>
      <c r="H461" s="8" t="s">
        <v>145</v>
      </c>
      <c r="I461" s="8" t="s">
        <v>153</v>
      </c>
      <c r="J461" s="8" t="s">
        <v>2238</v>
      </c>
      <c r="K461" s="8"/>
      <c r="L461" s="8" t="s">
        <v>2239</v>
      </c>
    </row>
    <row r="462" customFormat="false" ht="34.5" hidden="false" customHeight="true" outlineLevel="0" collapsed="false">
      <c r="A462" s="8" t="n">
        <v>360</v>
      </c>
      <c r="B462" s="8" t="s">
        <v>19</v>
      </c>
      <c r="C462" s="8" t="s">
        <v>2240</v>
      </c>
      <c r="D462" s="8" t="n">
        <v>2015</v>
      </c>
      <c r="E462" s="8" t="s">
        <v>2241</v>
      </c>
      <c r="F462" s="8" t="s">
        <v>151</v>
      </c>
      <c r="G462" s="8" t="s">
        <v>2242</v>
      </c>
      <c r="H462" s="8" t="s">
        <v>145</v>
      </c>
      <c r="I462" s="8" t="s">
        <v>153</v>
      </c>
      <c r="J462" s="8" t="s">
        <v>2243</v>
      </c>
      <c r="K462" s="8"/>
      <c r="L462" s="8" t="s">
        <v>2244</v>
      </c>
    </row>
    <row r="463" customFormat="false" ht="34.5" hidden="false" customHeight="true" outlineLevel="0" collapsed="false">
      <c r="A463" s="8" t="n">
        <v>361</v>
      </c>
      <c r="B463" s="8" t="s">
        <v>19</v>
      </c>
      <c r="C463" s="8" t="s">
        <v>2245</v>
      </c>
      <c r="D463" s="8" t="n">
        <v>2015</v>
      </c>
      <c r="E463" s="8" t="s">
        <v>2246</v>
      </c>
      <c r="F463" s="8" t="s">
        <v>143</v>
      </c>
      <c r="G463" s="8" t="s">
        <v>2247</v>
      </c>
      <c r="H463" s="8" t="s">
        <v>2248</v>
      </c>
      <c r="I463" s="8" t="s">
        <v>522</v>
      </c>
      <c r="J463" s="8" t="s">
        <v>2249</v>
      </c>
      <c r="K463" s="8" t="s">
        <v>116</v>
      </c>
      <c r="L463" s="8" t="s">
        <v>2250</v>
      </c>
    </row>
    <row r="464" customFormat="false" ht="34.5" hidden="false" customHeight="true" outlineLevel="0" collapsed="false">
      <c r="A464" s="8" t="n">
        <v>362</v>
      </c>
      <c r="B464" s="8" t="s">
        <v>19</v>
      </c>
      <c r="C464" s="8" t="s">
        <v>2251</v>
      </c>
      <c r="D464" s="8" t="n">
        <v>2016</v>
      </c>
      <c r="E464" s="8" t="s">
        <v>2252</v>
      </c>
      <c r="F464" s="8" t="s">
        <v>143</v>
      </c>
      <c r="G464" s="8" t="s">
        <v>2253</v>
      </c>
      <c r="H464" s="8" t="s">
        <v>145</v>
      </c>
      <c r="I464" s="8" t="s">
        <v>153</v>
      </c>
      <c r="J464" s="8" t="s">
        <v>2254</v>
      </c>
      <c r="K464" s="8" t="s">
        <v>114</v>
      </c>
      <c r="L464" s="8" t="s">
        <v>2255</v>
      </c>
    </row>
    <row r="465" customFormat="false" ht="34.5" hidden="false" customHeight="true" outlineLevel="0" collapsed="false">
      <c r="A465" s="8" t="n">
        <v>363</v>
      </c>
      <c r="B465" s="8" t="s">
        <v>19</v>
      </c>
      <c r="C465" s="8" t="s">
        <v>2256</v>
      </c>
      <c r="D465" s="8" t="n">
        <v>2016</v>
      </c>
      <c r="E465" s="8" t="s">
        <v>2257</v>
      </c>
      <c r="F465" s="8" t="s">
        <v>143</v>
      </c>
      <c r="G465" s="8" t="s">
        <v>364</v>
      </c>
      <c r="H465" s="8" t="s">
        <v>2187</v>
      </c>
      <c r="I465" s="8" t="s">
        <v>208</v>
      </c>
      <c r="J465" s="8" t="s">
        <v>2258</v>
      </c>
      <c r="K465" s="8"/>
      <c r="L465" s="8" t="s">
        <v>2259</v>
      </c>
    </row>
    <row r="466" customFormat="false" ht="34.5" hidden="false" customHeight="true" outlineLevel="0" collapsed="false">
      <c r="A466" s="8" t="n">
        <v>364</v>
      </c>
      <c r="B466" s="8" t="s">
        <v>19</v>
      </c>
      <c r="C466" s="8" t="s">
        <v>2260</v>
      </c>
      <c r="D466" s="8" t="n">
        <v>2016</v>
      </c>
      <c r="E466" s="8" t="s">
        <v>2261</v>
      </c>
      <c r="F466" s="8" t="s">
        <v>143</v>
      </c>
      <c r="G466" s="8" t="s">
        <v>2053</v>
      </c>
      <c r="H466" s="8" t="s">
        <v>2262</v>
      </c>
      <c r="I466" s="8" t="s">
        <v>208</v>
      </c>
      <c r="J466" s="8" t="s">
        <v>2263</v>
      </c>
      <c r="K466" s="8"/>
      <c r="L466" s="8" t="s">
        <v>2264</v>
      </c>
    </row>
    <row r="467" customFormat="false" ht="34.5" hidden="false" customHeight="true" outlineLevel="0" collapsed="false">
      <c r="A467" s="8" t="n">
        <v>365</v>
      </c>
      <c r="B467" s="8" t="s">
        <v>19</v>
      </c>
      <c r="C467" s="8" t="s">
        <v>2265</v>
      </c>
      <c r="D467" s="8" t="n">
        <v>2016</v>
      </c>
      <c r="E467" s="8" t="s">
        <v>2266</v>
      </c>
      <c r="F467" s="8" t="s">
        <v>143</v>
      </c>
      <c r="G467" s="8" t="s">
        <v>2267</v>
      </c>
      <c r="H467" s="8" t="s">
        <v>145</v>
      </c>
      <c r="I467" s="8" t="s">
        <v>208</v>
      </c>
      <c r="J467" s="8" t="s">
        <v>2268</v>
      </c>
      <c r="K467" s="8"/>
      <c r="L467" s="8" t="s">
        <v>2269</v>
      </c>
    </row>
    <row r="468" customFormat="false" ht="34.5" hidden="false" customHeight="true" outlineLevel="0" collapsed="false">
      <c r="A468" s="8" t="n">
        <v>366</v>
      </c>
      <c r="B468" s="8" t="s">
        <v>19</v>
      </c>
      <c r="C468" s="8" t="s">
        <v>2270</v>
      </c>
      <c r="D468" s="8" t="n">
        <v>2013</v>
      </c>
      <c r="E468" s="8" t="s">
        <v>2271</v>
      </c>
      <c r="F468" s="8" t="s">
        <v>151</v>
      </c>
      <c r="G468" s="8" t="s">
        <v>2272</v>
      </c>
      <c r="H468" s="8" t="s">
        <v>145</v>
      </c>
      <c r="I468" s="8" t="s">
        <v>208</v>
      </c>
      <c r="J468" s="8" t="s">
        <v>2273</v>
      </c>
      <c r="K468" s="8"/>
      <c r="L468" s="8" t="s">
        <v>2274</v>
      </c>
    </row>
    <row r="469" customFormat="false" ht="34.5" hidden="false" customHeight="true" outlineLevel="0" collapsed="false">
      <c r="A469" s="8" t="n">
        <v>367</v>
      </c>
      <c r="B469" s="8" t="s">
        <v>19</v>
      </c>
      <c r="C469" s="8" t="s">
        <v>2275</v>
      </c>
      <c r="D469" s="8" t="n">
        <v>2016</v>
      </c>
      <c r="E469" s="8" t="s">
        <v>2276</v>
      </c>
      <c r="F469" s="8" t="s">
        <v>151</v>
      </c>
      <c r="G469" s="8" t="s">
        <v>2277</v>
      </c>
      <c r="H469" s="8" t="s">
        <v>145</v>
      </c>
      <c r="I469" s="8" t="s">
        <v>153</v>
      </c>
      <c r="J469" s="8" t="s">
        <v>2278</v>
      </c>
      <c r="K469" s="8" t="s">
        <v>114</v>
      </c>
      <c r="L469" s="8" t="s">
        <v>2279</v>
      </c>
    </row>
    <row r="470" customFormat="false" ht="34.5" hidden="false" customHeight="true" outlineLevel="0" collapsed="false">
      <c r="A470" s="8" t="n">
        <v>368</v>
      </c>
      <c r="B470" s="8" t="s">
        <v>19</v>
      </c>
      <c r="C470" s="8" t="s">
        <v>2275</v>
      </c>
      <c r="D470" s="8" t="n">
        <v>2016</v>
      </c>
      <c r="E470" s="8" t="s">
        <v>2280</v>
      </c>
      <c r="F470" s="8" t="s">
        <v>143</v>
      </c>
      <c r="G470" s="8" t="s">
        <v>2281</v>
      </c>
      <c r="H470" s="8" t="s">
        <v>145</v>
      </c>
      <c r="I470" s="8" t="s">
        <v>208</v>
      </c>
      <c r="J470" s="8" t="s">
        <v>2282</v>
      </c>
      <c r="K470" s="8" t="s">
        <v>114</v>
      </c>
      <c r="L470" s="8" t="s">
        <v>2283</v>
      </c>
    </row>
    <row r="471" customFormat="false" ht="34.5" hidden="false" customHeight="true" outlineLevel="0" collapsed="false">
      <c r="A471" s="8" t="n">
        <v>369</v>
      </c>
      <c r="B471" s="8" t="s">
        <v>19</v>
      </c>
      <c r="C471" s="8" t="s">
        <v>2284</v>
      </c>
      <c r="D471" s="8" t="n">
        <v>2015</v>
      </c>
      <c r="E471" s="8" t="s">
        <v>2285</v>
      </c>
      <c r="F471" s="8" t="s">
        <v>143</v>
      </c>
      <c r="G471" s="8" t="s">
        <v>2013</v>
      </c>
      <c r="H471" s="8" t="s">
        <v>145</v>
      </c>
      <c r="I471" s="8" t="s">
        <v>153</v>
      </c>
      <c r="J471" s="8" t="s">
        <v>2286</v>
      </c>
      <c r="K471" s="8" t="s">
        <v>114</v>
      </c>
      <c r="L471" s="8" t="s">
        <v>2287</v>
      </c>
    </row>
    <row r="472" customFormat="false" ht="34.5" hidden="false" customHeight="true" outlineLevel="0" collapsed="false">
      <c r="A472" s="8" t="n">
        <v>370</v>
      </c>
      <c r="B472" s="8" t="s">
        <v>19</v>
      </c>
      <c r="C472" s="8" t="s">
        <v>2288</v>
      </c>
      <c r="D472" s="8" t="n">
        <v>2015</v>
      </c>
      <c r="E472" s="8" t="s">
        <v>2289</v>
      </c>
      <c r="F472" s="8" t="s">
        <v>151</v>
      </c>
      <c r="G472" s="8" t="s">
        <v>1665</v>
      </c>
      <c r="H472" s="8" t="s">
        <v>145</v>
      </c>
      <c r="I472" s="8" t="s">
        <v>153</v>
      </c>
      <c r="J472" s="8" t="s">
        <v>2290</v>
      </c>
      <c r="K472" s="8"/>
      <c r="L472" s="8" t="s">
        <v>2291</v>
      </c>
    </row>
    <row r="473" customFormat="false" ht="34.5" hidden="false" customHeight="true" outlineLevel="0" collapsed="false">
      <c r="A473" s="8" t="n">
        <v>371</v>
      </c>
      <c r="B473" s="8" t="s">
        <v>19</v>
      </c>
      <c r="C473" s="8" t="s">
        <v>2292</v>
      </c>
      <c r="D473" s="8" t="n">
        <v>2016</v>
      </c>
      <c r="E473" s="8" t="s">
        <v>2293</v>
      </c>
      <c r="F473" s="8" t="s">
        <v>143</v>
      </c>
      <c r="G473" s="8" t="s">
        <v>2294</v>
      </c>
      <c r="H473" s="8" t="s">
        <v>145</v>
      </c>
      <c r="I473" s="8" t="s">
        <v>153</v>
      </c>
      <c r="J473" s="8" t="s">
        <v>2295</v>
      </c>
      <c r="K473" s="8" t="s">
        <v>114</v>
      </c>
      <c r="L473" s="8" t="s">
        <v>2296</v>
      </c>
    </row>
    <row r="474" customFormat="false" ht="34.5" hidden="false" customHeight="true" outlineLevel="0" collapsed="false">
      <c r="A474" s="8" t="n">
        <v>372</v>
      </c>
      <c r="B474" s="8" t="s">
        <v>19</v>
      </c>
      <c r="C474" s="8" t="s">
        <v>2297</v>
      </c>
      <c r="D474" s="8" t="n">
        <v>2014</v>
      </c>
      <c r="E474" s="8" t="s">
        <v>2298</v>
      </c>
      <c r="F474" s="8" t="s">
        <v>143</v>
      </c>
      <c r="G474" s="8" t="s">
        <v>2299</v>
      </c>
      <c r="H474" s="8" t="s">
        <v>145</v>
      </c>
      <c r="I474" s="8" t="s">
        <v>153</v>
      </c>
      <c r="J474" s="8" t="s">
        <v>2300</v>
      </c>
      <c r="K474" s="8"/>
      <c r="L474" s="8" t="s">
        <v>2301</v>
      </c>
    </row>
    <row r="475" customFormat="false" ht="34.5" hidden="false" customHeight="true" outlineLevel="0" collapsed="false">
      <c r="A475" s="9" t="n">
        <v>373</v>
      </c>
      <c r="B475" s="10" t="s">
        <v>19</v>
      </c>
      <c r="C475" s="10" t="s">
        <v>2302</v>
      </c>
      <c r="D475" s="10" t="n">
        <v>2014</v>
      </c>
      <c r="E475" s="10" t="s">
        <v>2303</v>
      </c>
      <c r="F475" s="10" t="s">
        <v>151</v>
      </c>
      <c r="G475" s="10" t="s">
        <v>2277</v>
      </c>
      <c r="H475" s="10" t="s">
        <v>145</v>
      </c>
      <c r="I475" s="10" t="s">
        <v>153</v>
      </c>
      <c r="J475" s="10" t="s">
        <v>2304</v>
      </c>
      <c r="K475" s="10" t="s">
        <v>114</v>
      </c>
      <c r="L475" s="10" t="s">
        <v>2305</v>
      </c>
    </row>
    <row r="476" customFormat="false" ht="45.75" hidden="false" customHeight="true" outlineLevel="0" collapsed="false">
      <c r="A476" s="11" t="n">
        <v>373</v>
      </c>
      <c r="B476" s="12" t="s">
        <v>41</v>
      </c>
      <c r="C476" s="12" t="s">
        <v>2306</v>
      </c>
      <c r="D476" s="12" t="n">
        <v>2014</v>
      </c>
      <c r="E476" s="12" t="s">
        <v>2307</v>
      </c>
      <c r="F476" s="12" t="s">
        <v>143</v>
      </c>
      <c r="G476" s="12" t="s">
        <v>2308</v>
      </c>
      <c r="H476" s="12" t="s">
        <v>145</v>
      </c>
      <c r="I476" s="12" t="s">
        <v>153</v>
      </c>
      <c r="J476" s="12" t="s">
        <v>2309</v>
      </c>
      <c r="K476" s="12" t="s">
        <v>114</v>
      </c>
      <c r="L476" s="12" t="s">
        <v>2310</v>
      </c>
    </row>
    <row r="477" customFormat="false" ht="34.5" hidden="false" customHeight="true" outlineLevel="0" collapsed="false">
      <c r="A477" s="11" t="n">
        <v>373</v>
      </c>
      <c r="B477" s="12" t="s">
        <v>55</v>
      </c>
      <c r="C477" s="12" t="s">
        <v>2311</v>
      </c>
      <c r="D477" s="12" t="n">
        <v>2014</v>
      </c>
      <c r="E477" s="12" t="s">
        <v>2312</v>
      </c>
      <c r="F477" s="12" t="s">
        <v>579</v>
      </c>
      <c r="G477" s="12" t="s">
        <v>2313</v>
      </c>
      <c r="H477" s="12" t="s">
        <v>145</v>
      </c>
      <c r="I477" s="12" t="s">
        <v>153</v>
      </c>
      <c r="J477" s="12" t="s">
        <v>2314</v>
      </c>
      <c r="K477" s="12" t="s">
        <v>114</v>
      </c>
      <c r="L477" s="12" t="s">
        <v>2315</v>
      </c>
    </row>
    <row r="478" customFormat="false" ht="34.5" hidden="false" customHeight="true" outlineLevel="0" collapsed="false">
      <c r="A478" s="8" t="n">
        <v>374</v>
      </c>
      <c r="B478" s="8" t="s">
        <v>19</v>
      </c>
      <c r="C478" s="8" t="s">
        <v>2316</v>
      </c>
      <c r="D478" s="8" t="n">
        <v>2014</v>
      </c>
      <c r="E478" s="8" t="s">
        <v>2317</v>
      </c>
      <c r="F478" s="8" t="s">
        <v>143</v>
      </c>
      <c r="G478" s="8" t="s">
        <v>364</v>
      </c>
      <c r="H478" s="8" t="s">
        <v>2187</v>
      </c>
      <c r="I478" s="8" t="s">
        <v>208</v>
      </c>
      <c r="J478" s="8" t="s">
        <v>2318</v>
      </c>
      <c r="K478" s="8"/>
      <c r="L478" s="8" t="s">
        <v>2319</v>
      </c>
    </row>
    <row r="479" customFormat="false" ht="34.5" hidden="false" customHeight="true" outlineLevel="0" collapsed="false">
      <c r="A479" s="8" t="n">
        <v>375</v>
      </c>
      <c r="B479" s="8" t="s">
        <v>19</v>
      </c>
      <c r="C479" s="8" t="s">
        <v>2320</v>
      </c>
      <c r="D479" s="8" t="n">
        <v>2015</v>
      </c>
      <c r="E479" s="8" t="s">
        <v>2321</v>
      </c>
      <c r="F479" s="8" t="s">
        <v>143</v>
      </c>
      <c r="G479" s="8" t="s">
        <v>2322</v>
      </c>
      <c r="H479" s="8" t="s">
        <v>145</v>
      </c>
      <c r="I479" s="8" t="s">
        <v>208</v>
      </c>
      <c r="J479" s="8" t="s">
        <v>2323</v>
      </c>
      <c r="K479" s="8"/>
      <c r="L479" s="8" t="s">
        <v>2324</v>
      </c>
    </row>
    <row r="480" customFormat="false" ht="34.5" hidden="false" customHeight="true" outlineLevel="0" collapsed="false">
      <c r="A480" s="8" t="n">
        <v>376</v>
      </c>
      <c r="B480" s="8" t="s">
        <v>19</v>
      </c>
      <c r="C480" s="8" t="s">
        <v>2325</v>
      </c>
      <c r="D480" s="8" t="n">
        <v>2016</v>
      </c>
      <c r="E480" s="8" t="s">
        <v>2326</v>
      </c>
      <c r="F480" s="8" t="s">
        <v>143</v>
      </c>
      <c r="G480" s="8" t="s">
        <v>2327</v>
      </c>
      <c r="H480" s="8" t="s">
        <v>145</v>
      </c>
      <c r="I480" s="8" t="s">
        <v>208</v>
      </c>
      <c r="J480" s="8" t="s">
        <v>2328</v>
      </c>
      <c r="K480" s="8" t="s">
        <v>116</v>
      </c>
      <c r="L480" s="8" t="s">
        <v>2329</v>
      </c>
    </row>
    <row r="481" customFormat="false" ht="34.5" hidden="false" customHeight="true" outlineLevel="0" collapsed="false">
      <c r="A481" s="8" t="n">
        <v>377</v>
      </c>
      <c r="B481" s="8" t="s">
        <v>19</v>
      </c>
      <c r="C481" s="8" t="s">
        <v>2330</v>
      </c>
      <c r="D481" s="8" t="n">
        <v>2006</v>
      </c>
      <c r="E481" s="8" t="s">
        <v>2331</v>
      </c>
      <c r="F481" s="8" t="s">
        <v>151</v>
      </c>
      <c r="G481" s="8" t="s">
        <v>2332</v>
      </c>
      <c r="H481" s="8" t="s">
        <v>145</v>
      </c>
      <c r="I481" s="8" t="s">
        <v>153</v>
      </c>
      <c r="J481" s="8" t="s">
        <v>2333</v>
      </c>
      <c r="K481" s="8" t="s">
        <v>116</v>
      </c>
      <c r="L481" s="8" t="s">
        <v>2334</v>
      </c>
    </row>
    <row r="482" customFormat="false" ht="34.5" hidden="false" customHeight="true" outlineLevel="0" collapsed="false">
      <c r="A482" s="8" t="n">
        <v>378</v>
      </c>
      <c r="B482" s="8" t="s">
        <v>19</v>
      </c>
      <c r="C482" s="8" t="s">
        <v>2335</v>
      </c>
      <c r="D482" s="8" t="n">
        <v>2014</v>
      </c>
      <c r="E482" s="8" t="s">
        <v>2336</v>
      </c>
      <c r="F482" s="8" t="s">
        <v>143</v>
      </c>
      <c r="G482" s="8" t="s">
        <v>2337</v>
      </c>
      <c r="H482" s="8" t="s">
        <v>2338</v>
      </c>
      <c r="I482" s="8" t="s">
        <v>153</v>
      </c>
      <c r="J482" s="8" t="s">
        <v>2339</v>
      </c>
      <c r="K482" s="8" t="s">
        <v>116</v>
      </c>
      <c r="L482" s="8" t="s">
        <v>2340</v>
      </c>
    </row>
    <row r="483" customFormat="false" ht="34.5" hidden="false" customHeight="true" outlineLevel="0" collapsed="false">
      <c r="A483" s="8" t="n">
        <v>379</v>
      </c>
      <c r="B483" s="8" t="s">
        <v>19</v>
      </c>
      <c r="C483" s="8" t="s">
        <v>2341</v>
      </c>
      <c r="D483" s="8" t="n">
        <v>2015</v>
      </c>
      <c r="E483" s="8" t="s">
        <v>2342</v>
      </c>
      <c r="F483" s="8" t="s">
        <v>143</v>
      </c>
      <c r="G483" s="8" t="s">
        <v>2192</v>
      </c>
      <c r="H483" s="8" t="s">
        <v>2343</v>
      </c>
      <c r="I483" s="8" t="s">
        <v>153</v>
      </c>
      <c r="J483" s="8" t="s">
        <v>2344</v>
      </c>
      <c r="K483" s="8" t="s">
        <v>114</v>
      </c>
      <c r="L483" s="8" t="s">
        <v>2345</v>
      </c>
    </row>
    <row r="484" customFormat="false" ht="34.5" hidden="false" customHeight="true" outlineLevel="0" collapsed="false">
      <c r="A484" s="8" t="n">
        <v>380</v>
      </c>
      <c r="B484" s="8" t="s">
        <v>19</v>
      </c>
      <c r="C484" s="8" t="s">
        <v>2346</v>
      </c>
      <c r="D484" s="8" t="n">
        <v>2014</v>
      </c>
      <c r="E484" s="8" t="s">
        <v>2347</v>
      </c>
      <c r="F484" s="8" t="s">
        <v>143</v>
      </c>
      <c r="G484" s="8" t="s">
        <v>364</v>
      </c>
      <c r="H484" s="8" t="s">
        <v>2348</v>
      </c>
      <c r="I484" s="8" t="s">
        <v>208</v>
      </c>
      <c r="J484" s="8" t="s">
        <v>2349</v>
      </c>
      <c r="K484" s="8"/>
      <c r="L484" s="8" t="s">
        <v>2350</v>
      </c>
    </row>
    <row r="485" customFormat="false" ht="34.5" hidden="false" customHeight="true" outlineLevel="0" collapsed="false">
      <c r="A485" s="8" t="n">
        <v>381</v>
      </c>
      <c r="B485" s="8" t="s">
        <v>19</v>
      </c>
      <c r="C485" s="8" t="s">
        <v>2351</v>
      </c>
      <c r="D485" s="8" t="n">
        <v>2015</v>
      </c>
      <c r="E485" s="8" t="s">
        <v>2352</v>
      </c>
      <c r="F485" s="8" t="s">
        <v>143</v>
      </c>
      <c r="G485" s="8" t="s">
        <v>588</v>
      </c>
      <c r="H485" s="8" t="s">
        <v>145</v>
      </c>
      <c r="I485" s="8" t="s">
        <v>153</v>
      </c>
      <c r="J485" s="8" t="s">
        <v>2353</v>
      </c>
      <c r="K485" s="8"/>
      <c r="L485" s="8" t="s">
        <v>2354</v>
      </c>
    </row>
    <row r="486" customFormat="false" ht="34.5" hidden="false" customHeight="true" outlineLevel="0" collapsed="false">
      <c r="A486" s="8" t="n">
        <v>382</v>
      </c>
      <c r="B486" s="8" t="s">
        <v>19</v>
      </c>
      <c r="C486" s="8" t="s">
        <v>2355</v>
      </c>
      <c r="D486" s="8" t="n">
        <v>2017</v>
      </c>
      <c r="E486" s="8" t="s">
        <v>2356</v>
      </c>
      <c r="F486" s="8" t="s">
        <v>151</v>
      </c>
      <c r="G486" s="8" t="s">
        <v>2357</v>
      </c>
      <c r="H486" s="8" t="s">
        <v>2358</v>
      </c>
      <c r="I486" s="8" t="s">
        <v>208</v>
      </c>
      <c r="J486" s="8" t="s">
        <v>2359</v>
      </c>
      <c r="K486" s="8"/>
      <c r="L486" s="8" t="s">
        <v>2360</v>
      </c>
    </row>
    <row r="487" customFormat="false" ht="34.5" hidden="false" customHeight="true" outlineLevel="0" collapsed="false">
      <c r="A487" s="8" t="n">
        <v>383</v>
      </c>
      <c r="B487" s="8" t="s">
        <v>19</v>
      </c>
      <c r="C487" s="8" t="s">
        <v>2361</v>
      </c>
      <c r="D487" s="8" t="n">
        <v>2012</v>
      </c>
      <c r="E487" s="8" t="s">
        <v>2362</v>
      </c>
      <c r="F487" s="8" t="s">
        <v>151</v>
      </c>
      <c r="G487" s="8" t="s">
        <v>2363</v>
      </c>
      <c r="H487" s="8" t="s">
        <v>145</v>
      </c>
      <c r="I487" s="8" t="s">
        <v>153</v>
      </c>
      <c r="J487" s="8" t="s">
        <v>2364</v>
      </c>
      <c r="K487" s="8"/>
      <c r="L487" s="8" t="s">
        <v>2365</v>
      </c>
    </row>
    <row r="488" customFormat="false" ht="34.5" hidden="false" customHeight="true" outlineLevel="0" collapsed="false">
      <c r="A488" s="8" t="n">
        <v>384</v>
      </c>
      <c r="B488" s="8" t="s">
        <v>19</v>
      </c>
      <c r="C488" s="8" t="s">
        <v>2366</v>
      </c>
      <c r="D488" s="8" t="n">
        <v>2013</v>
      </c>
      <c r="E488" s="8" t="s">
        <v>2367</v>
      </c>
      <c r="F488" s="8" t="s">
        <v>143</v>
      </c>
      <c r="G488" s="8" t="s">
        <v>2368</v>
      </c>
      <c r="H488" s="8" t="s">
        <v>145</v>
      </c>
      <c r="I488" s="8" t="s">
        <v>153</v>
      </c>
      <c r="J488" s="8" t="s">
        <v>2369</v>
      </c>
      <c r="K488" s="8" t="s">
        <v>114</v>
      </c>
      <c r="L488" s="8" t="s">
        <v>2370</v>
      </c>
    </row>
    <row r="489" customFormat="false" ht="34.5" hidden="false" customHeight="true" outlineLevel="0" collapsed="false">
      <c r="A489" s="8" t="n">
        <v>385</v>
      </c>
      <c r="B489" s="8" t="s">
        <v>19</v>
      </c>
      <c r="C489" s="8" t="s">
        <v>2366</v>
      </c>
      <c r="D489" s="8" t="n">
        <v>2016</v>
      </c>
      <c r="E489" s="8" t="s">
        <v>2371</v>
      </c>
      <c r="F489" s="8" t="s">
        <v>143</v>
      </c>
      <c r="G489" s="8" t="s">
        <v>2372</v>
      </c>
      <c r="H489" s="8" t="s">
        <v>145</v>
      </c>
      <c r="I489" s="8" t="s">
        <v>2373</v>
      </c>
      <c r="J489" s="8" t="s">
        <v>2374</v>
      </c>
      <c r="K489" s="8" t="s">
        <v>114</v>
      </c>
      <c r="L489" s="8" t="s">
        <v>2375</v>
      </c>
    </row>
    <row r="490" customFormat="false" ht="34.5" hidden="false" customHeight="true" outlineLevel="0" collapsed="false">
      <c r="A490" s="8" t="n">
        <v>386</v>
      </c>
      <c r="B490" s="8" t="s">
        <v>19</v>
      </c>
      <c r="C490" s="8" t="s">
        <v>2376</v>
      </c>
      <c r="D490" s="8" t="n">
        <v>2016</v>
      </c>
      <c r="E490" s="8" t="s">
        <v>2377</v>
      </c>
      <c r="F490" s="8" t="s">
        <v>143</v>
      </c>
      <c r="G490" s="8" t="s">
        <v>2378</v>
      </c>
      <c r="H490" s="8" t="s">
        <v>2187</v>
      </c>
      <c r="I490" s="8" t="s">
        <v>208</v>
      </c>
      <c r="J490" s="8" t="s">
        <v>2379</v>
      </c>
      <c r="K490" s="8"/>
      <c r="L490" s="8" t="s">
        <v>2380</v>
      </c>
    </row>
    <row r="491" customFormat="false" ht="34.5" hidden="false" customHeight="true" outlineLevel="0" collapsed="false">
      <c r="A491" s="8" t="n">
        <v>387</v>
      </c>
      <c r="B491" s="8" t="s">
        <v>19</v>
      </c>
      <c r="C491" s="8" t="s">
        <v>2381</v>
      </c>
      <c r="D491" s="8" t="n">
        <v>2015</v>
      </c>
      <c r="E491" s="8" t="s">
        <v>2382</v>
      </c>
      <c r="F491" s="8" t="s">
        <v>143</v>
      </c>
      <c r="G491" s="8" t="s">
        <v>2383</v>
      </c>
      <c r="H491" s="8" t="s">
        <v>2168</v>
      </c>
      <c r="I491" s="8" t="s">
        <v>153</v>
      </c>
      <c r="J491" s="8" t="s">
        <v>2384</v>
      </c>
      <c r="K491" s="8"/>
      <c r="L491" s="8" t="s">
        <v>2385</v>
      </c>
    </row>
    <row r="492" customFormat="false" ht="34.5" hidden="false" customHeight="true" outlineLevel="0" collapsed="false">
      <c r="A492" s="8" t="n">
        <v>388</v>
      </c>
      <c r="B492" s="8" t="s">
        <v>19</v>
      </c>
      <c r="C492" s="8" t="s">
        <v>2386</v>
      </c>
      <c r="D492" s="8" t="n">
        <v>2007</v>
      </c>
      <c r="E492" s="8" t="s">
        <v>2387</v>
      </c>
      <c r="F492" s="8" t="s">
        <v>143</v>
      </c>
      <c r="G492" s="8" t="s">
        <v>2388</v>
      </c>
      <c r="H492" s="8" t="s">
        <v>2248</v>
      </c>
      <c r="I492" s="8" t="s">
        <v>387</v>
      </c>
      <c r="J492" s="8" t="s">
        <v>2389</v>
      </c>
      <c r="K492" s="8" t="s">
        <v>116</v>
      </c>
      <c r="L492" s="8" t="s">
        <v>2390</v>
      </c>
    </row>
    <row r="493" customFormat="false" ht="34.5" hidden="false" customHeight="true" outlineLevel="0" collapsed="false">
      <c r="A493" s="8" t="n">
        <v>389</v>
      </c>
      <c r="B493" s="8" t="s">
        <v>19</v>
      </c>
      <c r="C493" s="8" t="s">
        <v>2391</v>
      </c>
      <c r="D493" s="8" t="n">
        <v>2016</v>
      </c>
      <c r="E493" s="8" t="s">
        <v>2392</v>
      </c>
      <c r="F493" s="8" t="s">
        <v>143</v>
      </c>
      <c r="G493" s="8" t="s">
        <v>2393</v>
      </c>
      <c r="H493" s="8" t="s">
        <v>145</v>
      </c>
      <c r="I493" s="8" t="s">
        <v>153</v>
      </c>
      <c r="J493" s="8" t="s">
        <v>2394</v>
      </c>
      <c r="K493" s="8" t="s">
        <v>116</v>
      </c>
      <c r="L493" s="8" t="s">
        <v>2395</v>
      </c>
    </row>
    <row r="494" customFormat="false" ht="34.5" hidden="false" customHeight="true" outlineLevel="0" collapsed="false">
      <c r="A494" s="8" t="n">
        <v>390</v>
      </c>
      <c r="B494" s="8" t="s">
        <v>19</v>
      </c>
      <c r="C494" s="8" t="s">
        <v>2396</v>
      </c>
      <c r="D494" s="8" t="n">
        <v>2014</v>
      </c>
      <c r="E494" s="8" t="s">
        <v>2397</v>
      </c>
      <c r="F494" s="8" t="s">
        <v>143</v>
      </c>
      <c r="G494" s="8" t="s">
        <v>2398</v>
      </c>
      <c r="H494" s="8" t="s">
        <v>2399</v>
      </c>
      <c r="I494" s="8" t="s">
        <v>208</v>
      </c>
      <c r="J494" s="8" t="s">
        <v>2400</v>
      </c>
      <c r="K494" s="8"/>
      <c r="L494" s="8" t="s">
        <v>2401</v>
      </c>
    </row>
    <row r="495" customFormat="false" ht="34.5" hidden="false" customHeight="true" outlineLevel="0" collapsed="false">
      <c r="A495" s="8" t="n">
        <v>391</v>
      </c>
      <c r="B495" s="8" t="s">
        <v>19</v>
      </c>
      <c r="C495" s="8" t="s">
        <v>2402</v>
      </c>
      <c r="D495" s="8" t="n">
        <v>2015</v>
      </c>
      <c r="E495" s="8" t="s">
        <v>2403</v>
      </c>
      <c r="F495" s="8" t="s">
        <v>151</v>
      </c>
      <c r="G495" s="8" t="s">
        <v>2404</v>
      </c>
      <c r="H495" s="8" t="s">
        <v>145</v>
      </c>
      <c r="I495" s="8" t="s">
        <v>208</v>
      </c>
      <c r="J495" s="8" t="s">
        <v>2405</v>
      </c>
      <c r="K495" s="8" t="s">
        <v>116</v>
      </c>
      <c r="L495" s="8" t="s">
        <v>2406</v>
      </c>
    </row>
    <row r="496" customFormat="false" ht="34.5" hidden="false" customHeight="true" outlineLevel="0" collapsed="false">
      <c r="A496" s="8" t="n">
        <v>392</v>
      </c>
      <c r="B496" s="8" t="s">
        <v>19</v>
      </c>
      <c r="C496" s="8" t="s">
        <v>2407</v>
      </c>
      <c r="D496" s="8" t="n">
        <v>2015</v>
      </c>
      <c r="E496" s="8" t="s">
        <v>2408</v>
      </c>
      <c r="F496" s="8" t="s">
        <v>143</v>
      </c>
      <c r="G496" s="8" t="s">
        <v>2409</v>
      </c>
      <c r="H496" s="8" t="s">
        <v>2410</v>
      </c>
      <c r="I496" s="8" t="s">
        <v>208</v>
      </c>
      <c r="J496" s="8" t="s">
        <v>2411</v>
      </c>
      <c r="K496" s="8"/>
      <c r="L496" s="8" t="s">
        <v>2412</v>
      </c>
    </row>
    <row r="497" customFormat="false" ht="34.5" hidden="false" customHeight="true" outlineLevel="0" collapsed="false">
      <c r="A497" s="8" t="n">
        <v>393</v>
      </c>
      <c r="B497" s="8" t="s">
        <v>19</v>
      </c>
      <c r="C497" s="8" t="s">
        <v>2413</v>
      </c>
      <c r="D497" s="8" t="n">
        <v>2014</v>
      </c>
      <c r="E497" s="8" t="s">
        <v>2414</v>
      </c>
      <c r="F497" s="8" t="s">
        <v>143</v>
      </c>
      <c r="G497" s="8" t="s">
        <v>364</v>
      </c>
      <c r="H497" s="8" t="s">
        <v>2187</v>
      </c>
      <c r="I497" s="8" t="s">
        <v>208</v>
      </c>
      <c r="J497" s="8" t="s">
        <v>2415</v>
      </c>
      <c r="K497" s="8"/>
      <c r="L497" s="8" t="s">
        <v>2416</v>
      </c>
    </row>
    <row r="498" customFormat="false" ht="34.5" hidden="false" customHeight="true" outlineLevel="0" collapsed="false">
      <c r="A498" s="8" t="n">
        <v>394</v>
      </c>
      <c r="B498" s="8" t="s">
        <v>19</v>
      </c>
      <c r="C498" s="8" t="s">
        <v>2417</v>
      </c>
      <c r="D498" s="8" t="n">
        <v>2015</v>
      </c>
      <c r="E498" s="8" t="s">
        <v>2418</v>
      </c>
      <c r="F498" s="8" t="s">
        <v>151</v>
      </c>
      <c r="G498" s="8" t="s">
        <v>2419</v>
      </c>
      <c r="H498" s="8" t="s">
        <v>145</v>
      </c>
      <c r="I498" s="8" t="s">
        <v>208</v>
      </c>
      <c r="J498" s="8" t="s">
        <v>2420</v>
      </c>
      <c r="K498" s="8"/>
      <c r="L498" s="8" t="s">
        <v>2421</v>
      </c>
    </row>
    <row r="499" customFormat="false" ht="34.5" hidden="false" customHeight="true" outlineLevel="0" collapsed="false">
      <c r="A499" s="8" t="n">
        <v>395</v>
      </c>
      <c r="B499" s="8" t="s">
        <v>19</v>
      </c>
      <c r="C499" s="8" t="s">
        <v>2422</v>
      </c>
      <c r="D499" s="8" t="n">
        <v>2016</v>
      </c>
      <c r="E499" s="8" t="s">
        <v>2423</v>
      </c>
      <c r="F499" s="8" t="s">
        <v>143</v>
      </c>
      <c r="G499" s="8" t="s">
        <v>2247</v>
      </c>
      <c r="H499" s="8" t="s">
        <v>2424</v>
      </c>
      <c r="I499" s="8" t="s">
        <v>208</v>
      </c>
      <c r="J499" s="8" t="s">
        <v>2425</v>
      </c>
      <c r="K499" s="8"/>
      <c r="L499" s="8" t="s">
        <v>2426</v>
      </c>
    </row>
    <row r="500" customFormat="false" ht="34.5" hidden="false" customHeight="true" outlineLevel="0" collapsed="false">
      <c r="A500" s="8" t="n">
        <v>396</v>
      </c>
      <c r="B500" s="8" t="s">
        <v>19</v>
      </c>
      <c r="C500" s="8" t="s">
        <v>2427</v>
      </c>
      <c r="D500" s="8" t="n">
        <v>2012</v>
      </c>
      <c r="E500" s="8" t="s">
        <v>2428</v>
      </c>
      <c r="F500" s="8" t="s">
        <v>151</v>
      </c>
      <c r="G500" s="8" t="s">
        <v>2429</v>
      </c>
      <c r="H500" s="8" t="s">
        <v>145</v>
      </c>
      <c r="I500" s="8" t="s">
        <v>208</v>
      </c>
      <c r="J500" s="8" t="s">
        <v>2430</v>
      </c>
      <c r="K500" s="8" t="s">
        <v>116</v>
      </c>
      <c r="L500" s="8" t="s">
        <v>2431</v>
      </c>
    </row>
    <row r="501" customFormat="false" ht="34.5" hidden="false" customHeight="true" outlineLevel="0" collapsed="false">
      <c r="A501" s="8" t="n">
        <v>397</v>
      </c>
      <c r="B501" s="8" t="s">
        <v>19</v>
      </c>
      <c r="C501" s="8" t="s">
        <v>2306</v>
      </c>
      <c r="D501" s="8" t="n">
        <v>2014</v>
      </c>
      <c r="E501" s="8" t="s">
        <v>2432</v>
      </c>
      <c r="F501" s="8" t="s">
        <v>143</v>
      </c>
      <c r="G501" s="8" t="s">
        <v>2433</v>
      </c>
      <c r="H501" s="8" t="s">
        <v>145</v>
      </c>
      <c r="I501" s="8" t="s">
        <v>153</v>
      </c>
      <c r="J501" s="8" t="s">
        <v>2434</v>
      </c>
      <c r="K501" s="8" t="s">
        <v>114</v>
      </c>
      <c r="L501" s="8" t="s">
        <v>2435</v>
      </c>
    </row>
    <row r="502" customFormat="false" ht="34.5" hidden="false" customHeight="true" outlineLevel="0" collapsed="false">
      <c r="A502" s="8" t="n">
        <v>398</v>
      </c>
      <c r="B502" s="8" t="s">
        <v>19</v>
      </c>
      <c r="C502" s="8" t="s">
        <v>2436</v>
      </c>
      <c r="D502" s="8" t="n">
        <v>2016</v>
      </c>
      <c r="E502" s="8" t="s">
        <v>2437</v>
      </c>
      <c r="F502" s="8" t="s">
        <v>143</v>
      </c>
      <c r="G502" s="8" t="s">
        <v>2267</v>
      </c>
      <c r="H502" s="8" t="s">
        <v>2187</v>
      </c>
      <c r="I502" s="8" t="s">
        <v>208</v>
      </c>
      <c r="J502" s="8" t="s">
        <v>2438</v>
      </c>
      <c r="K502" s="8"/>
      <c r="L502" s="8" t="s">
        <v>2439</v>
      </c>
    </row>
    <row r="503" customFormat="false" ht="34.5" hidden="false" customHeight="true" outlineLevel="0" collapsed="false">
      <c r="A503" s="8" t="n">
        <v>399</v>
      </c>
      <c r="B503" s="8" t="s">
        <v>19</v>
      </c>
      <c r="C503" s="8" t="s">
        <v>2440</v>
      </c>
      <c r="D503" s="8" t="n">
        <v>2016</v>
      </c>
      <c r="E503" s="8" t="s">
        <v>2441</v>
      </c>
      <c r="F503" s="8" t="s">
        <v>143</v>
      </c>
      <c r="G503" s="8" t="s">
        <v>2299</v>
      </c>
      <c r="H503" s="8" t="s">
        <v>145</v>
      </c>
      <c r="I503" s="8" t="s">
        <v>153</v>
      </c>
      <c r="J503" s="8" t="s">
        <v>2442</v>
      </c>
      <c r="K503" s="8"/>
      <c r="L503" s="8" t="s">
        <v>2443</v>
      </c>
    </row>
    <row r="504" customFormat="false" ht="34.5" hidden="false" customHeight="true" outlineLevel="0" collapsed="false">
      <c r="A504" s="8" t="n">
        <v>400</v>
      </c>
      <c r="B504" s="8" t="s">
        <v>19</v>
      </c>
      <c r="C504" s="8" t="s">
        <v>2444</v>
      </c>
      <c r="D504" s="8" t="n">
        <v>2016</v>
      </c>
      <c r="E504" s="8" t="s">
        <v>2445</v>
      </c>
      <c r="F504" s="8" t="s">
        <v>143</v>
      </c>
      <c r="G504" s="8" t="s">
        <v>2419</v>
      </c>
      <c r="H504" s="8" t="s">
        <v>145</v>
      </c>
      <c r="I504" s="8" t="s">
        <v>153</v>
      </c>
      <c r="J504" s="8" t="s">
        <v>2446</v>
      </c>
      <c r="K504" s="8"/>
      <c r="L504" s="8" t="s">
        <v>2447</v>
      </c>
    </row>
    <row r="505" customFormat="false" ht="34.5" hidden="false" customHeight="true" outlineLevel="0" collapsed="false">
      <c r="A505" s="8" t="n">
        <v>401</v>
      </c>
      <c r="B505" s="8" t="s">
        <v>19</v>
      </c>
      <c r="C505" s="8" t="s">
        <v>2448</v>
      </c>
      <c r="D505" s="8" t="n">
        <v>2016</v>
      </c>
      <c r="E505" s="8" t="s">
        <v>2449</v>
      </c>
      <c r="F505" s="8" t="s">
        <v>143</v>
      </c>
      <c r="G505" s="8" t="s">
        <v>1665</v>
      </c>
      <c r="H505" s="8" t="s">
        <v>145</v>
      </c>
      <c r="I505" s="8" t="s">
        <v>153</v>
      </c>
      <c r="J505" s="8" t="s">
        <v>2450</v>
      </c>
      <c r="K505" s="8" t="s">
        <v>114</v>
      </c>
      <c r="L505" s="8" t="s">
        <v>2451</v>
      </c>
    </row>
    <row r="506" customFormat="false" ht="34.5" hidden="false" customHeight="true" outlineLevel="0" collapsed="false">
      <c r="A506" s="8" t="n">
        <v>402</v>
      </c>
      <c r="B506" s="8" t="s">
        <v>19</v>
      </c>
      <c r="C506" s="8" t="s">
        <v>2452</v>
      </c>
      <c r="D506" s="8" t="n">
        <v>2015</v>
      </c>
      <c r="E506" s="8" t="s">
        <v>2453</v>
      </c>
      <c r="F506" s="8" t="s">
        <v>151</v>
      </c>
      <c r="G506" s="8" t="s">
        <v>2454</v>
      </c>
      <c r="H506" s="8" t="s">
        <v>145</v>
      </c>
      <c r="I506" s="8" t="s">
        <v>208</v>
      </c>
      <c r="J506" s="8" t="s">
        <v>2455</v>
      </c>
      <c r="K506" s="8"/>
      <c r="L506" s="8" t="s">
        <v>2456</v>
      </c>
    </row>
    <row r="507" customFormat="false" ht="34.5" hidden="false" customHeight="true" outlineLevel="0" collapsed="false">
      <c r="A507" s="8" t="n">
        <v>403</v>
      </c>
      <c r="B507" s="8" t="s">
        <v>19</v>
      </c>
      <c r="C507" s="8" t="s">
        <v>2457</v>
      </c>
      <c r="D507" s="8" t="n">
        <v>2014</v>
      </c>
      <c r="E507" s="8" t="s">
        <v>2458</v>
      </c>
      <c r="F507" s="8" t="s">
        <v>151</v>
      </c>
      <c r="G507" s="8" t="s">
        <v>2459</v>
      </c>
      <c r="H507" s="8" t="s">
        <v>2460</v>
      </c>
      <c r="I507" s="8" t="s">
        <v>208</v>
      </c>
      <c r="J507" s="8" t="s">
        <v>2461</v>
      </c>
      <c r="K507" s="8" t="s">
        <v>116</v>
      </c>
      <c r="L507" s="8" t="s">
        <v>2462</v>
      </c>
    </row>
    <row r="508" customFormat="false" ht="34.5" hidden="false" customHeight="true" outlineLevel="0" collapsed="false">
      <c r="A508" s="8" t="n">
        <v>404</v>
      </c>
      <c r="B508" s="8" t="s">
        <v>19</v>
      </c>
      <c r="C508" s="8" t="s">
        <v>2463</v>
      </c>
      <c r="D508" s="8" t="n">
        <v>2016</v>
      </c>
      <c r="E508" s="8" t="s">
        <v>2464</v>
      </c>
      <c r="F508" s="8" t="s">
        <v>143</v>
      </c>
      <c r="G508" s="8" t="s">
        <v>2247</v>
      </c>
      <c r="H508" s="8" t="s">
        <v>2465</v>
      </c>
      <c r="I508" s="8" t="s">
        <v>208</v>
      </c>
      <c r="J508" s="8" t="s">
        <v>2466</v>
      </c>
      <c r="K508" s="8"/>
      <c r="L508" s="8" t="s">
        <v>2467</v>
      </c>
    </row>
    <row r="509" customFormat="false" ht="34.5" hidden="false" customHeight="true" outlineLevel="0" collapsed="false">
      <c r="A509" s="8" t="n">
        <v>405</v>
      </c>
      <c r="B509" s="8" t="s">
        <v>19</v>
      </c>
      <c r="C509" s="8" t="s">
        <v>2468</v>
      </c>
      <c r="D509" s="8" t="n">
        <v>2014</v>
      </c>
      <c r="E509" s="8" t="s">
        <v>2469</v>
      </c>
      <c r="F509" s="8" t="s">
        <v>151</v>
      </c>
      <c r="G509" s="8" t="s">
        <v>2470</v>
      </c>
      <c r="H509" s="8" t="s">
        <v>145</v>
      </c>
      <c r="I509" s="8" t="s">
        <v>208</v>
      </c>
      <c r="J509" s="8" t="s">
        <v>2471</v>
      </c>
      <c r="K509" s="8" t="s">
        <v>116</v>
      </c>
      <c r="L509" s="8" t="s">
        <v>2472</v>
      </c>
    </row>
    <row r="510" customFormat="false" ht="34.5" hidden="false" customHeight="true" outlineLevel="0" collapsed="false">
      <c r="A510" s="8" t="n">
        <v>406</v>
      </c>
      <c r="B510" s="8" t="s">
        <v>19</v>
      </c>
      <c r="C510" s="8" t="s">
        <v>2473</v>
      </c>
      <c r="D510" s="8" t="n">
        <v>2016</v>
      </c>
      <c r="E510" s="8" t="s">
        <v>2474</v>
      </c>
      <c r="F510" s="8" t="s">
        <v>143</v>
      </c>
      <c r="G510" s="8" t="s">
        <v>2475</v>
      </c>
      <c r="H510" s="8" t="s">
        <v>145</v>
      </c>
      <c r="I510" s="8" t="s">
        <v>153</v>
      </c>
      <c r="J510" s="8" t="s">
        <v>2476</v>
      </c>
      <c r="K510" s="8"/>
      <c r="L510" s="8" t="s">
        <v>2477</v>
      </c>
    </row>
    <row r="511" customFormat="false" ht="34.5" hidden="false" customHeight="true" outlineLevel="0" collapsed="false">
      <c r="A511" s="8" t="n">
        <v>407</v>
      </c>
      <c r="B511" s="8" t="s">
        <v>19</v>
      </c>
      <c r="C511" s="8" t="s">
        <v>2478</v>
      </c>
      <c r="D511" s="8" t="n">
        <v>2015</v>
      </c>
      <c r="E511" s="8" t="s">
        <v>2479</v>
      </c>
      <c r="F511" s="8" t="s">
        <v>143</v>
      </c>
      <c r="G511" s="8" t="s">
        <v>364</v>
      </c>
      <c r="H511" s="8" t="s">
        <v>2187</v>
      </c>
      <c r="I511" s="8" t="s">
        <v>208</v>
      </c>
      <c r="J511" s="8" t="s">
        <v>2480</v>
      </c>
      <c r="K511" s="8"/>
      <c r="L511" s="8" t="s">
        <v>2481</v>
      </c>
    </row>
    <row r="512" customFormat="false" ht="34.5" hidden="false" customHeight="true" outlineLevel="0" collapsed="false">
      <c r="A512" s="8" t="n">
        <v>408</v>
      </c>
      <c r="B512" s="8" t="s">
        <v>19</v>
      </c>
      <c r="C512" s="8" t="s">
        <v>2482</v>
      </c>
      <c r="D512" s="8" t="n">
        <v>2014</v>
      </c>
      <c r="E512" s="8" t="s">
        <v>2483</v>
      </c>
      <c r="F512" s="8" t="s">
        <v>143</v>
      </c>
      <c r="G512" s="8" t="s">
        <v>2484</v>
      </c>
      <c r="H512" s="8" t="s">
        <v>2485</v>
      </c>
      <c r="I512" s="8" t="s">
        <v>208</v>
      </c>
      <c r="J512" s="8" t="s">
        <v>2486</v>
      </c>
      <c r="K512" s="8"/>
      <c r="L512" s="8" t="s">
        <v>2487</v>
      </c>
    </row>
    <row r="513" customFormat="false" ht="34.5" hidden="false" customHeight="true" outlineLevel="0" collapsed="false">
      <c r="A513" s="8" t="n">
        <v>409</v>
      </c>
      <c r="B513" s="8" t="s">
        <v>19</v>
      </c>
      <c r="C513" s="8" t="s">
        <v>2488</v>
      </c>
      <c r="D513" s="8" t="n">
        <v>2016</v>
      </c>
      <c r="E513" s="8" t="s">
        <v>2489</v>
      </c>
      <c r="F513" s="8" t="s">
        <v>151</v>
      </c>
      <c r="G513" s="8" t="s">
        <v>2490</v>
      </c>
      <c r="H513" s="8" t="s">
        <v>2491</v>
      </c>
      <c r="I513" s="8" t="s">
        <v>208</v>
      </c>
      <c r="J513" s="8" t="s">
        <v>2492</v>
      </c>
      <c r="K513" s="8"/>
      <c r="L513" s="8" t="s">
        <v>2493</v>
      </c>
    </row>
    <row r="514" customFormat="false" ht="34.5" hidden="false" customHeight="true" outlineLevel="0" collapsed="false">
      <c r="A514" s="8" t="n">
        <v>410</v>
      </c>
      <c r="B514" s="8" t="s">
        <v>19</v>
      </c>
      <c r="C514" s="8" t="s">
        <v>2494</v>
      </c>
      <c r="D514" s="8" t="n">
        <v>2011</v>
      </c>
      <c r="E514" s="8" t="s">
        <v>2495</v>
      </c>
      <c r="F514" s="8" t="s">
        <v>151</v>
      </c>
      <c r="G514" s="8" t="s">
        <v>2496</v>
      </c>
      <c r="H514" s="8" t="s">
        <v>145</v>
      </c>
      <c r="I514" s="8" t="s">
        <v>208</v>
      </c>
      <c r="J514" s="8" t="s">
        <v>2497</v>
      </c>
      <c r="K514" s="8"/>
      <c r="L514" s="8" t="s">
        <v>2498</v>
      </c>
    </row>
    <row r="515" customFormat="false" ht="34.5" hidden="false" customHeight="true" outlineLevel="0" collapsed="false">
      <c r="A515" s="8" t="n">
        <v>411</v>
      </c>
      <c r="B515" s="8" t="s">
        <v>19</v>
      </c>
      <c r="C515" s="8" t="s">
        <v>2499</v>
      </c>
      <c r="D515" s="8" t="n">
        <v>2016</v>
      </c>
      <c r="E515" s="8" t="s">
        <v>2500</v>
      </c>
      <c r="F515" s="8" t="s">
        <v>151</v>
      </c>
      <c r="G515" s="8" t="s">
        <v>2501</v>
      </c>
      <c r="H515" s="8" t="s">
        <v>2502</v>
      </c>
      <c r="I515" s="8" t="s">
        <v>208</v>
      </c>
      <c r="J515" s="8" t="s">
        <v>2503</v>
      </c>
      <c r="K515" s="8"/>
      <c r="L515" s="8" t="s">
        <v>2504</v>
      </c>
    </row>
    <row r="516" customFormat="false" ht="34.5" hidden="false" customHeight="true" outlineLevel="0" collapsed="false">
      <c r="A516" s="8" t="n">
        <v>412</v>
      </c>
      <c r="B516" s="8" t="s">
        <v>19</v>
      </c>
      <c r="C516" s="8" t="s">
        <v>2505</v>
      </c>
      <c r="D516" s="8" t="n">
        <v>2014</v>
      </c>
      <c r="E516" s="8" t="s">
        <v>2506</v>
      </c>
      <c r="F516" s="8" t="s">
        <v>143</v>
      </c>
      <c r="G516" s="8" t="s">
        <v>2507</v>
      </c>
      <c r="H516" s="8" t="s">
        <v>145</v>
      </c>
      <c r="I516" s="8" t="s">
        <v>208</v>
      </c>
      <c r="J516" s="8" t="s">
        <v>1240</v>
      </c>
      <c r="K516" s="8" t="s">
        <v>116</v>
      </c>
      <c r="L516" s="8" t="s">
        <v>2508</v>
      </c>
    </row>
    <row r="517" customFormat="false" ht="34.5" hidden="false" customHeight="true" outlineLevel="0" collapsed="false">
      <c r="A517" s="8" t="n">
        <v>413</v>
      </c>
      <c r="B517" s="8" t="s">
        <v>19</v>
      </c>
      <c r="C517" s="8" t="s">
        <v>2509</v>
      </c>
      <c r="D517" s="8" t="n">
        <v>2010</v>
      </c>
      <c r="E517" s="8" t="s">
        <v>2510</v>
      </c>
      <c r="F517" s="8" t="s">
        <v>143</v>
      </c>
      <c r="G517" s="8" t="s">
        <v>2511</v>
      </c>
      <c r="H517" s="8" t="s">
        <v>145</v>
      </c>
      <c r="I517" s="8" t="s">
        <v>208</v>
      </c>
      <c r="J517" s="8" t="s">
        <v>2512</v>
      </c>
      <c r="K517" s="8"/>
      <c r="L517" s="8" t="s">
        <v>2513</v>
      </c>
    </row>
    <row r="518" customFormat="false" ht="34.5" hidden="false" customHeight="true" outlineLevel="0" collapsed="false">
      <c r="A518" s="8" t="n">
        <v>414</v>
      </c>
      <c r="B518" s="8" t="s">
        <v>19</v>
      </c>
      <c r="C518" s="8" t="s">
        <v>2514</v>
      </c>
      <c r="D518" s="8" t="n">
        <v>2016</v>
      </c>
      <c r="E518" s="8" t="s">
        <v>2515</v>
      </c>
      <c r="F518" s="8" t="s">
        <v>151</v>
      </c>
      <c r="G518" s="8" t="s">
        <v>2516</v>
      </c>
      <c r="H518" s="8" t="s">
        <v>2517</v>
      </c>
      <c r="I518" s="8" t="s">
        <v>208</v>
      </c>
      <c r="J518" s="8" t="s">
        <v>2518</v>
      </c>
      <c r="K518" s="8"/>
      <c r="L518" s="8" t="s">
        <v>2519</v>
      </c>
    </row>
    <row r="519" customFormat="false" ht="34.5" hidden="false" customHeight="true" outlineLevel="0" collapsed="false">
      <c r="A519" s="8" t="n">
        <v>415</v>
      </c>
      <c r="B519" s="8" t="s">
        <v>19</v>
      </c>
      <c r="C519" s="8" t="s">
        <v>2520</v>
      </c>
      <c r="D519" s="8" t="n">
        <v>2011</v>
      </c>
      <c r="E519" s="8" t="s">
        <v>2521</v>
      </c>
      <c r="F519" s="8" t="s">
        <v>151</v>
      </c>
      <c r="G519" s="8" t="s">
        <v>2522</v>
      </c>
      <c r="H519" s="8" t="s">
        <v>901</v>
      </c>
      <c r="I519" s="8" t="s">
        <v>208</v>
      </c>
      <c r="J519" s="8" t="s">
        <v>2523</v>
      </c>
      <c r="K519" s="8" t="s">
        <v>116</v>
      </c>
      <c r="L519" s="8" t="s">
        <v>2524</v>
      </c>
    </row>
    <row r="520" customFormat="false" ht="34.5" hidden="false" customHeight="true" outlineLevel="0" collapsed="false">
      <c r="A520" s="8" t="n">
        <v>416</v>
      </c>
      <c r="B520" s="8" t="s">
        <v>19</v>
      </c>
      <c r="C520" s="8" t="s">
        <v>2525</v>
      </c>
      <c r="D520" s="8" t="n">
        <v>2014</v>
      </c>
      <c r="E520" s="8" t="s">
        <v>2526</v>
      </c>
      <c r="F520" s="8" t="s">
        <v>151</v>
      </c>
      <c r="G520" s="8" t="s">
        <v>2372</v>
      </c>
      <c r="H520" s="8" t="s">
        <v>145</v>
      </c>
      <c r="I520" s="8" t="s">
        <v>153</v>
      </c>
      <c r="J520" s="8" t="s">
        <v>2527</v>
      </c>
      <c r="K520" s="8" t="s">
        <v>114</v>
      </c>
      <c r="L520" s="8" t="s">
        <v>2528</v>
      </c>
    </row>
    <row r="521" customFormat="false" ht="34.5" hidden="false" customHeight="true" outlineLevel="0" collapsed="false">
      <c r="A521" s="8" t="n">
        <v>417</v>
      </c>
      <c r="B521" s="8" t="s">
        <v>19</v>
      </c>
      <c r="C521" s="8" t="s">
        <v>2529</v>
      </c>
      <c r="D521" s="8" t="n">
        <v>2015</v>
      </c>
      <c r="E521" s="8" t="s">
        <v>2530</v>
      </c>
      <c r="F521" s="8" t="s">
        <v>143</v>
      </c>
      <c r="G521" s="8" t="s">
        <v>2531</v>
      </c>
      <c r="H521" s="8" t="s">
        <v>327</v>
      </c>
      <c r="I521" s="8" t="s">
        <v>208</v>
      </c>
      <c r="J521" s="8" t="s">
        <v>2532</v>
      </c>
      <c r="K521" s="8"/>
      <c r="L521" s="8" t="s">
        <v>2533</v>
      </c>
    </row>
    <row r="522" customFormat="false" ht="34.5" hidden="false" customHeight="true" outlineLevel="0" collapsed="false">
      <c r="A522" s="8" t="n">
        <v>418</v>
      </c>
      <c r="B522" s="8" t="s">
        <v>19</v>
      </c>
      <c r="C522" s="8" t="s">
        <v>2534</v>
      </c>
      <c r="D522" s="8" t="n">
        <v>2016</v>
      </c>
      <c r="E522" s="8" t="s">
        <v>2535</v>
      </c>
      <c r="F522" s="8" t="s">
        <v>143</v>
      </c>
      <c r="G522" s="8" t="s">
        <v>2536</v>
      </c>
      <c r="H522" s="8" t="s">
        <v>145</v>
      </c>
      <c r="I522" s="8" t="s">
        <v>208</v>
      </c>
      <c r="J522" s="8" t="s">
        <v>2537</v>
      </c>
      <c r="K522" s="8" t="s">
        <v>116</v>
      </c>
      <c r="L522" s="8" t="s">
        <v>2538</v>
      </c>
    </row>
    <row r="523" customFormat="false" ht="34.5" hidden="false" customHeight="true" outlineLevel="0" collapsed="false">
      <c r="A523" s="8" t="n">
        <v>419</v>
      </c>
      <c r="B523" s="8" t="s">
        <v>19</v>
      </c>
      <c r="C523" s="8" t="s">
        <v>2539</v>
      </c>
      <c r="D523" s="8" t="n">
        <v>2012</v>
      </c>
      <c r="E523" s="8" t="s">
        <v>2540</v>
      </c>
      <c r="F523" s="8" t="s">
        <v>143</v>
      </c>
      <c r="G523" s="8" t="s">
        <v>588</v>
      </c>
      <c r="H523" s="8" t="s">
        <v>145</v>
      </c>
      <c r="I523" s="8" t="s">
        <v>153</v>
      </c>
      <c r="J523" s="8" t="s">
        <v>2541</v>
      </c>
      <c r="K523" s="8" t="s">
        <v>116</v>
      </c>
      <c r="L523" s="8" t="s">
        <v>2542</v>
      </c>
    </row>
    <row r="524" customFormat="false" ht="34.5" hidden="false" customHeight="true" outlineLevel="0" collapsed="false">
      <c r="A524" s="8" t="n">
        <v>420</v>
      </c>
      <c r="B524" s="8" t="s">
        <v>19</v>
      </c>
      <c r="C524" s="8" t="s">
        <v>2543</v>
      </c>
      <c r="D524" s="8" t="n">
        <v>2014</v>
      </c>
      <c r="E524" s="8" t="s">
        <v>2544</v>
      </c>
      <c r="F524" s="8" t="s">
        <v>143</v>
      </c>
      <c r="G524" s="8" t="s">
        <v>2545</v>
      </c>
      <c r="H524" s="8" t="s">
        <v>2546</v>
      </c>
      <c r="I524" s="8" t="s">
        <v>208</v>
      </c>
      <c r="J524" s="8" t="s">
        <v>2547</v>
      </c>
      <c r="K524" s="8"/>
      <c r="L524" s="8" t="s">
        <v>2548</v>
      </c>
    </row>
    <row r="525" customFormat="false" ht="34.5" hidden="false" customHeight="true" outlineLevel="0" collapsed="false">
      <c r="A525" s="8" t="n">
        <v>421</v>
      </c>
      <c r="B525" s="8" t="s">
        <v>19</v>
      </c>
      <c r="C525" s="8" t="s">
        <v>2549</v>
      </c>
      <c r="D525" s="8" t="n">
        <v>2015</v>
      </c>
      <c r="E525" s="8" t="s">
        <v>2550</v>
      </c>
      <c r="F525" s="8" t="s">
        <v>143</v>
      </c>
      <c r="G525" s="8" t="s">
        <v>364</v>
      </c>
      <c r="H525" s="8" t="s">
        <v>2187</v>
      </c>
      <c r="I525" s="8" t="s">
        <v>208</v>
      </c>
      <c r="J525" s="8" t="s">
        <v>2551</v>
      </c>
      <c r="K525" s="8"/>
      <c r="L525" s="8" t="s">
        <v>2552</v>
      </c>
    </row>
    <row r="526" customFormat="false" ht="34.5" hidden="false" customHeight="true" outlineLevel="0" collapsed="false">
      <c r="A526" s="8" t="n">
        <v>422</v>
      </c>
      <c r="B526" s="8" t="s">
        <v>19</v>
      </c>
      <c r="C526" s="8" t="s">
        <v>2553</v>
      </c>
      <c r="D526" s="8" t="n">
        <v>2016</v>
      </c>
      <c r="E526" s="8" t="s">
        <v>2554</v>
      </c>
      <c r="F526" s="8" t="s">
        <v>143</v>
      </c>
      <c r="G526" s="8" t="s">
        <v>2555</v>
      </c>
      <c r="H526" s="8" t="s">
        <v>187</v>
      </c>
      <c r="I526" s="8" t="s">
        <v>387</v>
      </c>
      <c r="J526" s="8" t="s">
        <v>2556</v>
      </c>
      <c r="K526" s="8" t="s">
        <v>112</v>
      </c>
      <c r="L526" s="8" t="s">
        <v>2557</v>
      </c>
    </row>
    <row r="527" customFormat="false" ht="34.5" hidden="false" customHeight="true" outlineLevel="0" collapsed="false">
      <c r="A527" s="8" t="n">
        <v>423</v>
      </c>
      <c r="B527" s="8" t="s">
        <v>19</v>
      </c>
      <c r="C527" s="8" t="s">
        <v>2558</v>
      </c>
      <c r="D527" s="8" t="n">
        <v>2014</v>
      </c>
      <c r="E527" s="8" t="s">
        <v>2559</v>
      </c>
      <c r="F527" s="8" t="s">
        <v>151</v>
      </c>
      <c r="G527" s="8" t="s">
        <v>197</v>
      </c>
      <c r="H527" s="8" t="s">
        <v>2187</v>
      </c>
      <c r="I527" s="8" t="s">
        <v>208</v>
      </c>
      <c r="J527" s="8" t="s">
        <v>2560</v>
      </c>
      <c r="K527" s="8"/>
      <c r="L527" s="8" t="s">
        <v>2561</v>
      </c>
    </row>
    <row r="528" customFormat="false" ht="34.5" hidden="false" customHeight="true" outlineLevel="0" collapsed="false">
      <c r="A528" s="8" t="n">
        <v>424</v>
      </c>
      <c r="B528" s="8" t="s">
        <v>19</v>
      </c>
      <c r="C528" s="8" t="s">
        <v>2562</v>
      </c>
      <c r="D528" s="8" t="n">
        <v>2015</v>
      </c>
      <c r="E528" s="8" t="s">
        <v>2563</v>
      </c>
      <c r="F528" s="8" t="s">
        <v>143</v>
      </c>
      <c r="G528" s="8" t="s">
        <v>2564</v>
      </c>
      <c r="H528" s="8" t="s">
        <v>145</v>
      </c>
      <c r="I528" s="8" t="s">
        <v>522</v>
      </c>
      <c r="J528" s="8" t="s">
        <v>2565</v>
      </c>
      <c r="K528" s="8" t="s">
        <v>116</v>
      </c>
      <c r="L528" s="8" t="s">
        <v>2566</v>
      </c>
    </row>
    <row r="529" customFormat="false" ht="34.5" hidden="false" customHeight="true" outlineLevel="0" collapsed="false">
      <c r="A529" s="8" t="n">
        <v>425</v>
      </c>
      <c r="B529" s="8" t="s">
        <v>19</v>
      </c>
      <c r="C529" s="8" t="s">
        <v>2567</v>
      </c>
      <c r="D529" s="8" t="n">
        <v>2017</v>
      </c>
      <c r="E529" s="8" t="s">
        <v>2568</v>
      </c>
      <c r="F529" s="8" t="s">
        <v>143</v>
      </c>
      <c r="G529" s="8" t="s">
        <v>2569</v>
      </c>
      <c r="H529" s="8" t="s">
        <v>2248</v>
      </c>
      <c r="I529" s="8" t="s">
        <v>153</v>
      </c>
      <c r="J529" s="8" t="s">
        <v>2570</v>
      </c>
      <c r="K529" s="8"/>
      <c r="L529" s="8" t="s">
        <v>2571</v>
      </c>
    </row>
    <row r="530" customFormat="false" ht="34.5" hidden="false" customHeight="true" outlineLevel="0" collapsed="false">
      <c r="A530" s="8" t="n">
        <v>426</v>
      </c>
      <c r="B530" s="8" t="s">
        <v>19</v>
      </c>
      <c r="C530" s="8" t="s">
        <v>2572</v>
      </c>
      <c r="D530" s="8" t="n">
        <v>2016</v>
      </c>
      <c r="E530" s="8" t="s">
        <v>2573</v>
      </c>
      <c r="F530" s="8" t="s">
        <v>151</v>
      </c>
      <c r="G530" s="8" t="s">
        <v>2574</v>
      </c>
      <c r="H530" s="8" t="s">
        <v>145</v>
      </c>
      <c r="I530" s="8" t="s">
        <v>208</v>
      </c>
      <c r="J530" s="8" t="s">
        <v>2575</v>
      </c>
      <c r="K530" s="8"/>
      <c r="L530" s="8" t="s">
        <v>2576</v>
      </c>
    </row>
    <row r="531" customFormat="false" ht="34.5" hidden="false" customHeight="true" outlineLevel="0" collapsed="false">
      <c r="A531" s="8" t="n">
        <v>427</v>
      </c>
      <c r="B531" s="8" t="s">
        <v>19</v>
      </c>
      <c r="C531" s="8" t="s">
        <v>2577</v>
      </c>
      <c r="D531" s="8" t="n">
        <v>2014</v>
      </c>
      <c r="E531" s="8" t="s">
        <v>2578</v>
      </c>
      <c r="F531" s="8" t="s">
        <v>143</v>
      </c>
      <c r="G531" s="8" t="s">
        <v>1665</v>
      </c>
      <c r="H531" s="8" t="s">
        <v>327</v>
      </c>
      <c r="I531" s="8" t="s">
        <v>153</v>
      </c>
      <c r="J531" s="8" t="s">
        <v>2579</v>
      </c>
      <c r="K531" s="8"/>
      <c r="L531" s="8" t="s">
        <v>2580</v>
      </c>
    </row>
    <row r="532" customFormat="false" ht="34.5" hidden="false" customHeight="true" outlineLevel="0" collapsed="false">
      <c r="A532" s="8" t="n">
        <v>428</v>
      </c>
      <c r="B532" s="8" t="s">
        <v>19</v>
      </c>
      <c r="C532" s="8" t="s">
        <v>2581</v>
      </c>
      <c r="D532" s="8" t="n">
        <v>2015</v>
      </c>
      <c r="E532" s="8" t="s">
        <v>2582</v>
      </c>
      <c r="F532" s="8" t="s">
        <v>143</v>
      </c>
      <c r="G532" s="8" t="s">
        <v>2192</v>
      </c>
      <c r="H532" s="8" t="s">
        <v>145</v>
      </c>
      <c r="I532" s="8" t="s">
        <v>208</v>
      </c>
      <c r="J532" s="8" t="s">
        <v>2583</v>
      </c>
      <c r="K532" s="8" t="s">
        <v>114</v>
      </c>
      <c r="L532" s="8" t="s">
        <v>2584</v>
      </c>
    </row>
    <row r="533" customFormat="false" ht="34.5" hidden="false" customHeight="true" outlineLevel="0" collapsed="false">
      <c r="A533" s="8" t="n">
        <v>429</v>
      </c>
      <c r="B533" s="8" t="s">
        <v>19</v>
      </c>
      <c r="C533" s="8" t="s">
        <v>2581</v>
      </c>
      <c r="D533" s="8" t="n">
        <v>2015</v>
      </c>
      <c r="E533" s="8" t="s">
        <v>2585</v>
      </c>
      <c r="F533" s="8" t="s">
        <v>143</v>
      </c>
      <c r="G533" s="8" t="s">
        <v>2267</v>
      </c>
      <c r="H533" s="8" t="s">
        <v>2187</v>
      </c>
      <c r="I533" s="8" t="s">
        <v>208</v>
      </c>
      <c r="J533" s="8" t="s">
        <v>2586</v>
      </c>
      <c r="K533" s="8"/>
      <c r="L533" s="8" t="s">
        <v>2587</v>
      </c>
    </row>
    <row r="534" customFormat="false" ht="34.5" hidden="false" customHeight="true" outlineLevel="0" collapsed="false">
      <c r="A534" s="8" t="n">
        <v>430</v>
      </c>
      <c r="B534" s="8" t="s">
        <v>19</v>
      </c>
      <c r="C534" s="8" t="s">
        <v>2588</v>
      </c>
      <c r="D534" s="8" t="n">
        <v>2016</v>
      </c>
      <c r="E534" s="8" t="s">
        <v>2589</v>
      </c>
      <c r="F534" s="8" t="s">
        <v>151</v>
      </c>
      <c r="G534" s="8" t="s">
        <v>2590</v>
      </c>
      <c r="H534" s="8" t="s">
        <v>145</v>
      </c>
      <c r="I534" s="8" t="s">
        <v>387</v>
      </c>
      <c r="J534" s="8" t="s">
        <v>2591</v>
      </c>
      <c r="K534" s="8"/>
      <c r="L534" s="8" t="s">
        <v>2592</v>
      </c>
    </row>
    <row r="535" customFormat="false" ht="34.5" hidden="false" customHeight="true" outlineLevel="0" collapsed="false">
      <c r="A535" s="8" t="n">
        <v>431</v>
      </c>
      <c r="B535" s="8" t="s">
        <v>19</v>
      </c>
      <c r="C535" s="8" t="s">
        <v>2593</v>
      </c>
      <c r="D535" s="8" t="n">
        <v>2009</v>
      </c>
      <c r="E535" s="8" t="s">
        <v>2594</v>
      </c>
      <c r="F535" s="8" t="s">
        <v>143</v>
      </c>
      <c r="G535" s="8" t="s">
        <v>2595</v>
      </c>
      <c r="H535" s="8" t="s">
        <v>145</v>
      </c>
      <c r="I535" s="8" t="s">
        <v>153</v>
      </c>
      <c r="J535" s="8" t="s">
        <v>2596</v>
      </c>
      <c r="K535" s="8"/>
      <c r="L535" s="8" t="s">
        <v>2597</v>
      </c>
    </row>
    <row r="536" customFormat="false" ht="34.5" hidden="false" customHeight="true" outlineLevel="0" collapsed="false">
      <c r="A536" s="8" t="n">
        <v>432</v>
      </c>
      <c r="B536" s="8" t="s">
        <v>19</v>
      </c>
      <c r="C536" s="8" t="s">
        <v>2598</v>
      </c>
      <c r="D536" s="8" t="n">
        <v>1992</v>
      </c>
      <c r="E536" s="8" t="s">
        <v>2599</v>
      </c>
      <c r="F536" s="8" t="s">
        <v>143</v>
      </c>
      <c r="G536" s="8" t="s">
        <v>364</v>
      </c>
      <c r="H536" s="8" t="s">
        <v>2600</v>
      </c>
      <c r="I536" s="8" t="s">
        <v>208</v>
      </c>
      <c r="J536" s="8" t="s">
        <v>2601</v>
      </c>
      <c r="K536" s="8"/>
      <c r="L536" s="8" t="s">
        <v>2602</v>
      </c>
    </row>
    <row r="537" customFormat="false" ht="34.5" hidden="false" customHeight="true" outlineLevel="0" collapsed="false">
      <c r="A537" s="8" t="n">
        <v>433</v>
      </c>
      <c r="B537" s="8" t="s">
        <v>19</v>
      </c>
      <c r="C537" s="8" t="s">
        <v>2603</v>
      </c>
      <c r="D537" s="8" t="n">
        <v>1992</v>
      </c>
      <c r="E537" s="8" t="s">
        <v>2604</v>
      </c>
      <c r="F537" s="8" t="s">
        <v>143</v>
      </c>
      <c r="G537" s="8" t="s">
        <v>364</v>
      </c>
      <c r="H537" s="8" t="s">
        <v>145</v>
      </c>
      <c r="I537" s="8" t="s">
        <v>153</v>
      </c>
      <c r="J537" s="8" t="s">
        <v>2605</v>
      </c>
      <c r="K537" s="8" t="s">
        <v>116</v>
      </c>
      <c r="L537" s="8" t="s">
        <v>2606</v>
      </c>
    </row>
    <row r="538" customFormat="false" ht="34.5" hidden="false" customHeight="true" outlineLevel="0" collapsed="false">
      <c r="A538" s="8" t="n">
        <v>434</v>
      </c>
      <c r="B538" s="8" t="s">
        <v>19</v>
      </c>
      <c r="C538" s="8" t="s">
        <v>2603</v>
      </c>
      <c r="D538" s="8" t="n">
        <v>2015</v>
      </c>
      <c r="E538" s="8" t="s">
        <v>2607</v>
      </c>
      <c r="F538" s="8" t="s">
        <v>143</v>
      </c>
      <c r="G538" s="8" t="s">
        <v>1613</v>
      </c>
      <c r="H538" s="8" t="s">
        <v>145</v>
      </c>
      <c r="I538" s="8" t="s">
        <v>153</v>
      </c>
      <c r="J538" s="8" t="s">
        <v>2608</v>
      </c>
      <c r="K538" s="8" t="s">
        <v>114</v>
      </c>
      <c r="L538" s="8" t="s">
        <v>2609</v>
      </c>
    </row>
    <row r="539" customFormat="false" ht="34.5" hidden="false" customHeight="true" outlineLevel="0" collapsed="false">
      <c r="A539" s="8" t="n">
        <v>435</v>
      </c>
      <c r="B539" s="8" t="s">
        <v>19</v>
      </c>
      <c r="C539" s="8" t="s">
        <v>2610</v>
      </c>
      <c r="D539" s="8" t="n">
        <v>2016</v>
      </c>
      <c r="E539" s="8" t="s">
        <v>2611</v>
      </c>
      <c r="F539" s="8" t="s">
        <v>151</v>
      </c>
      <c r="G539" s="8" t="s">
        <v>2612</v>
      </c>
      <c r="H539" s="8" t="s">
        <v>684</v>
      </c>
      <c r="I539" s="8" t="s">
        <v>208</v>
      </c>
      <c r="J539" s="8" t="s">
        <v>2613</v>
      </c>
      <c r="K539" s="8" t="s">
        <v>114</v>
      </c>
      <c r="L539" s="8" t="s">
        <v>2614</v>
      </c>
    </row>
    <row r="540" customFormat="false" ht="34.5" hidden="false" customHeight="true" outlineLevel="0" collapsed="false">
      <c r="A540" s="8" t="n">
        <v>436</v>
      </c>
      <c r="B540" s="8" t="s">
        <v>19</v>
      </c>
      <c r="C540" s="8" t="s">
        <v>2615</v>
      </c>
      <c r="D540" s="8" t="n">
        <v>2015</v>
      </c>
      <c r="E540" s="8" t="s">
        <v>2616</v>
      </c>
      <c r="F540" s="8" t="s">
        <v>151</v>
      </c>
      <c r="G540" s="8" t="s">
        <v>2299</v>
      </c>
      <c r="H540" s="8" t="s">
        <v>145</v>
      </c>
      <c r="I540" s="8" t="s">
        <v>153</v>
      </c>
      <c r="J540" s="8" t="s">
        <v>2617</v>
      </c>
      <c r="K540" s="8"/>
      <c r="L540" s="8" t="s">
        <v>2618</v>
      </c>
    </row>
    <row r="541" customFormat="false" ht="34.5" hidden="false" customHeight="true" outlineLevel="0" collapsed="false">
      <c r="A541" s="8" t="n">
        <v>437</v>
      </c>
      <c r="B541" s="8" t="s">
        <v>19</v>
      </c>
      <c r="C541" s="8" t="s">
        <v>2619</v>
      </c>
      <c r="D541" s="8" t="n">
        <v>2014</v>
      </c>
      <c r="E541" s="8" t="s">
        <v>2620</v>
      </c>
      <c r="F541" s="8" t="s">
        <v>151</v>
      </c>
      <c r="G541" s="8" t="s">
        <v>2470</v>
      </c>
      <c r="H541" s="8" t="s">
        <v>2187</v>
      </c>
      <c r="I541" s="8" t="s">
        <v>208</v>
      </c>
      <c r="J541" s="8" t="s">
        <v>2621</v>
      </c>
      <c r="K541" s="8"/>
      <c r="L541" s="8" t="s">
        <v>2622</v>
      </c>
    </row>
    <row r="542" customFormat="false" ht="34.5" hidden="false" customHeight="true" outlineLevel="0" collapsed="false">
      <c r="A542" s="8" t="n">
        <v>438</v>
      </c>
      <c r="B542" s="8" t="s">
        <v>19</v>
      </c>
      <c r="C542" s="8" t="s">
        <v>2623</v>
      </c>
      <c r="D542" s="8" t="n">
        <v>2016</v>
      </c>
      <c r="E542" s="8" t="s">
        <v>2624</v>
      </c>
      <c r="F542" s="8" t="s">
        <v>143</v>
      </c>
      <c r="G542" s="8" t="s">
        <v>2625</v>
      </c>
      <c r="H542" s="8" t="s">
        <v>2626</v>
      </c>
      <c r="I542" s="8" t="s">
        <v>208</v>
      </c>
      <c r="J542" s="8" t="s">
        <v>2627</v>
      </c>
      <c r="K542" s="8"/>
      <c r="L542" s="8" t="s">
        <v>2628</v>
      </c>
    </row>
    <row r="543" customFormat="false" ht="34.5" hidden="false" customHeight="true" outlineLevel="0" collapsed="false">
      <c r="A543" s="8" t="n">
        <v>439</v>
      </c>
      <c r="B543" s="8" t="s">
        <v>19</v>
      </c>
      <c r="C543" s="8" t="s">
        <v>1476</v>
      </c>
      <c r="D543" s="8" t="n">
        <v>2015</v>
      </c>
      <c r="E543" s="8" t="s">
        <v>2629</v>
      </c>
      <c r="F543" s="8" t="s">
        <v>143</v>
      </c>
      <c r="G543" s="8" t="s">
        <v>2630</v>
      </c>
      <c r="H543" s="8" t="s">
        <v>145</v>
      </c>
      <c r="I543" s="8" t="s">
        <v>153</v>
      </c>
      <c r="J543" s="8" t="s">
        <v>2631</v>
      </c>
      <c r="K543" s="8" t="s">
        <v>114</v>
      </c>
      <c r="L543" s="8" t="s">
        <v>2632</v>
      </c>
    </row>
    <row r="544" customFormat="false" ht="34.5" hidden="false" customHeight="true" outlineLevel="0" collapsed="false">
      <c r="A544" s="8" t="n">
        <v>440</v>
      </c>
      <c r="B544" s="8" t="s">
        <v>19</v>
      </c>
      <c r="C544" s="8" t="s">
        <v>2633</v>
      </c>
      <c r="D544" s="8" t="n">
        <v>2015</v>
      </c>
      <c r="E544" s="8" t="s">
        <v>2634</v>
      </c>
      <c r="F544" s="8" t="s">
        <v>143</v>
      </c>
      <c r="G544" s="8" t="s">
        <v>2299</v>
      </c>
      <c r="H544" s="8" t="s">
        <v>145</v>
      </c>
      <c r="I544" s="8" t="s">
        <v>208</v>
      </c>
      <c r="J544" s="8" t="s">
        <v>2635</v>
      </c>
      <c r="K544" s="8" t="s">
        <v>114</v>
      </c>
      <c r="L544" s="8" t="s">
        <v>2636</v>
      </c>
    </row>
    <row r="545" customFormat="false" ht="34.5" hidden="false" customHeight="true" outlineLevel="0" collapsed="false">
      <c r="A545" s="8" t="n">
        <v>441</v>
      </c>
      <c r="B545" s="8" t="s">
        <v>19</v>
      </c>
      <c r="C545" s="8" t="s">
        <v>2637</v>
      </c>
      <c r="D545" s="8" t="n">
        <v>2016</v>
      </c>
      <c r="E545" s="8" t="s">
        <v>2638</v>
      </c>
      <c r="F545" s="8" t="s">
        <v>143</v>
      </c>
      <c r="G545" s="8" t="s">
        <v>2639</v>
      </c>
      <c r="H545" s="8" t="s">
        <v>145</v>
      </c>
      <c r="I545" s="8" t="s">
        <v>208</v>
      </c>
      <c r="J545" s="8" t="s">
        <v>2640</v>
      </c>
      <c r="K545" s="8" t="s">
        <v>114</v>
      </c>
      <c r="L545" s="8" t="s">
        <v>2641</v>
      </c>
    </row>
    <row r="546" customFormat="false" ht="68.25" hidden="false" customHeight="true" outlineLevel="0" collapsed="false">
      <c r="A546" s="8" t="n">
        <v>442</v>
      </c>
      <c r="B546" s="8" t="s">
        <v>21</v>
      </c>
      <c r="C546" s="8" t="s">
        <v>591</v>
      </c>
      <c r="D546" s="8" t="n">
        <v>2026</v>
      </c>
      <c r="E546" s="8" t="s">
        <v>2642</v>
      </c>
      <c r="F546" s="8" t="s">
        <v>143</v>
      </c>
      <c r="G546" s="8" t="s">
        <v>2643</v>
      </c>
      <c r="H546" s="8" t="s">
        <v>145</v>
      </c>
      <c r="I546" s="8" t="s">
        <v>153</v>
      </c>
      <c r="J546" s="8" t="s">
        <v>198</v>
      </c>
      <c r="K546" s="8" t="s">
        <v>114</v>
      </c>
      <c r="L546" s="8" t="s">
        <v>2644</v>
      </c>
    </row>
    <row r="547" customFormat="false" ht="45.75" hidden="false" customHeight="true" outlineLevel="0" collapsed="false">
      <c r="A547" s="8" t="n">
        <v>443</v>
      </c>
      <c r="B547" s="8" t="s">
        <v>21</v>
      </c>
      <c r="C547" s="8" t="s">
        <v>591</v>
      </c>
      <c r="D547" s="8" t="n">
        <v>2019</v>
      </c>
      <c r="E547" s="8" t="s">
        <v>2645</v>
      </c>
      <c r="F547" s="8" t="s">
        <v>201</v>
      </c>
      <c r="G547" s="8" t="s">
        <v>364</v>
      </c>
      <c r="H547" s="8" t="s">
        <v>145</v>
      </c>
      <c r="I547" s="8" t="s">
        <v>153</v>
      </c>
      <c r="J547" s="8" t="s">
        <v>2646</v>
      </c>
      <c r="K547" s="8"/>
      <c r="L547" s="8" t="s">
        <v>2647</v>
      </c>
    </row>
    <row r="548" customFormat="false" ht="34.5" hidden="false" customHeight="true" outlineLevel="0" collapsed="false">
      <c r="A548" s="8" t="n">
        <v>444</v>
      </c>
      <c r="B548" s="8" t="s">
        <v>21</v>
      </c>
      <c r="C548" s="8" t="s">
        <v>591</v>
      </c>
      <c r="D548" s="8" t="n">
        <v>2024</v>
      </c>
      <c r="E548" s="8" t="s">
        <v>2648</v>
      </c>
      <c r="F548" s="8" t="s">
        <v>201</v>
      </c>
      <c r="G548" s="8" t="s">
        <v>2649</v>
      </c>
      <c r="H548" s="8" t="s">
        <v>145</v>
      </c>
      <c r="I548" s="8" t="s">
        <v>153</v>
      </c>
      <c r="J548" s="8" t="s">
        <v>2650</v>
      </c>
      <c r="K548" s="8"/>
      <c r="L548" s="8" t="s">
        <v>2651</v>
      </c>
    </row>
    <row r="549" customFormat="false" ht="57" hidden="false" customHeight="true" outlineLevel="0" collapsed="false">
      <c r="A549" s="8" t="n">
        <v>445</v>
      </c>
      <c r="B549" s="8" t="s">
        <v>21</v>
      </c>
      <c r="C549" s="8" t="s">
        <v>591</v>
      </c>
      <c r="D549" s="8" t="n">
        <v>2024</v>
      </c>
      <c r="E549" s="8" t="s">
        <v>2652</v>
      </c>
      <c r="F549" s="8" t="s">
        <v>143</v>
      </c>
      <c r="G549" s="8" t="s">
        <v>364</v>
      </c>
      <c r="H549" s="8" t="s">
        <v>145</v>
      </c>
      <c r="I549" s="8" t="s">
        <v>153</v>
      </c>
      <c r="J549" s="8" t="s">
        <v>2653</v>
      </c>
      <c r="K549" s="8"/>
      <c r="L549" s="8" t="s">
        <v>2654</v>
      </c>
    </row>
    <row r="550" customFormat="false" ht="34.5" hidden="false" customHeight="true" outlineLevel="0" collapsed="false">
      <c r="A550" s="8" t="n">
        <v>446</v>
      </c>
      <c r="B550" s="8" t="s">
        <v>21</v>
      </c>
      <c r="C550" s="8" t="s">
        <v>1464</v>
      </c>
      <c r="D550" s="8" t="n">
        <v>2025</v>
      </c>
      <c r="E550" s="8" t="s">
        <v>2655</v>
      </c>
      <c r="F550" s="8" t="s">
        <v>151</v>
      </c>
      <c r="G550" s="8" t="s">
        <v>2013</v>
      </c>
      <c r="H550" s="8" t="s">
        <v>145</v>
      </c>
      <c r="I550" s="8" t="s">
        <v>153</v>
      </c>
      <c r="J550" s="8" t="s">
        <v>2656</v>
      </c>
      <c r="K550" s="8" t="s">
        <v>114</v>
      </c>
      <c r="L550" s="8" t="s">
        <v>2657</v>
      </c>
    </row>
    <row r="551" customFormat="false" ht="45.75" hidden="false" customHeight="true" outlineLevel="0" collapsed="false">
      <c r="A551" s="8" t="n">
        <v>447</v>
      </c>
      <c r="B551" s="8" t="s">
        <v>21</v>
      </c>
      <c r="C551" s="8" t="s">
        <v>2658</v>
      </c>
      <c r="D551" s="8" t="n">
        <v>2026</v>
      </c>
      <c r="E551" s="8" t="s">
        <v>2659</v>
      </c>
      <c r="F551" s="8" t="s">
        <v>151</v>
      </c>
      <c r="G551" s="8" t="s">
        <v>2660</v>
      </c>
      <c r="H551" s="8" t="s">
        <v>145</v>
      </c>
      <c r="I551" s="8" t="s">
        <v>153</v>
      </c>
      <c r="J551" s="8" t="s">
        <v>2661</v>
      </c>
      <c r="K551" s="8" t="s">
        <v>116</v>
      </c>
      <c r="L551" s="8" t="s">
        <v>2662</v>
      </c>
    </row>
    <row r="552" customFormat="false" ht="45.75" hidden="false" customHeight="true" outlineLevel="0" collapsed="false">
      <c r="A552" s="8" t="n">
        <v>448</v>
      </c>
      <c r="B552" s="8" t="s">
        <v>21</v>
      </c>
      <c r="C552" s="8" t="s">
        <v>591</v>
      </c>
      <c r="D552" s="8" t="n">
        <v>2016</v>
      </c>
      <c r="E552" s="8" t="s">
        <v>2663</v>
      </c>
      <c r="F552" s="8" t="s">
        <v>579</v>
      </c>
      <c r="G552" s="8" t="s">
        <v>2664</v>
      </c>
      <c r="H552" s="8" t="s">
        <v>145</v>
      </c>
      <c r="I552" s="8" t="s">
        <v>146</v>
      </c>
      <c r="J552" s="8" t="s">
        <v>2665</v>
      </c>
      <c r="K552" s="8"/>
      <c r="L552" s="8" t="s">
        <v>2666</v>
      </c>
    </row>
    <row r="553" customFormat="false" ht="34.5" hidden="false" customHeight="true" outlineLevel="0" collapsed="false">
      <c r="A553" s="8" t="n">
        <v>449</v>
      </c>
      <c r="B553" s="8" t="s">
        <v>21</v>
      </c>
      <c r="C553" s="8" t="s">
        <v>591</v>
      </c>
      <c r="D553" s="8" t="n">
        <v>2018</v>
      </c>
      <c r="E553" s="8" t="s">
        <v>2667</v>
      </c>
      <c r="F553" s="8" t="s">
        <v>143</v>
      </c>
      <c r="G553" s="8" t="s">
        <v>152</v>
      </c>
      <c r="H553" s="8" t="s">
        <v>145</v>
      </c>
      <c r="I553" s="8" t="s">
        <v>153</v>
      </c>
      <c r="J553" s="8" t="s">
        <v>2668</v>
      </c>
      <c r="K553" s="8"/>
      <c r="L553" s="8" t="s">
        <v>2669</v>
      </c>
    </row>
    <row r="554" customFormat="false" ht="34.5" hidden="false" customHeight="true" outlineLevel="0" collapsed="false">
      <c r="A554" s="13" t="n">
        <v>450</v>
      </c>
      <c r="B554" s="14" t="s">
        <v>21</v>
      </c>
      <c r="C554" s="14" t="s">
        <v>1672</v>
      </c>
      <c r="D554" s="14" t="n">
        <v>2022</v>
      </c>
      <c r="E554" s="14" t="s">
        <v>2670</v>
      </c>
      <c r="F554" s="14" t="s">
        <v>143</v>
      </c>
      <c r="G554" s="14" t="s">
        <v>2671</v>
      </c>
      <c r="H554" s="14" t="s">
        <v>145</v>
      </c>
      <c r="I554" s="14" t="s">
        <v>153</v>
      </c>
      <c r="J554" s="14" t="s">
        <v>2672</v>
      </c>
      <c r="K554" s="14" t="s">
        <v>114</v>
      </c>
      <c r="L554" s="14" t="s">
        <v>2673</v>
      </c>
    </row>
    <row r="555" customFormat="false" ht="45.75" hidden="false" customHeight="true" outlineLevel="0" collapsed="false">
      <c r="A555" s="15" t="n">
        <v>450</v>
      </c>
      <c r="B555" s="16" t="s">
        <v>23</v>
      </c>
      <c r="C555" s="16" t="s">
        <v>1672</v>
      </c>
      <c r="D555" s="16" t="n">
        <v>2022</v>
      </c>
      <c r="E555" s="16" t="s">
        <v>2670</v>
      </c>
      <c r="F555" s="16" t="s">
        <v>143</v>
      </c>
      <c r="G555" s="16" t="s">
        <v>2674</v>
      </c>
      <c r="H555" s="16" t="s">
        <v>145</v>
      </c>
      <c r="I555" s="16" t="s">
        <v>153</v>
      </c>
      <c r="J555" s="16" t="s">
        <v>2675</v>
      </c>
      <c r="K555" s="16" t="s">
        <v>110</v>
      </c>
      <c r="L555" s="16" t="s">
        <v>2676</v>
      </c>
    </row>
    <row r="556" customFormat="false" ht="34.5" hidden="false" customHeight="true" outlineLevel="0" collapsed="false">
      <c r="A556" s="15" t="n">
        <v>450</v>
      </c>
      <c r="B556" s="16" t="s">
        <v>43</v>
      </c>
      <c r="C556" s="16" t="s">
        <v>1672</v>
      </c>
      <c r="D556" s="16" t="n">
        <v>2022</v>
      </c>
      <c r="E556" s="16" t="s">
        <v>2670</v>
      </c>
      <c r="F556" s="16" t="s">
        <v>143</v>
      </c>
      <c r="G556" s="16" t="s">
        <v>2677</v>
      </c>
      <c r="H556" s="16" t="s">
        <v>145</v>
      </c>
      <c r="I556" s="16" t="s">
        <v>153</v>
      </c>
      <c r="J556" s="16" t="s">
        <v>2678</v>
      </c>
      <c r="K556" s="16" t="s">
        <v>110</v>
      </c>
      <c r="L556" s="16" t="s">
        <v>2679</v>
      </c>
    </row>
    <row r="557" customFormat="false" ht="34.5" hidden="false" customHeight="true" outlineLevel="0" collapsed="false">
      <c r="A557" s="15" t="n">
        <v>450</v>
      </c>
      <c r="B557" s="16" t="s">
        <v>49</v>
      </c>
      <c r="C557" s="16" t="s">
        <v>2680</v>
      </c>
      <c r="D557" s="16" t="n">
        <v>2022</v>
      </c>
      <c r="E557" s="16" t="s">
        <v>2670</v>
      </c>
      <c r="F557" s="16" t="s">
        <v>143</v>
      </c>
      <c r="G557" s="16" t="s">
        <v>2677</v>
      </c>
      <c r="H557" s="16" t="s">
        <v>145</v>
      </c>
      <c r="I557" s="16" t="s">
        <v>153</v>
      </c>
      <c r="J557" s="16" t="s">
        <v>2681</v>
      </c>
      <c r="K557" s="16" t="s">
        <v>110</v>
      </c>
      <c r="L557" s="16" t="s">
        <v>2682</v>
      </c>
    </row>
    <row r="558" customFormat="false" ht="34.5" hidden="false" customHeight="true" outlineLevel="0" collapsed="false">
      <c r="A558" s="15" t="n">
        <v>450</v>
      </c>
      <c r="B558" s="16" t="s">
        <v>87</v>
      </c>
      <c r="C558" s="16" t="s">
        <v>2683</v>
      </c>
      <c r="D558" s="16" t="n">
        <v>2022</v>
      </c>
      <c r="E558" s="16" t="s">
        <v>2670</v>
      </c>
      <c r="F558" s="16" t="s">
        <v>2684</v>
      </c>
      <c r="G558" s="16" t="s">
        <v>2685</v>
      </c>
      <c r="H558" s="16" t="s">
        <v>145</v>
      </c>
      <c r="I558" s="16" t="s">
        <v>153</v>
      </c>
      <c r="J558" s="16" t="s">
        <v>2686</v>
      </c>
      <c r="K558" s="16" t="s">
        <v>110</v>
      </c>
      <c r="L558" s="16" t="s">
        <v>2687</v>
      </c>
    </row>
    <row r="559" customFormat="false" ht="45.75" hidden="false" customHeight="true" outlineLevel="0" collapsed="false">
      <c r="A559" s="8" t="n">
        <v>451</v>
      </c>
      <c r="B559" s="8" t="s">
        <v>21</v>
      </c>
      <c r="C559" s="8" t="s">
        <v>2688</v>
      </c>
      <c r="D559" s="8" t="n">
        <v>2015</v>
      </c>
      <c r="E559" s="8" t="s">
        <v>2689</v>
      </c>
      <c r="F559" s="8" t="s">
        <v>143</v>
      </c>
      <c r="G559" s="8" t="s">
        <v>2690</v>
      </c>
      <c r="H559" s="8" t="s">
        <v>145</v>
      </c>
      <c r="I559" s="8" t="s">
        <v>153</v>
      </c>
      <c r="J559" s="8" t="s">
        <v>2691</v>
      </c>
      <c r="K559" s="8"/>
      <c r="L559" s="8" t="s">
        <v>2692</v>
      </c>
    </row>
    <row r="560" customFormat="false" ht="34.5" hidden="false" customHeight="true" outlineLevel="0" collapsed="false">
      <c r="A560" s="8" t="n">
        <v>452</v>
      </c>
      <c r="B560" s="8" t="s">
        <v>21</v>
      </c>
      <c r="C560" s="8" t="s">
        <v>2693</v>
      </c>
      <c r="D560" s="8" t="n">
        <v>2015</v>
      </c>
      <c r="E560" s="8" t="s">
        <v>2694</v>
      </c>
      <c r="F560" s="8" t="s">
        <v>143</v>
      </c>
      <c r="G560" s="8" t="s">
        <v>2419</v>
      </c>
      <c r="H560" s="8" t="s">
        <v>145</v>
      </c>
      <c r="I560" s="8" t="s">
        <v>153</v>
      </c>
      <c r="J560" s="8" t="s">
        <v>2695</v>
      </c>
      <c r="K560" s="8"/>
      <c r="L560" s="8" t="s">
        <v>2696</v>
      </c>
    </row>
    <row r="561" customFormat="false" ht="45.75" hidden="false" customHeight="true" outlineLevel="0" collapsed="false">
      <c r="A561" s="8" t="n">
        <v>453</v>
      </c>
      <c r="B561" s="8" t="s">
        <v>21</v>
      </c>
      <c r="C561" s="8" t="s">
        <v>2697</v>
      </c>
      <c r="D561" s="8" t="n">
        <v>2010</v>
      </c>
      <c r="E561" s="8" t="s">
        <v>2698</v>
      </c>
      <c r="F561" s="8" t="s">
        <v>143</v>
      </c>
      <c r="G561" s="8" t="s">
        <v>2699</v>
      </c>
      <c r="H561" s="8" t="s">
        <v>145</v>
      </c>
      <c r="I561" s="8" t="s">
        <v>153</v>
      </c>
      <c r="J561" s="8" t="s">
        <v>2700</v>
      </c>
      <c r="K561" s="8" t="s">
        <v>116</v>
      </c>
      <c r="L561" s="8" t="s">
        <v>2701</v>
      </c>
    </row>
    <row r="562" customFormat="false" ht="34.5" hidden="false" customHeight="true" outlineLevel="0" collapsed="false">
      <c r="A562" s="13" t="n">
        <v>454</v>
      </c>
      <c r="B562" s="14" t="s">
        <v>23</v>
      </c>
      <c r="C562" s="14" t="s">
        <v>1414</v>
      </c>
      <c r="D562" s="14" t="n">
        <v>2023</v>
      </c>
      <c r="E562" s="14" t="s">
        <v>2702</v>
      </c>
      <c r="F562" s="14" t="s">
        <v>143</v>
      </c>
      <c r="G562" s="14" t="s">
        <v>2703</v>
      </c>
      <c r="H562" s="14" t="s">
        <v>145</v>
      </c>
      <c r="I562" s="14" t="s">
        <v>153</v>
      </c>
      <c r="J562" s="14" t="s">
        <v>2675</v>
      </c>
      <c r="K562" s="14" t="s">
        <v>110</v>
      </c>
      <c r="L562" s="14" t="s">
        <v>2704</v>
      </c>
    </row>
    <row r="563" customFormat="false" ht="34.5" hidden="false" customHeight="true" outlineLevel="0" collapsed="false">
      <c r="A563" s="15" t="n">
        <v>454</v>
      </c>
      <c r="B563" s="16" t="s">
        <v>25</v>
      </c>
      <c r="C563" s="16" t="s">
        <v>2705</v>
      </c>
      <c r="D563" s="16" t="n">
        <v>2023</v>
      </c>
      <c r="E563" s="16" t="s">
        <v>2706</v>
      </c>
      <c r="F563" s="16" t="s">
        <v>143</v>
      </c>
      <c r="G563" s="16" t="s">
        <v>2707</v>
      </c>
      <c r="H563" s="16" t="s">
        <v>145</v>
      </c>
      <c r="I563" s="16" t="s">
        <v>153</v>
      </c>
      <c r="J563" s="16" t="s">
        <v>2708</v>
      </c>
      <c r="K563" s="16" t="s">
        <v>110</v>
      </c>
      <c r="L563" s="16" t="s">
        <v>2709</v>
      </c>
    </row>
    <row r="564" customFormat="false" ht="34.5" hidden="false" customHeight="true" outlineLevel="0" collapsed="false">
      <c r="A564" s="15" t="n">
        <v>454</v>
      </c>
      <c r="B564" s="16" t="s">
        <v>27</v>
      </c>
      <c r="C564" s="16" t="s">
        <v>2710</v>
      </c>
      <c r="D564" s="16" t="n">
        <v>2023</v>
      </c>
      <c r="E564" s="16" t="s">
        <v>2702</v>
      </c>
      <c r="F564" s="16" t="s">
        <v>143</v>
      </c>
      <c r="G564" s="16" t="s">
        <v>1403</v>
      </c>
      <c r="H564" s="16" t="s">
        <v>145</v>
      </c>
      <c r="I564" s="16" t="s">
        <v>153</v>
      </c>
      <c r="J564" s="16" t="s">
        <v>2711</v>
      </c>
      <c r="K564" s="16" t="s">
        <v>110</v>
      </c>
      <c r="L564" s="16" t="s">
        <v>2712</v>
      </c>
    </row>
    <row r="565" customFormat="false" ht="34.5" hidden="false" customHeight="true" outlineLevel="0" collapsed="false">
      <c r="A565" s="15" t="n">
        <v>454</v>
      </c>
      <c r="B565" s="16" t="s">
        <v>29</v>
      </c>
      <c r="C565" s="16" t="s">
        <v>1414</v>
      </c>
      <c r="D565" s="16" t="n">
        <v>2023</v>
      </c>
      <c r="E565" s="16" t="s">
        <v>2702</v>
      </c>
      <c r="F565" s="16" t="s">
        <v>143</v>
      </c>
      <c r="G565" s="16" t="s">
        <v>2713</v>
      </c>
      <c r="H565" s="16" t="s">
        <v>145</v>
      </c>
      <c r="I565" s="16" t="s">
        <v>387</v>
      </c>
      <c r="J565" s="16" t="s">
        <v>2714</v>
      </c>
      <c r="K565" s="16" t="s">
        <v>110</v>
      </c>
      <c r="L565" s="16" t="s">
        <v>2715</v>
      </c>
    </row>
    <row r="566" customFormat="false" ht="34.5" hidden="false" customHeight="true" outlineLevel="0" collapsed="false">
      <c r="A566" s="9" t="n">
        <v>455</v>
      </c>
      <c r="B566" s="10" t="s">
        <v>23</v>
      </c>
      <c r="C566" s="10" t="s">
        <v>1384</v>
      </c>
      <c r="D566" s="10" t="n">
        <v>2023</v>
      </c>
      <c r="E566" s="10" t="s">
        <v>2716</v>
      </c>
      <c r="F566" s="10" t="s">
        <v>143</v>
      </c>
      <c r="G566" s="10" t="s">
        <v>2717</v>
      </c>
      <c r="H566" s="10" t="s">
        <v>1373</v>
      </c>
      <c r="I566" s="10" t="s">
        <v>387</v>
      </c>
      <c r="J566" s="10" t="s">
        <v>2718</v>
      </c>
      <c r="K566" s="10" t="s">
        <v>110</v>
      </c>
      <c r="L566" s="10" t="s">
        <v>2719</v>
      </c>
    </row>
    <row r="567" customFormat="false" ht="34.5" hidden="false" customHeight="true" outlineLevel="0" collapsed="false">
      <c r="A567" s="11" t="n">
        <v>455</v>
      </c>
      <c r="B567" s="12" t="s">
        <v>43</v>
      </c>
      <c r="C567" s="12" t="s">
        <v>1384</v>
      </c>
      <c r="D567" s="12" t="n">
        <v>2023</v>
      </c>
      <c r="E567" s="12" t="s">
        <v>2716</v>
      </c>
      <c r="F567" s="12" t="s">
        <v>143</v>
      </c>
      <c r="G567" s="12" t="s">
        <v>2720</v>
      </c>
      <c r="H567" s="12" t="s">
        <v>145</v>
      </c>
      <c r="I567" s="12" t="s">
        <v>153</v>
      </c>
      <c r="J567" s="12" t="s">
        <v>2721</v>
      </c>
      <c r="K567" s="12" t="s">
        <v>110</v>
      </c>
      <c r="L567" s="12" t="s">
        <v>2722</v>
      </c>
    </row>
    <row r="568" customFormat="false" ht="34.5" hidden="false" customHeight="true" outlineLevel="0" collapsed="false">
      <c r="A568" s="13" t="n">
        <v>456</v>
      </c>
      <c r="B568" s="14" t="s">
        <v>23</v>
      </c>
      <c r="C568" s="14" t="s">
        <v>2723</v>
      </c>
      <c r="D568" s="14" t="n">
        <v>2022</v>
      </c>
      <c r="E568" s="14" t="s">
        <v>2724</v>
      </c>
      <c r="F568" s="14" t="s">
        <v>143</v>
      </c>
      <c r="G568" s="14" t="s">
        <v>2725</v>
      </c>
      <c r="H568" s="14" t="s">
        <v>1373</v>
      </c>
      <c r="I568" s="14" t="s">
        <v>146</v>
      </c>
      <c r="J568" s="14" t="s">
        <v>2726</v>
      </c>
      <c r="K568" s="14" t="s">
        <v>110</v>
      </c>
      <c r="L568" s="14" t="s">
        <v>2727</v>
      </c>
    </row>
    <row r="569" customFormat="false" ht="34.5" hidden="false" customHeight="true" outlineLevel="0" collapsed="false">
      <c r="A569" s="15" t="n">
        <v>456</v>
      </c>
      <c r="B569" s="16" t="s">
        <v>25</v>
      </c>
      <c r="C569" s="16" t="s">
        <v>2723</v>
      </c>
      <c r="D569" s="16" t="n">
        <v>2022</v>
      </c>
      <c r="E569" s="16" t="s">
        <v>2724</v>
      </c>
      <c r="F569" s="16" t="s">
        <v>143</v>
      </c>
      <c r="G569" s="16" t="s">
        <v>1376</v>
      </c>
      <c r="H569" s="16" t="s">
        <v>1373</v>
      </c>
      <c r="I569" s="16" t="s">
        <v>146</v>
      </c>
      <c r="J569" s="16" t="s">
        <v>2728</v>
      </c>
      <c r="K569" s="16" t="s">
        <v>110</v>
      </c>
      <c r="L569" s="16" t="s">
        <v>2729</v>
      </c>
    </row>
    <row r="570" customFormat="false" ht="34.5" hidden="false" customHeight="true" outlineLevel="0" collapsed="false">
      <c r="A570" s="15" t="n">
        <v>456</v>
      </c>
      <c r="B570" s="16" t="s">
        <v>29</v>
      </c>
      <c r="C570" s="16" t="s">
        <v>2723</v>
      </c>
      <c r="D570" s="16" t="n">
        <v>2022</v>
      </c>
      <c r="E570" s="16" t="s">
        <v>2724</v>
      </c>
      <c r="F570" s="16" t="s">
        <v>143</v>
      </c>
      <c r="G570" s="16" t="s">
        <v>1376</v>
      </c>
      <c r="H570" s="16" t="s">
        <v>1373</v>
      </c>
      <c r="I570" s="16" t="s">
        <v>387</v>
      </c>
      <c r="J570" s="16" t="s">
        <v>2726</v>
      </c>
      <c r="K570" s="16" t="s">
        <v>110</v>
      </c>
      <c r="L570" s="16" t="s">
        <v>2730</v>
      </c>
    </row>
    <row r="571" customFormat="false" ht="34.5" hidden="false" customHeight="true" outlineLevel="0" collapsed="false">
      <c r="A571" s="15" t="n">
        <v>456</v>
      </c>
      <c r="B571" s="16" t="s">
        <v>43</v>
      </c>
      <c r="C571" s="16" t="s">
        <v>2731</v>
      </c>
      <c r="D571" s="16" t="n">
        <v>2022</v>
      </c>
      <c r="E571" s="16" t="s">
        <v>2732</v>
      </c>
      <c r="F571" s="16" t="s">
        <v>143</v>
      </c>
      <c r="G571" s="16" t="s">
        <v>1372</v>
      </c>
      <c r="H571" s="16" t="s">
        <v>1373</v>
      </c>
      <c r="I571" s="16" t="s">
        <v>387</v>
      </c>
      <c r="J571" s="16" t="s">
        <v>2733</v>
      </c>
      <c r="K571" s="16" t="s">
        <v>110</v>
      </c>
      <c r="L571" s="16" t="s">
        <v>2734</v>
      </c>
    </row>
    <row r="572" customFormat="false" ht="34.5" hidden="false" customHeight="true" outlineLevel="0" collapsed="false">
      <c r="A572" s="15" t="n">
        <v>456</v>
      </c>
      <c r="B572" s="16" t="s">
        <v>73</v>
      </c>
      <c r="C572" s="16" t="s">
        <v>2735</v>
      </c>
      <c r="D572" s="16" t="n">
        <v>2022</v>
      </c>
      <c r="E572" s="16" t="s">
        <v>2732</v>
      </c>
      <c r="F572" s="16" t="s">
        <v>201</v>
      </c>
      <c r="G572" s="16" t="s">
        <v>2736</v>
      </c>
      <c r="H572" s="16" t="s">
        <v>2168</v>
      </c>
      <c r="I572" s="16" t="s">
        <v>153</v>
      </c>
      <c r="J572" s="16" t="s">
        <v>2737</v>
      </c>
      <c r="K572" s="16" t="s">
        <v>110</v>
      </c>
      <c r="L572" s="16" t="s">
        <v>2738</v>
      </c>
    </row>
    <row r="573" customFormat="false" ht="34.5" hidden="false" customHeight="true" outlineLevel="0" collapsed="false">
      <c r="A573" s="15" t="n">
        <v>456</v>
      </c>
      <c r="B573" s="16" t="s">
        <v>87</v>
      </c>
      <c r="C573" s="16" t="s">
        <v>2735</v>
      </c>
      <c r="D573" s="16" t="n">
        <v>2022</v>
      </c>
      <c r="E573" s="16" t="s">
        <v>2732</v>
      </c>
      <c r="F573" s="16" t="s">
        <v>2739</v>
      </c>
      <c r="G573" s="16" t="s">
        <v>2740</v>
      </c>
      <c r="H573" s="16" t="s">
        <v>2741</v>
      </c>
      <c r="I573" s="16" t="s">
        <v>153</v>
      </c>
      <c r="J573" s="16" t="s">
        <v>2742</v>
      </c>
      <c r="K573" s="16" t="s">
        <v>110</v>
      </c>
      <c r="L573" s="16" t="s">
        <v>2743</v>
      </c>
    </row>
    <row r="574" customFormat="false" ht="45.75" hidden="false" customHeight="true" outlineLevel="0" collapsed="false">
      <c r="A574" s="8" t="n">
        <v>457</v>
      </c>
      <c r="B574" s="8" t="s">
        <v>23</v>
      </c>
      <c r="C574" s="8" t="s">
        <v>2436</v>
      </c>
      <c r="D574" s="8" t="n">
        <v>2020</v>
      </c>
      <c r="E574" s="8" t="s">
        <v>2744</v>
      </c>
      <c r="F574" s="8" t="s">
        <v>143</v>
      </c>
      <c r="G574" s="8" t="s">
        <v>2745</v>
      </c>
      <c r="H574" s="8" t="s">
        <v>145</v>
      </c>
      <c r="I574" s="8" t="s">
        <v>153</v>
      </c>
      <c r="J574" s="8" t="s">
        <v>2746</v>
      </c>
      <c r="K574" s="8"/>
      <c r="L574" s="8" t="s">
        <v>2747</v>
      </c>
    </row>
    <row r="575" customFormat="false" ht="34.5" hidden="false" customHeight="true" outlineLevel="0" collapsed="false">
      <c r="A575" s="13" t="n">
        <v>458</v>
      </c>
      <c r="B575" s="14" t="s">
        <v>23</v>
      </c>
      <c r="C575" s="14" t="s">
        <v>1464</v>
      </c>
      <c r="D575" s="14" t="n">
        <v>2022</v>
      </c>
      <c r="E575" s="14" t="s">
        <v>2748</v>
      </c>
      <c r="F575" s="14" t="s">
        <v>143</v>
      </c>
      <c r="G575" s="14" t="s">
        <v>2703</v>
      </c>
      <c r="H575" s="14" t="s">
        <v>145</v>
      </c>
      <c r="I575" s="14" t="s">
        <v>153</v>
      </c>
      <c r="J575" s="14" t="s">
        <v>2749</v>
      </c>
      <c r="K575" s="14" t="s">
        <v>110</v>
      </c>
      <c r="L575" s="14" t="s">
        <v>2750</v>
      </c>
    </row>
    <row r="576" customFormat="false" ht="34.5" hidden="false" customHeight="true" outlineLevel="0" collapsed="false">
      <c r="A576" s="15" t="n">
        <v>458</v>
      </c>
      <c r="B576" s="16" t="s">
        <v>27</v>
      </c>
      <c r="C576" s="16" t="s">
        <v>1464</v>
      </c>
      <c r="D576" s="16" t="n">
        <v>2022</v>
      </c>
      <c r="E576" s="16" t="s">
        <v>2748</v>
      </c>
      <c r="F576" s="16" t="s">
        <v>143</v>
      </c>
      <c r="G576" s="16" t="s">
        <v>2751</v>
      </c>
      <c r="H576" s="16" t="s">
        <v>145</v>
      </c>
      <c r="I576" s="16" t="s">
        <v>153</v>
      </c>
      <c r="J576" s="16" t="s">
        <v>2752</v>
      </c>
      <c r="K576" s="16" t="s">
        <v>110</v>
      </c>
      <c r="L576" s="16" t="s">
        <v>2753</v>
      </c>
    </row>
    <row r="577" customFormat="false" ht="34.5" hidden="false" customHeight="true" outlineLevel="0" collapsed="false">
      <c r="A577" s="15" t="n">
        <v>458</v>
      </c>
      <c r="B577" s="16" t="s">
        <v>43</v>
      </c>
      <c r="C577" s="16" t="s">
        <v>1476</v>
      </c>
      <c r="D577" s="16" t="n">
        <v>2022</v>
      </c>
      <c r="E577" s="16" t="s">
        <v>2748</v>
      </c>
      <c r="F577" s="16" t="s">
        <v>143</v>
      </c>
      <c r="G577" s="16" t="s">
        <v>2754</v>
      </c>
      <c r="H577" s="16" t="s">
        <v>145</v>
      </c>
      <c r="I577" s="16" t="s">
        <v>153</v>
      </c>
      <c r="J577" s="16" t="s">
        <v>2755</v>
      </c>
      <c r="K577" s="16" t="s">
        <v>110</v>
      </c>
      <c r="L577" s="16" t="s">
        <v>2756</v>
      </c>
    </row>
    <row r="578" customFormat="false" ht="34.5" hidden="false" customHeight="true" outlineLevel="0" collapsed="false">
      <c r="A578" s="15" t="n">
        <v>458</v>
      </c>
      <c r="B578" s="16" t="s">
        <v>87</v>
      </c>
      <c r="C578" s="16" t="s">
        <v>1486</v>
      </c>
      <c r="D578" s="16" t="n">
        <v>2022</v>
      </c>
      <c r="E578" s="16" t="s">
        <v>2748</v>
      </c>
      <c r="F578" s="16" t="s">
        <v>2757</v>
      </c>
      <c r="G578" s="16" t="s">
        <v>1403</v>
      </c>
      <c r="H578" s="16" t="s">
        <v>145</v>
      </c>
      <c r="I578" s="16" t="s">
        <v>153</v>
      </c>
      <c r="J578" s="16" t="s">
        <v>2758</v>
      </c>
      <c r="K578" s="16" t="s">
        <v>110</v>
      </c>
      <c r="L578" s="16" t="s">
        <v>2759</v>
      </c>
    </row>
    <row r="579" customFormat="false" ht="34.5" hidden="false" customHeight="true" outlineLevel="0" collapsed="false">
      <c r="A579" s="8" t="n">
        <v>459</v>
      </c>
      <c r="B579" s="8" t="s">
        <v>23</v>
      </c>
      <c r="C579" s="8" t="s">
        <v>2760</v>
      </c>
      <c r="D579" s="8" t="n">
        <v>2021</v>
      </c>
      <c r="E579" s="8" t="s">
        <v>2761</v>
      </c>
      <c r="F579" s="8" t="s">
        <v>143</v>
      </c>
      <c r="G579" s="8" t="s">
        <v>2013</v>
      </c>
      <c r="H579" s="8" t="s">
        <v>145</v>
      </c>
      <c r="I579" s="8" t="s">
        <v>153</v>
      </c>
      <c r="J579" s="8" t="s">
        <v>2762</v>
      </c>
      <c r="K579" s="8" t="s">
        <v>114</v>
      </c>
      <c r="L579" s="8" t="s">
        <v>2763</v>
      </c>
    </row>
    <row r="580" customFormat="false" ht="45.75" hidden="false" customHeight="true" outlineLevel="0" collapsed="false">
      <c r="A580" s="8" t="n">
        <v>460</v>
      </c>
      <c r="B580" s="8" t="s">
        <v>23</v>
      </c>
      <c r="C580" s="8" t="s">
        <v>2764</v>
      </c>
      <c r="D580" s="8" t="n">
        <v>2018</v>
      </c>
      <c r="E580" s="8" t="s">
        <v>2765</v>
      </c>
      <c r="F580" s="8" t="s">
        <v>143</v>
      </c>
      <c r="G580" s="8" t="s">
        <v>2766</v>
      </c>
      <c r="H580" s="8" t="s">
        <v>145</v>
      </c>
      <c r="I580" s="8" t="s">
        <v>387</v>
      </c>
      <c r="J580" s="8" t="s">
        <v>2767</v>
      </c>
      <c r="K580" s="8" t="s">
        <v>112</v>
      </c>
      <c r="L580" s="8" t="s">
        <v>2768</v>
      </c>
    </row>
    <row r="581" customFormat="false" ht="34.5" hidden="false" customHeight="true" outlineLevel="0" collapsed="false">
      <c r="A581" s="8" t="n">
        <v>461</v>
      </c>
      <c r="B581" s="8" t="s">
        <v>23</v>
      </c>
      <c r="C581" s="8" t="s">
        <v>2769</v>
      </c>
      <c r="D581" s="8" t="n">
        <v>2021</v>
      </c>
      <c r="E581" s="8" t="s">
        <v>2770</v>
      </c>
      <c r="F581" s="8" t="s">
        <v>201</v>
      </c>
      <c r="G581" s="8" t="s">
        <v>2639</v>
      </c>
      <c r="H581" s="8" t="s">
        <v>145</v>
      </c>
      <c r="I581" s="8" t="s">
        <v>153</v>
      </c>
      <c r="J581" s="8" t="s">
        <v>2771</v>
      </c>
      <c r="K581" s="8" t="s">
        <v>114</v>
      </c>
      <c r="L581" s="8" t="s">
        <v>2772</v>
      </c>
    </row>
    <row r="582" customFormat="false" ht="34.5" hidden="false" customHeight="true" outlineLevel="0" collapsed="false">
      <c r="A582" s="8" t="n">
        <v>462</v>
      </c>
      <c r="B582" s="8" t="s">
        <v>23</v>
      </c>
      <c r="C582" s="8" t="s">
        <v>2710</v>
      </c>
      <c r="D582" s="8" t="n">
        <v>2022</v>
      </c>
      <c r="E582" s="8" t="s">
        <v>2773</v>
      </c>
      <c r="F582" s="8" t="s">
        <v>143</v>
      </c>
      <c r="G582" s="8" t="s">
        <v>2774</v>
      </c>
      <c r="H582" s="8" t="s">
        <v>145</v>
      </c>
      <c r="I582" s="8" t="s">
        <v>153</v>
      </c>
      <c r="J582" s="8" t="s">
        <v>2775</v>
      </c>
      <c r="K582" s="8" t="s">
        <v>114</v>
      </c>
      <c r="L582" s="8" t="s">
        <v>2776</v>
      </c>
    </row>
    <row r="583" customFormat="false" ht="34.5" hidden="false" customHeight="true" outlineLevel="0" collapsed="false">
      <c r="A583" s="8" t="n">
        <v>463</v>
      </c>
      <c r="B583" s="8" t="s">
        <v>23</v>
      </c>
      <c r="C583" s="8" t="s">
        <v>2710</v>
      </c>
      <c r="D583" s="8" t="n">
        <v>2022</v>
      </c>
      <c r="E583" s="8" t="s">
        <v>2777</v>
      </c>
      <c r="F583" s="8" t="s">
        <v>151</v>
      </c>
      <c r="G583" s="8" t="s">
        <v>2778</v>
      </c>
      <c r="H583" s="8" t="s">
        <v>145</v>
      </c>
      <c r="I583" s="8" t="s">
        <v>153</v>
      </c>
      <c r="J583" s="8" t="s">
        <v>2779</v>
      </c>
      <c r="K583" s="8" t="s">
        <v>114</v>
      </c>
      <c r="L583" s="8" t="s">
        <v>2780</v>
      </c>
    </row>
    <row r="584" customFormat="false" ht="34.5" hidden="false" customHeight="true" outlineLevel="0" collapsed="false">
      <c r="A584" s="13" t="n">
        <v>464</v>
      </c>
      <c r="B584" s="14" t="s">
        <v>23</v>
      </c>
      <c r="C584" s="14" t="s">
        <v>2633</v>
      </c>
      <c r="D584" s="14" t="n">
        <v>2022</v>
      </c>
      <c r="E584" s="14" t="s">
        <v>2781</v>
      </c>
      <c r="F584" s="14" t="s">
        <v>151</v>
      </c>
      <c r="G584" s="14" t="s">
        <v>197</v>
      </c>
      <c r="H584" s="14" t="s">
        <v>145</v>
      </c>
      <c r="I584" s="14" t="s">
        <v>153</v>
      </c>
      <c r="J584" s="14" t="s">
        <v>2782</v>
      </c>
      <c r="K584" s="14"/>
      <c r="L584" s="14" t="s">
        <v>2783</v>
      </c>
    </row>
    <row r="585" customFormat="false" ht="34.5" hidden="false" customHeight="true" outlineLevel="0" collapsed="false">
      <c r="A585" s="15" t="n">
        <v>464</v>
      </c>
      <c r="B585" s="16" t="s">
        <v>87</v>
      </c>
      <c r="C585" s="16" t="s">
        <v>2633</v>
      </c>
      <c r="D585" s="16" t="n">
        <v>2022</v>
      </c>
      <c r="E585" s="16" t="s">
        <v>2781</v>
      </c>
      <c r="F585" s="16" t="s">
        <v>151</v>
      </c>
      <c r="G585" s="16" t="s">
        <v>2784</v>
      </c>
      <c r="H585" s="16" t="s">
        <v>145</v>
      </c>
      <c r="I585" s="16" t="s">
        <v>153</v>
      </c>
      <c r="J585" s="16" t="s">
        <v>2785</v>
      </c>
      <c r="K585" s="16"/>
      <c r="L585" s="16" t="s">
        <v>2786</v>
      </c>
    </row>
    <row r="586" customFormat="false" ht="34.5" hidden="false" customHeight="true" outlineLevel="0" collapsed="false">
      <c r="A586" s="8" t="n">
        <v>465</v>
      </c>
      <c r="B586" s="8" t="s">
        <v>23</v>
      </c>
      <c r="C586" s="8" t="s">
        <v>2787</v>
      </c>
      <c r="D586" s="8" t="n">
        <v>2022</v>
      </c>
      <c r="E586" s="8" t="s">
        <v>2788</v>
      </c>
      <c r="F586" s="8" t="s">
        <v>151</v>
      </c>
      <c r="G586" s="8" t="s">
        <v>197</v>
      </c>
      <c r="H586" s="8" t="s">
        <v>145</v>
      </c>
      <c r="I586" s="8" t="s">
        <v>153</v>
      </c>
      <c r="J586" s="8" t="s">
        <v>2789</v>
      </c>
      <c r="K586" s="8"/>
      <c r="L586" s="8" t="s">
        <v>2790</v>
      </c>
    </row>
    <row r="587" customFormat="false" ht="34.5" hidden="false" customHeight="true" outlineLevel="0" collapsed="false">
      <c r="A587" s="8" t="n">
        <v>466</v>
      </c>
      <c r="B587" s="8" t="s">
        <v>23</v>
      </c>
      <c r="C587" s="8" t="s">
        <v>2791</v>
      </c>
      <c r="D587" s="8" t="n">
        <v>2022</v>
      </c>
      <c r="E587" s="8" t="s">
        <v>2792</v>
      </c>
      <c r="F587" s="8" t="s">
        <v>143</v>
      </c>
      <c r="G587" s="8" t="s">
        <v>2793</v>
      </c>
      <c r="H587" s="8" t="s">
        <v>2794</v>
      </c>
      <c r="I587" s="8" t="s">
        <v>146</v>
      </c>
      <c r="J587" s="8" t="s">
        <v>2795</v>
      </c>
      <c r="K587" s="8" t="s">
        <v>116</v>
      </c>
      <c r="L587" s="8" t="s">
        <v>2796</v>
      </c>
    </row>
    <row r="588" customFormat="false" ht="34.5" hidden="false" customHeight="true" outlineLevel="0" collapsed="false">
      <c r="A588" s="8" t="n">
        <v>467</v>
      </c>
      <c r="B588" s="8" t="s">
        <v>23</v>
      </c>
      <c r="C588" s="8" t="s">
        <v>2797</v>
      </c>
      <c r="D588" s="8" t="n">
        <v>2016</v>
      </c>
      <c r="E588" s="8" t="s">
        <v>2798</v>
      </c>
      <c r="F588" s="8" t="s">
        <v>143</v>
      </c>
      <c r="G588" s="8" t="s">
        <v>2799</v>
      </c>
      <c r="H588" s="8" t="s">
        <v>2800</v>
      </c>
      <c r="I588" s="8" t="s">
        <v>208</v>
      </c>
      <c r="J588" s="8" t="s">
        <v>2801</v>
      </c>
      <c r="K588" s="8"/>
      <c r="L588" s="8" t="s">
        <v>2802</v>
      </c>
    </row>
    <row r="589" customFormat="false" ht="34.5" hidden="false" customHeight="true" outlineLevel="0" collapsed="false">
      <c r="A589" s="8" t="n">
        <v>468</v>
      </c>
      <c r="B589" s="8" t="s">
        <v>23</v>
      </c>
      <c r="C589" s="8" t="s">
        <v>2803</v>
      </c>
      <c r="D589" s="8" t="n">
        <v>2022</v>
      </c>
      <c r="E589" s="8" t="s">
        <v>2804</v>
      </c>
      <c r="F589" s="8" t="s">
        <v>579</v>
      </c>
      <c r="G589" s="8" t="s">
        <v>2805</v>
      </c>
      <c r="H589" s="8" t="s">
        <v>2806</v>
      </c>
      <c r="I589" s="8" t="s">
        <v>748</v>
      </c>
      <c r="J589" s="8" t="s">
        <v>2807</v>
      </c>
      <c r="K589" s="8" t="s">
        <v>116</v>
      </c>
      <c r="L589" s="8" t="s">
        <v>2808</v>
      </c>
    </row>
    <row r="590" customFormat="false" ht="34.5" hidden="false" customHeight="true" outlineLevel="0" collapsed="false">
      <c r="A590" s="8" t="n">
        <v>469</v>
      </c>
      <c r="B590" s="8" t="s">
        <v>23</v>
      </c>
      <c r="C590" s="8" t="s">
        <v>2809</v>
      </c>
      <c r="D590" s="8" t="n">
        <v>2022</v>
      </c>
      <c r="E590" s="8" t="s">
        <v>2810</v>
      </c>
      <c r="F590" s="8" t="s">
        <v>143</v>
      </c>
      <c r="G590" s="8" t="s">
        <v>2811</v>
      </c>
      <c r="H590" s="8" t="s">
        <v>2812</v>
      </c>
      <c r="I590" s="8" t="s">
        <v>208</v>
      </c>
      <c r="J590" s="8" t="s">
        <v>2813</v>
      </c>
      <c r="K590" s="8" t="s">
        <v>116</v>
      </c>
      <c r="L590" s="8" t="s">
        <v>2814</v>
      </c>
    </row>
    <row r="591" customFormat="false" ht="34.5" hidden="false" customHeight="true" outlineLevel="0" collapsed="false">
      <c r="A591" s="8" t="n">
        <v>470</v>
      </c>
      <c r="B591" s="8" t="s">
        <v>23</v>
      </c>
      <c r="C591" s="8" t="s">
        <v>2099</v>
      </c>
      <c r="D591" s="8" t="n">
        <v>2021</v>
      </c>
      <c r="E591" s="8" t="s">
        <v>2815</v>
      </c>
      <c r="F591" s="8" t="s">
        <v>151</v>
      </c>
      <c r="G591" s="8" t="s">
        <v>2816</v>
      </c>
      <c r="H591" s="8" t="s">
        <v>145</v>
      </c>
      <c r="I591" s="8" t="s">
        <v>153</v>
      </c>
      <c r="J591" s="8" t="s">
        <v>2817</v>
      </c>
      <c r="K591" s="8"/>
      <c r="L591" s="8" t="s">
        <v>2818</v>
      </c>
    </row>
    <row r="592" customFormat="false" ht="34.5" hidden="false" customHeight="true" outlineLevel="0" collapsed="false">
      <c r="A592" s="8" t="n">
        <v>471</v>
      </c>
      <c r="B592" s="8" t="s">
        <v>23</v>
      </c>
      <c r="C592" s="8" t="s">
        <v>2819</v>
      </c>
      <c r="D592" s="8" t="n">
        <v>2022</v>
      </c>
      <c r="E592" s="8" t="s">
        <v>2820</v>
      </c>
      <c r="F592" s="8" t="s">
        <v>143</v>
      </c>
      <c r="G592" s="8" t="s">
        <v>2821</v>
      </c>
      <c r="H592" s="8" t="s">
        <v>145</v>
      </c>
      <c r="I592" s="8" t="s">
        <v>153</v>
      </c>
      <c r="J592" s="8" t="s">
        <v>2822</v>
      </c>
      <c r="K592" s="8"/>
      <c r="L592" s="8" t="s">
        <v>2823</v>
      </c>
    </row>
    <row r="593" customFormat="false" ht="34.5" hidden="false" customHeight="true" outlineLevel="0" collapsed="false">
      <c r="A593" s="8" t="n">
        <v>472</v>
      </c>
      <c r="B593" s="8" t="s">
        <v>23</v>
      </c>
      <c r="C593" s="8" t="s">
        <v>2436</v>
      </c>
      <c r="D593" s="8" t="n">
        <v>2019</v>
      </c>
      <c r="E593" s="8" t="s">
        <v>2824</v>
      </c>
      <c r="F593" s="8" t="s">
        <v>151</v>
      </c>
      <c r="G593" s="8" t="s">
        <v>2825</v>
      </c>
      <c r="H593" s="8" t="s">
        <v>1159</v>
      </c>
      <c r="I593" s="8" t="s">
        <v>387</v>
      </c>
      <c r="J593" s="8" t="s">
        <v>2826</v>
      </c>
      <c r="K593" s="8" t="s">
        <v>112</v>
      </c>
      <c r="L593" s="8" t="s">
        <v>2827</v>
      </c>
    </row>
    <row r="594" customFormat="false" ht="34.5" hidden="false" customHeight="true" outlineLevel="0" collapsed="false">
      <c r="A594" s="8" t="n">
        <v>473</v>
      </c>
      <c r="B594" s="8" t="s">
        <v>23</v>
      </c>
      <c r="C594" s="8" t="s">
        <v>1331</v>
      </c>
      <c r="D594" s="8" t="n">
        <v>2019</v>
      </c>
      <c r="E594" s="8" t="s">
        <v>2828</v>
      </c>
      <c r="F594" s="8" t="s">
        <v>151</v>
      </c>
      <c r="G594" s="8" t="s">
        <v>2829</v>
      </c>
      <c r="H594" s="8" t="s">
        <v>145</v>
      </c>
      <c r="I594" s="8" t="s">
        <v>387</v>
      </c>
      <c r="J594" s="8" t="s">
        <v>2830</v>
      </c>
      <c r="K594" s="8" t="s">
        <v>112</v>
      </c>
      <c r="L594" s="8" t="s">
        <v>2831</v>
      </c>
    </row>
    <row r="595" customFormat="false" ht="34.5" hidden="false" customHeight="true" outlineLevel="0" collapsed="false">
      <c r="A595" s="8" t="n">
        <v>474</v>
      </c>
      <c r="B595" s="8" t="s">
        <v>23</v>
      </c>
      <c r="C595" s="8" t="s">
        <v>1314</v>
      </c>
      <c r="D595" s="8" t="n">
        <v>2019</v>
      </c>
      <c r="E595" s="8" t="s">
        <v>2832</v>
      </c>
      <c r="F595" s="8" t="s">
        <v>201</v>
      </c>
      <c r="G595" s="8" t="s">
        <v>626</v>
      </c>
      <c r="H595" s="8" t="s">
        <v>145</v>
      </c>
      <c r="I595" s="8" t="s">
        <v>153</v>
      </c>
      <c r="J595" s="8" t="s">
        <v>2833</v>
      </c>
      <c r="K595" s="8" t="s">
        <v>112</v>
      </c>
      <c r="L595" s="8" t="s">
        <v>2834</v>
      </c>
    </row>
    <row r="596" customFormat="false" ht="34.5" hidden="false" customHeight="true" outlineLevel="0" collapsed="false">
      <c r="A596" s="9" t="n">
        <v>475</v>
      </c>
      <c r="B596" s="10" t="s">
        <v>23</v>
      </c>
      <c r="C596" s="10" t="s">
        <v>2835</v>
      </c>
      <c r="D596" s="10" t="n">
        <v>2019</v>
      </c>
      <c r="E596" s="10" t="s">
        <v>2836</v>
      </c>
      <c r="F596" s="10" t="s">
        <v>143</v>
      </c>
      <c r="G596" s="10" t="s">
        <v>1264</v>
      </c>
      <c r="H596" s="10" t="s">
        <v>145</v>
      </c>
      <c r="I596" s="10" t="s">
        <v>146</v>
      </c>
      <c r="J596" s="10" t="s">
        <v>2837</v>
      </c>
      <c r="K596" s="10" t="s">
        <v>112</v>
      </c>
      <c r="L596" s="10" t="s">
        <v>2838</v>
      </c>
    </row>
    <row r="597" customFormat="false" ht="34.5" hidden="false" customHeight="true" outlineLevel="0" collapsed="false">
      <c r="A597" s="11" t="n">
        <v>475</v>
      </c>
      <c r="B597" s="12" t="s">
        <v>81</v>
      </c>
      <c r="C597" s="12" t="s">
        <v>2835</v>
      </c>
      <c r="D597" s="12" t="n">
        <v>2019</v>
      </c>
      <c r="E597" s="12" t="s">
        <v>2839</v>
      </c>
      <c r="F597" s="12" t="s">
        <v>2840</v>
      </c>
      <c r="G597" s="12" t="s">
        <v>1278</v>
      </c>
      <c r="H597" s="12" t="s">
        <v>2841</v>
      </c>
      <c r="I597" s="12" t="s">
        <v>153</v>
      </c>
      <c r="J597" s="12" t="s">
        <v>2842</v>
      </c>
      <c r="K597" s="12" t="s">
        <v>112</v>
      </c>
      <c r="L597" s="12" t="s">
        <v>2843</v>
      </c>
    </row>
    <row r="598" customFormat="false" ht="34.5" hidden="false" customHeight="true" outlineLevel="0" collapsed="false">
      <c r="A598" s="8" t="n">
        <v>476</v>
      </c>
      <c r="B598" s="8" t="s">
        <v>23</v>
      </c>
      <c r="C598" s="8" t="s">
        <v>2844</v>
      </c>
      <c r="D598" s="8" t="n">
        <v>2020</v>
      </c>
      <c r="E598" s="8" t="s">
        <v>2845</v>
      </c>
      <c r="F598" s="8" t="s">
        <v>143</v>
      </c>
      <c r="G598" s="8" t="s">
        <v>1163</v>
      </c>
      <c r="H598" s="8" t="s">
        <v>2846</v>
      </c>
      <c r="I598" s="8" t="s">
        <v>387</v>
      </c>
      <c r="J598" s="8" t="s">
        <v>2847</v>
      </c>
      <c r="K598" s="8" t="s">
        <v>112</v>
      </c>
      <c r="L598" s="8" t="s">
        <v>2848</v>
      </c>
    </row>
    <row r="599" customFormat="false" ht="34.5" hidden="false" customHeight="true" outlineLevel="0" collapsed="false">
      <c r="A599" s="8" t="n">
        <v>477</v>
      </c>
      <c r="B599" s="8" t="s">
        <v>23</v>
      </c>
      <c r="C599" s="8" t="s">
        <v>2849</v>
      </c>
      <c r="D599" s="8" t="n">
        <v>2010</v>
      </c>
      <c r="E599" s="8" t="s">
        <v>2850</v>
      </c>
      <c r="F599" s="8" t="s">
        <v>151</v>
      </c>
      <c r="G599" s="8" t="s">
        <v>2851</v>
      </c>
      <c r="H599" s="8" t="s">
        <v>145</v>
      </c>
      <c r="I599" s="8" t="s">
        <v>387</v>
      </c>
      <c r="J599" s="8" t="s">
        <v>2852</v>
      </c>
      <c r="K599" s="8" t="s">
        <v>112</v>
      </c>
      <c r="L599" s="8" t="s">
        <v>2853</v>
      </c>
    </row>
    <row r="600" customFormat="false" ht="34.5" hidden="false" customHeight="true" outlineLevel="0" collapsed="false">
      <c r="A600" s="13" t="n">
        <v>478</v>
      </c>
      <c r="B600" s="14" t="s">
        <v>23</v>
      </c>
      <c r="C600" s="14" t="s">
        <v>2854</v>
      </c>
      <c r="D600" s="14" t="n">
        <v>2012</v>
      </c>
      <c r="E600" s="14" t="s">
        <v>2855</v>
      </c>
      <c r="F600" s="14" t="s">
        <v>143</v>
      </c>
      <c r="G600" s="14" t="s">
        <v>2856</v>
      </c>
      <c r="H600" s="14" t="s">
        <v>1373</v>
      </c>
      <c r="I600" s="14" t="s">
        <v>387</v>
      </c>
      <c r="J600" s="14" t="s">
        <v>2857</v>
      </c>
      <c r="K600" s="14" t="s">
        <v>112</v>
      </c>
      <c r="L600" s="14" t="s">
        <v>2858</v>
      </c>
    </row>
    <row r="601" customFormat="false" ht="34.5" hidden="false" customHeight="true" outlineLevel="0" collapsed="false">
      <c r="A601" s="15" t="n">
        <v>478</v>
      </c>
      <c r="B601" s="16" t="s">
        <v>69</v>
      </c>
      <c r="C601" s="16" t="s">
        <v>2859</v>
      </c>
      <c r="D601" s="16" t="n">
        <v>2012</v>
      </c>
      <c r="E601" s="16" t="s">
        <v>2855</v>
      </c>
      <c r="F601" s="16" t="s">
        <v>143</v>
      </c>
      <c r="G601" s="16" t="s">
        <v>2860</v>
      </c>
      <c r="H601" s="16" t="s">
        <v>145</v>
      </c>
      <c r="I601" s="16" t="s">
        <v>153</v>
      </c>
      <c r="J601" s="16" t="s">
        <v>2857</v>
      </c>
      <c r="K601" s="16" t="s">
        <v>112</v>
      </c>
      <c r="L601" s="16" t="s">
        <v>2861</v>
      </c>
    </row>
    <row r="602" customFormat="false" ht="34.5" hidden="false" customHeight="true" outlineLevel="0" collapsed="false">
      <c r="A602" s="9" t="n">
        <v>479</v>
      </c>
      <c r="B602" s="10" t="s">
        <v>23</v>
      </c>
      <c r="C602" s="10" t="s">
        <v>2862</v>
      </c>
      <c r="D602" s="10" t="n">
        <v>2018</v>
      </c>
      <c r="E602" s="10" t="s">
        <v>2863</v>
      </c>
      <c r="F602" s="10" t="s">
        <v>579</v>
      </c>
      <c r="G602" s="10" t="s">
        <v>2864</v>
      </c>
      <c r="H602" s="10" t="s">
        <v>1198</v>
      </c>
      <c r="I602" s="10" t="s">
        <v>146</v>
      </c>
      <c r="J602" s="10" t="s">
        <v>2865</v>
      </c>
      <c r="K602" s="10" t="s">
        <v>112</v>
      </c>
      <c r="L602" s="10" t="s">
        <v>2866</v>
      </c>
    </row>
    <row r="603" customFormat="false" ht="34.5" hidden="false" customHeight="true" outlineLevel="0" collapsed="false">
      <c r="A603" s="11" t="n">
        <v>479</v>
      </c>
      <c r="B603" s="12" t="s">
        <v>81</v>
      </c>
      <c r="C603" s="12" t="s">
        <v>2862</v>
      </c>
      <c r="D603" s="12" t="n">
        <v>2018</v>
      </c>
      <c r="E603" s="12" t="s">
        <v>2867</v>
      </c>
      <c r="F603" s="12" t="s">
        <v>2868</v>
      </c>
      <c r="G603" s="12" t="s">
        <v>2869</v>
      </c>
      <c r="H603" s="12" t="s">
        <v>1198</v>
      </c>
      <c r="I603" s="12" t="s">
        <v>146</v>
      </c>
      <c r="J603" s="12" t="s">
        <v>2870</v>
      </c>
      <c r="K603" s="12" t="s">
        <v>112</v>
      </c>
      <c r="L603" s="12" t="s">
        <v>2871</v>
      </c>
    </row>
    <row r="604" customFormat="false" ht="34.5" hidden="false" customHeight="true" outlineLevel="0" collapsed="false">
      <c r="A604" s="8" t="n">
        <v>480</v>
      </c>
      <c r="B604" s="8" t="s">
        <v>23</v>
      </c>
      <c r="C604" s="8" t="s">
        <v>2872</v>
      </c>
      <c r="D604" s="8" t="n">
        <v>2021</v>
      </c>
      <c r="E604" s="8" t="s">
        <v>2873</v>
      </c>
      <c r="F604" s="8" t="s">
        <v>143</v>
      </c>
      <c r="G604" s="8" t="s">
        <v>2874</v>
      </c>
      <c r="H604" s="8" t="s">
        <v>1213</v>
      </c>
      <c r="I604" s="8" t="s">
        <v>146</v>
      </c>
      <c r="J604" s="8" t="s">
        <v>2875</v>
      </c>
      <c r="K604" s="8" t="s">
        <v>112</v>
      </c>
      <c r="L604" s="8" t="s">
        <v>2876</v>
      </c>
    </row>
    <row r="605" customFormat="false" ht="34.5" hidden="false" customHeight="true" outlineLevel="0" collapsed="false">
      <c r="A605" s="8" t="n">
        <v>481</v>
      </c>
      <c r="B605" s="8" t="s">
        <v>23</v>
      </c>
      <c r="C605" s="8" t="s">
        <v>2877</v>
      </c>
      <c r="D605" s="8" t="n">
        <v>2021</v>
      </c>
      <c r="E605" s="8" t="s">
        <v>2878</v>
      </c>
      <c r="F605" s="8" t="s">
        <v>143</v>
      </c>
      <c r="G605" s="8" t="s">
        <v>364</v>
      </c>
      <c r="H605" s="8" t="s">
        <v>244</v>
      </c>
      <c r="I605" s="8" t="s">
        <v>387</v>
      </c>
      <c r="J605" s="8" t="s">
        <v>2879</v>
      </c>
      <c r="K605" s="8" t="s">
        <v>112</v>
      </c>
      <c r="L605" s="8" t="s">
        <v>2880</v>
      </c>
    </row>
    <row r="606" customFormat="false" ht="34.5" hidden="false" customHeight="true" outlineLevel="0" collapsed="false">
      <c r="A606" s="13" t="n">
        <v>482</v>
      </c>
      <c r="B606" s="14" t="s">
        <v>23</v>
      </c>
      <c r="C606" s="14" t="s">
        <v>1261</v>
      </c>
      <c r="D606" s="14" t="n">
        <v>2012</v>
      </c>
      <c r="E606" s="14" t="s">
        <v>2881</v>
      </c>
      <c r="F606" s="14" t="s">
        <v>201</v>
      </c>
      <c r="G606" s="14" t="s">
        <v>626</v>
      </c>
      <c r="H606" s="14" t="s">
        <v>145</v>
      </c>
      <c r="I606" s="14" t="s">
        <v>146</v>
      </c>
      <c r="J606" s="14" t="s">
        <v>2882</v>
      </c>
      <c r="K606" s="14" t="s">
        <v>112</v>
      </c>
      <c r="L606" s="14" t="s">
        <v>2883</v>
      </c>
    </row>
    <row r="607" customFormat="false" ht="34.5" hidden="false" customHeight="true" outlineLevel="0" collapsed="false">
      <c r="A607" s="15" t="n">
        <v>482</v>
      </c>
      <c r="B607" s="16" t="s">
        <v>45</v>
      </c>
      <c r="C607" s="16" t="s">
        <v>1261</v>
      </c>
      <c r="D607" s="16" t="n">
        <v>2012</v>
      </c>
      <c r="E607" s="16" t="s">
        <v>2884</v>
      </c>
      <c r="F607" s="16" t="s">
        <v>201</v>
      </c>
      <c r="G607" s="16" t="s">
        <v>2885</v>
      </c>
      <c r="H607" s="16" t="s">
        <v>2886</v>
      </c>
      <c r="I607" s="16" t="s">
        <v>146</v>
      </c>
      <c r="J607" s="16" t="s">
        <v>2887</v>
      </c>
      <c r="K607" s="16" t="s">
        <v>112</v>
      </c>
      <c r="L607" s="16" t="s">
        <v>2888</v>
      </c>
    </row>
    <row r="608" customFormat="false" ht="34.5" hidden="false" customHeight="true" outlineLevel="0" collapsed="false">
      <c r="A608" s="15" t="n">
        <v>482</v>
      </c>
      <c r="B608" s="16" t="s">
        <v>61</v>
      </c>
      <c r="C608" s="16" t="s">
        <v>1261</v>
      </c>
      <c r="D608" s="16" t="n">
        <v>2012</v>
      </c>
      <c r="E608" s="16" t="s">
        <v>2884</v>
      </c>
      <c r="F608" s="16" t="s">
        <v>201</v>
      </c>
      <c r="G608" s="16" t="s">
        <v>2889</v>
      </c>
      <c r="H608" s="16" t="s">
        <v>2886</v>
      </c>
      <c r="I608" s="16" t="s">
        <v>146</v>
      </c>
      <c r="J608" s="16" t="s">
        <v>2887</v>
      </c>
      <c r="K608" s="16" t="s">
        <v>112</v>
      </c>
      <c r="L608" s="16" t="s">
        <v>2890</v>
      </c>
    </row>
    <row r="609" customFormat="false" ht="34.5" hidden="false" customHeight="true" outlineLevel="0" collapsed="false">
      <c r="A609" s="8" t="n">
        <v>483</v>
      </c>
      <c r="B609" s="8" t="s">
        <v>23</v>
      </c>
      <c r="C609" s="8" t="s">
        <v>2891</v>
      </c>
      <c r="D609" s="8" t="n">
        <v>2020</v>
      </c>
      <c r="E609" s="8" t="s">
        <v>2892</v>
      </c>
      <c r="F609" s="8" t="s">
        <v>143</v>
      </c>
      <c r="G609" s="8" t="s">
        <v>2893</v>
      </c>
      <c r="H609" s="8" t="s">
        <v>255</v>
      </c>
      <c r="I609" s="8" t="s">
        <v>387</v>
      </c>
      <c r="J609" s="8" t="s">
        <v>2894</v>
      </c>
      <c r="K609" s="8" t="s">
        <v>112</v>
      </c>
      <c r="L609" s="8" t="s">
        <v>2895</v>
      </c>
    </row>
    <row r="610" customFormat="false" ht="34.5" hidden="false" customHeight="true" outlineLevel="0" collapsed="false">
      <c r="A610" s="8" t="n">
        <v>484</v>
      </c>
      <c r="B610" s="8" t="s">
        <v>23</v>
      </c>
      <c r="C610" s="8" t="s">
        <v>2896</v>
      </c>
      <c r="D610" s="8" t="n">
        <v>2020</v>
      </c>
      <c r="E610" s="8" t="s">
        <v>2897</v>
      </c>
      <c r="F610" s="8" t="s">
        <v>201</v>
      </c>
      <c r="G610" s="8" t="s">
        <v>2898</v>
      </c>
      <c r="H610" s="8" t="s">
        <v>2899</v>
      </c>
      <c r="I610" s="8" t="s">
        <v>146</v>
      </c>
      <c r="J610" s="8" t="s">
        <v>2900</v>
      </c>
      <c r="K610" s="8" t="s">
        <v>112</v>
      </c>
      <c r="L610" s="8" t="s">
        <v>2901</v>
      </c>
    </row>
    <row r="611" customFormat="false" ht="34.5" hidden="false" customHeight="true" outlineLevel="0" collapsed="false">
      <c r="A611" s="8" t="n">
        <v>485</v>
      </c>
      <c r="B611" s="8" t="s">
        <v>23</v>
      </c>
      <c r="C611" s="8" t="s">
        <v>2902</v>
      </c>
      <c r="D611" s="8" t="n">
        <v>2022</v>
      </c>
      <c r="E611" s="8" t="s">
        <v>2903</v>
      </c>
      <c r="F611" s="8" t="s">
        <v>579</v>
      </c>
      <c r="G611" s="8" t="s">
        <v>2904</v>
      </c>
      <c r="H611" s="8" t="s">
        <v>1354</v>
      </c>
      <c r="I611" s="8" t="s">
        <v>146</v>
      </c>
      <c r="J611" s="8" t="s">
        <v>2905</v>
      </c>
      <c r="K611" s="8" t="s">
        <v>112</v>
      </c>
      <c r="L611" s="8" t="s">
        <v>2906</v>
      </c>
    </row>
    <row r="612" customFormat="false" ht="34.5" hidden="false" customHeight="true" outlineLevel="0" collapsed="false">
      <c r="A612" s="8" t="n">
        <v>486</v>
      </c>
      <c r="B612" s="8" t="s">
        <v>23</v>
      </c>
      <c r="C612" s="8" t="s">
        <v>2907</v>
      </c>
      <c r="D612" s="8" t="n">
        <v>2022</v>
      </c>
      <c r="E612" s="8" t="s">
        <v>2908</v>
      </c>
      <c r="F612" s="8" t="s">
        <v>143</v>
      </c>
      <c r="G612" s="8" t="s">
        <v>2909</v>
      </c>
      <c r="H612" s="8" t="s">
        <v>2910</v>
      </c>
      <c r="I612" s="8" t="s">
        <v>208</v>
      </c>
      <c r="J612" s="8" t="s">
        <v>2911</v>
      </c>
      <c r="K612" s="8" t="s">
        <v>110</v>
      </c>
      <c r="L612" s="8" t="s">
        <v>2912</v>
      </c>
    </row>
    <row r="613" customFormat="false" ht="34.5" hidden="false" customHeight="true" outlineLevel="0" collapsed="false">
      <c r="A613" s="8" t="n">
        <v>487</v>
      </c>
      <c r="B613" s="8" t="s">
        <v>23</v>
      </c>
      <c r="C613" s="8" t="s">
        <v>2913</v>
      </c>
      <c r="D613" s="8" t="n">
        <v>2022</v>
      </c>
      <c r="E613" s="8" t="s">
        <v>2914</v>
      </c>
      <c r="F613" s="8" t="s">
        <v>143</v>
      </c>
      <c r="G613" s="8" t="s">
        <v>2915</v>
      </c>
      <c r="H613" s="8" t="s">
        <v>255</v>
      </c>
      <c r="I613" s="8" t="s">
        <v>387</v>
      </c>
      <c r="J613" s="8" t="s">
        <v>2916</v>
      </c>
      <c r="K613" s="8" t="s">
        <v>110</v>
      </c>
      <c r="L613" s="8" t="s">
        <v>2917</v>
      </c>
    </row>
    <row r="614" customFormat="false" ht="34.5" hidden="false" customHeight="true" outlineLevel="0" collapsed="false">
      <c r="A614" s="8" t="n">
        <v>488</v>
      </c>
      <c r="B614" s="8" t="s">
        <v>23</v>
      </c>
      <c r="C614" s="8" t="s">
        <v>2918</v>
      </c>
      <c r="D614" s="8" t="n">
        <v>2022</v>
      </c>
      <c r="E614" s="8" t="s">
        <v>2919</v>
      </c>
      <c r="F614" s="8" t="s">
        <v>143</v>
      </c>
      <c r="G614" s="8" t="s">
        <v>2920</v>
      </c>
      <c r="H614" s="8" t="s">
        <v>2921</v>
      </c>
      <c r="I614" s="8" t="s">
        <v>146</v>
      </c>
      <c r="J614" s="8" t="s">
        <v>2922</v>
      </c>
      <c r="K614" s="8" t="s">
        <v>110</v>
      </c>
      <c r="L614" s="8" t="s">
        <v>2923</v>
      </c>
    </row>
    <row r="615" customFormat="false" ht="34.5" hidden="false" customHeight="true" outlineLevel="0" collapsed="false">
      <c r="A615" s="8" t="n">
        <v>489</v>
      </c>
      <c r="B615" s="8" t="s">
        <v>23</v>
      </c>
      <c r="C615" s="8" t="s">
        <v>2924</v>
      </c>
      <c r="D615" s="8" t="n">
        <v>2022</v>
      </c>
      <c r="E615" s="8" t="s">
        <v>2925</v>
      </c>
      <c r="F615" s="8" t="s">
        <v>143</v>
      </c>
      <c r="G615" s="8" t="s">
        <v>2926</v>
      </c>
      <c r="H615" s="8" t="s">
        <v>145</v>
      </c>
      <c r="I615" s="8" t="s">
        <v>153</v>
      </c>
      <c r="J615" s="8" t="s">
        <v>2927</v>
      </c>
      <c r="K615" s="8" t="s">
        <v>114</v>
      </c>
      <c r="L615" s="8" t="s">
        <v>2928</v>
      </c>
    </row>
    <row r="616" customFormat="false" ht="34.5" hidden="false" customHeight="true" outlineLevel="0" collapsed="false">
      <c r="A616" s="8" t="n">
        <v>490</v>
      </c>
      <c r="B616" s="8" t="s">
        <v>23</v>
      </c>
      <c r="C616" s="8" t="s">
        <v>1793</v>
      </c>
      <c r="D616" s="8" t="n">
        <v>2022</v>
      </c>
      <c r="E616" s="8" t="s">
        <v>2929</v>
      </c>
      <c r="F616" s="8" t="s">
        <v>143</v>
      </c>
      <c r="G616" s="8" t="s">
        <v>2930</v>
      </c>
      <c r="H616" s="8" t="s">
        <v>145</v>
      </c>
      <c r="I616" s="8" t="s">
        <v>387</v>
      </c>
      <c r="J616" s="8" t="s">
        <v>2931</v>
      </c>
      <c r="K616" s="8" t="s">
        <v>110</v>
      </c>
      <c r="L616" s="8" t="s">
        <v>2932</v>
      </c>
    </row>
    <row r="617" customFormat="false" ht="34.5" hidden="false" customHeight="true" outlineLevel="0" collapsed="false">
      <c r="A617" s="8" t="n">
        <v>491</v>
      </c>
      <c r="B617" s="8" t="s">
        <v>23</v>
      </c>
      <c r="C617" s="8" t="s">
        <v>2933</v>
      </c>
      <c r="D617" s="8" t="n">
        <v>2022</v>
      </c>
      <c r="E617" s="8" t="s">
        <v>2934</v>
      </c>
      <c r="F617" s="8" t="s">
        <v>143</v>
      </c>
      <c r="G617" s="8" t="s">
        <v>2935</v>
      </c>
      <c r="H617" s="8" t="s">
        <v>817</v>
      </c>
      <c r="I617" s="8" t="s">
        <v>153</v>
      </c>
      <c r="J617" s="8" t="s">
        <v>2936</v>
      </c>
      <c r="K617" s="8" t="s">
        <v>112</v>
      </c>
      <c r="L617" s="8" t="s">
        <v>2937</v>
      </c>
    </row>
    <row r="618" customFormat="false" ht="34.5" hidden="false" customHeight="true" outlineLevel="0" collapsed="false">
      <c r="A618" s="8" t="n">
        <v>492</v>
      </c>
      <c r="B618" s="8" t="s">
        <v>23</v>
      </c>
      <c r="C618" s="8" t="s">
        <v>2938</v>
      </c>
      <c r="D618" s="8" t="n">
        <v>2022</v>
      </c>
      <c r="E618" s="8" t="s">
        <v>2939</v>
      </c>
      <c r="F618" s="8" t="s">
        <v>143</v>
      </c>
      <c r="G618" s="8" t="s">
        <v>2940</v>
      </c>
      <c r="H618" s="8" t="s">
        <v>2941</v>
      </c>
      <c r="I618" s="8" t="s">
        <v>153</v>
      </c>
      <c r="J618" s="8" t="s">
        <v>2942</v>
      </c>
      <c r="K618" s="8" t="s">
        <v>112</v>
      </c>
      <c r="L618" s="8" t="s">
        <v>2943</v>
      </c>
    </row>
    <row r="619" customFormat="false" ht="34.5" hidden="false" customHeight="true" outlineLevel="0" collapsed="false">
      <c r="A619" s="8" t="n">
        <v>493</v>
      </c>
      <c r="B619" s="8" t="s">
        <v>23</v>
      </c>
      <c r="C619" s="8" t="s">
        <v>1622</v>
      </c>
      <c r="D619" s="8" t="n">
        <v>2021</v>
      </c>
      <c r="E619" s="8" t="s">
        <v>2944</v>
      </c>
      <c r="F619" s="8" t="s">
        <v>143</v>
      </c>
      <c r="G619" s="8" t="s">
        <v>2945</v>
      </c>
      <c r="H619" s="8" t="s">
        <v>327</v>
      </c>
      <c r="I619" s="8" t="s">
        <v>153</v>
      </c>
      <c r="J619" s="8" t="s">
        <v>2946</v>
      </c>
      <c r="K619" s="8"/>
      <c r="L619" s="8" t="s">
        <v>2947</v>
      </c>
    </row>
    <row r="620" customFormat="false" ht="34.5" hidden="false" customHeight="true" outlineLevel="0" collapsed="false">
      <c r="A620" s="8" t="n">
        <v>494</v>
      </c>
      <c r="B620" s="8" t="s">
        <v>23</v>
      </c>
      <c r="C620" s="8" t="s">
        <v>2948</v>
      </c>
      <c r="D620" s="8" t="n">
        <v>2011</v>
      </c>
      <c r="E620" s="8" t="s">
        <v>2949</v>
      </c>
      <c r="F620" s="8" t="s">
        <v>201</v>
      </c>
      <c r="G620" s="8" t="s">
        <v>2950</v>
      </c>
      <c r="H620" s="8" t="s">
        <v>255</v>
      </c>
      <c r="I620" s="8" t="s">
        <v>146</v>
      </c>
      <c r="J620" s="8" t="s">
        <v>2951</v>
      </c>
      <c r="K620" s="8" t="s">
        <v>116</v>
      </c>
      <c r="L620" s="8" t="s">
        <v>2952</v>
      </c>
    </row>
    <row r="621" customFormat="false" ht="34.5" hidden="false" customHeight="true" outlineLevel="0" collapsed="false">
      <c r="A621" s="8" t="n">
        <v>495</v>
      </c>
      <c r="B621" s="8" t="s">
        <v>23</v>
      </c>
      <c r="C621" s="8" t="s">
        <v>2953</v>
      </c>
      <c r="D621" s="8" t="n">
        <v>2022</v>
      </c>
      <c r="E621" s="8" t="s">
        <v>2954</v>
      </c>
      <c r="F621" s="8" t="s">
        <v>151</v>
      </c>
      <c r="G621" s="8" t="s">
        <v>2955</v>
      </c>
      <c r="H621" s="8" t="s">
        <v>2886</v>
      </c>
      <c r="I621" s="8" t="s">
        <v>387</v>
      </c>
      <c r="J621" s="8" t="s">
        <v>2956</v>
      </c>
      <c r="K621" s="8" t="s">
        <v>114</v>
      </c>
      <c r="L621" s="8" t="s">
        <v>2957</v>
      </c>
    </row>
    <row r="622" customFormat="false" ht="34.5" hidden="false" customHeight="true" outlineLevel="0" collapsed="false">
      <c r="A622" s="8" t="n">
        <v>496</v>
      </c>
      <c r="B622" s="8" t="s">
        <v>23</v>
      </c>
      <c r="C622" s="8" t="s">
        <v>2958</v>
      </c>
      <c r="D622" s="8" t="n">
        <v>2022</v>
      </c>
      <c r="E622" s="8" t="s">
        <v>2959</v>
      </c>
      <c r="F622" s="8" t="s">
        <v>143</v>
      </c>
      <c r="G622" s="8" t="s">
        <v>2960</v>
      </c>
      <c r="H622" s="8" t="s">
        <v>145</v>
      </c>
      <c r="I622" s="8" t="s">
        <v>153</v>
      </c>
      <c r="J622" s="8" t="s">
        <v>2961</v>
      </c>
      <c r="K622" s="8" t="s">
        <v>114</v>
      </c>
      <c r="L622" s="8" t="s">
        <v>2962</v>
      </c>
    </row>
    <row r="623" customFormat="false" ht="34.5" hidden="false" customHeight="true" outlineLevel="0" collapsed="false">
      <c r="A623" s="8" t="n">
        <v>497</v>
      </c>
      <c r="B623" s="8" t="s">
        <v>23</v>
      </c>
      <c r="C623" s="8" t="s">
        <v>2963</v>
      </c>
      <c r="D623" s="8" t="n">
        <v>2021</v>
      </c>
      <c r="E623" s="8" t="s">
        <v>2964</v>
      </c>
      <c r="F623" s="8" t="s">
        <v>201</v>
      </c>
      <c r="G623" s="8" t="s">
        <v>2965</v>
      </c>
      <c r="H623" s="8" t="s">
        <v>145</v>
      </c>
      <c r="I623" s="8" t="s">
        <v>153</v>
      </c>
      <c r="J623" s="8" t="s">
        <v>2966</v>
      </c>
      <c r="K623" s="8" t="s">
        <v>114</v>
      </c>
      <c r="L623" s="8" t="s">
        <v>2967</v>
      </c>
    </row>
    <row r="624" customFormat="false" ht="34.5" hidden="false" customHeight="true" outlineLevel="0" collapsed="false">
      <c r="A624" s="8" t="n">
        <v>498</v>
      </c>
      <c r="B624" s="8" t="s">
        <v>23</v>
      </c>
      <c r="C624" s="8" t="s">
        <v>2968</v>
      </c>
      <c r="D624" s="8" t="n">
        <v>2022</v>
      </c>
      <c r="E624" s="8" t="s">
        <v>2969</v>
      </c>
      <c r="F624" s="8" t="s">
        <v>143</v>
      </c>
      <c r="G624" s="8" t="s">
        <v>2970</v>
      </c>
      <c r="H624" s="8" t="s">
        <v>145</v>
      </c>
      <c r="I624" s="8" t="s">
        <v>153</v>
      </c>
      <c r="J624" s="8" t="s">
        <v>2971</v>
      </c>
      <c r="K624" s="8" t="s">
        <v>114</v>
      </c>
      <c r="L624" s="8" t="s">
        <v>2972</v>
      </c>
    </row>
    <row r="625" customFormat="false" ht="34.5" hidden="false" customHeight="true" outlineLevel="0" collapsed="false">
      <c r="A625" s="8" t="n">
        <v>499</v>
      </c>
      <c r="B625" s="8" t="s">
        <v>23</v>
      </c>
      <c r="C625" s="8" t="s">
        <v>2973</v>
      </c>
      <c r="D625" s="8" t="n">
        <v>2022</v>
      </c>
      <c r="E625" s="8" t="s">
        <v>2974</v>
      </c>
      <c r="F625" s="8" t="s">
        <v>143</v>
      </c>
      <c r="G625" s="8" t="s">
        <v>2975</v>
      </c>
      <c r="H625" s="8" t="s">
        <v>145</v>
      </c>
      <c r="I625" s="8" t="s">
        <v>153</v>
      </c>
      <c r="J625" s="8" t="s">
        <v>2976</v>
      </c>
      <c r="K625" s="8" t="s">
        <v>114</v>
      </c>
      <c r="L625" s="8" t="s">
        <v>2977</v>
      </c>
    </row>
    <row r="626" customFormat="false" ht="34.5" hidden="false" customHeight="true" outlineLevel="0" collapsed="false">
      <c r="A626" s="8" t="n">
        <v>500</v>
      </c>
      <c r="B626" s="8" t="s">
        <v>23</v>
      </c>
      <c r="C626" s="8" t="s">
        <v>2978</v>
      </c>
      <c r="D626" s="8" t="n">
        <v>2021</v>
      </c>
      <c r="E626" s="8" t="s">
        <v>2979</v>
      </c>
      <c r="F626" s="8" t="s">
        <v>143</v>
      </c>
      <c r="G626" s="8" t="s">
        <v>2980</v>
      </c>
      <c r="H626" s="8" t="s">
        <v>871</v>
      </c>
      <c r="I626" s="8" t="s">
        <v>153</v>
      </c>
      <c r="J626" s="8" t="s">
        <v>2981</v>
      </c>
      <c r="K626" s="8" t="s">
        <v>114</v>
      </c>
      <c r="L626" s="8" t="s">
        <v>2982</v>
      </c>
    </row>
    <row r="627" customFormat="false" ht="34.5" hidden="false" customHeight="true" outlineLevel="0" collapsed="false">
      <c r="A627" s="8" t="n">
        <v>501</v>
      </c>
      <c r="B627" s="8" t="s">
        <v>23</v>
      </c>
      <c r="C627" s="8" t="s">
        <v>2983</v>
      </c>
      <c r="D627" s="8" t="n">
        <v>2008</v>
      </c>
      <c r="E627" s="8" t="s">
        <v>2984</v>
      </c>
      <c r="F627" s="8" t="s">
        <v>143</v>
      </c>
      <c r="G627" s="8" t="s">
        <v>2985</v>
      </c>
      <c r="H627" s="8" t="s">
        <v>672</v>
      </c>
      <c r="I627" s="8" t="s">
        <v>153</v>
      </c>
      <c r="J627" s="8" t="s">
        <v>2986</v>
      </c>
      <c r="K627" s="8"/>
      <c r="L627" s="8" t="s">
        <v>2987</v>
      </c>
    </row>
    <row r="628" customFormat="false" ht="34.5" hidden="false" customHeight="true" outlineLevel="0" collapsed="false">
      <c r="A628" s="8" t="n">
        <v>502</v>
      </c>
      <c r="B628" s="8" t="s">
        <v>23</v>
      </c>
      <c r="C628" s="8" t="s">
        <v>2988</v>
      </c>
      <c r="D628" s="8" t="n">
        <v>2016</v>
      </c>
      <c r="E628" s="8" t="s">
        <v>2989</v>
      </c>
      <c r="F628" s="8" t="s">
        <v>143</v>
      </c>
      <c r="G628" s="8" t="s">
        <v>2990</v>
      </c>
      <c r="H628" s="8" t="s">
        <v>2991</v>
      </c>
      <c r="I628" s="8" t="s">
        <v>387</v>
      </c>
      <c r="J628" s="8" t="s">
        <v>2992</v>
      </c>
      <c r="K628" s="8"/>
      <c r="L628" s="8" t="s">
        <v>2993</v>
      </c>
    </row>
    <row r="629" customFormat="false" ht="34.5" hidden="false" customHeight="true" outlineLevel="0" collapsed="false">
      <c r="A629" s="8" t="n">
        <v>503</v>
      </c>
      <c r="B629" s="8" t="s">
        <v>23</v>
      </c>
      <c r="C629" s="8" t="s">
        <v>2994</v>
      </c>
      <c r="D629" s="8" t="n">
        <v>2014</v>
      </c>
      <c r="E629" s="8" t="s">
        <v>2995</v>
      </c>
      <c r="F629" s="8" t="s">
        <v>143</v>
      </c>
      <c r="G629" s="8" t="s">
        <v>2996</v>
      </c>
      <c r="H629" s="8" t="s">
        <v>285</v>
      </c>
      <c r="I629" s="8" t="s">
        <v>146</v>
      </c>
      <c r="J629" s="8" t="s">
        <v>2997</v>
      </c>
      <c r="K629" s="8"/>
      <c r="L629" s="8" t="s">
        <v>2998</v>
      </c>
    </row>
    <row r="630" customFormat="false" ht="23.25" hidden="false" customHeight="true" outlineLevel="0" collapsed="false">
      <c r="A630" s="8" t="n">
        <v>504</v>
      </c>
      <c r="B630" s="8" t="s">
        <v>23</v>
      </c>
      <c r="C630" s="8" t="s">
        <v>2994</v>
      </c>
      <c r="D630" s="8" t="n">
        <v>2017</v>
      </c>
      <c r="E630" s="8" t="s">
        <v>2999</v>
      </c>
      <c r="F630" s="8" t="s">
        <v>143</v>
      </c>
      <c r="G630" s="8" t="s">
        <v>3000</v>
      </c>
      <c r="H630" s="8" t="s">
        <v>285</v>
      </c>
      <c r="I630" s="8" t="s">
        <v>208</v>
      </c>
      <c r="J630" s="8" t="s">
        <v>3001</v>
      </c>
      <c r="K630" s="8"/>
      <c r="L630" s="8" t="s">
        <v>3002</v>
      </c>
    </row>
    <row r="631" customFormat="false" ht="34.5" hidden="false" customHeight="true" outlineLevel="0" collapsed="false">
      <c r="A631" s="8" t="n">
        <v>505</v>
      </c>
      <c r="B631" s="8" t="s">
        <v>23</v>
      </c>
      <c r="C631" s="8" t="s">
        <v>3003</v>
      </c>
      <c r="D631" s="8" t="n">
        <v>2022</v>
      </c>
      <c r="E631" s="8" t="s">
        <v>3004</v>
      </c>
      <c r="F631" s="8" t="s">
        <v>143</v>
      </c>
      <c r="G631" s="8" t="s">
        <v>3005</v>
      </c>
      <c r="H631" s="8" t="s">
        <v>255</v>
      </c>
      <c r="I631" s="8" t="s">
        <v>387</v>
      </c>
      <c r="J631" s="8" t="s">
        <v>3006</v>
      </c>
      <c r="K631" s="8" t="s">
        <v>110</v>
      </c>
      <c r="L631" s="8" t="s">
        <v>3007</v>
      </c>
    </row>
    <row r="632" customFormat="false" ht="40.5" hidden="false" customHeight="true" outlineLevel="0" collapsed="false">
      <c r="A632" s="8" t="n">
        <v>506</v>
      </c>
      <c r="B632" s="8" t="s">
        <v>25</v>
      </c>
      <c r="C632" s="8" t="s">
        <v>3008</v>
      </c>
      <c r="D632" s="8" t="n">
        <v>2023</v>
      </c>
      <c r="E632" s="8" t="s">
        <v>3009</v>
      </c>
      <c r="F632" s="8" t="s">
        <v>143</v>
      </c>
      <c r="G632" s="8" t="s">
        <v>1703</v>
      </c>
      <c r="H632" s="8" t="s">
        <v>684</v>
      </c>
      <c r="I632" s="8" t="s">
        <v>153</v>
      </c>
      <c r="J632" s="8" t="s">
        <v>3010</v>
      </c>
      <c r="K632" s="8" t="s">
        <v>114</v>
      </c>
      <c r="L632" s="8" t="s">
        <v>3011</v>
      </c>
    </row>
    <row r="633" customFormat="false" ht="34.5" hidden="false" customHeight="true" outlineLevel="0" collapsed="false">
      <c r="A633" s="8" t="n">
        <v>507</v>
      </c>
      <c r="B633" s="8" t="s">
        <v>25</v>
      </c>
      <c r="C633" s="8" t="s">
        <v>3012</v>
      </c>
      <c r="D633" s="8" t="n">
        <v>2022</v>
      </c>
      <c r="E633" s="8" t="s">
        <v>3013</v>
      </c>
      <c r="F633" s="8" t="s">
        <v>143</v>
      </c>
      <c r="G633" s="8" t="s">
        <v>3014</v>
      </c>
      <c r="H633" s="8" t="s">
        <v>3015</v>
      </c>
      <c r="I633" s="8" t="s">
        <v>146</v>
      </c>
      <c r="J633" s="8" t="s">
        <v>3016</v>
      </c>
      <c r="K633" s="8" t="s">
        <v>110</v>
      </c>
      <c r="L633" s="8" t="s">
        <v>3017</v>
      </c>
    </row>
    <row r="634" customFormat="false" ht="34.5" hidden="false" customHeight="true" outlineLevel="0" collapsed="false">
      <c r="A634" s="8" t="n">
        <v>508</v>
      </c>
      <c r="B634" s="8" t="s">
        <v>25</v>
      </c>
      <c r="C634" s="8" t="s">
        <v>1617</v>
      </c>
      <c r="D634" s="8" t="n">
        <v>2022</v>
      </c>
      <c r="E634" s="8" t="s">
        <v>3018</v>
      </c>
      <c r="F634" s="8" t="s">
        <v>143</v>
      </c>
      <c r="G634" s="8" t="s">
        <v>3019</v>
      </c>
      <c r="H634" s="8" t="s">
        <v>145</v>
      </c>
      <c r="I634" s="8" t="s">
        <v>153</v>
      </c>
      <c r="J634" s="8" t="s">
        <v>2675</v>
      </c>
      <c r="K634" s="8" t="s">
        <v>110</v>
      </c>
      <c r="L634" s="8" t="s">
        <v>3020</v>
      </c>
    </row>
    <row r="635" customFormat="false" ht="40.5" hidden="false" customHeight="true" outlineLevel="0" collapsed="false">
      <c r="A635" s="8" t="n">
        <v>509</v>
      </c>
      <c r="B635" s="8" t="s">
        <v>25</v>
      </c>
      <c r="C635" s="8" t="s">
        <v>3021</v>
      </c>
      <c r="D635" s="8" t="n">
        <v>2021</v>
      </c>
      <c r="E635" s="8" t="s">
        <v>3022</v>
      </c>
      <c r="F635" s="8" t="s">
        <v>143</v>
      </c>
      <c r="G635" s="8" t="s">
        <v>3023</v>
      </c>
      <c r="H635" s="8" t="s">
        <v>2262</v>
      </c>
      <c r="I635" s="8" t="s">
        <v>153</v>
      </c>
      <c r="J635" s="8" t="s">
        <v>3024</v>
      </c>
      <c r="K635" s="8" t="s">
        <v>114</v>
      </c>
      <c r="L635" s="8" t="s">
        <v>3025</v>
      </c>
    </row>
    <row r="636" customFormat="false" ht="40.5" hidden="false" customHeight="true" outlineLevel="0" collapsed="false">
      <c r="A636" s="8" t="n">
        <v>510</v>
      </c>
      <c r="B636" s="8" t="s">
        <v>25</v>
      </c>
      <c r="C636" s="8" t="s">
        <v>3026</v>
      </c>
      <c r="D636" s="8" t="n">
        <v>2022</v>
      </c>
      <c r="E636" s="8" t="s">
        <v>3027</v>
      </c>
      <c r="F636" s="8" t="s">
        <v>143</v>
      </c>
      <c r="G636" s="8" t="s">
        <v>588</v>
      </c>
      <c r="H636" s="8" t="s">
        <v>3028</v>
      </c>
      <c r="I636" s="8" t="s">
        <v>153</v>
      </c>
      <c r="J636" s="8" t="s">
        <v>3029</v>
      </c>
      <c r="K636" s="8" t="s">
        <v>114</v>
      </c>
      <c r="L636" s="8" t="s">
        <v>3030</v>
      </c>
    </row>
    <row r="637" customFormat="false" ht="34.5" hidden="false" customHeight="true" outlineLevel="0" collapsed="false">
      <c r="A637" s="8" t="n">
        <v>511</v>
      </c>
      <c r="B637" s="8" t="s">
        <v>25</v>
      </c>
      <c r="C637" s="8" t="s">
        <v>3031</v>
      </c>
      <c r="D637" s="8" t="n">
        <v>2023</v>
      </c>
      <c r="E637" s="8" t="s">
        <v>3032</v>
      </c>
      <c r="F637" s="8" t="s">
        <v>143</v>
      </c>
      <c r="G637" s="8" t="s">
        <v>3033</v>
      </c>
      <c r="H637" s="8" t="s">
        <v>145</v>
      </c>
      <c r="I637" s="8" t="s">
        <v>146</v>
      </c>
      <c r="J637" s="8" t="s">
        <v>3034</v>
      </c>
      <c r="K637" s="8" t="s">
        <v>110</v>
      </c>
      <c r="L637" s="8" t="s">
        <v>3035</v>
      </c>
    </row>
    <row r="638" customFormat="false" ht="34.5" hidden="false" customHeight="true" outlineLevel="0" collapsed="false">
      <c r="A638" s="8" t="n">
        <v>512</v>
      </c>
      <c r="B638" s="8" t="s">
        <v>25</v>
      </c>
      <c r="C638" s="8" t="s">
        <v>3036</v>
      </c>
      <c r="D638" s="8" t="n">
        <v>2022</v>
      </c>
      <c r="E638" s="8" t="s">
        <v>3037</v>
      </c>
      <c r="F638" s="8" t="s">
        <v>143</v>
      </c>
      <c r="G638" s="8" t="s">
        <v>3038</v>
      </c>
      <c r="H638" s="8" t="s">
        <v>145</v>
      </c>
      <c r="I638" s="8" t="s">
        <v>153</v>
      </c>
      <c r="J638" s="8" t="s">
        <v>3039</v>
      </c>
      <c r="K638" s="8" t="s">
        <v>110</v>
      </c>
      <c r="L638" s="8" t="s">
        <v>3040</v>
      </c>
    </row>
    <row r="639" customFormat="false" ht="34.5" hidden="false" customHeight="true" outlineLevel="0" collapsed="false">
      <c r="A639" s="8" t="n">
        <v>513</v>
      </c>
      <c r="B639" s="8" t="s">
        <v>25</v>
      </c>
      <c r="C639" s="8" t="s">
        <v>3041</v>
      </c>
      <c r="D639" s="8" t="n">
        <v>2023</v>
      </c>
      <c r="E639" s="8" t="s">
        <v>3042</v>
      </c>
      <c r="F639" s="8" t="s">
        <v>143</v>
      </c>
      <c r="G639" s="8" t="s">
        <v>3043</v>
      </c>
      <c r="H639" s="8" t="s">
        <v>145</v>
      </c>
      <c r="I639" s="8" t="s">
        <v>146</v>
      </c>
      <c r="J639" s="8" t="s">
        <v>3044</v>
      </c>
      <c r="K639" s="8"/>
      <c r="L639" s="8" t="s">
        <v>3045</v>
      </c>
    </row>
    <row r="640" customFormat="false" ht="34.5" hidden="false" customHeight="true" outlineLevel="0" collapsed="false">
      <c r="A640" s="8" t="n">
        <v>514</v>
      </c>
      <c r="B640" s="8" t="s">
        <v>25</v>
      </c>
      <c r="C640" s="8" t="s">
        <v>3046</v>
      </c>
      <c r="D640" s="8" t="n">
        <v>2022</v>
      </c>
      <c r="E640" s="8" t="s">
        <v>3047</v>
      </c>
      <c r="F640" s="8" t="s">
        <v>143</v>
      </c>
      <c r="G640" s="8" t="s">
        <v>1359</v>
      </c>
      <c r="H640" s="8" t="s">
        <v>2262</v>
      </c>
      <c r="I640" s="8" t="s">
        <v>146</v>
      </c>
      <c r="J640" s="8" t="s">
        <v>3048</v>
      </c>
      <c r="K640" s="8" t="s">
        <v>112</v>
      </c>
      <c r="L640" s="8" t="s">
        <v>3049</v>
      </c>
    </row>
    <row r="641" customFormat="false" ht="34.5" hidden="false" customHeight="true" outlineLevel="0" collapsed="false">
      <c r="A641" s="8" t="n">
        <v>515</v>
      </c>
      <c r="B641" s="8" t="s">
        <v>25</v>
      </c>
      <c r="C641" s="8" t="s">
        <v>3050</v>
      </c>
      <c r="D641" s="8" t="n">
        <v>2023</v>
      </c>
      <c r="E641" s="8" t="s">
        <v>3051</v>
      </c>
      <c r="F641" s="8" t="s">
        <v>143</v>
      </c>
      <c r="G641" s="8" t="s">
        <v>3052</v>
      </c>
      <c r="H641" s="8" t="s">
        <v>145</v>
      </c>
      <c r="I641" s="8" t="s">
        <v>153</v>
      </c>
      <c r="J641" s="8" t="s">
        <v>3053</v>
      </c>
      <c r="K641" s="8" t="s">
        <v>114</v>
      </c>
      <c r="L641" s="8" t="s">
        <v>3054</v>
      </c>
    </row>
    <row r="642" customFormat="false" ht="40.5" hidden="false" customHeight="true" outlineLevel="0" collapsed="false">
      <c r="A642" s="8" t="n">
        <v>516</v>
      </c>
      <c r="B642" s="8" t="s">
        <v>25</v>
      </c>
      <c r="C642" s="8" t="s">
        <v>3055</v>
      </c>
      <c r="D642" s="8" t="n">
        <v>2023</v>
      </c>
      <c r="E642" s="8" t="s">
        <v>3056</v>
      </c>
      <c r="F642" s="8" t="s">
        <v>143</v>
      </c>
      <c r="G642" s="8" t="s">
        <v>3057</v>
      </c>
      <c r="H642" s="8" t="s">
        <v>684</v>
      </c>
      <c r="I642" s="8" t="s">
        <v>146</v>
      </c>
      <c r="J642" s="8" t="s">
        <v>3058</v>
      </c>
      <c r="K642" s="8" t="s">
        <v>112</v>
      </c>
      <c r="L642" s="8" t="s">
        <v>3059</v>
      </c>
    </row>
    <row r="643" customFormat="false" ht="34.5" hidden="false" customHeight="true" outlineLevel="0" collapsed="false">
      <c r="A643" s="8" t="n">
        <v>517</v>
      </c>
      <c r="B643" s="8" t="s">
        <v>25</v>
      </c>
      <c r="C643" s="8" t="s">
        <v>3060</v>
      </c>
      <c r="D643" s="8" t="n">
        <v>2022</v>
      </c>
      <c r="E643" s="8" t="s">
        <v>3061</v>
      </c>
      <c r="F643" s="8" t="s">
        <v>143</v>
      </c>
      <c r="G643" s="8" t="s">
        <v>3062</v>
      </c>
      <c r="H643" s="8" t="s">
        <v>3063</v>
      </c>
      <c r="I643" s="8" t="s">
        <v>146</v>
      </c>
      <c r="J643" s="8" t="s">
        <v>3064</v>
      </c>
      <c r="K643" s="8" t="s">
        <v>110</v>
      </c>
      <c r="L643" s="8" t="s">
        <v>3065</v>
      </c>
    </row>
    <row r="644" customFormat="false" ht="34.5" hidden="false" customHeight="true" outlineLevel="0" collapsed="false">
      <c r="A644" s="13" t="n">
        <v>518</v>
      </c>
      <c r="B644" s="14" t="s">
        <v>25</v>
      </c>
      <c r="C644" s="14" t="s">
        <v>3066</v>
      </c>
      <c r="D644" s="14" t="n">
        <v>2022</v>
      </c>
      <c r="E644" s="14" t="s">
        <v>3067</v>
      </c>
      <c r="F644" s="14" t="s">
        <v>143</v>
      </c>
      <c r="G644" s="14" t="s">
        <v>3068</v>
      </c>
      <c r="H644" s="14" t="s">
        <v>145</v>
      </c>
      <c r="I644" s="14" t="s">
        <v>153</v>
      </c>
      <c r="J644" s="14" t="s">
        <v>3069</v>
      </c>
      <c r="K644" s="14" t="s">
        <v>110</v>
      </c>
      <c r="L644" s="14" t="s">
        <v>3070</v>
      </c>
    </row>
    <row r="645" customFormat="false" ht="34.5" hidden="false" customHeight="true" outlineLevel="0" collapsed="false">
      <c r="A645" s="15" t="n">
        <v>518</v>
      </c>
      <c r="B645" s="16" t="s">
        <v>27</v>
      </c>
      <c r="C645" s="16" t="s">
        <v>3071</v>
      </c>
      <c r="D645" s="16" t="n">
        <v>2022</v>
      </c>
      <c r="E645" s="16" t="s">
        <v>3067</v>
      </c>
      <c r="F645" s="16" t="s">
        <v>143</v>
      </c>
      <c r="G645" s="16" t="s">
        <v>626</v>
      </c>
      <c r="H645" s="16" t="s">
        <v>145</v>
      </c>
      <c r="I645" s="16" t="s">
        <v>153</v>
      </c>
      <c r="J645" s="16" t="s">
        <v>3072</v>
      </c>
      <c r="K645" s="16" t="s">
        <v>110</v>
      </c>
      <c r="L645" s="16" t="s">
        <v>3073</v>
      </c>
    </row>
    <row r="646" customFormat="false" ht="34.5" hidden="false" customHeight="true" outlineLevel="0" collapsed="false">
      <c r="A646" s="15" t="n">
        <v>518</v>
      </c>
      <c r="B646" s="16" t="s">
        <v>73</v>
      </c>
      <c r="C646" s="16" t="s">
        <v>3074</v>
      </c>
      <c r="D646" s="16" t="n">
        <v>2022</v>
      </c>
      <c r="E646" s="16" t="s">
        <v>3075</v>
      </c>
      <c r="F646" s="16" t="s">
        <v>143</v>
      </c>
      <c r="G646" s="16" t="s">
        <v>3076</v>
      </c>
      <c r="H646" s="16" t="s">
        <v>145</v>
      </c>
      <c r="I646" s="16" t="s">
        <v>153</v>
      </c>
      <c r="J646" s="16" t="s">
        <v>3077</v>
      </c>
      <c r="K646" s="16" t="s">
        <v>110</v>
      </c>
      <c r="L646" s="16" t="s">
        <v>3078</v>
      </c>
    </row>
    <row r="647" customFormat="false" ht="34.5" hidden="false" customHeight="true" outlineLevel="0" collapsed="false">
      <c r="A647" s="15" t="n">
        <v>518</v>
      </c>
      <c r="B647" s="16" t="s">
        <v>87</v>
      </c>
      <c r="C647" s="16" t="s">
        <v>3074</v>
      </c>
      <c r="D647" s="16" t="n">
        <v>2022</v>
      </c>
      <c r="E647" s="16" t="s">
        <v>3067</v>
      </c>
      <c r="F647" s="16" t="s">
        <v>143</v>
      </c>
      <c r="G647" s="16" t="s">
        <v>3079</v>
      </c>
      <c r="H647" s="16" t="s">
        <v>145</v>
      </c>
      <c r="I647" s="16" t="s">
        <v>153</v>
      </c>
      <c r="J647" s="16" t="s">
        <v>3080</v>
      </c>
      <c r="K647" s="16" t="s">
        <v>110</v>
      </c>
      <c r="L647" s="16" t="s">
        <v>3081</v>
      </c>
    </row>
    <row r="648" customFormat="false" ht="34.5" hidden="false" customHeight="true" outlineLevel="0" collapsed="false">
      <c r="A648" s="8" t="n">
        <v>519</v>
      </c>
      <c r="B648" s="8" t="s">
        <v>25</v>
      </c>
      <c r="C648" s="8" t="s">
        <v>3082</v>
      </c>
      <c r="D648" s="8" t="n">
        <v>2021</v>
      </c>
      <c r="E648" s="8" t="s">
        <v>3083</v>
      </c>
      <c r="F648" s="8" t="s">
        <v>143</v>
      </c>
      <c r="G648" s="8" t="s">
        <v>3084</v>
      </c>
      <c r="H648" s="8" t="s">
        <v>684</v>
      </c>
      <c r="I648" s="8" t="s">
        <v>153</v>
      </c>
      <c r="J648" s="8" t="s">
        <v>3085</v>
      </c>
      <c r="K648" s="8" t="s">
        <v>116</v>
      </c>
      <c r="L648" s="8" t="s">
        <v>3086</v>
      </c>
    </row>
    <row r="649" customFormat="false" ht="51.75" hidden="false" customHeight="true" outlineLevel="0" collapsed="false">
      <c r="A649" s="8" t="n">
        <v>520</v>
      </c>
      <c r="B649" s="8" t="s">
        <v>25</v>
      </c>
      <c r="C649" s="8" t="s">
        <v>3087</v>
      </c>
      <c r="D649" s="8" t="n">
        <v>2023</v>
      </c>
      <c r="E649" s="8" t="s">
        <v>3088</v>
      </c>
      <c r="F649" s="8" t="s">
        <v>143</v>
      </c>
      <c r="G649" s="8" t="s">
        <v>3089</v>
      </c>
      <c r="H649" s="8" t="s">
        <v>3090</v>
      </c>
      <c r="I649" s="8" t="s">
        <v>146</v>
      </c>
      <c r="J649" s="8" t="s">
        <v>3091</v>
      </c>
      <c r="K649" s="8" t="s">
        <v>112</v>
      </c>
      <c r="L649" s="8" t="s">
        <v>3092</v>
      </c>
    </row>
    <row r="650" customFormat="false" ht="40.5" hidden="false" customHeight="true" outlineLevel="0" collapsed="false">
      <c r="A650" s="8" t="n">
        <v>521</v>
      </c>
      <c r="B650" s="8" t="s">
        <v>25</v>
      </c>
      <c r="C650" s="8" t="s">
        <v>3093</v>
      </c>
      <c r="D650" s="8" t="n">
        <v>2022</v>
      </c>
      <c r="E650" s="8" t="s">
        <v>3094</v>
      </c>
      <c r="F650" s="8" t="s">
        <v>151</v>
      </c>
      <c r="G650" s="8" t="s">
        <v>832</v>
      </c>
      <c r="H650" s="8" t="s">
        <v>684</v>
      </c>
      <c r="I650" s="8" t="s">
        <v>146</v>
      </c>
      <c r="J650" s="8" t="s">
        <v>3095</v>
      </c>
      <c r="K650" s="8"/>
      <c r="L650" s="8" t="s">
        <v>3096</v>
      </c>
    </row>
    <row r="651" customFormat="false" ht="34.5" hidden="false" customHeight="true" outlineLevel="0" collapsed="false">
      <c r="A651" s="8" t="n">
        <v>522</v>
      </c>
      <c r="B651" s="8" t="s">
        <v>25</v>
      </c>
      <c r="C651" s="8" t="s">
        <v>3097</v>
      </c>
      <c r="D651" s="8" t="n">
        <v>2021</v>
      </c>
      <c r="E651" s="8" t="s">
        <v>3098</v>
      </c>
      <c r="F651" s="8" t="s">
        <v>151</v>
      </c>
      <c r="G651" s="8" t="s">
        <v>3099</v>
      </c>
      <c r="H651" s="8" t="s">
        <v>684</v>
      </c>
      <c r="I651" s="8" t="s">
        <v>153</v>
      </c>
      <c r="J651" s="8" t="s">
        <v>3100</v>
      </c>
      <c r="K651" s="8" t="s">
        <v>114</v>
      </c>
      <c r="L651" s="8" t="s">
        <v>3101</v>
      </c>
    </row>
    <row r="652" customFormat="false" ht="40.5" hidden="false" customHeight="true" outlineLevel="0" collapsed="false">
      <c r="A652" s="8" t="n">
        <v>523</v>
      </c>
      <c r="B652" s="8" t="s">
        <v>25</v>
      </c>
      <c r="C652" s="8" t="s">
        <v>3102</v>
      </c>
      <c r="D652" s="8" t="n">
        <v>2022</v>
      </c>
      <c r="E652" s="8" t="s">
        <v>3103</v>
      </c>
      <c r="F652" s="8" t="s">
        <v>143</v>
      </c>
      <c r="G652" s="8" t="s">
        <v>1424</v>
      </c>
      <c r="H652" s="8" t="s">
        <v>684</v>
      </c>
      <c r="I652" s="8" t="s">
        <v>153</v>
      </c>
      <c r="J652" s="8" t="s">
        <v>3104</v>
      </c>
      <c r="K652" s="8" t="s">
        <v>116</v>
      </c>
      <c r="L652" s="8" t="s">
        <v>3105</v>
      </c>
    </row>
    <row r="653" customFormat="false" ht="34.5" hidden="false" customHeight="true" outlineLevel="0" collapsed="false">
      <c r="A653" s="8" t="n">
        <v>524</v>
      </c>
      <c r="B653" s="8" t="s">
        <v>25</v>
      </c>
      <c r="C653" s="8" t="s">
        <v>3106</v>
      </c>
      <c r="D653" s="8" t="n">
        <v>2023</v>
      </c>
      <c r="E653" s="8" t="s">
        <v>3107</v>
      </c>
      <c r="F653" s="8" t="s">
        <v>143</v>
      </c>
      <c r="G653" s="8" t="s">
        <v>3108</v>
      </c>
      <c r="H653" s="8" t="s">
        <v>145</v>
      </c>
      <c r="I653" s="8" t="s">
        <v>146</v>
      </c>
      <c r="J653" s="8" t="s">
        <v>3109</v>
      </c>
      <c r="K653" s="8" t="s">
        <v>110</v>
      </c>
      <c r="L653" s="8" t="s">
        <v>3110</v>
      </c>
    </row>
    <row r="654" customFormat="false" ht="34.5" hidden="false" customHeight="true" outlineLevel="0" collapsed="false">
      <c r="A654" s="8" t="n">
        <v>525</v>
      </c>
      <c r="B654" s="8" t="s">
        <v>25</v>
      </c>
      <c r="C654" s="8" t="s">
        <v>3111</v>
      </c>
      <c r="D654" s="8" t="n">
        <v>2022</v>
      </c>
      <c r="E654" s="8" t="s">
        <v>3112</v>
      </c>
      <c r="F654" s="8" t="s">
        <v>143</v>
      </c>
      <c r="G654" s="8" t="s">
        <v>152</v>
      </c>
      <c r="H654" s="8" t="s">
        <v>145</v>
      </c>
      <c r="I654" s="8" t="s">
        <v>153</v>
      </c>
      <c r="J654" s="8" t="s">
        <v>3113</v>
      </c>
      <c r="K654" s="8"/>
      <c r="L654" s="8" t="s">
        <v>3114</v>
      </c>
    </row>
    <row r="655" customFormat="false" ht="34.5" hidden="false" customHeight="true" outlineLevel="0" collapsed="false">
      <c r="A655" s="13" t="n">
        <v>526</v>
      </c>
      <c r="B655" s="14" t="s">
        <v>25</v>
      </c>
      <c r="C655" s="14" t="s">
        <v>3115</v>
      </c>
      <c r="D655" s="14" t="n">
        <v>2021</v>
      </c>
      <c r="E655" s="14" t="s">
        <v>3116</v>
      </c>
      <c r="F655" s="14" t="s">
        <v>143</v>
      </c>
      <c r="G655" s="14" t="s">
        <v>3117</v>
      </c>
      <c r="H655" s="14" t="s">
        <v>145</v>
      </c>
      <c r="I655" s="14" t="s">
        <v>153</v>
      </c>
      <c r="J655" s="14" t="s">
        <v>2005</v>
      </c>
      <c r="K655" s="14" t="s">
        <v>112</v>
      </c>
      <c r="L655" s="14" t="s">
        <v>3118</v>
      </c>
    </row>
    <row r="656" customFormat="false" ht="34.5" hidden="false" customHeight="true" outlineLevel="0" collapsed="false">
      <c r="A656" s="15" t="n">
        <v>526</v>
      </c>
      <c r="B656" s="16" t="s">
        <v>27</v>
      </c>
      <c r="C656" s="16" t="s">
        <v>3115</v>
      </c>
      <c r="D656" s="16" t="n">
        <v>2021</v>
      </c>
      <c r="E656" s="16" t="s">
        <v>3119</v>
      </c>
      <c r="F656" s="16" t="s">
        <v>143</v>
      </c>
      <c r="G656" s="16" t="s">
        <v>1163</v>
      </c>
      <c r="H656" s="16" t="s">
        <v>145</v>
      </c>
      <c r="I656" s="16" t="s">
        <v>153</v>
      </c>
      <c r="J656" s="16" t="s">
        <v>3120</v>
      </c>
      <c r="K656" s="16" t="s">
        <v>110</v>
      </c>
      <c r="L656" s="16" t="s">
        <v>3121</v>
      </c>
    </row>
    <row r="657" customFormat="false" ht="34.5" hidden="false" customHeight="true" outlineLevel="0" collapsed="false">
      <c r="A657" s="15" t="n">
        <v>526</v>
      </c>
      <c r="B657" s="16" t="s">
        <v>73</v>
      </c>
      <c r="C657" s="16" t="s">
        <v>3122</v>
      </c>
      <c r="D657" s="16" t="n">
        <v>2021</v>
      </c>
      <c r="E657" s="16" t="s">
        <v>3123</v>
      </c>
      <c r="F657" s="16" t="s">
        <v>143</v>
      </c>
      <c r="G657" s="16" t="s">
        <v>3117</v>
      </c>
      <c r="H657" s="16" t="s">
        <v>145</v>
      </c>
      <c r="I657" s="16" t="s">
        <v>153</v>
      </c>
      <c r="J657" s="16" t="s">
        <v>3124</v>
      </c>
      <c r="K657" s="16" t="s">
        <v>114</v>
      </c>
      <c r="L657" s="16" t="s">
        <v>3125</v>
      </c>
    </row>
    <row r="658" customFormat="false" ht="34.5" hidden="false" customHeight="true" outlineLevel="0" collapsed="false">
      <c r="A658" s="8" t="n">
        <v>527</v>
      </c>
      <c r="B658" s="8" t="s">
        <v>25</v>
      </c>
      <c r="C658" s="8" t="s">
        <v>3126</v>
      </c>
      <c r="D658" s="8" t="n">
        <v>2021</v>
      </c>
      <c r="E658" s="8" t="s">
        <v>3127</v>
      </c>
      <c r="F658" s="8" t="s">
        <v>151</v>
      </c>
      <c r="G658" s="8" t="s">
        <v>3128</v>
      </c>
      <c r="H658" s="8" t="s">
        <v>145</v>
      </c>
      <c r="I658" s="8" t="s">
        <v>153</v>
      </c>
      <c r="J658" s="8" t="s">
        <v>3129</v>
      </c>
      <c r="K658" s="8" t="s">
        <v>114</v>
      </c>
      <c r="L658" s="8" t="s">
        <v>3130</v>
      </c>
    </row>
    <row r="659" customFormat="false" ht="34.5" hidden="false" customHeight="true" outlineLevel="0" collapsed="false">
      <c r="A659" s="8" t="n">
        <v>528</v>
      </c>
      <c r="B659" s="8" t="s">
        <v>25</v>
      </c>
      <c r="C659" s="8" t="s">
        <v>3131</v>
      </c>
      <c r="D659" s="8" t="n">
        <v>2023</v>
      </c>
      <c r="E659" s="8" t="s">
        <v>3132</v>
      </c>
      <c r="F659" s="8" t="s">
        <v>143</v>
      </c>
      <c r="G659" s="8" t="s">
        <v>3133</v>
      </c>
      <c r="H659" s="8" t="s">
        <v>2899</v>
      </c>
      <c r="I659" s="8" t="s">
        <v>146</v>
      </c>
      <c r="J659" s="8" t="s">
        <v>3134</v>
      </c>
      <c r="K659" s="8" t="s">
        <v>112</v>
      </c>
      <c r="L659" s="8" t="s">
        <v>3135</v>
      </c>
    </row>
    <row r="660" customFormat="false" ht="34.5" hidden="false" customHeight="true" outlineLevel="0" collapsed="false">
      <c r="A660" s="9" t="n">
        <v>529</v>
      </c>
      <c r="B660" s="10" t="s">
        <v>25</v>
      </c>
      <c r="C660" s="10" t="s">
        <v>1435</v>
      </c>
      <c r="D660" s="10" t="n">
        <v>2023</v>
      </c>
      <c r="E660" s="10" t="s">
        <v>3136</v>
      </c>
      <c r="F660" s="10" t="s">
        <v>201</v>
      </c>
      <c r="G660" s="10" t="s">
        <v>3137</v>
      </c>
      <c r="H660" s="10" t="s">
        <v>3138</v>
      </c>
      <c r="I660" s="10" t="s">
        <v>153</v>
      </c>
      <c r="J660" s="10" t="s">
        <v>3139</v>
      </c>
      <c r="K660" s="10" t="s">
        <v>110</v>
      </c>
      <c r="L660" s="10" t="s">
        <v>3140</v>
      </c>
    </row>
    <row r="661" customFormat="false" ht="23.25" hidden="false" customHeight="true" outlineLevel="0" collapsed="false">
      <c r="A661" s="11" t="n">
        <v>529</v>
      </c>
      <c r="B661" s="12" t="s">
        <v>29</v>
      </c>
      <c r="C661" s="12" t="s">
        <v>1435</v>
      </c>
      <c r="D661" s="12" t="n">
        <v>2023</v>
      </c>
      <c r="E661" s="12" t="s">
        <v>3136</v>
      </c>
      <c r="F661" s="12" t="s">
        <v>201</v>
      </c>
      <c r="G661" s="12" t="s">
        <v>3141</v>
      </c>
      <c r="H661" s="12" t="s">
        <v>145</v>
      </c>
      <c r="I661" s="12" t="s">
        <v>387</v>
      </c>
      <c r="J661" s="12" t="s">
        <v>3142</v>
      </c>
      <c r="K661" s="12" t="s">
        <v>110</v>
      </c>
      <c r="L661" s="12" t="s">
        <v>3143</v>
      </c>
    </row>
    <row r="662" customFormat="false" ht="34.5" hidden="false" customHeight="true" outlineLevel="0" collapsed="false">
      <c r="A662" s="11" t="n">
        <v>529</v>
      </c>
      <c r="B662" s="12" t="s">
        <v>43</v>
      </c>
      <c r="C662" s="12" t="s">
        <v>1435</v>
      </c>
      <c r="D662" s="12" t="n">
        <v>2023</v>
      </c>
      <c r="E662" s="12" t="s">
        <v>3144</v>
      </c>
      <c r="F662" s="12" t="s">
        <v>201</v>
      </c>
      <c r="G662" s="12" t="s">
        <v>3145</v>
      </c>
      <c r="H662" s="12" t="s">
        <v>3146</v>
      </c>
      <c r="I662" s="12" t="s">
        <v>387</v>
      </c>
      <c r="J662" s="12" t="s">
        <v>3147</v>
      </c>
      <c r="K662" s="12" t="s">
        <v>110</v>
      </c>
      <c r="L662" s="12" t="s">
        <v>3148</v>
      </c>
    </row>
    <row r="663" customFormat="false" ht="34.5" hidden="false" customHeight="true" outlineLevel="0" collapsed="false">
      <c r="A663" s="13" t="n">
        <v>530</v>
      </c>
      <c r="B663" s="14" t="s">
        <v>25</v>
      </c>
      <c r="C663" s="14" t="s">
        <v>3149</v>
      </c>
      <c r="D663" s="14" t="n">
        <v>2020</v>
      </c>
      <c r="E663" s="14" t="s">
        <v>3150</v>
      </c>
      <c r="F663" s="14" t="s">
        <v>143</v>
      </c>
      <c r="G663" s="14" t="s">
        <v>1376</v>
      </c>
      <c r="H663" s="14" t="s">
        <v>3151</v>
      </c>
      <c r="I663" s="14" t="s">
        <v>146</v>
      </c>
      <c r="J663" s="14" t="s">
        <v>3152</v>
      </c>
      <c r="K663" s="14" t="s">
        <v>110</v>
      </c>
      <c r="L663" s="14" t="s">
        <v>3153</v>
      </c>
    </row>
    <row r="664" customFormat="false" ht="34.5" hidden="false" customHeight="true" outlineLevel="0" collapsed="false">
      <c r="A664" s="15" t="n">
        <v>530</v>
      </c>
      <c r="B664" s="16" t="s">
        <v>87</v>
      </c>
      <c r="C664" s="16" t="s">
        <v>3154</v>
      </c>
      <c r="D664" s="16" t="n">
        <v>2020</v>
      </c>
      <c r="E664" s="16" t="s">
        <v>3155</v>
      </c>
      <c r="F664" s="16" t="s">
        <v>3156</v>
      </c>
      <c r="G664" s="16" t="s">
        <v>3157</v>
      </c>
      <c r="H664" s="16" t="s">
        <v>1373</v>
      </c>
      <c r="I664" s="16" t="s">
        <v>153</v>
      </c>
      <c r="J664" s="16" t="s">
        <v>3158</v>
      </c>
      <c r="K664" s="16" t="s">
        <v>110</v>
      </c>
      <c r="L664" s="16" t="s">
        <v>3159</v>
      </c>
    </row>
    <row r="665" customFormat="false" ht="34.5" hidden="false" customHeight="true" outlineLevel="0" collapsed="false">
      <c r="A665" s="8" t="n">
        <v>531</v>
      </c>
      <c r="B665" s="8" t="s">
        <v>25</v>
      </c>
      <c r="C665" s="8" t="s">
        <v>3160</v>
      </c>
      <c r="D665" s="8" t="n">
        <v>2023</v>
      </c>
      <c r="E665" s="8" t="s">
        <v>3161</v>
      </c>
      <c r="F665" s="8" t="s">
        <v>143</v>
      </c>
      <c r="G665" s="8" t="s">
        <v>3162</v>
      </c>
      <c r="H665" s="8" t="s">
        <v>3163</v>
      </c>
      <c r="I665" s="8" t="s">
        <v>146</v>
      </c>
      <c r="J665" s="8" t="s">
        <v>3164</v>
      </c>
      <c r="K665" s="8" t="s">
        <v>110</v>
      </c>
      <c r="L665" s="8" t="s">
        <v>3165</v>
      </c>
    </row>
    <row r="666" customFormat="false" ht="34.5" hidden="false" customHeight="true" outlineLevel="0" collapsed="false">
      <c r="A666" s="8" t="n">
        <v>532</v>
      </c>
      <c r="B666" s="8" t="s">
        <v>25</v>
      </c>
      <c r="C666" s="8" t="s">
        <v>3166</v>
      </c>
      <c r="D666" s="8" t="n">
        <v>2023</v>
      </c>
      <c r="E666" s="8" t="s">
        <v>3167</v>
      </c>
      <c r="F666" s="8" t="s">
        <v>143</v>
      </c>
      <c r="G666" s="8" t="s">
        <v>3168</v>
      </c>
      <c r="H666" s="8" t="s">
        <v>3169</v>
      </c>
      <c r="I666" s="8" t="s">
        <v>146</v>
      </c>
      <c r="J666" s="8" t="s">
        <v>3170</v>
      </c>
      <c r="K666" s="8" t="s">
        <v>110</v>
      </c>
      <c r="L666" s="8" t="s">
        <v>3171</v>
      </c>
    </row>
    <row r="667" customFormat="false" ht="34.5" hidden="false" customHeight="true" outlineLevel="0" collapsed="false">
      <c r="A667" s="8" t="n">
        <v>533</v>
      </c>
      <c r="B667" s="8" t="s">
        <v>25</v>
      </c>
      <c r="C667" s="8" t="s">
        <v>3172</v>
      </c>
      <c r="D667" s="8" t="n">
        <v>2024</v>
      </c>
      <c r="E667" s="8" t="s">
        <v>3173</v>
      </c>
      <c r="F667" s="8" t="s">
        <v>201</v>
      </c>
      <c r="G667" s="8" t="s">
        <v>3174</v>
      </c>
      <c r="H667" s="8" t="s">
        <v>2846</v>
      </c>
      <c r="I667" s="8" t="s">
        <v>146</v>
      </c>
      <c r="J667" s="8" t="s">
        <v>3175</v>
      </c>
      <c r="K667" s="8" t="s">
        <v>110</v>
      </c>
      <c r="L667" s="8" t="s">
        <v>3176</v>
      </c>
    </row>
    <row r="668" customFormat="false" ht="40.5" hidden="false" customHeight="true" outlineLevel="0" collapsed="false">
      <c r="A668" s="8" t="n">
        <v>534</v>
      </c>
      <c r="B668" s="8" t="s">
        <v>25</v>
      </c>
      <c r="C668" s="8" t="s">
        <v>3177</v>
      </c>
      <c r="D668" s="8" t="n">
        <v>2023</v>
      </c>
      <c r="E668" s="8" t="s">
        <v>3178</v>
      </c>
      <c r="F668" s="8" t="s">
        <v>143</v>
      </c>
      <c r="G668" s="8" t="s">
        <v>3052</v>
      </c>
      <c r="H668" s="8" t="s">
        <v>3028</v>
      </c>
      <c r="I668" s="8" t="s">
        <v>146</v>
      </c>
      <c r="J668" s="8" t="s">
        <v>3179</v>
      </c>
      <c r="K668" s="8"/>
      <c r="L668" s="8" t="s">
        <v>3180</v>
      </c>
    </row>
    <row r="669" customFormat="false" ht="45.75" hidden="false" customHeight="true" outlineLevel="0" collapsed="false">
      <c r="A669" s="8" t="n">
        <v>535</v>
      </c>
      <c r="B669" s="8" t="s">
        <v>25</v>
      </c>
      <c r="C669" s="8" t="s">
        <v>3181</v>
      </c>
      <c r="D669" s="8" t="n">
        <v>2023</v>
      </c>
      <c r="E669" s="8" t="s">
        <v>3182</v>
      </c>
      <c r="F669" s="8" t="s">
        <v>151</v>
      </c>
      <c r="G669" s="8" t="s">
        <v>3183</v>
      </c>
      <c r="H669" s="8" t="s">
        <v>3184</v>
      </c>
      <c r="I669" s="8" t="s">
        <v>153</v>
      </c>
      <c r="J669" s="8" t="s">
        <v>3185</v>
      </c>
      <c r="K669" s="8" t="s">
        <v>110</v>
      </c>
      <c r="L669" s="8" t="s">
        <v>3186</v>
      </c>
    </row>
    <row r="670" customFormat="false" ht="34.5" hidden="false" customHeight="true" outlineLevel="0" collapsed="false">
      <c r="A670" s="8" t="n">
        <v>536</v>
      </c>
      <c r="B670" s="8" t="s">
        <v>25</v>
      </c>
      <c r="C670" s="8" t="s">
        <v>3187</v>
      </c>
      <c r="D670" s="8" t="n">
        <v>2021</v>
      </c>
      <c r="E670" s="8" t="s">
        <v>3188</v>
      </c>
      <c r="F670" s="8" t="s">
        <v>143</v>
      </c>
      <c r="G670" s="8" t="s">
        <v>3189</v>
      </c>
      <c r="H670" s="8" t="s">
        <v>3190</v>
      </c>
      <c r="I670" s="8" t="s">
        <v>146</v>
      </c>
      <c r="J670" s="8" t="s">
        <v>3191</v>
      </c>
      <c r="K670" s="8"/>
      <c r="L670" s="8" t="s">
        <v>3192</v>
      </c>
    </row>
    <row r="671" customFormat="false" ht="45.75" hidden="false" customHeight="true" outlineLevel="0" collapsed="false">
      <c r="A671" s="8" t="n">
        <v>537</v>
      </c>
      <c r="B671" s="8" t="s">
        <v>25</v>
      </c>
      <c r="C671" s="8" t="s">
        <v>3193</v>
      </c>
      <c r="D671" s="8" t="n">
        <v>2022</v>
      </c>
      <c r="E671" s="8" t="s">
        <v>3194</v>
      </c>
      <c r="F671" s="8" t="s">
        <v>143</v>
      </c>
      <c r="G671" s="8" t="s">
        <v>3195</v>
      </c>
      <c r="H671" s="8" t="s">
        <v>145</v>
      </c>
      <c r="I671" s="8" t="s">
        <v>153</v>
      </c>
      <c r="J671" s="8" t="s">
        <v>3196</v>
      </c>
      <c r="K671" s="8" t="s">
        <v>114</v>
      </c>
      <c r="L671" s="8" t="s">
        <v>3197</v>
      </c>
    </row>
    <row r="672" customFormat="false" ht="34.5" hidden="false" customHeight="true" outlineLevel="0" collapsed="false">
      <c r="A672" s="13" t="n">
        <v>538</v>
      </c>
      <c r="B672" s="14" t="s">
        <v>25</v>
      </c>
      <c r="C672" s="14" t="s">
        <v>3198</v>
      </c>
      <c r="D672" s="14" t="n">
        <v>2003</v>
      </c>
      <c r="E672" s="14" t="s">
        <v>3199</v>
      </c>
      <c r="F672" s="14" t="s">
        <v>143</v>
      </c>
      <c r="G672" s="14" t="s">
        <v>3200</v>
      </c>
      <c r="H672" s="14" t="s">
        <v>187</v>
      </c>
      <c r="I672" s="14" t="s">
        <v>146</v>
      </c>
      <c r="J672" s="14" t="s">
        <v>3201</v>
      </c>
      <c r="K672" s="14" t="s">
        <v>112</v>
      </c>
      <c r="L672" s="14" t="s">
        <v>3202</v>
      </c>
    </row>
    <row r="673" customFormat="false" ht="34.5" hidden="false" customHeight="true" outlineLevel="0" collapsed="false">
      <c r="A673" s="15" t="n">
        <v>538</v>
      </c>
      <c r="B673" s="16" t="s">
        <v>37</v>
      </c>
      <c r="C673" s="16" t="s">
        <v>3203</v>
      </c>
      <c r="D673" s="16" t="n">
        <v>2003</v>
      </c>
      <c r="E673" s="16" t="s">
        <v>3204</v>
      </c>
      <c r="F673" s="16" t="s">
        <v>143</v>
      </c>
      <c r="G673" s="16" t="s">
        <v>3205</v>
      </c>
      <c r="H673" s="16" t="s">
        <v>187</v>
      </c>
      <c r="I673" s="16" t="s">
        <v>146</v>
      </c>
      <c r="J673" s="16" t="s">
        <v>3206</v>
      </c>
      <c r="K673" s="16" t="s">
        <v>112</v>
      </c>
      <c r="L673" s="16" t="s">
        <v>3207</v>
      </c>
    </row>
    <row r="674" customFormat="false" ht="34.5" hidden="false" customHeight="true" outlineLevel="0" collapsed="false">
      <c r="A674" s="8" t="n">
        <v>539</v>
      </c>
      <c r="B674" s="8" t="s">
        <v>25</v>
      </c>
      <c r="C674" s="8" t="s">
        <v>2099</v>
      </c>
      <c r="D674" s="8" t="n">
        <v>2022</v>
      </c>
      <c r="E674" s="8" t="s">
        <v>3208</v>
      </c>
      <c r="F674" s="8" t="s">
        <v>143</v>
      </c>
      <c r="G674" s="8" t="s">
        <v>3209</v>
      </c>
      <c r="H674" s="8" t="s">
        <v>145</v>
      </c>
      <c r="I674" s="8" t="s">
        <v>153</v>
      </c>
      <c r="J674" s="8" t="s">
        <v>1421</v>
      </c>
      <c r="K674" s="8" t="s">
        <v>110</v>
      </c>
      <c r="L674" s="8" t="s">
        <v>3210</v>
      </c>
    </row>
    <row r="675" customFormat="false" ht="34.5" hidden="false" customHeight="true" outlineLevel="0" collapsed="false">
      <c r="A675" s="8" t="n">
        <v>540</v>
      </c>
      <c r="B675" s="8" t="s">
        <v>25</v>
      </c>
      <c r="C675" s="8" t="s">
        <v>2099</v>
      </c>
      <c r="D675" s="8" t="n">
        <v>2023</v>
      </c>
      <c r="E675" s="8" t="s">
        <v>3211</v>
      </c>
      <c r="F675" s="8" t="s">
        <v>151</v>
      </c>
      <c r="G675" s="8" t="s">
        <v>3212</v>
      </c>
      <c r="H675" s="8" t="s">
        <v>145</v>
      </c>
      <c r="I675" s="8" t="s">
        <v>153</v>
      </c>
      <c r="J675" s="8" t="s">
        <v>3213</v>
      </c>
      <c r="K675" s="8" t="s">
        <v>110</v>
      </c>
      <c r="L675" s="8" t="s">
        <v>3214</v>
      </c>
    </row>
    <row r="676" customFormat="false" ht="34.5" hidden="false" customHeight="true" outlineLevel="0" collapsed="false">
      <c r="A676" s="8" t="n">
        <v>541</v>
      </c>
      <c r="B676" s="8" t="s">
        <v>27</v>
      </c>
      <c r="C676" s="8" t="s">
        <v>3215</v>
      </c>
      <c r="D676" s="8" t="n">
        <v>2014</v>
      </c>
      <c r="E676" s="8" t="s">
        <v>3216</v>
      </c>
      <c r="F676" s="8" t="s">
        <v>143</v>
      </c>
      <c r="G676" s="8" t="s">
        <v>3217</v>
      </c>
      <c r="H676" s="8" t="s">
        <v>145</v>
      </c>
      <c r="I676" s="8" t="s">
        <v>153</v>
      </c>
      <c r="J676" s="8" t="s">
        <v>3104</v>
      </c>
      <c r="K676" s="8" t="s">
        <v>110</v>
      </c>
      <c r="L676" s="8" t="s">
        <v>3218</v>
      </c>
    </row>
    <row r="677" customFormat="false" ht="34.5" hidden="false" customHeight="true" outlineLevel="0" collapsed="false">
      <c r="A677" s="8" t="n">
        <v>542</v>
      </c>
      <c r="B677" s="8" t="s">
        <v>27</v>
      </c>
      <c r="C677" s="8" t="s">
        <v>3219</v>
      </c>
      <c r="D677" s="8" t="n">
        <v>2024</v>
      </c>
      <c r="E677" s="8" t="s">
        <v>3220</v>
      </c>
      <c r="F677" s="8" t="s">
        <v>151</v>
      </c>
      <c r="G677" s="8" t="s">
        <v>3221</v>
      </c>
      <c r="H677" s="8" t="s">
        <v>1319</v>
      </c>
      <c r="I677" s="8" t="s">
        <v>146</v>
      </c>
      <c r="J677" s="8" t="s">
        <v>3222</v>
      </c>
      <c r="K677" s="8" t="s">
        <v>112</v>
      </c>
      <c r="L677" s="8" t="s">
        <v>3223</v>
      </c>
    </row>
    <row r="678" customFormat="false" ht="45.75" hidden="false" customHeight="true" outlineLevel="0" collapsed="false">
      <c r="A678" s="8" t="n">
        <v>543</v>
      </c>
      <c r="B678" s="8" t="s">
        <v>27</v>
      </c>
      <c r="C678" s="8" t="s">
        <v>3224</v>
      </c>
      <c r="D678" s="8" t="n">
        <v>2012</v>
      </c>
      <c r="E678" s="8" t="s">
        <v>3225</v>
      </c>
      <c r="F678" s="8" t="s">
        <v>143</v>
      </c>
      <c r="G678" s="8" t="s">
        <v>3226</v>
      </c>
      <c r="H678" s="8" t="s">
        <v>1960</v>
      </c>
      <c r="I678" s="8" t="s">
        <v>146</v>
      </c>
      <c r="J678" s="8" t="s">
        <v>3227</v>
      </c>
      <c r="K678" s="8" t="s">
        <v>116</v>
      </c>
      <c r="L678" s="8" t="s">
        <v>3228</v>
      </c>
    </row>
    <row r="679" customFormat="false" ht="34.5" hidden="false" customHeight="true" outlineLevel="0" collapsed="false">
      <c r="A679" s="8" t="n">
        <v>544</v>
      </c>
      <c r="B679" s="8" t="s">
        <v>27</v>
      </c>
      <c r="C679" s="8" t="s">
        <v>1898</v>
      </c>
      <c r="D679" s="8" t="n">
        <v>2022</v>
      </c>
      <c r="E679" s="8" t="s">
        <v>3229</v>
      </c>
      <c r="F679" s="8" t="s">
        <v>151</v>
      </c>
      <c r="G679" s="8" t="s">
        <v>1900</v>
      </c>
      <c r="H679" s="8" t="s">
        <v>338</v>
      </c>
      <c r="I679" s="8" t="s">
        <v>146</v>
      </c>
      <c r="J679" s="8" t="s">
        <v>1901</v>
      </c>
      <c r="K679" s="8" t="s">
        <v>112</v>
      </c>
      <c r="L679" s="8" t="s">
        <v>3230</v>
      </c>
    </row>
    <row r="680" customFormat="false" ht="23.25" hidden="false" customHeight="true" outlineLevel="0" collapsed="false">
      <c r="A680" s="8" t="n">
        <v>545</v>
      </c>
      <c r="B680" s="8" t="s">
        <v>27</v>
      </c>
      <c r="C680" s="8" t="s">
        <v>504</v>
      </c>
      <c r="D680" s="8" t="n">
        <v>2023</v>
      </c>
      <c r="E680" s="8" t="s">
        <v>3231</v>
      </c>
      <c r="F680" s="8" t="s">
        <v>143</v>
      </c>
      <c r="G680" s="8" t="s">
        <v>1754</v>
      </c>
      <c r="H680" s="8" t="s">
        <v>145</v>
      </c>
      <c r="I680" s="8" t="s">
        <v>146</v>
      </c>
      <c r="J680" s="8" t="s">
        <v>3232</v>
      </c>
      <c r="K680" s="8" t="s">
        <v>112</v>
      </c>
      <c r="L680" s="8" t="s">
        <v>3233</v>
      </c>
    </row>
    <row r="681" customFormat="false" ht="34.5" hidden="false" customHeight="true" outlineLevel="0" collapsed="false">
      <c r="A681" s="8" t="n">
        <v>546</v>
      </c>
      <c r="B681" s="8" t="s">
        <v>27</v>
      </c>
      <c r="C681" s="8" t="s">
        <v>3234</v>
      </c>
      <c r="D681" s="8" t="n">
        <v>2022</v>
      </c>
      <c r="E681" s="8" t="s">
        <v>3235</v>
      </c>
      <c r="F681" s="8" t="s">
        <v>151</v>
      </c>
      <c r="G681" s="8" t="s">
        <v>3226</v>
      </c>
      <c r="H681" s="8" t="s">
        <v>3236</v>
      </c>
      <c r="I681" s="8" t="s">
        <v>146</v>
      </c>
      <c r="J681" s="8" t="s">
        <v>3237</v>
      </c>
      <c r="K681" s="8"/>
      <c r="L681" s="8" t="s">
        <v>3238</v>
      </c>
    </row>
    <row r="682" customFormat="false" ht="34.5" hidden="false" customHeight="true" outlineLevel="0" collapsed="false">
      <c r="A682" s="8" t="n">
        <v>547</v>
      </c>
      <c r="B682" s="8" t="s">
        <v>27</v>
      </c>
      <c r="C682" s="8" t="s">
        <v>3239</v>
      </c>
      <c r="D682" s="8" t="n">
        <v>2017</v>
      </c>
      <c r="E682" s="8" t="s">
        <v>3240</v>
      </c>
      <c r="F682" s="8" t="s">
        <v>143</v>
      </c>
      <c r="G682" s="8" t="s">
        <v>3241</v>
      </c>
      <c r="H682" s="8" t="s">
        <v>1198</v>
      </c>
      <c r="I682" s="8" t="s">
        <v>146</v>
      </c>
      <c r="J682" s="8" t="s">
        <v>1199</v>
      </c>
      <c r="K682" s="8" t="s">
        <v>112</v>
      </c>
      <c r="L682" s="8" t="s">
        <v>3242</v>
      </c>
    </row>
    <row r="683" customFormat="false" ht="34.5" hidden="false" customHeight="true" outlineLevel="0" collapsed="false">
      <c r="A683" s="8" t="n">
        <v>548</v>
      </c>
      <c r="B683" s="8" t="s">
        <v>27</v>
      </c>
      <c r="C683" s="8" t="s">
        <v>3243</v>
      </c>
      <c r="D683" s="8" t="n">
        <v>2023</v>
      </c>
      <c r="E683" s="8" t="s">
        <v>3244</v>
      </c>
      <c r="F683" s="8" t="s">
        <v>151</v>
      </c>
      <c r="G683" s="8" t="s">
        <v>1665</v>
      </c>
      <c r="H683" s="8" t="s">
        <v>145</v>
      </c>
      <c r="I683" s="8" t="s">
        <v>153</v>
      </c>
      <c r="J683" s="8" t="s">
        <v>3245</v>
      </c>
      <c r="K683" s="8" t="s">
        <v>114</v>
      </c>
      <c r="L683" s="8" t="s">
        <v>3246</v>
      </c>
    </row>
    <row r="684" customFormat="false" ht="23.25" hidden="false" customHeight="true" outlineLevel="0" collapsed="false">
      <c r="A684" s="8" t="n">
        <v>549</v>
      </c>
      <c r="B684" s="8" t="s">
        <v>27</v>
      </c>
      <c r="C684" s="8" t="s">
        <v>3247</v>
      </c>
      <c r="D684" s="8" t="n">
        <v>2020</v>
      </c>
      <c r="E684" s="8" t="s">
        <v>3248</v>
      </c>
      <c r="F684" s="8" t="s">
        <v>143</v>
      </c>
      <c r="G684" s="8" t="s">
        <v>832</v>
      </c>
      <c r="H684" s="8" t="s">
        <v>145</v>
      </c>
      <c r="I684" s="8" t="s">
        <v>146</v>
      </c>
      <c r="J684" s="8" t="s">
        <v>3249</v>
      </c>
      <c r="K684" s="8" t="s">
        <v>116</v>
      </c>
      <c r="L684" s="8" t="s">
        <v>3250</v>
      </c>
    </row>
    <row r="685" customFormat="false" ht="34.5" hidden="false" customHeight="true" outlineLevel="0" collapsed="false">
      <c r="A685" s="8" t="n">
        <v>550</v>
      </c>
      <c r="B685" s="8" t="s">
        <v>27</v>
      </c>
      <c r="C685" s="8" t="s">
        <v>3251</v>
      </c>
      <c r="D685" s="8" t="n">
        <v>2018</v>
      </c>
      <c r="E685" s="8" t="s">
        <v>3252</v>
      </c>
      <c r="F685" s="8" t="s">
        <v>143</v>
      </c>
      <c r="G685" s="8" t="s">
        <v>3253</v>
      </c>
      <c r="H685" s="8" t="s">
        <v>3254</v>
      </c>
      <c r="I685" s="8" t="s">
        <v>146</v>
      </c>
      <c r="J685" s="8" t="s">
        <v>3255</v>
      </c>
      <c r="K685" s="8" t="s">
        <v>116</v>
      </c>
      <c r="L685" s="8" t="s">
        <v>3256</v>
      </c>
    </row>
    <row r="686" customFormat="false" ht="34.5" hidden="false" customHeight="true" outlineLevel="0" collapsed="false">
      <c r="A686" s="9" t="n">
        <v>551</v>
      </c>
      <c r="B686" s="10" t="s">
        <v>27</v>
      </c>
      <c r="C686" s="10" t="s">
        <v>1166</v>
      </c>
      <c r="D686" s="10" t="n">
        <v>2013</v>
      </c>
      <c r="E686" s="10" t="s">
        <v>3257</v>
      </c>
      <c r="F686" s="10" t="s">
        <v>143</v>
      </c>
      <c r="G686" s="10" t="s">
        <v>626</v>
      </c>
      <c r="H686" s="10" t="s">
        <v>145</v>
      </c>
      <c r="I686" s="10" t="s">
        <v>387</v>
      </c>
      <c r="J686" s="10" t="s">
        <v>3258</v>
      </c>
      <c r="K686" s="10" t="s">
        <v>112</v>
      </c>
      <c r="L686" s="10" t="s">
        <v>3259</v>
      </c>
    </row>
    <row r="687" customFormat="false" ht="34.5" hidden="false" customHeight="true" outlineLevel="0" collapsed="false">
      <c r="A687" s="11" t="n">
        <v>551</v>
      </c>
      <c r="B687" s="12" t="s">
        <v>37</v>
      </c>
      <c r="C687" s="12" t="s">
        <v>3260</v>
      </c>
      <c r="D687" s="12" t="n">
        <v>2013</v>
      </c>
      <c r="E687" s="12" t="s">
        <v>3261</v>
      </c>
      <c r="F687" s="12" t="s">
        <v>143</v>
      </c>
      <c r="G687" s="12" t="s">
        <v>1461</v>
      </c>
      <c r="H687" s="12" t="s">
        <v>145</v>
      </c>
      <c r="I687" s="12" t="s">
        <v>153</v>
      </c>
      <c r="J687" s="12" t="s">
        <v>3262</v>
      </c>
      <c r="K687" s="12" t="s">
        <v>112</v>
      </c>
      <c r="L687" s="12" t="s">
        <v>3263</v>
      </c>
    </row>
    <row r="688" customFormat="false" ht="23.25" hidden="false" customHeight="true" outlineLevel="0" collapsed="false">
      <c r="A688" s="11" t="n">
        <v>551</v>
      </c>
      <c r="B688" s="12" t="s">
        <v>51</v>
      </c>
      <c r="C688" s="12" t="s">
        <v>1166</v>
      </c>
      <c r="D688" s="12" t="n">
        <v>2013</v>
      </c>
      <c r="E688" s="12" t="s">
        <v>3261</v>
      </c>
      <c r="F688" s="12" t="s">
        <v>143</v>
      </c>
      <c r="G688" s="12" t="s">
        <v>1163</v>
      </c>
      <c r="H688" s="12" t="s">
        <v>145</v>
      </c>
      <c r="I688" s="12" t="s">
        <v>153</v>
      </c>
      <c r="J688" s="12" t="s">
        <v>3264</v>
      </c>
      <c r="K688" s="12" t="s">
        <v>112</v>
      </c>
      <c r="L688" s="12" t="s">
        <v>3265</v>
      </c>
    </row>
    <row r="689" customFormat="false" ht="34.5" hidden="false" customHeight="true" outlineLevel="0" collapsed="false">
      <c r="A689" s="11" t="n">
        <v>551</v>
      </c>
      <c r="B689" s="12" t="s">
        <v>61</v>
      </c>
      <c r="C689" s="12" t="s">
        <v>1166</v>
      </c>
      <c r="D689" s="12" t="n">
        <v>2013</v>
      </c>
      <c r="E689" s="12" t="s">
        <v>3261</v>
      </c>
      <c r="F689" s="12" t="s">
        <v>143</v>
      </c>
      <c r="G689" s="12" t="s">
        <v>610</v>
      </c>
      <c r="H689" s="12" t="s">
        <v>145</v>
      </c>
      <c r="I689" s="12" t="s">
        <v>387</v>
      </c>
      <c r="J689" s="12" t="s">
        <v>3266</v>
      </c>
      <c r="K689" s="12" t="s">
        <v>112</v>
      </c>
      <c r="L689" s="12" t="s">
        <v>3267</v>
      </c>
    </row>
    <row r="690" customFormat="false" ht="34.5" hidden="false" customHeight="true" outlineLevel="0" collapsed="false">
      <c r="A690" s="8" t="n">
        <v>552</v>
      </c>
      <c r="B690" s="8" t="s">
        <v>27</v>
      </c>
      <c r="C690" s="8" t="s">
        <v>1166</v>
      </c>
      <c r="D690" s="8" t="n">
        <v>2022</v>
      </c>
      <c r="E690" s="8" t="s">
        <v>3268</v>
      </c>
      <c r="F690" s="8" t="s">
        <v>151</v>
      </c>
      <c r="G690" s="8" t="s">
        <v>3269</v>
      </c>
      <c r="H690" s="8" t="s">
        <v>721</v>
      </c>
      <c r="I690" s="8" t="s">
        <v>153</v>
      </c>
      <c r="J690" s="8" t="s">
        <v>3270</v>
      </c>
      <c r="K690" s="8" t="s">
        <v>114</v>
      </c>
      <c r="L690" s="8" t="s">
        <v>3271</v>
      </c>
    </row>
    <row r="691" customFormat="false" ht="34.5" hidden="false" customHeight="true" outlineLevel="0" collapsed="false">
      <c r="A691" s="8" t="n">
        <v>553</v>
      </c>
      <c r="B691" s="8" t="s">
        <v>27</v>
      </c>
      <c r="C691" s="8" t="s">
        <v>1912</v>
      </c>
      <c r="D691" s="8" t="n">
        <v>2021</v>
      </c>
      <c r="E691" s="8" t="s">
        <v>3272</v>
      </c>
      <c r="F691" s="8" t="s">
        <v>151</v>
      </c>
      <c r="G691" s="8" t="s">
        <v>3273</v>
      </c>
      <c r="H691" s="8" t="s">
        <v>145</v>
      </c>
      <c r="I691" s="8" t="s">
        <v>522</v>
      </c>
      <c r="J691" s="8" t="s">
        <v>3274</v>
      </c>
      <c r="K691" s="8" t="s">
        <v>112</v>
      </c>
      <c r="L691" s="8" t="s">
        <v>3275</v>
      </c>
    </row>
    <row r="692" customFormat="false" ht="23.25" hidden="false" customHeight="true" outlineLevel="0" collapsed="false">
      <c r="A692" s="8" t="n">
        <v>554</v>
      </c>
      <c r="B692" s="8" t="s">
        <v>27</v>
      </c>
      <c r="C692" s="8" t="s">
        <v>3276</v>
      </c>
      <c r="D692" s="8" t="n">
        <v>2023</v>
      </c>
      <c r="E692" s="8" t="s">
        <v>3277</v>
      </c>
      <c r="F692" s="8" t="s">
        <v>143</v>
      </c>
      <c r="G692" s="8" t="s">
        <v>3278</v>
      </c>
      <c r="H692" s="8" t="s">
        <v>3279</v>
      </c>
      <c r="I692" s="8" t="s">
        <v>146</v>
      </c>
      <c r="J692" s="8" t="s">
        <v>3280</v>
      </c>
      <c r="K692" s="8" t="s">
        <v>112</v>
      </c>
      <c r="L692" s="8" t="s">
        <v>3281</v>
      </c>
    </row>
    <row r="693" customFormat="false" ht="23.25" hidden="false" customHeight="true" outlineLevel="0" collapsed="false">
      <c r="A693" s="8" t="n">
        <v>555</v>
      </c>
      <c r="B693" s="8" t="s">
        <v>27</v>
      </c>
      <c r="C693" s="8" t="s">
        <v>1926</v>
      </c>
      <c r="D693" s="8" t="n">
        <v>2023</v>
      </c>
      <c r="E693" s="8" t="s">
        <v>3282</v>
      </c>
      <c r="F693" s="8" t="s">
        <v>143</v>
      </c>
      <c r="G693" s="8" t="s">
        <v>3283</v>
      </c>
      <c r="H693" s="8" t="s">
        <v>145</v>
      </c>
      <c r="I693" s="8" t="s">
        <v>153</v>
      </c>
      <c r="J693" s="8" t="s">
        <v>2758</v>
      </c>
      <c r="K693" s="8" t="s">
        <v>110</v>
      </c>
      <c r="L693" s="8" t="s">
        <v>3284</v>
      </c>
    </row>
    <row r="694" customFormat="false" ht="23.25" hidden="false" customHeight="true" outlineLevel="0" collapsed="false">
      <c r="A694" s="8" t="n">
        <v>556</v>
      </c>
      <c r="B694" s="8" t="s">
        <v>27</v>
      </c>
      <c r="C694" s="8" t="s">
        <v>1926</v>
      </c>
      <c r="D694" s="8" t="n">
        <v>2023</v>
      </c>
      <c r="E694" s="8" t="s">
        <v>3285</v>
      </c>
      <c r="F694" s="8" t="s">
        <v>143</v>
      </c>
      <c r="G694" s="8" t="s">
        <v>3286</v>
      </c>
      <c r="H694" s="8" t="s">
        <v>285</v>
      </c>
      <c r="I694" s="8" t="s">
        <v>146</v>
      </c>
      <c r="J694" s="8" t="s">
        <v>3287</v>
      </c>
      <c r="K694" s="8" t="s">
        <v>110</v>
      </c>
      <c r="L694" s="8" t="s">
        <v>3288</v>
      </c>
    </row>
    <row r="695" customFormat="false" ht="34.5" hidden="false" customHeight="true" outlineLevel="0" collapsed="false">
      <c r="A695" s="8" t="n">
        <v>557</v>
      </c>
      <c r="B695" s="8" t="s">
        <v>27</v>
      </c>
      <c r="C695" s="8" t="s">
        <v>1926</v>
      </c>
      <c r="D695" s="8" t="n">
        <v>2023</v>
      </c>
      <c r="E695" s="8" t="s">
        <v>3289</v>
      </c>
      <c r="F695" s="8" t="s">
        <v>143</v>
      </c>
      <c r="G695" s="8" t="s">
        <v>1477</v>
      </c>
      <c r="H695" s="8" t="s">
        <v>145</v>
      </c>
      <c r="I695" s="8" t="s">
        <v>153</v>
      </c>
      <c r="J695" s="8" t="s">
        <v>3290</v>
      </c>
      <c r="K695" s="8" t="s">
        <v>110</v>
      </c>
      <c r="L695" s="8" t="s">
        <v>3291</v>
      </c>
    </row>
    <row r="696" customFormat="false" ht="34.5" hidden="false" customHeight="true" outlineLevel="0" collapsed="false">
      <c r="A696" s="8" t="n">
        <v>558</v>
      </c>
      <c r="B696" s="8" t="s">
        <v>27</v>
      </c>
      <c r="C696" s="8" t="s">
        <v>3292</v>
      </c>
      <c r="D696" s="8" t="n">
        <v>2022</v>
      </c>
      <c r="E696" s="8" t="s">
        <v>3293</v>
      </c>
      <c r="F696" s="8" t="s">
        <v>143</v>
      </c>
      <c r="G696" s="8" t="s">
        <v>3294</v>
      </c>
      <c r="H696" s="8" t="s">
        <v>3295</v>
      </c>
      <c r="I696" s="8" t="s">
        <v>387</v>
      </c>
      <c r="J696" s="8" t="s">
        <v>3296</v>
      </c>
      <c r="K696" s="8" t="s">
        <v>110</v>
      </c>
      <c r="L696" s="8" t="s">
        <v>3297</v>
      </c>
    </row>
    <row r="697" customFormat="false" ht="34.5" hidden="false" customHeight="true" outlineLevel="0" collapsed="false">
      <c r="A697" s="9" t="n">
        <v>559</v>
      </c>
      <c r="B697" s="10" t="s">
        <v>27</v>
      </c>
      <c r="C697" s="10" t="s">
        <v>3298</v>
      </c>
      <c r="D697" s="10" t="n">
        <v>2023</v>
      </c>
      <c r="E697" s="10" t="s">
        <v>3299</v>
      </c>
      <c r="F697" s="10" t="s">
        <v>143</v>
      </c>
      <c r="G697" s="10" t="s">
        <v>3300</v>
      </c>
      <c r="H697" s="10" t="s">
        <v>145</v>
      </c>
      <c r="I697" s="10" t="s">
        <v>153</v>
      </c>
      <c r="J697" s="10" t="s">
        <v>1421</v>
      </c>
      <c r="K697" s="10" t="s">
        <v>110</v>
      </c>
      <c r="L697" s="10" t="s">
        <v>3301</v>
      </c>
    </row>
    <row r="698" customFormat="false" ht="34.5" hidden="false" customHeight="true" outlineLevel="0" collapsed="false">
      <c r="A698" s="11" t="n">
        <v>559</v>
      </c>
      <c r="B698" s="12" t="s">
        <v>43</v>
      </c>
      <c r="C698" s="12" t="s">
        <v>3302</v>
      </c>
      <c r="D698" s="12" t="n">
        <v>2023</v>
      </c>
      <c r="E698" s="12" t="s">
        <v>3303</v>
      </c>
      <c r="F698" s="12" t="s">
        <v>143</v>
      </c>
      <c r="G698" s="12" t="s">
        <v>3304</v>
      </c>
      <c r="H698" s="12" t="s">
        <v>145</v>
      </c>
      <c r="I698" s="12" t="s">
        <v>153</v>
      </c>
      <c r="J698" s="12" t="s">
        <v>3305</v>
      </c>
      <c r="K698" s="12" t="s">
        <v>110</v>
      </c>
      <c r="L698" s="12" t="s">
        <v>3306</v>
      </c>
    </row>
    <row r="699" customFormat="false" ht="34.5" hidden="false" customHeight="true" outlineLevel="0" collapsed="false">
      <c r="A699" s="11" t="n">
        <v>559</v>
      </c>
      <c r="B699" s="12" t="s">
        <v>73</v>
      </c>
      <c r="C699" s="12" t="s">
        <v>3307</v>
      </c>
      <c r="D699" s="12" t="n">
        <v>2023</v>
      </c>
      <c r="E699" s="12" t="s">
        <v>3299</v>
      </c>
      <c r="F699" s="12" t="s">
        <v>143</v>
      </c>
      <c r="G699" s="12" t="s">
        <v>3308</v>
      </c>
      <c r="H699" s="12" t="s">
        <v>145</v>
      </c>
      <c r="I699" s="12" t="s">
        <v>153</v>
      </c>
      <c r="J699" s="12" t="s">
        <v>3309</v>
      </c>
      <c r="K699" s="12" t="s">
        <v>110</v>
      </c>
      <c r="L699" s="12" t="s">
        <v>3310</v>
      </c>
    </row>
    <row r="700" customFormat="false" ht="34.5" hidden="false" customHeight="true" outlineLevel="0" collapsed="false">
      <c r="A700" s="8" t="n">
        <v>560</v>
      </c>
      <c r="B700" s="8" t="s">
        <v>27</v>
      </c>
      <c r="C700" s="8" t="s">
        <v>3311</v>
      </c>
      <c r="D700" s="8" t="n">
        <v>2012</v>
      </c>
      <c r="E700" s="8" t="s">
        <v>3312</v>
      </c>
      <c r="F700" s="8" t="s">
        <v>143</v>
      </c>
      <c r="G700" s="8" t="s">
        <v>3313</v>
      </c>
      <c r="H700" s="8" t="s">
        <v>3314</v>
      </c>
      <c r="I700" s="8" t="s">
        <v>387</v>
      </c>
      <c r="J700" s="8" t="s">
        <v>3315</v>
      </c>
      <c r="K700" s="8" t="s">
        <v>112</v>
      </c>
      <c r="L700" s="8" t="s">
        <v>3316</v>
      </c>
    </row>
    <row r="701" customFormat="false" ht="34.5" hidden="false" customHeight="true" outlineLevel="0" collapsed="false">
      <c r="A701" s="8" t="n">
        <v>561</v>
      </c>
      <c r="B701" s="8" t="s">
        <v>27</v>
      </c>
      <c r="C701" s="8" t="s">
        <v>1672</v>
      </c>
      <c r="D701" s="8" t="n">
        <v>2022</v>
      </c>
      <c r="E701" s="8" t="s">
        <v>3317</v>
      </c>
      <c r="F701" s="8" t="s">
        <v>143</v>
      </c>
      <c r="G701" s="8" t="s">
        <v>3318</v>
      </c>
      <c r="H701" s="8" t="s">
        <v>145</v>
      </c>
      <c r="I701" s="8" t="s">
        <v>153</v>
      </c>
      <c r="J701" s="8" t="s">
        <v>3319</v>
      </c>
      <c r="K701" s="8" t="s">
        <v>110</v>
      </c>
      <c r="L701" s="8" t="s">
        <v>3320</v>
      </c>
    </row>
    <row r="702" customFormat="false" ht="34.5" hidden="false" customHeight="true" outlineLevel="0" collapsed="false">
      <c r="A702" s="8" t="n">
        <v>562</v>
      </c>
      <c r="B702" s="8" t="s">
        <v>27</v>
      </c>
      <c r="C702" s="8" t="s">
        <v>3321</v>
      </c>
      <c r="D702" s="8" t="n">
        <v>2021</v>
      </c>
      <c r="E702" s="8" t="s">
        <v>3322</v>
      </c>
      <c r="F702" s="8" t="s">
        <v>151</v>
      </c>
      <c r="G702" s="8" t="s">
        <v>3323</v>
      </c>
      <c r="H702" s="8" t="s">
        <v>145</v>
      </c>
      <c r="I702" s="8" t="s">
        <v>153</v>
      </c>
      <c r="J702" s="8" t="s">
        <v>3324</v>
      </c>
      <c r="K702" s="8" t="s">
        <v>114</v>
      </c>
      <c r="L702" s="8" t="s">
        <v>3325</v>
      </c>
    </row>
    <row r="703" customFormat="false" ht="34.5" hidden="false" customHeight="true" outlineLevel="0" collapsed="false">
      <c r="A703" s="8" t="n">
        <v>563</v>
      </c>
      <c r="B703" s="8" t="s">
        <v>27</v>
      </c>
      <c r="C703" s="8" t="s">
        <v>3326</v>
      </c>
      <c r="D703" s="8" t="n">
        <v>2020</v>
      </c>
      <c r="E703" s="8" t="s">
        <v>3327</v>
      </c>
      <c r="F703" s="8" t="s">
        <v>143</v>
      </c>
      <c r="G703" s="8" t="s">
        <v>3328</v>
      </c>
      <c r="H703" s="8" t="s">
        <v>145</v>
      </c>
      <c r="I703" s="8" t="s">
        <v>146</v>
      </c>
      <c r="J703" s="8" t="s">
        <v>3329</v>
      </c>
      <c r="K703" s="8"/>
      <c r="L703" s="8" t="s">
        <v>3330</v>
      </c>
    </row>
    <row r="704" customFormat="false" ht="34.5" hidden="false" customHeight="true" outlineLevel="0" collapsed="false">
      <c r="A704" s="13" t="n">
        <v>564</v>
      </c>
      <c r="B704" s="14" t="s">
        <v>27</v>
      </c>
      <c r="C704" s="14" t="s">
        <v>3331</v>
      </c>
      <c r="D704" s="14" t="n">
        <v>2021</v>
      </c>
      <c r="E704" s="14" t="s">
        <v>3332</v>
      </c>
      <c r="F704" s="14" t="s">
        <v>143</v>
      </c>
      <c r="G704" s="14" t="s">
        <v>3333</v>
      </c>
      <c r="H704" s="14" t="s">
        <v>2886</v>
      </c>
      <c r="I704" s="14" t="s">
        <v>146</v>
      </c>
      <c r="J704" s="14" t="s">
        <v>3334</v>
      </c>
      <c r="K704" s="14" t="s">
        <v>112</v>
      </c>
      <c r="L704" s="14" t="s">
        <v>3335</v>
      </c>
    </row>
    <row r="705" customFormat="false" ht="23.25" hidden="false" customHeight="true" outlineLevel="0" collapsed="false">
      <c r="A705" s="15" t="n">
        <v>564</v>
      </c>
      <c r="B705" s="16" t="s">
        <v>81</v>
      </c>
      <c r="C705" s="16" t="s">
        <v>3331</v>
      </c>
      <c r="D705" s="16" t="n">
        <v>2021</v>
      </c>
      <c r="E705" s="16" t="s">
        <v>3336</v>
      </c>
      <c r="F705" s="16" t="s">
        <v>143</v>
      </c>
      <c r="G705" s="16" t="s">
        <v>1278</v>
      </c>
      <c r="H705" s="16" t="s">
        <v>3337</v>
      </c>
      <c r="I705" s="16" t="s">
        <v>153</v>
      </c>
      <c r="J705" s="16" t="s">
        <v>3338</v>
      </c>
      <c r="K705" s="16" t="s">
        <v>112</v>
      </c>
      <c r="L705" s="16" t="s">
        <v>3339</v>
      </c>
    </row>
    <row r="706" customFormat="false" ht="34.5" hidden="false" customHeight="true" outlineLevel="0" collapsed="false">
      <c r="A706" s="8" t="n">
        <v>565</v>
      </c>
      <c r="B706" s="8" t="s">
        <v>27</v>
      </c>
      <c r="C706" s="8" t="s">
        <v>3340</v>
      </c>
      <c r="D706" s="8" t="n">
        <v>2024</v>
      </c>
      <c r="E706" s="8" t="s">
        <v>3341</v>
      </c>
      <c r="F706" s="8" t="s">
        <v>143</v>
      </c>
      <c r="G706" s="8" t="s">
        <v>3342</v>
      </c>
      <c r="H706" s="8" t="s">
        <v>145</v>
      </c>
      <c r="I706" s="8" t="s">
        <v>522</v>
      </c>
      <c r="J706" s="8" t="s">
        <v>3343</v>
      </c>
      <c r="K706" s="8" t="s">
        <v>114</v>
      </c>
      <c r="L706" s="8" t="s">
        <v>3344</v>
      </c>
    </row>
    <row r="707" customFormat="false" ht="34.5" hidden="false" customHeight="true" outlineLevel="0" collapsed="false">
      <c r="A707" s="8" t="n">
        <v>566</v>
      </c>
      <c r="B707" s="8" t="s">
        <v>27</v>
      </c>
      <c r="C707" s="8" t="s">
        <v>3345</v>
      </c>
      <c r="D707" s="8" t="n">
        <v>2022</v>
      </c>
      <c r="E707" s="8" t="s">
        <v>3346</v>
      </c>
      <c r="F707" s="8" t="s">
        <v>143</v>
      </c>
      <c r="G707" s="8" t="s">
        <v>3347</v>
      </c>
      <c r="H707" s="8" t="s">
        <v>2741</v>
      </c>
      <c r="I707" s="8" t="s">
        <v>153</v>
      </c>
      <c r="J707" s="8" t="s">
        <v>3348</v>
      </c>
      <c r="K707" s="8"/>
      <c r="L707" s="8" t="s">
        <v>3349</v>
      </c>
    </row>
    <row r="708" customFormat="false" ht="34.5" hidden="false" customHeight="true" outlineLevel="0" collapsed="false">
      <c r="A708" s="8" t="n">
        <v>567</v>
      </c>
      <c r="B708" s="8" t="s">
        <v>27</v>
      </c>
      <c r="C708" s="8" t="s">
        <v>3350</v>
      </c>
      <c r="D708" s="8" t="n">
        <v>2022</v>
      </c>
      <c r="E708" s="8" t="s">
        <v>3351</v>
      </c>
      <c r="F708" s="8" t="s">
        <v>143</v>
      </c>
      <c r="G708" s="8" t="s">
        <v>152</v>
      </c>
      <c r="H708" s="8" t="s">
        <v>145</v>
      </c>
      <c r="I708" s="8" t="s">
        <v>153</v>
      </c>
      <c r="J708" s="8" t="s">
        <v>3352</v>
      </c>
      <c r="K708" s="8"/>
      <c r="L708" s="8" t="s">
        <v>3353</v>
      </c>
    </row>
    <row r="709" customFormat="false" ht="34.5" hidden="false" customHeight="true" outlineLevel="0" collapsed="false">
      <c r="A709" s="13" t="n">
        <v>568</v>
      </c>
      <c r="B709" s="14" t="s">
        <v>27</v>
      </c>
      <c r="C709" s="14" t="s">
        <v>3354</v>
      </c>
      <c r="D709" s="14" t="n">
        <v>2019</v>
      </c>
      <c r="E709" s="14" t="s">
        <v>3355</v>
      </c>
      <c r="F709" s="14" t="s">
        <v>201</v>
      </c>
      <c r="G709" s="14" t="s">
        <v>364</v>
      </c>
      <c r="H709" s="14" t="s">
        <v>145</v>
      </c>
      <c r="I709" s="14" t="s">
        <v>153</v>
      </c>
      <c r="J709" s="14" t="s">
        <v>3356</v>
      </c>
      <c r="K709" s="14"/>
      <c r="L709" s="14" t="s">
        <v>3357</v>
      </c>
    </row>
    <row r="710" customFormat="false" ht="34.5" hidden="false" customHeight="true" outlineLevel="0" collapsed="false">
      <c r="A710" s="15" t="n">
        <v>568</v>
      </c>
      <c r="B710" s="16" t="s">
        <v>29</v>
      </c>
      <c r="C710" s="16" t="s">
        <v>3358</v>
      </c>
      <c r="D710" s="16" t="n">
        <v>2019</v>
      </c>
      <c r="E710" s="16" t="s">
        <v>3355</v>
      </c>
      <c r="F710" s="16" t="s">
        <v>579</v>
      </c>
      <c r="G710" s="16" t="s">
        <v>3359</v>
      </c>
      <c r="H710" s="16" t="s">
        <v>145</v>
      </c>
      <c r="I710" s="16" t="s">
        <v>153</v>
      </c>
      <c r="J710" s="16" t="s">
        <v>3360</v>
      </c>
      <c r="K710" s="16"/>
      <c r="L710" s="16" t="s">
        <v>3361</v>
      </c>
    </row>
    <row r="711" customFormat="false" ht="34.5" hidden="false" customHeight="true" outlineLevel="0" collapsed="false">
      <c r="A711" s="15" t="n">
        <v>568</v>
      </c>
      <c r="B711" s="16" t="s">
        <v>47</v>
      </c>
      <c r="C711" s="16" t="s">
        <v>3362</v>
      </c>
      <c r="D711" s="16" t="n">
        <v>2019</v>
      </c>
      <c r="E711" s="16" t="s">
        <v>3363</v>
      </c>
      <c r="F711" s="16" t="s">
        <v>201</v>
      </c>
      <c r="G711" s="16" t="s">
        <v>197</v>
      </c>
      <c r="H711" s="16" t="s">
        <v>145</v>
      </c>
      <c r="I711" s="16" t="s">
        <v>153</v>
      </c>
      <c r="J711" s="16" t="s">
        <v>594</v>
      </c>
      <c r="K711" s="16"/>
      <c r="L711" s="16" t="s">
        <v>3364</v>
      </c>
    </row>
    <row r="712" customFormat="false" ht="34.5" hidden="false" customHeight="true" outlineLevel="0" collapsed="false">
      <c r="A712" s="8" t="n">
        <v>569</v>
      </c>
      <c r="B712" s="8" t="s">
        <v>27</v>
      </c>
      <c r="C712" s="8" t="s">
        <v>3365</v>
      </c>
      <c r="D712" s="8" t="n">
        <v>2021</v>
      </c>
      <c r="E712" s="8" t="s">
        <v>3366</v>
      </c>
      <c r="F712" s="8" t="s">
        <v>151</v>
      </c>
      <c r="G712" s="8" t="s">
        <v>3367</v>
      </c>
      <c r="H712" s="8" t="s">
        <v>327</v>
      </c>
      <c r="I712" s="8" t="s">
        <v>153</v>
      </c>
      <c r="J712" s="8" t="s">
        <v>3368</v>
      </c>
      <c r="K712" s="8" t="s">
        <v>114</v>
      </c>
      <c r="L712" s="8" t="s">
        <v>3369</v>
      </c>
    </row>
    <row r="713" customFormat="false" ht="34.5" hidden="false" customHeight="true" outlineLevel="0" collapsed="false">
      <c r="A713" s="8" t="n">
        <v>570</v>
      </c>
      <c r="B713" s="8" t="s">
        <v>27</v>
      </c>
      <c r="C713" s="8" t="s">
        <v>3370</v>
      </c>
      <c r="D713" s="8" t="n">
        <v>2023</v>
      </c>
      <c r="E713" s="8" t="s">
        <v>3371</v>
      </c>
      <c r="F713" s="8" t="s">
        <v>143</v>
      </c>
      <c r="G713" s="8" t="s">
        <v>1278</v>
      </c>
      <c r="H713" s="8" t="s">
        <v>255</v>
      </c>
      <c r="I713" s="8" t="s">
        <v>146</v>
      </c>
      <c r="J713" s="8" t="s">
        <v>1174</v>
      </c>
      <c r="K713" s="8" t="s">
        <v>112</v>
      </c>
      <c r="L713" s="8" t="s">
        <v>3372</v>
      </c>
    </row>
    <row r="714" customFormat="false" ht="34.5" hidden="false" customHeight="true" outlineLevel="0" collapsed="false">
      <c r="A714" s="8" t="n">
        <v>571</v>
      </c>
      <c r="B714" s="8" t="s">
        <v>27</v>
      </c>
      <c r="C714" s="8" t="s">
        <v>3373</v>
      </c>
      <c r="D714" s="8" t="n">
        <v>1999</v>
      </c>
      <c r="E714" s="8" t="s">
        <v>3374</v>
      </c>
      <c r="F714" s="8" t="s">
        <v>143</v>
      </c>
      <c r="G714" s="8" t="s">
        <v>3375</v>
      </c>
      <c r="H714" s="8" t="s">
        <v>187</v>
      </c>
      <c r="I714" s="8" t="s">
        <v>153</v>
      </c>
      <c r="J714" s="8" t="s">
        <v>3376</v>
      </c>
      <c r="K714" s="8"/>
      <c r="L714" s="8" t="s">
        <v>3377</v>
      </c>
    </row>
    <row r="715" customFormat="false" ht="34.5" hidden="false" customHeight="true" outlineLevel="0" collapsed="false">
      <c r="A715" s="13" t="n">
        <v>572</v>
      </c>
      <c r="B715" s="14" t="s">
        <v>27</v>
      </c>
      <c r="C715" s="14" t="s">
        <v>3378</v>
      </c>
      <c r="D715" s="14" t="n">
        <v>2023</v>
      </c>
      <c r="E715" s="14" t="s">
        <v>3379</v>
      </c>
      <c r="F715" s="14" t="s">
        <v>201</v>
      </c>
      <c r="G715" s="14" t="s">
        <v>3380</v>
      </c>
      <c r="H715" s="14" t="s">
        <v>145</v>
      </c>
      <c r="I715" s="14" t="s">
        <v>146</v>
      </c>
      <c r="J715" s="14" t="s">
        <v>3381</v>
      </c>
      <c r="K715" s="14" t="s">
        <v>112</v>
      </c>
      <c r="L715" s="14" t="s">
        <v>3382</v>
      </c>
    </row>
    <row r="716" customFormat="false" ht="23.25" hidden="false" customHeight="true" outlineLevel="0" collapsed="false">
      <c r="A716" s="15" t="n">
        <v>572</v>
      </c>
      <c r="B716" s="16" t="s">
        <v>81</v>
      </c>
      <c r="C716" s="16" t="s">
        <v>3378</v>
      </c>
      <c r="D716" s="16" t="n">
        <v>2023</v>
      </c>
      <c r="E716" s="16" t="s">
        <v>3383</v>
      </c>
      <c r="F716" s="16" t="s">
        <v>2840</v>
      </c>
      <c r="G716" s="16" t="s">
        <v>1278</v>
      </c>
      <c r="H716" s="16" t="s">
        <v>145</v>
      </c>
      <c r="I716" s="16" t="s">
        <v>146</v>
      </c>
      <c r="J716" s="16" t="s">
        <v>3384</v>
      </c>
      <c r="K716" s="16" t="s">
        <v>112</v>
      </c>
      <c r="L716" s="16" t="s">
        <v>3385</v>
      </c>
    </row>
    <row r="717" customFormat="false" ht="34.5" hidden="false" customHeight="true" outlineLevel="0" collapsed="false">
      <c r="A717" s="8" t="n">
        <v>573</v>
      </c>
      <c r="B717" s="8" t="s">
        <v>27</v>
      </c>
      <c r="C717" s="8" t="s">
        <v>3386</v>
      </c>
      <c r="D717" s="8" t="n">
        <v>2007</v>
      </c>
      <c r="E717" s="8" t="s">
        <v>3387</v>
      </c>
      <c r="F717" s="8" t="s">
        <v>151</v>
      </c>
      <c r="G717" s="8" t="s">
        <v>832</v>
      </c>
      <c r="H717" s="8" t="s">
        <v>3388</v>
      </c>
      <c r="I717" s="8" t="s">
        <v>146</v>
      </c>
      <c r="J717" s="8" t="s">
        <v>3389</v>
      </c>
      <c r="K717" s="8"/>
      <c r="L717" s="8" t="s">
        <v>3390</v>
      </c>
    </row>
    <row r="718" customFormat="false" ht="34.5" hidden="false" customHeight="true" outlineLevel="0" collapsed="false">
      <c r="A718" s="8" t="n">
        <v>574</v>
      </c>
      <c r="B718" s="8" t="s">
        <v>27</v>
      </c>
      <c r="C718" s="8" t="s">
        <v>3391</v>
      </c>
      <c r="D718" s="8" t="n">
        <v>2023</v>
      </c>
      <c r="E718" s="8" t="s">
        <v>3392</v>
      </c>
      <c r="F718" s="8" t="s">
        <v>143</v>
      </c>
      <c r="G718" s="8" t="s">
        <v>3393</v>
      </c>
      <c r="H718" s="8" t="s">
        <v>1373</v>
      </c>
      <c r="I718" s="8" t="s">
        <v>153</v>
      </c>
      <c r="J718" s="8" t="s">
        <v>3394</v>
      </c>
      <c r="K718" s="8" t="s">
        <v>110</v>
      </c>
      <c r="L718" s="8" t="s">
        <v>3395</v>
      </c>
    </row>
    <row r="719" customFormat="false" ht="23.25" hidden="false" customHeight="true" outlineLevel="0" collapsed="false">
      <c r="A719" s="8" t="n">
        <v>575</v>
      </c>
      <c r="B719" s="8" t="s">
        <v>27</v>
      </c>
      <c r="C719" s="8" t="s">
        <v>3396</v>
      </c>
      <c r="D719" s="8" t="n">
        <v>2023</v>
      </c>
      <c r="E719" s="8" t="s">
        <v>3397</v>
      </c>
      <c r="F719" s="8" t="s">
        <v>143</v>
      </c>
      <c r="G719" s="8" t="s">
        <v>3398</v>
      </c>
      <c r="H719" s="8" t="s">
        <v>145</v>
      </c>
      <c r="I719" s="8" t="s">
        <v>153</v>
      </c>
      <c r="J719" s="8" t="s">
        <v>3142</v>
      </c>
      <c r="K719" s="8" t="s">
        <v>110</v>
      </c>
      <c r="L719" s="8" t="s">
        <v>3399</v>
      </c>
    </row>
    <row r="720" customFormat="false" ht="34.5" hidden="false" customHeight="true" outlineLevel="0" collapsed="false">
      <c r="A720" s="8" t="n">
        <v>576</v>
      </c>
      <c r="B720" s="8" t="s">
        <v>27</v>
      </c>
      <c r="C720" s="8" t="s">
        <v>3400</v>
      </c>
      <c r="D720" s="8" t="n">
        <v>2024</v>
      </c>
      <c r="E720" s="8" t="s">
        <v>3401</v>
      </c>
      <c r="F720" s="8" t="s">
        <v>143</v>
      </c>
      <c r="G720" s="8" t="s">
        <v>3402</v>
      </c>
      <c r="H720" s="8" t="s">
        <v>145</v>
      </c>
      <c r="I720" s="8" t="s">
        <v>153</v>
      </c>
      <c r="J720" s="8" t="s">
        <v>1462</v>
      </c>
      <c r="K720" s="8" t="s">
        <v>110</v>
      </c>
      <c r="L720" s="8" t="s">
        <v>3403</v>
      </c>
    </row>
    <row r="721" customFormat="false" ht="34.5" hidden="false" customHeight="true" outlineLevel="0" collapsed="false">
      <c r="A721" s="8" t="n">
        <v>577</v>
      </c>
      <c r="B721" s="8" t="s">
        <v>27</v>
      </c>
      <c r="C721" s="8" t="s">
        <v>3404</v>
      </c>
      <c r="D721" s="8" t="n">
        <v>2023</v>
      </c>
      <c r="E721" s="8" t="s">
        <v>3405</v>
      </c>
      <c r="F721" s="8" t="s">
        <v>143</v>
      </c>
      <c r="G721" s="8" t="s">
        <v>3406</v>
      </c>
      <c r="H721" s="8" t="s">
        <v>3407</v>
      </c>
      <c r="I721" s="8" t="s">
        <v>146</v>
      </c>
      <c r="J721" s="8" t="s">
        <v>3280</v>
      </c>
      <c r="K721" s="8" t="s">
        <v>112</v>
      </c>
      <c r="L721" s="8" t="s">
        <v>3408</v>
      </c>
    </row>
    <row r="722" customFormat="false" ht="34.5" hidden="false" customHeight="true" outlineLevel="0" collapsed="false">
      <c r="A722" s="13" t="n">
        <v>578</v>
      </c>
      <c r="B722" s="14" t="s">
        <v>27</v>
      </c>
      <c r="C722" s="14" t="s">
        <v>3409</v>
      </c>
      <c r="D722" s="14" t="n">
        <v>2019</v>
      </c>
      <c r="E722" s="14" t="s">
        <v>3410</v>
      </c>
      <c r="F722" s="14" t="s">
        <v>143</v>
      </c>
      <c r="G722" s="14" t="s">
        <v>3411</v>
      </c>
      <c r="H722" s="14" t="s">
        <v>145</v>
      </c>
      <c r="I722" s="14" t="s">
        <v>387</v>
      </c>
      <c r="J722" s="14" t="s">
        <v>3412</v>
      </c>
      <c r="K722" s="14" t="s">
        <v>112</v>
      </c>
      <c r="L722" s="14" t="s">
        <v>3413</v>
      </c>
    </row>
    <row r="723" customFormat="false" ht="34.5" hidden="false" customHeight="true" outlineLevel="0" collapsed="false">
      <c r="A723" s="15" t="n">
        <v>578</v>
      </c>
      <c r="B723" s="16" t="s">
        <v>61</v>
      </c>
      <c r="C723" s="16" t="s">
        <v>3409</v>
      </c>
      <c r="D723" s="16" t="n">
        <v>2019</v>
      </c>
      <c r="E723" s="16" t="s">
        <v>3414</v>
      </c>
      <c r="F723" s="16" t="s">
        <v>201</v>
      </c>
      <c r="G723" s="16" t="s">
        <v>3415</v>
      </c>
      <c r="H723" s="16" t="s">
        <v>1373</v>
      </c>
      <c r="I723" s="16" t="s">
        <v>387</v>
      </c>
      <c r="J723" s="16" t="s">
        <v>3416</v>
      </c>
      <c r="K723" s="16" t="s">
        <v>112</v>
      </c>
      <c r="L723" s="16" t="s">
        <v>3417</v>
      </c>
    </row>
    <row r="724" customFormat="false" ht="34.5" hidden="false" customHeight="true" outlineLevel="0" collapsed="false">
      <c r="A724" s="8" t="n">
        <v>579</v>
      </c>
      <c r="B724" s="8" t="s">
        <v>27</v>
      </c>
      <c r="C724" s="8" t="s">
        <v>1971</v>
      </c>
      <c r="D724" s="8" t="n">
        <v>2023</v>
      </c>
      <c r="E724" s="8" t="s">
        <v>3418</v>
      </c>
      <c r="F724" s="8" t="s">
        <v>151</v>
      </c>
      <c r="G724" s="8" t="s">
        <v>3419</v>
      </c>
      <c r="H724" s="8" t="s">
        <v>3279</v>
      </c>
      <c r="I724" s="8" t="s">
        <v>146</v>
      </c>
      <c r="J724" s="8" t="s">
        <v>3420</v>
      </c>
      <c r="K724" s="8" t="s">
        <v>112</v>
      </c>
      <c r="L724" s="8" t="s">
        <v>3421</v>
      </c>
    </row>
    <row r="725" customFormat="false" ht="34.5" hidden="false" customHeight="true" outlineLevel="0" collapsed="false">
      <c r="A725" s="8" t="n">
        <v>580</v>
      </c>
      <c r="B725" s="8" t="s">
        <v>27</v>
      </c>
      <c r="C725" s="8" t="s">
        <v>3422</v>
      </c>
      <c r="D725" s="8" t="n">
        <v>2022</v>
      </c>
      <c r="E725" s="8" t="s">
        <v>3423</v>
      </c>
      <c r="F725" s="8" t="s">
        <v>151</v>
      </c>
      <c r="G725" s="8" t="s">
        <v>3424</v>
      </c>
      <c r="H725" s="8" t="s">
        <v>187</v>
      </c>
      <c r="I725" s="8" t="s">
        <v>208</v>
      </c>
      <c r="J725" s="8" t="s">
        <v>3425</v>
      </c>
      <c r="K725" s="8" t="s">
        <v>112</v>
      </c>
      <c r="L725" s="8" t="s">
        <v>3426</v>
      </c>
    </row>
    <row r="726" customFormat="false" ht="34.5" hidden="false" customHeight="true" outlineLevel="0" collapsed="false">
      <c r="A726" s="8" t="n">
        <v>581</v>
      </c>
      <c r="B726" s="8" t="s">
        <v>27</v>
      </c>
      <c r="C726" s="8" t="s">
        <v>3427</v>
      </c>
      <c r="D726" s="8" t="n">
        <v>2022</v>
      </c>
      <c r="E726" s="8" t="s">
        <v>3428</v>
      </c>
      <c r="F726" s="8" t="s">
        <v>151</v>
      </c>
      <c r="G726" s="8" t="s">
        <v>152</v>
      </c>
      <c r="H726" s="8" t="s">
        <v>145</v>
      </c>
      <c r="I726" s="8" t="s">
        <v>153</v>
      </c>
      <c r="J726" s="8" t="s">
        <v>2675</v>
      </c>
      <c r="K726" s="8"/>
      <c r="L726" s="8" t="s">
        <v>3429</v>
      </c>
    </row>
    <row r="727" customFormat="false" ht="34.5" hidden="false" customHeight="true" outlineLevel="0" collapsed="false">
      <c r="A727" s="8" t="n">
        <v>582</v>
      </c>
      <c r="B727" s="8" t="s">
        <v>27</v>
      </c>
      <c r="C727" s="8" t="s">
        <v>3430</v>
      </c>
      <c r="D727" s="8" t="n">
        <v>2019</v>
      </c>
      <c r="E727" s="8" t="s">
        <v>3431</v>
      </c>
      <c r="F727" s="8" t="s">
        <v>143</v>
      </c>
      <c r="G727" s="8" t="s">
        <v>1168</v>
      </c>
      <c r="H727" s="8" t="s">
        <v>145</v>
      </c>
      <c r="I727" s="8" t="s">
        <v>387</v>
      </c>
      <c r="J727" s="8" t="s">
        <v>3432</v>
      </c>
      <c r="K727" s="8" t="s">
        <v>112</v>
      </c>
      <c r="L727" s="8" t="s">
        <v>3433</v>
      </c>
    </row>
    <row r="728" customFormat="false" ht="34.5" hidden="false" customHeight="true" outlineLevel="0" collapsed="false">
      <c r="A728" s="9" t="n">
        <v>583</v>
      </c>
      <c r="B728" s="10" t="s">
        <v>27</v>
      </c>
      <c r="C728" s="10" t="s">
        <v>3434</v>
      </c>
      <c r="D728" s="10" t="n">
        <v>2023</v>
      </c>
      <c r="E728" s="10" t="s">
        <v>3435</v>
      </c>
      <c r="F728" s="10" t="s">
        <v>143</v>
      </c>
      <c r="G728" s="10" t="s">
        <v>2299</v>
      </c>
      <c r="H728" s="10" t="s">
        <v>145</v>
      </c>
      <c r="I728" s="10" t="s">
        <v>153</v>
      </c>
      <c r="J728" s="10" t="s">
        <v>3436</v>
      </c>
      <c r="K728" s="10"/>
      <c r="L728" s="10" t="s">
        <v>3437</v>
      </c>
    </row>
    <row r="729" customFormat="false" ht="34.5" hidden="false" customHeight="true" outlineLevel="0" collapsed="false">
      <c r="A729" s="11" t="n">
        <v>583</v>
      </c>
      <c r="B729" s="12" t="s">
        <v>81</v>
      </c>
      <c r="C729" s="12" t="s">
        <v>3434</v>
      </c>
      <c r="D729" s="12" t="n">
        <v>2023</v>
      </c>
      <c r="E729" s="12" t="s">
        <v>3438</v>
      </c>
      <c r="F729" s="12" t="s">
        <v>143</v>
      </c>
      <c r="G729" s="12" t="s">
        <v>3439</v>
      </c>
      <c r="H729" s="12" t="s">
        <v>145</v>
      </c>
      <c r="I729" s="12" t="s">
        <v>153</v>
      </c>
      <c r="J729" s="12" t="s">
        <v>3440</v>
      </c>
      <c r="K729" s="12" t="s">
        <v>114</v>
      </c>
      <c r="L729" s="12" t="s">
        <v>3441</v>
      </c>
    </row>
    <row r="730" customFormat="false" ht="34.5" hidden="false" customHeight="true" outlineLevel="0" collapsed="false">
      <c r="A730" s="8" t="n">
        <v>584</v>
      </c>
      <c r="B730" s="8" t="s">
        <v>27</v>
      </c>
      <c r="C730" s="8" t="s">
        <v>3442</v>
      </c>
      <c r="D730" s="8" t="n">
        <v>2020</v>
      </c>
      <c r="E730" s="8" t="s">
        <v>3443</v>
      </c>
      <c r="F730" s="8" t="s">
        <v>143</v>
      </c>
      <c r="G730" s="8" t="s">
        <v>3444</v>
      </c>
      <c r="H730" s="8" t="s">
        <v>145</v>
      </c>
      <c r="I730" s="8" t="s">
        <v>146</v>
      </c>
      <c r="J730" s="8" t="s">
        <v>3445</v>
      </c>
      <c r="K730" s="8" t="s">
        <v>114</v>
      </c>
      <c r="L730" s="8" t="s">
        <v>3446</v>
      </c>
    </row>
    <row r="731" customFormat="false" ht="34.5" hidden="false" customHeight="true" outlineLevel="0" collapsed="false">
      <c r="A731" s="8" t="n">
        <v>585</v>
      </c>
      <c r="B731" s="8" t="s">
        <v>27</v>
      </c>
      <c r="C731" s="8" t="s">
        <v>2452</v>
      </c>
      <c r="D731" s="8" t="n">
        <v>2015</v>
      </c>
      <c r="E731" s="8" t="s">
        <v>3447</v>
      </c>
      <c r="F731" s="8" t="s">
        <v>151</v>
      </c>
      <c r="G731" s="8" t="s">
        <v>3448</v>
      </c>
      <c r="H731" s="8" t="s">
        <v>145</v>
      </c>
      <c r="I731" s="8" t="s">
        <v>153</v>
      </c>
      <c r="J731" s="8" t="s">
        <v>3449</v>
      </c>
      <c r="K731" s="8"/>
      <c r="L731" s="8" t="s">
        <v>3450</v>
      </c>
    </row>
    <row r="732" customFormat="false" ht="34.5" hidden="false" customHeight="true" outlineLevel="0" collapsed="false">
      <c r="A732" s="13" t="n">
        <v>586</v>
      </c>
      <c r="B732" s="14" t="s">
        <v>27</v>
      </c>
      <c r="C732" s="14" t="s">
        <v>3451</v>
      </c>
      <c r="D732" s="14" t="n">
        <v>2019</v>
      </c>
      <c r="E732" s="14" t="s">
        <v>3452</v>
      </c>
      <c r="F732" s="14" t="s">
        <v>143</v>
      </c>
      <c r="G732" s="14" t="s">
        <v>1424</v>
      </c>
      <c r="H732" s="14" t="s">
        <v>3146</v>
      </c>
      <c r="I732" s="14" t="s">
        <v>387</v>
      </c>
      <c r="J732" s="14" t="s">
        <v>3453</v>
      </c>
      <c r="K732" s="14" t="s">
        <v>112</v>
      </c>
      <c r="L732" s="14" t="s">
        <v>3454</v>
      </c>
    </row>
    <row r="733" customFormat="false" ht="34.5" hidden="false" customHeight="true" outlineLevel="0" collapsed="false">
      <c r="A733" s="15" t="n">
        <v>586</v>
      </c>
      <c r="B733" s="16" t="s">
        <v>77</v>
      </c>
      <c r="C733" s="16" t="s">
        <v>3455</v>
      </c>
      <c r="D733" s="16" t="n">
        <v>2019</v>
      </c>
      <c r="E733" s="16" t="s">
        <v>3452</v>
      </c>
      <c r="F733" s="16" t="s">
        <v>143</v>
      </c>
      <c r="G733" s="16" t="s">
        <v>1264</v>
      </c>
      <c r="H733" s="16" t="s">
        <v>145</v>
      </c>
      <c r="I733" s="16" t="s">
        <v>387</v>
      </c>
      <c r="J733" s="16" t="s">
        <v>3456</v>
      </c>
      <c r="K733" s="16" t="s">
        <v>112</v>
      </c>
      <c r="L733" s="16" t="s">
        <v>3457</v>
      </c>
    </row>
    <row r="734" customFormat="false" ht="34.5" hidden="false" customHeight="true" outlineLevel="0" collapsed="false">
      <c r="A734" s="15" t="n">
        <v>586</v>
      </c>
      <c r="B734" s="16" t="s">
        <v>81</v>
      </c>
      <c r="C734" s="16" t="s">
        <v>3451</v>
      </c>
      <c r="D734" s="16" t="n">
        <v>2019</v>
      </c>
      <c r="E734" s="16" t="s">
        <v>3458</v>
      </c>
      <c r="F734" s="16" t="s">
        <v>143</v>
      </c>
      <c r="G734" s="16" t="s">
        <v>1424</v>
      </c>
      <c r="H734" s="16" t="s">
        <v>145</v>
      </c>
      <c r="I734" s="16" t="s">
        <v>153</v>
      </c>
      <c r="J734" s="16" t="s">
        <v>3459</v>
      </c>
      <c r="K734" s="16" t="s">
        <v>112</v>
      </c>
      <c r="L734" s="16" t="s">
        <v>3460</v>
      </c>
    </row>
    <row r="735" customFormat="false" ht="34.5" hidden="false" customHeight="true" outlineLevel="0" collapsed="false">
      <c r="A735" s="9" t="n">
        <v>587</v>
      </c>
      <c r="B735" s="10" t="s">
        <v>27</v>
      </c>
      <c r="C735" s="10" t="s">
        <v>3461</v>
      </c>
      <c r="D735" s="10" t="n">
        <v>2021</v>
      </c>
      <c r="E735" s="10" t="s">
        <v>3462</v>
      </c>
      <c r="F735" s="10" t="s">
        <v>151</v>
      </c>
      <c r="G735" s="10" t="s">
        <v>3463</v>
      </c>
      <c r="H735" s="10" t="s">
        <v>3464</v>
      </c>
      <c r="I735" s="10" t="s">
        <v>522</v>
      </c>
      <c r="J735" s="10" t="s">
        <v>3465</v>
      </c>
      <c r="K735" s="10" t="s">
        <v>114</v>
      </c>
      <c r="L735" s="10" t="s">
        <v>3466</v>
      </c>
    </row>
    <row r="736" customFormat="false" ht="34.5" hidden="false" customHeight="true" outlineLevel="0" collapsed="false">
      <c r="A736" s="11" t="n">
        <v>587</v>
      </c>
      <c r="B736" s="12" t="s">
        <v>29</v>
      </c>
      <c r="C736" s="12" t="s">
        <v>3467</v>
      </c>
      <c r="D736" s="12" t="n">
        <v>2021</v>
      </c>
      <c r="E736" s="12" t="s">
        <v>3462</v>
      </c>
      <c r="F736" s="12" t="s">
        <v>151</v>
      </c>
      <c r="G736" s="12" t="s">
        <v>3468</v>
      </c>
      <c r="H736" s="12" t="s">
        <v>3464</v>
      </c>
      <c r="I736" s="12" t="s">
        <v>146</v>
      </c>
      <c r="J736" s="12" t="s">
        <v>3469</v>
      </c>
      <c r="K736" s="12" t="s">
        <v>114</v>
      </c>
      <c r="L736" s="12" t="s">
        <v>3470</v>
      </c>
    </row>
    <row r="737" customFormat="false" ht="34.5" hidden="false" customHeight="true" outlineLevel="0" collapsed="false">
      <c r="A737" s="8" t="n">
        <v>588</v>
      </c>
      <c r="B737" s="8" t="s">
        <v>27</v>
      </c>
      <c r="C737" s="8" t="s">
        <v>3471</v>
      </c>
      <c r="D737" s="8" t="n">
        <v>2023</v>
      </c>
      <c r="E737" s="8" t="s">
        <v>3472</v>
      </c>
      <c r="F737" s="8" t="s">
        <v>143</v>
      </c>
      <c r="G737" s="8" t="s">
        <v>3473</v>
      </c>
      <c r="H737" s="8" t="s">
        <v>632</v>
      </c>
      <c r="I737" s="8" t="s">
        <v>146</v>
      </c>
      <c r="J737" s="8" t="s">
        <v>3474</v>
      </c>
      <c r="K737" s="8"/>
      <c r="L737" s="8" t="s">
        <v>3475</v>
      </c>
    </row>
    <row r="738" customFormat="false" ht="34.5" hidden="false" customHeight="true" outlineLevel="0" collapsed="false">
      <c r="A738" s="8" t="n">
        <v>589</v>
      </c>
      <c r="B738" s="8" t="s">
        <v>27</v>
      </c>
      <c r="C738" s="8" t="s">
        <v>3476</v>
      </c>
      <c r="D738" s="8" t="n">
        <v>2016</v>
      </c>
      <c r="E738" s="8" t="s">
        <v>3477</v>
      </c>
      <c r="F738" s="8" t="s">
        <v>143</v>
      </c>
      <c r="G738" s="8" t="s">
        <v>152</v>
      </c>
      <c r="H738" s="8" t="s">
        <v>145</v>
      </c>
      <c r="I738" s="8" t="s">
        <v>153</v>
      </c>
      <c r="J738" s="8" t="s">
        <v>3478</v>
      </c>
      <c r="K738" s="8"/>
      <c r="L738" s="8" t="s">
        <v>3479</v>
      </c>
    </row>
    <row r="739" customFormat="false" ht="34.5" hidden="false" customHeight="true" outlineLevel="0" collapsed="false">
      <c r="A739" s="13" t="n">
        <v>590</v>
      </c>
      <c r="B739" s="14" t="s">
        <v>27</v>
      </c>
      <c r="C739" s="14" t="s">
        <v>3480</v>
      </c>
      <c r="D739" s="14" t="n">
        <v>2020</v>
      </c>
      <c r="E739" s="14" t="s">
        <v>3481</v>
      </c>
      <c r="F739" s="14" t="s">
        <v>151</v>
      </c>
      <c r="G739" s="14" t="s">
        <v>152</v>
      </c>
      <c r="H739" s="14" t="s">
        <v>145</v>
      </c>
      <c r="I739" s="14" t="s">
        <v>387</v>
      </c>
      <c r="J739" s="14" t="s">
        <v>3482</v>
      </c>
      <c r="K739" s="14"/>
      <c r="L739" s="14" t="s">
        <v>3483</v>
      </c>
    </row>
    <row r="740" customFormat="false" ht="34.5" hidden="false" customHeight="true" outlineLevel="0" collapsed="false">
      <c r="A740" s="15" t="n">
        <v>590</v>
      </c>
      <c r="B740" s="16" t="s">
        <v>47</v>
      </c>
      <c r="C740" s="16" t="s">
        <v>3484</v>
      </c>
      <c r="D740" s="16" t="n">
        <v>2020</v>
      </c>
      <c r="E740" s="16" t="s">
        <v>3485</v>
      </c>
      <c r="F740" s="16" t="s">
        <v>151</v>
      </c>
      <c r="G740" s="16" t="s">
        <v>152</v>
      </c>
      <c r="H740" s="16" t="s">
        <v>145</v>
      </c>
      <c r="I740" s="16" t="s">
        <v>387</v>
      </c>
      <c r="J740" s="16" t="s">
        <v>3486</v>
      </c>
      <c r="K740" s="16"/>
      <c r="L740" s="16" t="s">
        <v>3487</v>
      </c>
    </row>
    <row r="741" customFormat="false" ht="34.5" hidden="false" customHeight="true" outlineLevel="0" collapsed="false">
      <c r="A741" s="15" t="n">
        <v>590</v>
      </c>
      <c r="B741" s="16" t="s">
        <v>51</v>
      </c>
      <c r="C741" s="16" t="s">
        <v>3480</v>
      </c>
      <c r="D741" s="16" t="n">
        <v>2020</v>
      </c>
      <c r="E741" s="16" t="s">
        <v>3485</v>
      </c>
      <c r="F741" s="16" t="s">
        <v>151</v>
      </c>
      <c r="G741" s="16" t="s">
        <v>152</v>
      </c>
      <c r="H741" s="16" t="s">
        <v>145</v>
      </c>
      <c r="I741" s="16" t="s">
        <v>387</v>
      </c>
      <c r="J741" s="16" t="s">
        <v>3488</v>
      </c>
      <c r="K741" s="16"/>
      <c r="L741" s="16" t="s">
        <v>3489</v>
      </c>
    </row>
    <row r="742" customFormat="false" ht="34.5" hidden="false" customHeight="true" outlineLevel="0" collapsed="false">
      <c r="A742" s="8" t="n">
        <v>591</v>
      </c>
      <c r="B742" s="8" t="s">
        <v>27</v>
      </c>
      <c r="C742" s="8" t="s">
        <v>3490</v>
      </c>
      <c r="D742" s="8" t="n">
        <v>2023</v>
      </c>
      <c r="E742" s="8" t="s">
        <v>3491</v>
      </c>
      <c r="F742" s="8" t="s">
        <v>143</v>
      </c>
      <c r="G742" s="8" t="s">
        <v>3492</v>
      </c>
      <c r="H742" s="8" t="s">
        <v>145</v>
      </c>
      <c r="I742" s="8" t="s">
        <v>146</v>
      </c>
      <c r="J742" s="8" t="s">
        <v>3493</v>
      </c>
      <c r="K742" s="8"/>
      <c r="L742" s="8" t="s">
        <v>3494</v>
      </c>
    </row>
    <row r="743" customFormat="false" ht="34.5" hidden="false" customHeight="true" outlineLevel="0" collapsed="false">
      <c r="A743" s="13" t="n">
        <v>592</v>
      </c>
      <c r="B743" s="14" t="s">
        <v>27</v>
      </c>
      <c r="C743" s="14" t="s">
        <v>3495</v>
      </c>
      <c r="D743" s="14" t="n">
        <v>2023</v>
      </c>
      <c r="E743" s="14" t="s">
        <v>3496</v>
      </c>
      <c r="F743" s="14" t="s">
        <v>143</v>
      </c>
      <c r="G743" s="14" t="s">
        <v>3497</v>
      </c>
      <c r="H743" s="14" t="s">
        <v>145</v>
      </c>
      <c r="I743" s="14" t="s">
        <v>146</v>
      </c>
      <c r="J743" s="14" t="s">
        <v>3498</v>
      </c>
      <c r="K743" s="14" t="s">
        <v>114</v>
      </c>
      <c r="L743" s="14" t="s">
        <v>3499</v>
      </c>
    </row>
    <row r="744" customFormat="false" ht="34.5" hidden="false" customHeight="true" outlineLevel="0" collapsed="false">
      <c r="A744" s="15" t="n">
        <v>592</v>
      </c>
      <c r="B744" s="16" t="s">
        <v>29</v>
      </c>
      <c r="C744" s="16" t="s">
        <v>3490</v>
      </c>
      <c r="D744" s="16" t="n">
        <v>2023</v>
      </c>
      <c r="E744" s="16" t="s">
        <v>3496</v>
      </c>
      <c r="F744" s="16" t="s">
        <v>143</v>
      </c>
      <c r="G744" s="16" t="s">
        <v>3500</v>
      </c>
      <c r="H744" s="16" t="s">
        <v>145</v>
      </c>
      <c r="I744" s="16" t="s">
        <v>146</v>
      </c>
      <c r="J744" s="16" t="s">
        <v>3501</v>
      </c>
      <c r="K744" s="16" t="s">
        <v>114</v>
      </c>
      <c r="L744" s="16" t="s">
        <v>3502</v>
      </c>
    </row>
    <row r="745" customFormat="false" ht="34.5" hidden="false" customHeight="true" outlineLevel="0" collapsed="false">
      <c r="A745" s="8" t="n">
        <v>593</v>
      </c>
      <c r="B745" s="8" t="s">
        <v>27</v>
      </c>
      <c r="C745" s="8" t="s">
        <v>3503</v>
      </c>
      <c r="D745" s="8" t="n">
        <v>2019</v>
      </c>
      <c r="E745" s="8" t="s">
        <v>3504</v>
      </c>
      <c r="F745" s="8" t="s">
        <v>143</v>
      </c>
      <c r="G745" s="8" t="s">
        <v>3505</v>
      </c>
      <c r="H745" s="8" t="s">
        <v>145</v>
      </c>
      <c r="I745" s="8" t="s">
        <v>146</v>
      </c>
      <c r="J745" s="8" t="s">
        <v>3506</v>
      </c>
      <c r="K745" s="8"/>
      <c r="L745" s="8" t="s">
        <v>3507</v>
      </c>
    </row>
    <row r="746" customFormat="false" ht="34.5" hidden="false" customHeight="true" outlineLevel="0" collapsed="false">
      <c r="A746" s="8" t="n">
        <v>594</v>
      </c>
      <c r="B746" s="8" t="s">
        <v>27</v>
      </c>
      <c r="C746" s="8" t="s">
        <v>3508</v>
      </c>
      <c r="D746" s="8" t="n">
        <v>2013</v>
      </c>
      <c r="E746" s="8" t="s">
        <v>3509</v>
      </c>
      <c r="F746" s="8" t="s">
        <v>143</v>
      </c>
      <c r="G746" s="8" t="s">
        <v>3510</v>
      </c>
      <c r="H746" s="8" t="s">
        <v>3511</v>
      </c>
      <c r="I746" s="8" t="s">
        <v>146</v>
      </c>
      <c r="J746" s="8" t="s">
        <v>3512</v>
      </c>
      <c r="K746" s="8" t="s">
        <v>116</v>
      </c>
      <c r="L746" s="8" t="s">
        <v>3513</v>
      </c>
    </row>
    <row r="747" customFormat="false" ht="45.75" hidden="false" customHeight="true" outlineLevel="0" collapsed="false">
      <c r="A747" s="8" t="n">
        <v>595</v>
      </c>
      <c r="B747" s="8" t="s">
        <v>27</v>
      </c>
      <c r="C747" s="8" t="s">
        <v>3514</v>
      </c>
      <c r="D747" s="8" t="n">
        <v>2024</v>
      </c>
      <c r="E747" s="8" t="s">
        <v>3515</v>
      </c>
      <c r="F747" s="8" t="s">
        <v>151</v>
      </c>
      <c r="G747" s="8" t="s">
        <v>626</v>
      </c>
      <c r="H747" s="8" t="s">
        <v>255</v>
      </c>
      <c r="I747" s="8" t="s">
        <v>146</v>
      </c>
      <c r="J747" s="8" t="s">
        <v>3516</v>
      </c>
      <c r="K747" s="8" t="s">
        <v>112</v>
      </c>
      <c r="L747" s="8" t="s">
        <v>3517</v>
      </c>
    </row>
    <row r="748" customFormat="false" ht="34.5" hidden="false" customHeight="true" outlineLevel="0" collapsed="false">
      <c r="A748" s="13" t="n">
        <v>596</v>
      </c>
      <c r="B748" s="14" t="s">
        <v>27</v>
      </c>
      <c r="C748" s="14" t="s">
        <v>1261</v>
      </c>
      <c r="D748" s="14" t="n">
        <v>2015</v>
      </c>
      <c r="E748" s="14" t="s">
        <v>3518</v>
      </c>
      <c r="F748" s="14" t="s">
        <v>579</v>
      </c>
      <c r="G748" s="14" t="s">
        <v>1264</v>
      </c>
      <c r="H748" s="14" t="s">
        <v>255</v>
      </c>
      <c r="I748" s="14" t="s">
        <v>146</v>
      </c>
      <c r="J748" s="14" t="s">
        <v>3519</v>
      </c>
      <c r="K748" s="14" t="s">
        <v>112</v>
      </c>
      <c r="L748" s="14" t="s">
        <v>3520</v>
      </c>
    </row>
    <row r="749" customFormat="false" ht="34.5" hidden="false" customHeight="true" outlineLevel="0" collapsed="false">
      <c r="A749" s="15" t="n">
        <v>596</v>
      </c>
      <c r="B749" s="16" t="s">
        <v>61</v>
      </c>
      <c r="C749" s="16" t="s">
        <v>1261</v>
      </c>
      <c r="D749" s="16" t="n">
        <v>2015</v>
      </c>
      <c r="E749" s="16" t="s">
        <v>3521</v>
      </c>
      <c r="F749" s="16" t="s">
        <v>579</v>
      </c>
      <c r="G749" s="16" t="s">
        <v>1264</v>
      </c>
      <c r="H749" s="16" t="s">
        <v>255</v>
      </c>
      <c r="I749" s="16" t="s">
        <v>146</v>
      </c>
      <c r="J749" s="16" t="s">
        <v>3522</v>
      </c>
      <c r="K749" s="16" t="s">
        <v>112</v>
      </c>
      <c r="L749" s="16" t="s">
        <v>3523</v>
      </c>
    </row>
    <row r="750" customFormat="false" ht="34.5" hidden="false" customHeight="true" outlineLevel="0" collapsed="false">
      <c r="A750" s="15" t="n">
        <v>596</v>
      </c>
      <c r="B750" s="16" t="s">
        <v>81</v>
      </c>
      <c r="C750" s="16" t="s">
        <v>1261</v>
      </c>
      <c r="D750" s="16" t="n">
        <v>2015</v>
      </c>
      <c r="E750" s="16" t="s">
        <v>3524</v>
      </c>
      <c r="F750" s="16" t="s">
        <v>3525</v>
      </c>
      <c r="G750" s="16" t="s">
        <v>3526</v>
      </c>
      <c r="H750" s="16" t="s">
        <v>255</v>
      </c>
      <c r="I750" s="16" t="s">
        <v>146</v>
      </c>
      <c r="J750" s="16" t="s">
        <v>3527</v>
      </c>
      <c r="K750" s="16" t="s">
        <v>112</v>
      </c>
      <c r="L750" s="16" t="s">
        <v>3528</v>
      </c>
    </row>
    <row r="751" customFormat="false" ht="34.5" hidden="false" customHeight="true" outlineLevel="0" collapsed="false">
      <c r="A751" s="9" t="n">
        <v>597</v>
      </c>
      <c r="B751" s="10" t="s">
        <v>27</v>
      </c>
      <c r="C751" s="10" t="s">
        <v>1261</v>
      </c>
      <c r="D751" s="10" t="n">
        <v>2024</v>
      </c>
      <c r="E751" s="10" t="s">
        <v>3529</v>
      </c>
      <c r="F751" s="10" t="s">
        <v>143</v>
      </c>
      <c r="G751" s="10" t="s">
        <v>3530</v>
      </c>
      <c r="H751" s="10" t="s">
        <v>145</v>
      </c>
      <c r="I751" s="10" t="s">
        <v>153</v>
      </c>
      <c r="J751" s="10" t="s">
        <v>3531</v>
      </c>
      <c r="K751" s="10" t="s">
        <v>110</v>
      </c>
      <c r="L751" s="10" t="s">
        <v>3532</v>
      </c>
    </row>
    <row r="752" customFormat="false" ht="34.5" hidden="false" customHeight="true" outlineLevel="0" collapsed="false">
      <c r="A752" s="11" t="n">
        <v>597</v>
      </c>
      <c r="B752" s="12" t="s">
        <v>43</v>
      </c>
      <c r="C752" s="12" t="s">
        <v>1261</v>
      </c>
      <c r="D752" s="12" t="n">
        <v>2024</v>
      </c>
      <c r="E752" s="12" t="s">
        <v>3533</v>
      </c>
      <c r="F752" s="12" t="s">
        <v>143</v>
      </c>
      <c r="G752" s="12" t="s">
        <v>1163</v>
      </c>
      <c r="H752" s="12" t="s">
        <v>145</v>
      </c>
      <c r="I752" s="12" t="s">
        <v>153</v>
      </c>
      <c r="J752" s="12" t="s">
        <v>3534</v>
      </c>
      <c r="K752" s="12" t="s">
        <v>112</v>
      </c>
      <c r="L752" s="12" t="s">
        <v>3535</v>
      </c>
    </row>
    <row r="753" customFormat="false" ht="23.25" hidden="false" customHeight="true" outlineLevel="0" collapsed="false">
      <c r="A753" s="11" t="n">
        <v>597</v>
      </c>
      <c r="B753" s="12" t="s">
        <v>81</v>
      </c>
      <c r="C753" s="12" t="s">
        <v>1261</v>
      </c>
      <c r="D753" s="12" t="n">
        <v>2024</v>
      </c>
      <c r="E753" s="12" t="s">
        <v>3533</v>
      </c>
      <c r="F753" s="12" t="s">
        <v>143</v>
      </c>
      <c r="G753" s="12" t="s">
        <v>1163</v>
      </c>
      <c r="H753" s="12" t="s">
        <v>145</v>
      </c>
      <c r="I753" s="12" t="s">
        <v>153</v>
      </c>
      <c r="J753" s="12" t="s">
        <v>3536</v>
      </c>
      <c r="K753" s="12" t="s">
        <v>112</v>
      </c>
      <c r="L753" s="12" t="s">
        <v>3537</v>
      </c>
    </row>
    <row r="754" customFormat="false" ht="34.5" hidden="false" customHeight="true" outlineLevel="0" collapsed="false">
      <c r="A754" s="8" t="n">
        <v>598</v>
      </c>
      <c r="B754" s="8" t="s">
        <v>27</v>
      </c>
      <c r="C754" s="8" t="s">
        <v>3538</v>
      </c>
      <c r="D754" s="8" t="n">
        <v>2013</v>
      </c>
      <c r="E754" s="8" t="s">
        <v>3539</v>
      </c>
      <c r="F754" s="8" t="s">
        <v>151</v>
      </c>
      <c r="G754" s="8" t="s">
        <v>152</v>
      </c>
      <c r="H754" s="8" t="s">
        <v>145</v>
      </c>
      <c r="I754" s="8" t="s">
        <v>387</v>
      </c>
      <c r="J754" s="8" t="s">
        <v>3540</v>
      </c>
      <c r="K754" s="8" t="s">
        <v>112</v>
      </c>
      <c r="L754" s="8" t="s">
        <v>3541</v>
      </c>
    </row>
    <row r="755" customFormat="false" ht="34.5" hidden="false" customHeight="true" outlineLevel="0" collapsed="false">
      <c r="A755" s="9" t="n">
        <v>599</v>
      </c>
      <c r="B755" s="10" t="s">
        <v>27</v>
      </c>
      <c r="C755" s="10" t="s">
        <v>619</v>
      </c>
      <c r="D755" s="10" t="n">
        <v>2020</v>
      </c>
      <c r="E755" s="10" t="s">
        <v>3542</v>
      </c>
      <c r="F755" s="10" t="s">
        <v>201</v>
      </c>
      <c r="G755" s="10" t="s">
        <v>3543</v>
      </c>
      <c r="H755" s="10" t="s">
        <v>145</v>
      </c>
      <c r="I755" s="10" t="s">
        <v>387</v>
      </c>
      <c r="J755" s="10" t="s">
        <v>3544</v>
      </c>
      <c r="K755" s="10" t="s">
        <v>112</v>
      </c>
      <c r="L755" s="10" t="s">
        <v>3545</v>
      </c>
    </row>
    <row r="756" customFormat="false" ht="34.5" hidden="false" customHeight="true" outlineLevel="0" collapsed="false">
      <c r="A756" s="11" t="n">
        <v>599</v>
      </c>
      <c r="B756" s="12" t="s">
        <v>47</v>
      </c>
      <c r="C756" s="12" t="s">
        <v>3546</v>
      </c>
      <c r="D756" s="12" t="n">
        <v>2020</v>
      </c>
      <c r="E756" s="12" t="s">
        <v>3547</v>
      </c>
      <c r="F756" s="12" t="s">
        <v>201</v>
      </c>
      <c r="G756" s="12" t="s">
        <v>626</v>
      </c>
      <c r="H756" s="12" t="s">
        <v>145</v>
      </c>
      <c r="I756" s="12" t="s">
        <v>387</v>
      </c>
      <c r="J756" s="12" t="s">
        <v>3548</v>
      </c>
      <c r="K756" s="12" t="s">
        <v>112</v>
      </c>
      <c r="L756" s="12" t="s">
        <v>3549</v>
      </c>
    </row>
    <row r="757" customFormat="false" ht="34.5" hidden="false" customHeight="true" outlineLevel="0" collapsed="false">
      <c r="A757" s="8" t="n">
        <v>600</v>
      </c>
      <c r="B757" s="8" t="s">
        <v>27</v>
      </c>
      <c r="C757" s="8" t="s">
        <v>3550</v>
      </c>
      <c r="D757" s="8" t="n">
        <v>2018</v>
      </c>
      <c r="E757" s="8" t="s">
        <v>3551</v>
      </c>
      <c r="F757" s="8" t="s">
        <v>143</v>
      </c>
      <c r="G757" s="8" t="s">
        <v>3552</v>
      </c>
      <c r="H757" s="8" t="s">
        <v>3511</v>
      </c>
      <c r="I757" s="8" t="s">
        <v>146</v>
      </c>
      <c r="J757" s="8" t="s">
        <v>3553</v>
      </c>
      <c r="K757" s="8" t="s">
        <v>116</v>
      </c>
      <c r="L757" s="8" t="s">
        <v>3554</v>
      </c>
    </row>
    <row r="758" customFormat="false" ht="34.5" hidden="false" customHeight="true" outlineLevel="0" collapsed="false">
      <c r="A758" s="8" t="n">
        <v>601</v>
      </c>
      <c r="B758" s="8" t="s">
        <v>27</v>
      </c>
      <c r="C758" s="8" t="s">
        <v>3555</v>
      </c>
      <c r="D758" s="8" t="n">
        <v>2023</v>
      </c>
      <c r="E758" s="8" t="s">
        <v>3556</v>
      </c>
      <c r="F758" s="8" t="s">
        <v>143</v>
      </c>
      <c r="G758" s="8" t="s">
        <v>3557</v>
      </c>
      <c r="H758" s="8" t="s">
        <v>3558</v>
      </c>
      <c r="I758" s="8" t="s">
        <v>146</v>
      </c>
      <c r="J758" s="8" t="s">
        <v>3559</v>
      </c>
      <c r="K758" s="8" t="s">
        <v>110</v>
      </c>
      <c r="L758" s="8" t="s">
        <v>3560</v>
      </c>
    </row>
    <row r="759" customFormat="false" ht="34.5" hidden="false" customHeight="true" outlineLevel="0" collapsed="false">
      <c r="A759" s="8" t="n">
        <v>602</v>
      </c>
      <c r="B759" s="8" t="s">
        <v>27</v>
      </c>
      <c r="C759" s="8" t="s">
        <v>3561</v>
      </c>
      <c r="D759" s="8" t="n">
        <v>2020</v>
      </c>
      <c r="E759" s="8" t="s">
        <v>3562</v>
      </c>
      <c r="F759" s="8" t="s">
        <v>143</v>
      </c>
      <c r="G759" s="8" t="s">
        <v>152</v>
      </c>
      <c r="H759" s="8" t="s">
        <v>145</v>
      </c>
      <c r="I759" s="8" t="s">
        <v>146</v>
      </c>
      <c r="J759" s="8" t="s">
        <v>3563</v>
      </c>
      <c r="K759" s="8"/>
      <c r="L759" s="8" t="s">
        <v>3564</v>
      </c>
    </row>
    <row r="760" customFormat="false" ht="34.5" hidden="false" customHeight="true" outlineLevel="0" collapsed="false">
      <c r="A760" s="8" t="n">
        <v>603</v>
      </c>
      <c r="B760" s="8" t="s">
        <v>27</v>
      </c>
      <c r="C760" s="8" t="s">
        <v>3565</v>
      </c>
      <c r="D760" s="8" t="n">
        <v>1998</v>
      </c>
      <c r="E760" s="8" t="s">
        <v>3566</v>
      </c>
      <c r="F760" s="8" t="s">
        <v>143</v>
      </c>
      <c r="G760" s="8" t="s">
        <v>1264</v>
      </c>
      <c r="H760" s="8" t="s">
        <v>145</v>
      </c>
      <c r="I760" s="8" t="s">
        <v>153</v>
      </c>
      <c r="J760" s="8" t="s">
        <v>3567</v>
      </c>
      <c r="K760" s="8" t="s">
        <v>112</v>
      </c>
      <c r="L760" s="8" t="s">
        <v>3568</v>
      </c>
    </row>
    <row r="761" customFormat="false" ht="34.5" hidden="false" customHeight="true" outlineLevel="0" collapsed="false">
      <c r="A761" s="8" t="n">
        <v>604</v>
      </c>
      <c r="B761" s="8" t="s">
        <v>27</v>
      </c>
      <c r="C761" s="8" t="s">
        <v>3569</v>
      </c>
      <c r="D761" s="8" t="n">
        <v>2019</v>
      </c>
      <c r="E761" s="8" t="s">
        <v>3570</v>
      </c>
      <c r="F761" s="8" t="s">
        <v>143</v>
      </c>
      <c r="G761" s="8" t="s">
        <v>3571</v>
      </c>
      <c r="H761" s="8" t="s">
        <v>145</v>
      </c>
      <c r="I761" s="8" t="s">
        <v>153</v>
      </c>
      <c r="J761" s="8" t="s">
        <v>3572</v>
      </c>
      <c r="K761" s="8" t="s">
        <v>112</v>
      </c>
      <c r="L761" s="8" t="s">
        <v>3573</v>
      </c>
    </row>
    <row r="762" customFormat="false" ht="34.5" hidden="false" customHeight="true" outlineLevel="0" collapsed="false">
      <c r="A762" s="8" t="n">
        <v>605</v>
      </c>
      <c r="B762" s="8" t="s">
        <v>27</v>
      </c>
      <c r="C762" s="8" t="s">
        <v>3574</v>
      </c>
      <c r="D762" s="8" t="n">
        <v>2024</v>
      </c>
      <c r="E762" s="8" t="s">
        <v>3575</v>
      </c>
      <c r="F762" s="8" t="s">
        <v>143</v>
      </c>
      <c r="G762" s="8" t="s">
        <v>3576</v>
      </c>
      <c r="H762" s="8" t="s">
        <v>145</v>
      </c>
      <c r="I762" s="8" t="s">
        <v>387</v>
      </c>
      <c r="J762" s="8" t="s">
        <v>3577</v>
      </c>
      <c r="K762" s="8"/>
      <c r="L762" s="8" t="s">
        <v>3578</v>
      </c>
    </row>
    <row r="763" customFormat="false" ht="34.5" hidden="false" customHeight="true" outlineLevel="0" collapsed="false">
      <c r="A763" s="8" t="n">
        <v>606</v>
      </c>
      <c r="B763" s="8" t="s">
        <v>27</v>
      </c>
      <c r="C763" s="8" t="s">
        <v>3579</v>
      </c>
      <c r="D763" s="8" t="n">
        <v>2009</v>
      </c>
      <c r="E763" s="8" t="s">
        <v>3580</v>
      </c>
      <c r="F763" s="8" t="s">
        <v>143</v>
      </c>
      <c r="G763" s="8" t="s">
        <v>3581</v>
      </c>
      <c r="H763" s="8" t="s">
        <v>3582</v>
      </c>
      <c r="I763" s="8" t="s">
        <v>146</v>
      </c>
      <c r="J763" s="8" t="s">
        <v>3583</v>
      </c>
      <c r="K763" s="8" t="s">
        <v>116</v>
      </c>
      <c r="L763" s="8" t="s">
        <v>3584</v>
      </c>
    </row>
    <row r="764" customFormat="false" ht="34.5" hidden="false" customHeight="true" outlineLevel="0" collapsed="false">
      <c r="A764" s="8" t="n">
        <v>607</v>
      </c>
      <c r="B764" s="8" t="s">
        <v>27</v>
      </c>
      <c r="C764" s="8" t="s">
        <v>3585</v>
      </c>
      <c r="D764" s="8" t="n">
        <v>2023</v>
      </c>
      <c r="E764" s="8" t="s">
        <v>3586</v>
      </c>
      <c r="F764" s="8" t="s">
        <v>143</v>
      </c>
      <c r="G764" s="8" t="s">
        <v>3587</v>
      </c>
      <c r="H764" s="8" t="s">
        <v>285</v>
      </c>
      <c r="I764" s="8" t="s">
        <v>387</v>
      </c>
      <c r="J764" s="8" t="s">
        <v>3588</v>
      </c>
      <c r="K764" s="8" t="s">
        <v>110</v>
      </c>
      <c r="L764" s="8" t="s">
        <v>3589</v>
      </c>
    </row>
    <row r="765" customFormat="false" ht="34.5" hidden="false" customHeight="true" outlineLevel="0" collapsed="false">
      <c r="A765" s="8" t="n">
        <v>608</v>
      </c>
      <c r="B765" s="8" t="s">
        <v>27</v>
      </c>
      <c r="C765" s="8" t="s">
        <v>3590</v>
      </c>
      <c r="D765" s="8" t="n">
        <v>2022</v>
      </c>
      <c r="E765" s="8" t="s">
        <v>3591</v>
      </c>
      <c r="F765" s="8" t="s">
        <v>143</v>
      </c>
      <c r="G765" s="8" t="s">
        <v>3510</v>
      </c>
      <c r="H765" s="8" t="s">
        <v>3592</v>
      </c>
      <c r="I765" s="8" t="s">
        <v>146</v>
      </c>
      <c r="J765" s="8" t="s">
        <v>3593</v>
      </c>
      <c r="K765" s="8" t="s">
        <v>116</v>
      </c>
      <c r="L765" s="8" t="s">
        <v>3594</v>
      </c>
    </row>
    <row r="766" customFormat="false" ht="34.5" hidden="false" customHeight="true" outlineLevel="0" collapsed="false">
      <c r="A766" s="8" t="n">
        <v>609</v>
      </c>
      <c r="B766" s="8" t="s">
        <v>27</v>
      </c>
      <c r="C766" s="8" t="s">
        <v>3595</v>
      </c>
      <c r="D766" s="8" t="n">
        <v>2008</v>
      </c>
      <c r="E766" s="8" t="s">
        <v>3596</v>
      </c>
      <c r="F766" s="8" t="s">
        <v>201</v>
      </c>
      <c r="G766" s="8" t="s">
        <v>1619</v>
      </c>
      <c r="H766" s="8" t="s">
        <v>145</v>
      </c>
      <c r="I766" s="8" t="s">
        <v>146</v>
      </c>
      <c r="J766" s="8" t="s">
        <v>3597</v>
      </c>
      <c r="K766" s="8" t="s">
        <v>116</v>
      </c>
      <c r="L766" s="8" t="s">
        <v>3598</v>
      </c>
    </row>
    <row r="767" customFormat="false" ht="34.5" hidden="false" customHeight="true" outlineLevel="0" collapsed="false">
      <c r="A767" s="8" t="n">
        <v>610</v>
      </c>
      <c r="B767" s="8" t="s">
        <v>27</v>
      </c>
      <c r="C767" s="8" t="s">
        <v>3599</v>
      </c>
      <c r="D767" s="8" t="n">
        <v>2023</v>
      </c>
      <c r="E767" s="8" t="s">
        <v>3600</v>
      </c>
      <c r="F767" s="8" t="s">
        <v>143</v>
      </c>
      <c r="G767" s="8" t="s">
        <v>2751</v>
      </c>
      <c r="H767" s="8" t="s">
        <v>145</v>
      </c>
      <c r="I767" s="8" t="s">
        <v>153</v>
      </c>
      <c r="J767" s="8" t="s">
        <v>3601</v>
      </c>
      <c r="K767" s="8" t="s">
        <v>110</v>
      </c>
      <c r="L767" s="8" t="s">
        <v>3602</v>
      </c>
    </row>
    <row r="768" customFormat="false" ht="34.5" hidden="false" customHeight="true" outlineLevel="0" collapsed="false">
      <c r="A768" s="8" t="n">
        <v>611</v>
      </c>
      <c r="B768" s="8" t="s">
        <v>27</v>
      </c>
      <c r="C768" s="8" t="s">
        <v>3603</v>
      </c>
      <c r="D768" s="8" t="n">
        <v>2004</v>
      </c>
      <c r="E768" s="8" t="s">
        <v>3604</v>
      </c>
      <c r="F768" s="8" t="s">
        <v>143</v>
      </c>
      <c r="G768" s="8" t="s">
        <v>3605</v>
      </c>
      <c r="H768" s="8" t="s">
        <v>3606</v>
      </c>
      <c r="I768" s="8" t="s">
        <v>146</v>
      </c>
      <c r="J768" s="8" t="s">
        <v>3607</v>
      </c>
      <c r="K768" s="8" t="s">
        <v>116</v>
      </c>
      <c r="L768" s="8" t="s">
        <v>3608</v>
      </c>
    </row>
    <row r="769" customFormat="false" ht="34.5" hidden="false" customHeight="true" outlineLevel="0" collapsed="false">
      <c r="A769" s="8" t="n">
        <v>612</v>
      </c>
      <c r="B769" s="8" t="s">
        <v>27</v>
      </c>
      <c r="C769" s="8" t="s">
        <v>3609</v>
      </c>
      <c r="D769" s="8" t="n">
        <v>2023</v>
      </c>
      <c r="E769" s="8" t="s">
        <v>3610</v>
      </c>
      <c r="F769" s="8" t="s">
        <v>143</v>
      </c>
      <c r="G769" s="8" t="s">
        <v>3611</v>
      </c>
      <c r="H769" s="8" t="s">
        <v>145</v>
      </c>
      <c r="I769" s="8" t="s">
        <v>146</v>
      </c>
      <c r="J769" s="8" t="s">
        <v>3612</v>
      </c>
      <c r="K769" s="8" t="s">
        <v>116</v>
      </c>
      <c r="L769" s="8" t="s">
        <v>3613</v>
      </c>
    </row>
    <row r="770" customFormat="false" ht="34.5" hidden="false" customHeight="true" outlineLevel="0" collapsed="false">
      <c r="A770" s="8" t="n">
        <v>613</v>
      </c>
      <c r="B770" s="8" t="s">
        <v>27</v>
      </c>
      <c r="C770" s="8" t="s">
        <v>3614</v>
      </c>
      <c r="D770" s="8" t="n">
        <v>2002</v>
      </c>
      <c r="E770" s="8" t="s">
        <v>3615</v>
      </c>
      <c r="F770" s="8" t="s">
        <v>151</v>
      </c>
      <c r="G770" s="8" t="s">
        <v>3616</v>
      </c>
      <c r="H770" s="8" t="s">
        <v>3617</v>
      </c>
      <c r="I770" s="8" t="s">
        <v>146</v>
      </c>
      <c r="J770" s="8" t="s">
        <v>3618</v>
      </c>
      <c r="K770" s="8"/>
      <c r="L770" s="8" t="s">
        <v>3619</v>
      </c>
    </row>
    <row r="771" customFormat="false" ht="34.5" hidden="false" customHeight="true" outlineLevel="0" collapsed="false">
      <c r="A771" s="8" t="n">
        <v>614</v>
      </c>
      <c r="B771" s="8" t="s">
        <v>27</v>
      </c>
      <c r="C771" s="8" t="s">
        <v>3620</v>
      </c>
      <c r="D771" s="8" t="n">
        <v>2023</v>
      </c>
      <c r="E771" s="8" t="s">
        <v>3621</v>
      </c>
      <c r="F771" s="8" t="s">
        <v>143</v>
      </c>
      <c r="G771" s="8" t="s">
        <v>1513</v>
      </c>
      <c r="H771" s="8" t="s">
        <v>145</v>
      </c>
      <c r="I771" s="8" t="s">
        <v>153</v>
      </c>
      <c r="J771" s="8" t="s">
        <v>3622</v>
      </c>
      <c r="K771" s="8" t="s">
        <v>114</v>
      </c>
      <c r="L771" s="8" t="s">
        <v>3623</v>
      </c>
    </row>
    <row r="772" customFormat="false" ht="34.5" hidden="false" customHeight="true" outlineLevel="0" collapsed="false">
      <c r="A772" s="8" t="n">
        <v>615</v>
      </c>
      <c r="B772" s="8" t="s">
        <v>27</v>
      </c>
      <c r="C772" s="8" t="s">
        <v>3624</v>
      </c>
      <c r="D772" s="8" t="n">
        <v>2014</v>
      </c>
      <c r="E772" s="8" t="s">
        <v>3625</v>
      </c>
      <c r="F772" s="8" t="s">
        <v>143</v>
      </c>
      <c r="G772" s="8" t="s">
        <v>3581</v>
      </c>
      <c r="H772" s="8" t="s">
        <v>1373</v>
      </c>
      <c r="I772" s="8" t="s">
        <v>387</v>
      </c>
      <c r="J772" s="8" t="s">
        <v>3626</v>
      </c>
      <c r="K772" s="8" t="s">
        <v>116</v>
      </c>
      <c r="L772" s="8" t="s">
        <v>3627</v>
      </c>
    </row>
    <row r="773" customFormat="false" ht="34.5" hidden="false" customHeight="true" outlineLevel="0" collapsed="false">
      <c r="A773" s="8" t="n">
        <v>616</v>
      </c>
      <c r="B773" s="8" t="s">
        <v>27</v>
      </c>
      <c r="C773" s="8" t="s">
        <v>3628</v>
      </c>
      <c r="D773" s="8" t="n">
        <v>2017</v>
      </c>
      <c r="E773" s="8" t="s">
        <v>3629</v>
      </c>
      <c r="F773" s="8" t="s">
        <v>201</v>
      </c>
      <c r="G773" s="8" t="s">
        <v>152</v>
      </c>
      <c r="H773" s="8" t="s">
        <v>3630</v>
      </c>
      <c r="I773" s="8" t="s">
        <v>146</v>
      </c>
      <c r="J773" s="8" t="s">
        <v>3631</v>
      </c>
      <c r="K773" s="8" t="s">
        <v>116</v>
      </c>
      <c r="L773" s="8" t="s">
        <v>3632</v>
      </c>
    </row>
    <row r="774" customFormat="false" ht="34.5" hidden="false" customHeight="true" outlineLevel="0" collapsed="false">
      <c r="A774" s="9" t="n">
        <v>617</v>
      </c>
      <c r="B774" s="10" t="s">
        <v>27</v>
      </c>
      <c r="C774" s="10" t="s">
        <v>1435</v>
      </c>
      <c r="D774" s="10" t="n">
        <v>2023</v>
      </c>
      <c r="E774" s="10" t="s">
        <v>3633</v>
      </c>
      <c r="F774" s="10" t="s">
        <v>143</v>
      </c>
      <c r="G774" s="10" t="s">
        <v>3634</v>
      </c>
      <c r="H774" s="10" t="s">
        <v>145</v>
      </c>
      <c r="I774" s="10" t="s">
        <v>153</v>
      </c>
      <c r="J774" s="10" t="s">
        <v>3635</v>
      </c>
      <c r="K774" s="10" t="s">
        <v>110</v>
      </c>
      <c r="L774" s="10" t="s">
        <v>3636</v>
      </c>
    </row>
    <row r="775" customFormat="false" ht="34.5" hidden="false" customHeight="true" outlineLevel="0" collapsed="false">
      <c r="A775" s="11" t="n">
        <v>617</v>
      </c>
      <c r="B775" s="12" t="s">
        <v>81</v>
      </c>
      <c r="C775" s="12" t="s">
        <v>2710</v>
      </c>
      <c r="D775" s="12" t="n">
        <v>2023</v>
      </c>
      <c r="E775" s="12" t="s">
        <v>3637</v>
      </c>
      <c r="F775" s="12" t="s">
        <v>143</v>
      </c>
      <c r="G775" s="12" t="s">
        <v>3638</v>
      </c>
      <c r="H775" s="12" t="s">
        <v>145</v>
      </c>
      <c r="I775" s="12" t="s">
        <v>153</v>
      </c>
      <c r="J775" s="12" t="s">
        <v>3639</v>
      </c>
      <c r="K775" s="12" t="s">
        <v>110</v>
      </c>
      <c r="L775" s="12" t="s">
        <v>3640</v>
      </c>
    </row>
    <row r="776" customFormat="false" ht="34.5" hidden="false" customHeight="true" outlineLevel="0" collapsed="false">
      <c r="A776" s="8" t="n">
        <v>618</v>
      </c>
      <c r="B776" s="8" t="s">
        <v>27</v>
      </c>
      <c r="C776" s="8" t="s">
        <v>3641</v>
      </c>
      <c r="D776" s="8" t="n">
        <v>2018</v>
      </c>
      <c r="E776" s="8" t="s">
        <v>3642</v>
      </c>
      <c r="F776" s="8" t="s">
        <v>143</v>
      </c>
      <c r="G776" s="8" t="s">
        <v>3552</v>
      </c>
      <c r="H776" s="8" t="s">
        <v>145</v>
      </c>
      <c r="I776" s="8" t="s">
        <v>153</v>
      </c>
      <c r="J776" s="8" t="s">
        <v>3643</v>
      </c>
      <c r="K776" s="8"/>
      <c r="L776" s="8" t="s">
        <v>3644</v>
      </c>
    </row>
    <row r="777" customFormat="false" ht="34.5" hidden="false" customHeight="true" outlineLevel="0" collapsed="false">
      <c r="A777" s="8" t="n">
        <v>619</v>
      </c>
      <c r="B777" s="8" t="s">
        <v>27</v>
      </c>
      <c r="C777" s="8" t="s">
        <v>1303</v>
      </c>
      <c r="D777" s="8" t="n">
        <v>2023</v>
      </c>
      <c r="E777" s="8" t="s">
        <v>3645</v>
      </c>
      <c r="F777" s="8" t="s">
        <v>143</v>
      </c>
      <c r="G777" s="8" t="s">
        <v>3646</v>
      </c>
      <c r="H777" s="8" t="s">
        <v>3647</v>
      </c>
      <c r="I777" s="8" t="s">
        <v>146</v>
      </c>
      <c r="J777" s="8" t="s">
        <v>3648</v>
      </c>
      <c r="K777" s="8" t="s">
        <v>112</v>
      </c>
      <c r="L777" s="8" t="s">
        <v>3649</v>
      </c>
    </row>
    <row r="778" customFormat="false" ht="34.5" hidden="false" customHeight="true" outlineLevel="0" collapsed="false">
      <c r="A778" s="8" t="n">
        <v>620</v>
      </c>
      <c r="B778" s="8" t="s">
        <v>27</v>
      </c>
      <c r="C778" s="8" t="s">
        <v>3650</v>
      </c>
      <c r="D778" s="8" t="n">
        <v>2013</v>
      </c>
      <c r="E778" s="8" t="s">
        <v>3651</v>
      </c>
      <c r="F778" s="8" t="s">
        <v>143</v>
      </c>
      <c r="G778" s="8" t="s">
        <v>197</v>
      </c>
      <c r="H778" s="8" t="s">
        <v>145</v>
      </c>
      <c r="I778" s="8" t="s">
        <v>153</v>
      </c>
      <c r="J778" s="8" t="s">
        <v>3652</v>
      </c>
      <c r="K778" s="8"/>
      <c r="L778" s="8" t="s">
        <v>3653</v>
      </c>
    </row>
    <row r="779" customFormat="false" ht="34.5" hidden="false" customHeight="true" outlineLevel="0" collapsed="false">
      <c r="A779" s="8" t="n">
        <v>621</v>
      </c>
      <c r="B779" s="8" t="s">
        <v>27</v>
      </c>
      <c r="C779" s="8" t="s">
        <v>3654</v>
      </c>
      <c r="D779" s="8" t="n">
        <v>2004</v>
      </c>
      <c r="E779" s="8" t="s">
        <v>3655</v>
      </c>
      <c r="F779" s="8" t="s">
        <v>143</v>
      </c>
      <c r="G779" s="8" t="s">
        <v>3656</v>
      </c>
      <c r="H779" s="8" t="s">
        <v>187</v>
      </c>
      <c r="I779" s="8" t="s">
        <v>208</v>
      </c>
      <c r="J779" s="8" t="s">
        <v>3657</v>
      </c>
      <c r="K779" s="8" t="s">
        <v>112</v>
      </c>
      <c r="L779" s="8" t="s">
        <v>3658</v>
      </c>
    </row>
    <row r="780" customFormat="false" ht="34.5" hidden="false" customHeight="true" outlineLevel="0" collapsed="false">
      <c r="A780" s="8" t="n">
        <v>622</v>
      </c>
      <c r="B780" s="8" t="s">
        <v>27</v>
      </c>
      <c r="C780" s="8" t="s">
        <v>3659</v>
      </c>
      <c r="D780" s="8" t="n">
        <v>2018</v>
      </c>
      <c r="E780" s="8" t="s">
        <v>3660</v>
      </c>
      <c r="F780" s="8" t="s">
        <v>143</v>
      </c>
      <c r="G780" s="8" t="s">
        <v>3510</v>
      </c>
      <c r="H780" s="8" t="s">
        <v>1373</v>
      </c>
      <c r="I780" s="8" t="s">
        <v>146</v>
      </c>
      <c r="J780" s="8" t="s">
        <v>3661</v>
      </c>
      <c r="K780" s="8"/>
      <c r="L780" s="8" t="s">
        <v>3662</v>
      </c>
    </row>
    <row r="781" customFormat="false" ht="34.5" hidden="false" customHeight="true" outlineLevel="0" collapsed="false">
      <c r="A781" s="8" t="n">
        <v>623</v>
      </c>
      <c r="B781" s="8" t="s">
        <v>27</v>
      </c>
      <c r="C781" s="8" t="s">
        <v>3663</v>
      </c>
      <c r="D781" s="8" t="n">
        <v>2018</v>
      </c>
      <c r="E781" s="8" t="s">
        <v>3664</v>
      </c>
      <c r="F781" s="8" t="s">
        <v>143</v>
      </c>
      <c r="G781" s="8" t="s">
        <v>3665</v>
      </c>
      <c r="H781" s="8" t="s">
        <v>914</v>
      </c>
      <c r="I781" s="8" t="s">
        <v>146</v>
      </c>
      <c r="J781" s="8" t="s">
        <v>3666</v>
      </c>
      <c r="K781" s="8"/>
      <c r="L781" s="8" t="s">
        <v>3667</v>
      </c>
    </row>
    <row r="782" customFormat="false" ht="23.25" hidden="false" customHeight="true" outlineLevel="0" collapsed="false">
      <c r="A782" s="8" t="n">
        <v>624</v>
      </c>
      <c r="B782" s="8" t="s">
        <v>27</v>
      </c>
      <c r="C782" s="8" t="s">
        <v>3668</v>
      </c>
      <c r="D782" s="8" t="n">
        <v>2011</v>
      </c>
      <c r="E782" s="8" t="s">
        <v>3669</v>
      </c>
      <c r="F782" s="8" t="s">
        <v>143</v>
      </c>
      <c r="G782" s="8" t="s">
        <v>3375</v>
      </c>
      <c r="H782" s="8" t="s">
        <v>187</v>
      </c>
      <c r="I782" s="8" t="s">
        <v>153</v>
      </c>
      <c r="J782" s="8" t="s">
        <v>3670</v>
      </c>
      <c r="K782" s="8" t="s">
        <v>112</v>
      </c>
      <c r="L782" s="8" t="s">
        <v>3671</v>
      </c>
    </row>
    <row r="783" customFormat="false" ht="34.5" hidden="false" customHeight="true" outlineLevel="0" collapsed="false">
      <c r="A783" s="9" t="n">
        <v>625</v>
      </c>
      <c r="B783" s="10" t="s">
        <v>27</v>
      </c>
      <c r="C783" s="10" t="s">
        <v>3672</v>
      </c>
      <c r="D783" s="10" t="n">
        <v>2000</v>
      </c>
      <c r="E783" s="10" t="s">
        <v>3673</v>
      </c>
      <c r="F783" s="10" t="s">
        <v>143</v>
      </c>
      <c r="G783" s="10" t="s">
        <v>1264</v>
      </c>
      <c r="H783" s="10" t="s">
        <v>1319</v>
      </c>
      <c r="I783" s="10" t="s">
        <v>153</v>
      </c>
      <c r="J783" s="10" t="s">
        <v>3674</v>
      </c>
      <c r="K783" s="10" t="s">
        <v>112</v>
      </c>
      <c r="L783" s="10" t="s">
        <v>3675</v>
      </c>
    </row>
    <row r="784" customFormat="false" ht="34.5" hidden="false" customHeight="true" outlineLevel="0" collapsed="false">
      <c r="A784" s="11" t="n">
        <v>625</v>
      </c>
      <c r="B784" s="12" t="s">
        <v>61</v>
      </c>
      <c r="C784" s="12" t="s">
        <v>3672</v>
      </c>
      <c r="D784" s="12" t="n">
        <v>2000</v>
      </c>
      <c r="E784" s="12" t="s">
        <v>3676</v>
      </c>
      <c r="F784" s="12" t="s">
        <v>3677</v>
      </c>
      <c r="G784" s="12" t="s">
        <v>1278</v>
      </c>
      <c r="H784" s="12" t="s">
        <v>181</v>
      </c>
      <c r="I784" s="12" t="s">
        <v>748</v>
      </c>
      <c r="J784" s="12" t="s">
        <v>3315</v>
      </c>
      <c r="K784" s="12" t="s">
        <v>112</v>
      </c>
      <c r="L784" s="12" t="s">
        <v>3678</v>
      </c>
    </row>
    <row r="785" customFormat="false" ht="34.5" hidden="false" customHeight="true" outlineLevel="0" collapsed="false">
      <c r="A785" s="11" t="n">
        <v>625</v>
      </c>
      <c r="B785" s="12" t="s">
        <v>81</v>
      </c>
      <c r="C785" s="12" t="s">
        <v>3672</v>
      </c>
      <c r="D785" s="12" t="n">
        <v>2000</v>
      </c>
      <c r="E785" s="12" t="s">
        <v>3676</v>
      </c>
      <c r="F785" s="12" t="s">
        <v>3679</v>
      </c>
      <c r="G785" s="12" t="s">
        <v>1278</v>
      </c>
      <c r="H785" s="12" t="s">
        <v>181</v>
      </c>
      <c r="I785" s="12" t="s">
        <v>153</v>
      </c>
      <c r="J785" s="12" t="s">
        <v>3680</v>
      </c>
      <c r="K785" s="12" t="s">
        <v>112</v>
      </c>
      <c r="L785" s="12" t="s">
        <v>3681</v>
      </c>
    </row>
    <row r="786" customFormat="false" ht="34.5" hidden="false" customHeight="true" outlineLevel="0" collapsed="false">
      <c r="A786" s="8" t="n">
        <v>626</v>
      </c>
      <c r="B786" s="8" t="s">
        <v>27</v>
      </c>
      <c r="C786" s="8" t="s">
        <v>3682</v>
      </c>
      <c r="D786" s="8" t="n">
        <v>2023</v>
      </c>
      <c r="E786" s="8" t="s">
        <v>3683</v>
      </c>
      <c r="F786" s="8" t="s">
        <v>143</v>
      </c>
      <c r="G786" s="8" t="s">
        <v>3684</v>
      </c>
      <c r="H786" s="8" t="s">
        <v>145</v>
      </c>
      <c r="I786" s="8" t="s">
        <v>153</v>
      </c>
      <c r="J786" s="8" t="s">
        <v>3685</v>
      </c>
      <c r="K786" s="8" t="s">
        <v>114</v>
      </c>
      <c r="L786" s="8" t="s">
        <v>3686</v>
      </c>
    </row>
    <row r="787" customFormat="false" ht="34.5" hidden="false" customHeight="true" outlineLevel="0" collapsed="false">
      <c r="A787" s="8" t="n">
        <v>627</v>
      </c>
      <c r="B787" s="8" t="s">
        <v>27</v>
      </c>
      <c r="C787" s="8" t="s">
        <v>3687</v>
      </c>
      <c r="D787" s="8" t="n">
        <v>2020</v>
      </c>
      <c r="E787" s="8" t="s">
        <v>3688</v>
      </c>
      <c r="F787" s="8" t="s">
        <v>151</v>
      </c>
      <c r="G787" s="8" t="s">
        <v>152</v>
      </c>
      <c r="H787" s="8" t="s">
        <v>145</v>
      </c>
      <c r="I787" s="8" t="s">
        <v>387</v>
      </c>
      <c r="J787" s="8" t="s">
        <v>3689</v>
      </c>
      <c r="K787" s="8"/>
      <c r="L787" s="8" t="s">
        <v>3690</v>
      </c>
    </row>
    <row r="788" customFormat="false" ht="34.5" hidden="false" customHeight="true" outlineLevel="0" collapsed="false">
      <c r="A788" s="8" t="n">
        <v>628</v>
      </c>
      <c r="B788" s="8" t="s">
        <v>27</v>
      </c>
      <c r="C788" s="8" t="s">
        <v>3691</v>
      </c>
      <c r="D788" s="8" t="n">
        <v>2002</v>
      </c>
      <c r="E788" s="8" t="s">
        <v>3692</v>
      </c>
      <c r="F788" s="8" t="s">
        <v>201</v>
      </c>
      <c r="G788" s="8" t="s">
        <v>3693</v>
      </c>
      <c r="H788" s="8" t="s">
        <v>3694</v>
      </c>
      <c r="I788" s="8" t="s">
        <v>146</v>
      </c>
      <c r="J788" s="8" t="s">
        <v>3695</v>
      </c>
      <c r="K788" s="8"/>
      <c r="L788" s="8" t="s">
        <v>3696</v>
      </c>
    </row>
    <row r="789" customFormat="false" ht="23.25" hidden="false" customHeight="true" outlineLevel="0" collapsed="false">
      <c r="A789" s="8" t="n">
        <v>629</v>
      </c>
      <c r="B789" s="8" t="s">
        <v>27</v>
      </c>
      <c r="C789" s="8" t="s">
        <v>3697</v>
      </c>
      <c r="D789" s="8" t="n">
        <v>2023</v>
      </c>
      <c r="E789" s="8" t="s">
        <v>3698</v>
      </c>
      <c r="F789" s="8" t="s">
        <v>151</v>
      </c>
      <c r="G789" s="8" t="s">
        <v>3699</v>
      </c>
      <c r="H789" s="8" t="s">
        <v>145</v>
      </c>
      <c r="I789" s="8" t="s">
        <v>153</v>
      </c>
      <c r="J789" s="8" t="s">
        <v>3700</v>
      </c>
      <c r="K789" s="8" t="s">
        <v>112</v>
      </c>
      <c r="L789" s="8" t="s">
        <v>3701</v>
      </c>
    </row>
    <row r="790" customFormat="false" ht="34.5" hidden="false" customHeight="true" outlineLevel="0" collapsed="false">
      <c r="A790" s="8" t="n">
        <v>630</v>
      </c>
      <c r="B790" s="8" t="s">
        <v>27</v>
      </c>
      <c r="C790" s="8" t="s">
        <v>3702</v>
      </c>
      <c r="D790" s="8" t="n">
        <v>2023</v>
      </c>
      <c r="E790" s="8" t="s">
        <v>3703</v>
      </c>
      <c r="F790" s="8" t="s">
        <v>151</v>
      </c>
      <c r="G790" s="8" t="s">
        <v>1080</v>
      </c>
      <c r="H790" s="8" t="s">
        <v>338</v>
      </c>
      <c r="I790" s="8" t="s">
        <v>146</v>
      </c>
      <c r="J790" s="8" t="s">
        <v>3704</v>
      </c>
      <c r="K790" s="8" t="s">
        <v>112</v>
      </c>
      <c r="L790" s="8" t="s">
        <v>3705</v>
      </c>
    </row>
    <row r="791" customFormat="false" ht="34.5" hidden="false" customHeight="true" outlineLevel="0" collapsed="false">
      <c r="A791" s="8" t="n">
        <v>631</v>
      </c>
      <c r="B791" s="8" t="s">
        <v>27</v>
      </c>
      <c r="C791" s="8" t="s">
        <v>3706</v>
      </c>
      <c r="D791" s="8" t="n">
        <v>2012</v>
      </c>
      <c r="E791" s="8" t="s">
        <v>3707</v>
      </c>
      <c r="F791" s="8" t="s">
        <v>143</v>
      </c>
      <c r="G791" s="8" t="s">
        <v>348</v>
      </c>
      <c r="H791" s="8" t="s">
        <v>145</v>
      </c>
      <c r="I791" s="8" t="s">
        <v>153</v>
      </c>
      <c r="J791" s="8" t="s">
        <v>3708</v>
      </c>
      <c r="K791" s="8"/>
      <c r="L791" s="8" t="s">
        <v>3709</v>
      </c>
    </row>
    <row r="792" customFormat="false" ht="34.5" hidden="false" customHeight="true" outlineLevel="0" collapsed="false">
      <c r="A792" s="8" t="n">
        <v>632</v>
      </c>
      <c r="B792" s="8" t="s">
        <v>27</v>
      </c>
      <c r="C792" s="8" t="s">
        <v>3710</v>
      </c>
      <c r="D792" s="8" t="n">
        <v>2023</v>
      </c>
      <c r="E792" s="8" t="s">
        <v>3711</v>
      </c>
      <c r="F792" s="8" t="s">
        <v>151</v>
      </c>
      <c r="G792" s="8" t="s">
        <v>3712</v>
      </c>
      <c r="H792" s="8" t="s">
        <v>145</v>
      </c>
      <c r="I792" s="8" t="s">
        <v>146</v>
      </c>
      <c r="J792" s="8" t="s">
        <v>3713</v>
      </c>
      <c r="K792" s="8" t="s">
        <v>112</v>
      </c>
      <c r="L792" s="8" t="s">
        <v>3714</v>
      </c>
    </row>
    <row r="793" customFormat="false" ht="34.5" hidden="false" customHeight="true" outlineLevel="0" collapsed="false">
      <c r="A793" s="9" t="n">
        <v>633</v>
      </c>
      <c r="B793" s="10" t="s">
        <v>27</v>
      </c>
      <c r="C793" s="10" t="s">
        <v>3715</v>
      </c>
      <c r="D793" s="10" t="n">
        <v>2024</v>
      </c>
      <c r="E793" s="10" t="s">
        <v>3716</v>
      </c>
      <c r="F793" s="10" t="s">
        <v>143</v>
      </c>
      <c r="G793" s="10" t="s">
        <v>626</v>
      </c>
      <c r="H793" s="10" t="s">
        <v>145</v>
      </c>
      <c r="I793" s="10" t="s">
        <v>153</v>
      </c>
      <c r="J793" s="10" t="s">
        <v>3717</v>
      </c>
      <c r="K793" s="10" t="s">
        <v>110</v>
      </c>
      <c r="L793" s="10" t="s">
        <v>3718</v>
      </c>
    </row>
    <row r="794" customFormat="false" ht="34.5" hidden="false" customHeight="true" outlineLevel="0" collapsed="false">
      <c r="A794" s="11" t="n">
        <v>633</v>
      </c>
      <c r="B794" s="12" t="s">
        <v>29</v>
      </c>
      <c r="C794" s="12" t="s">
        <v>3715</v>
      </c>
      <c r="D794" s="12" t="n">
        <v>2024</v>
      </c>
      <c r="E794" s="12" t="s">
        <v>3716</v>
      </c>
      <c r="F794" s="12" t="s">
        <v>143</v>
      </c>
      <c r="G794" s="12" t="s">
        <v>1597</v>
      </c>
      <c r="H794" s="12" t="s">
        <v>145</v>
      </c>
      <c r="I794" s="12" t="s">
        <v>387</v>
      </c>
      <c r="J794" s="12" t="s">
        <v>3717</v>
      </c>
      <c r="K794" s="12" t="s">
        <v>110</v>
      </c>
      <c r="L794" s="12" t="s">
        <v>3719</v>
      </c>
    </row>
    <row r="795" customFormat="false" ht="34.5" hidden="false" customHeight="true" outlineLevel="0" collapsed="false">
      <c r="A795" s="11" t="n">
        <v>633</v>
      </c>
      <c r="B795" s="12" t="s">
        <v>43</v>
      </c>
      <c r="C795" s="12" t="s">
        <v>3715</v>
      </c>
      <c r="D795" s="12" t="n">
        <v>2024</v>
      </c>
      <c r="E795" s="12" t="s">
        <v>3720</v>
      </c>
      <c r="F795" s="12" t="s">
        <v>143</v>
      </c>
      <c r="G795" s="12" t="s">
        <v>626</v>
      </c>
      <c r="H795" s="12" t="s">
        <v>145</v>
      </c>
      <c r="I795" s="12" t="s">
        <v>153</v>
      </c>
      <c r="J795" s="12" t="s">
        <v>3721</v>
      </c>
      <c r="K795" s="12" t="s">
        <v>110</v>
      </c>
      <c r="L795" s="12" t="s">
        <v>3722</v>
      </c>
    </row>
    <row r="796" customFormat="false" ht="34.5" hidden="false" customHeight="true" outlineLevel="0" collapsed="false">
      <c r="A796" s="11" t="n">
        <v>633</v>
      </c>
      <c r="B796" s="12" t="s">
        <v>81</v>
      </c>
      <c r="C796" s="12" t="s">
        <v>3715</v>
      </c>
      <c r="D796" s="12" t="n">
        <v>2024</v>
      </c>
      <c r="E796" s="12" t="s">
        <v>3720</v>
      </c>
      <c r="F796" s="12" t="s">
        <v>143</v>
      </c>
      <c r="G796" s="12" t="s">
        <v>3723</v>
      </c>
      <c r="H796" s="12" t="s">
        <v>145</v>
      </c>
      <c r="I796" s="12" t="s">
        <v>153</v>
      </c>
      <c r="J796" s="12" t="s">
        <v>3724</v>
      </c>
      <c r="K796" s="12" t="s">
        <v>110</v>
      </c>
      <c r="L796" s="12" t="s">
        <v>3725</v>
      </c>
    </row>
    <row r="797" customFormat="false" ht="34.5" hidden="false" customHeight="true" outlineLevel="0" collapsed="false">
      <c r="A797" s="8" t="n">
        <v>634</v>
      </c>
      <c r="B797" s="8" t="s">
        <v>27</v>
      </c>
      <c r="C797" s="8" t="s">
        <v>3726</v>
      </c>
      <c r="D797" s="8" t="n">
        <v>2025</v>
      </c>
      <c r="E797" s="8" t="s">
        <v>3727</v>
      </c>
      <c r="F797" s="8" t="s">
        <v>143</v>
      </c>
      <c r="G797" s="8" t="s">
        <v>1513</v>
      </c>
      <c r="H797" s="8" t="s">
        <v>145</v>
      </c>
      <c r="I797" s="8" t="s">
        <v>153</v>
      </c>
      <c r="J797" s="8" t="s">
        <v>3728</v>
      </c>
      <c r="K797" s="8" t="s">
        <v>114</v>
      </c>
      <c r="L797" s="8" t="s">
        <v>3729</v>
      </c>
    </row>
    <row r="798" customFormat="false" ht="34.5" hidden="false" customHeight="true" outlineLevel="0" collapsed="false">
      <c r="A798" s="8" t="n">
        <v>635</v>
      </c>
      <c r="B798" s="8" t="s">
        <v>27</v>
      </c>
      <c r="C798" s="8" t="s">
        <v>3730</v>
      </c>
      <c r="D798" s="8" t="n">
        <v>2019</v>
      </c>
      <c r="E798" s="8" t="s">
        <v>3731</v>
      </c>
      <c r="F798" s="8" t="s">
        <v>143</v>
      </c>
      <c r="G798" s="8" t="s">
        <v>626</v>
      </c>
      <c r="H798" s="8" t="s">
        <v>145</v>
      </c>
      <c r="I798" s="8" t="s">
        <v>153</v>
      </c>
      <c r="J798" s="8" t="s">
        <v>3732</v>
      </c>
      <c r="K798" s="8"/>
      <c r="L798" s="8" t="s">
        <v>3733</v>
      </c>
    </row>
    <row r="799" customFormat="false" ht="34.5" hidden="false" customHeight="true" outlineLevel="0" collapsed="false">
      <c r="A799" s="8" t="n">
        <v>636</v>
      </c>
      <c r="B799" s="8" t="s">
        <v>27</v>
      </c>
      <c r="C799" s="8" t="s">
        <v>2958</v>
      </c>
      <c r="D799" s="8" t="n">
        <v>2023</v>
      </c>
      <c r="E799" s="8" t="s">
        <v>3734</v>
      </c>
      <c r="F799" s="8" t="s">
        <v>143</v>
      </c>
      <c r="G799" s="8" t="s">
        <v>3735</v>
      </c>
      <c r="H799" s="8" t="s">
        <v>145</v>
      </c>
      <c r="I799" s="8" t="s">
        <v>153</v>
      </c>
      <c r="J799" s="8" t="s">
        <v>3736</v>
      </c>
      <c r="K799" s="8" t="s">
        <v>114</v>
      </c>
      <c r="L799" s="8" t="s">
        <v>3737</v>
      </c>
    </row>
    <row r="800" customFormat="false" ht="34.5" hidden="false" customHeight="true" outlineLevel="0" collapsed="false">
      <c r="A800" s="9" t="n">
        <v>637</v>
      </c>
      <c r="B800" s="10" t="s">
        <v>27</v>
      </c>
      <c r="C800" s="10" t="s">
        <v>3738</v>
      </c>
      <c r="D800" s="10" t="n">
        <v>2015</v>
      </c>
      <c r="E800" s="10" t="s">
        <v>3739</v>
      </c>
      <c r="F800" s="10" t="s">
        <v>201</v>
      </c>
      <c r="G800" s="10" t="s">
        <v>3740</v>
      </c>
      <c r="H800" s="10" t="s">
        <v>255</v>
      </c>
      <c r="I800" s="10" t="s">
        <v>146</v>
      </c>
      <c r="J800" s="10" t="s">
        <v>3741</v>
      </c>
      <c r="K800" s="10" t="s">
        <v>116</v>
      </c>
      <c r="L800" s="10" t="s">
        <v>3742</v>
      </c>
    </row>
    <row r="801" customFormat="false" ht="34.5" hidden="false" customHeight="true" outlineLevel="0" collapsed="false">
      <c r="A801" s="11" t="n">
        <v>637</v>
      </c>
      <c r="B801" s="12" t="s">
        <v>29</v>
      </c>
      <c r="C801" s="12" t="s">
        <v>3738</v>
      </c>
      <c r="D801" s="12" t="n">
        <v>2015</v>
      </c>
      <c r="E801" s="12" t="s">
        <v>3739</v>
      </c>
      <c r="F801" s="12" t="s">
        <v>143</v>
      </c>
      <c r="G801" s="12" t="s">
        <v>3743</v>
      </c>
      <c r="H801" s="12" t="s">
        <v>255</v>
      </c>
      <c r="I801" s="12" t="s">
        <v>146</v>
      </c>
      <c r="J801" s="12" t="s">
        <v>3744</v>
      </c>
      <c r="K801" s="12" t="s">
        <v>116</v>
      </c>
      <c r="L801" s="12" t="s">
        <v>3745</v>
      </c>
    </row>
    <row r="802" customFormat="false" ht="34.5" hidden="false" customHeight="true" outlineLevel="0" collapsed="false">
      <c r="A802" s="8" t="n">
        <v>638</v>
      </c>
      <c r="B802" s="8" t="s">
        <v>27</v>
      </c>
      <c r="C802" s="8" t="s">
        <v>3746</v>
      </c>
      <c r="D802" s="8" t="n">
        <v>2015</v>
      </c>
      <c r="E802" s="8" t="s">
        <v>3747</v>
      </c>
      <c r="F802" s="8" t="s">
        <v>143</v>
      </c>
      <c r="G802" s="8" t="s">
        <v>3748</v>
      </c>
      <c r="H802" s="8" t="s">
        <v>3749</v>
      </c>
      <c r="I802" s="8" t="s">
        <v>146</v>
      </c>
      <c r="J802" s="8" t="s">
        <v>3750</v>
      </c>
      <c r="K802" s="8"/>
      <c r="L802" s="8" t="s">
        <v>3751</v>
      </c>
    </row>
    <row r="803" customFormat="false" ht="34.5" hidden="false" customHeight="true" outlineLevel="0" collapsed="false">
      <c r="A803" s="8" t="n">
        <v>639</v>
      </c>
      <c r="B803" s="8" t="s">
        <v>27</v>
      </c>
      <c r="C803" s="8" t="s">
        <v>3752</v>
      </c>
      <c r="D803" s="8" t="n">
        <v>2022</v>
      </c>
      <c r="E803" s="8" t="s">
        <v>3753</v>
      </c>
      <c r="F803" s="8" t="s">
        <v>143</v>
      </c>
      <c r="G803" s="8" t="s">
        <v>3754</v>
      </c>
      <c r="H803" s="8" t="s">
        <v>145</v>
      </c>
      <c r="I803" s="8" t="s">
        <v>387</v>
      </c>
      <c r="J803" s="8" t="s">
        <v>3755</v>
      </c>
      <c r="K803" s="8" t="s">
        <v>112</v>
      </c>
      <c r="L803" s="8" t="s">
        <v>3756</v>
      </c>
    </row>
    <row r="804" customFormat="false" ht="34.5" hidden="false" customHeight="true" outlineLevel="0" collapsed="false">
      <c r="A804" s="8" t="n">
        <v>640</v>
      </c>
      <c r="B804" s="8" t="s">
        <v>27</v>
      </c>
      <c r="C804" s="8" t="s">
        <v>3757</v>
      </c>
      <c r="D804" s="8" t="n">
        <v>2023</v>
      </c>
      <c r="E804" s="8" t="s">
        <v>3758</v>
      </c>
      <c r="F804" s="8" t="s">
        <v>143</v>
      </c>
      <c r="G804" s="8" t="s">
        <v>2122</v>
      </c>
      <c r="H804" s="8" t="s">
        <v>145</v>
      </c>
      <c r="I804" s="8" t="s">
        <v>153</v>
      </c>
      <c r="J804" s="8" t="s">
        <v>3700</v>
      </c>
      <c r="K804" s="8" t="s">
        <v>112</v>
      </c>
      <c r="L804" s="8" t="s">
        <v>3759</v>
      </c>
    </row>
    <row r="805" customFormat="false" ht="34.5" hidden="false" customHeight="true" outlineLevel="0" collapsed="false">
      <c r="A805" s="8" t="n">
        <v>641</v>
      </c>
      <c r="B805" s="8" t="s">
        <v>27</v>
      </c>
      <c r="C805" s="8" t="s">
        <v>2658</v>
      </c>
      <c r="D805" s="8" t="n">
        <v>2023</v>
      </c>
      <c r="E805" s="8" t="s">
        <v>3760</v>
      </c>
      <c r="F805" s="8" t="s">
        <v>151</v>
      </c>
      <c r="G805" s="8" t="s">
        <v>2299</v>
      </c>
      <c r="H805" s="8" t="s">
        <v>145</v>
      </c>
      <c r="I805" s="8" t="s">
        <v>153</v>
      </c>
      <c r="J805" s="8" t="s">
        <v>3761</v>
      </c>
      <c r="K805" s="8" t="s">
        <v>114</v>
      </c>
      <c r="L805" s="8" t="s">
        <v>3762</v>
      </c>
    </row>
    <row r="806" customFormat="false" ht="34.5" hidden="false" customHeight="true" outlineLevel="0" collapsed="false">
      <c r="A806" s="13" t="n">
        <v>642</v>
      </c>
      <c r="B806" s="14" t="s">
        <v>27</v>
      </c>
      <c r="C806" s="14" t="s">
        <v>3763</v>
      </c>
      <c r="D806" s="14" t="n">
        <v>2018</v>
      </c>
      <c r="E806" s="14" t="s">
        <v>3764</v>
      </c>
      <c r="F806" s="14" t="s">
        <v>151</v>
      </c>
      <c r="G806" s="14" t="s">
        <v>3765</v>
      </c>
      <c r="H806" s="14" t="s">
        <v>871</v>
      </c>
      <c r="I806" s="14" t="s">
        <v>146</v>
      </c>
      <c r="J806" s="14" t="s">
        <v>3766</v>
      </c>
      <c r="K806" s="14" t="s">
        <v>112</v>
      </c>
      <c r="L806" s="14" t="s">
        <v>3767</v>
      </c>
    </row>
    <row r="807" customFormat="false" ht="34.5" hidden="false" customHeight="true" outlineLevel="0" collapsed="false">
      <c r="A807" s="15" t="n">
        <v>642</v>
      </c>
      <c r="B807" s="16" t="s">
        <v>39</v>
      </c>
      <c r="C807" s="16" t="s">
        <v>3763</v>
      </c>
      <c r="D807" s="16" t="n">
        <v>2018</v>
      </c>
      <c r="E807" s="16" t="s">
        <v>3768</v>
      </c>
      <c r="F807" s="16" t="s">
        <v>151</v>
      </c>
      <c r="G807" s="16" t="s">
        <v>3769</v>
      </c>
      <c r="H807" s="16" t="s">
        <v>871</v>
      </c>
      <c r="I807" s="16" t="s">
        <v>146</v>
      </c>
      <c r="J807" s="16" t="s">
        <v>3770</v>
      </c>
      <c r="K807" s="16" t="s">
        <v>112</v>
      </c>
      <c r="L807" s="16" t="s">
        <v>3771</v>
      </c>
    </row>
    <row r="808" customFormat="false" ht="34.5" hidden="false" customHeight="true" outlineLevel="0" collapsed="false">
      <c r="A808" s="8" t="n">
        <v>643</v>
      </c>
      <c r="B808" s="8" t="s">
        <v>27</v>
      </c>
      <c r="C808" s="8" t="s">
        <v>1595</v>
      </c>
      <c r="D808" s="8" t="n">
        <v>2018</v>
      </c>
      <c r="E808" s="8" t="s">
        <v>3772</v>
      </c>
      <c r="F808" s="8" t="s">
        <v>143</v>
      </c>
      <c r="G808" s="8" t="s">
        <v>3773</v>
      </c>
      <c r="H808" s="8" t="s">
        <v>3774</v>
      </c>
      <c r="I808" s="8" t="s">
        <v>153</v>
      </c>
      <c r="J808" s="8" t="s">
        <v>3775</v>
      </c>
      <c r="K808" s="8" t="s">
        <v>116</v>
      </c>
      <c r="L808" s="8" t="s">
        <v>3776</v>
      </c>
    </row>
    <row r="809" customFormat="false" ht="34.5" hidden="false" customHeight="true" outlineLevel="0" collapsed="false">
      <c r="A809" s="13" t="n">
        <v>644</v>
      </c>
      <c r="B809" s="14" t="s">
        <v>27</v>
      </c>
      <c r="C809" s="14" t="s">
        <v>3777</v>
      </c>
      <c r="D809" s="14" t="n">
        <v>2009</v>
      </c>
      <c r="E809" s="14" t="s">
        <v>3778</v>
      </c>
      <c r="F809" s="14" t="s">
        <v>143</v>
      </c>
      <c r="G809" s="14" t="s">
        <v>1264</v>
      </c>
      <c r="H809" s="14" t="s">
        <v>1274</v>
      </c>
      <c r="I809" s="14" t="s">
        <v>146</v>
      </c>
      <c r="J809" s="14" t="s">
        <v>3779</v>
      </c>
      <c r="K809" s="14" t="s">
        <v>112</v>
      </c>
      <c r="L809" s="14" t="s">
        <v>3780</v>
      </c>
    </row>
    <row r="810" customFormat="false" ht="23.25" hidden="false" customHeight="true" outlineLevel="0" collapsed="false">
      <c r="A810" s="15" t="n">
        <v>644</v>
      </c>
      <c r="B810" s="16" t="s">
        <v>45</v>
      </c>
      <c r="C810" s="16" t="s">
        <v>3777</v>
      </c>
      <c r="D810" s="16" t="n">
        <v>2009</v>
      </c>
      <c r="E810" s="16" t="s">
        <v>3781</v>
      </c>
      <c r="F810" s="16" t="s">
        <v>143</v>
      </c>
      <c r="G810" s="16" t="s">
        <v>1278</v>
      </c>
      <c r="H810" s="16" t="s">
        <v>285</v>
      </c>
      <c r="I810" s="16" t="s">
        <v>146</v>
      </c>
      <c r="J810" s="16" t="s">
        <v>3782</v>
      </c>
      <c r="K810" s="16" t="s">
        <v>112</v>
      </c>
      <c r="L810" s="16" t="s">
        <v>3783</v>
      </c>
    </row>
    <row r="811" customFormat="false" ht="23.25" hidden="false" customHeight="true" outlineLevel="0" collapsed="false">
      <c r="A811" s="15" t="n">
        <v>644</v>
      </c>
      <c r="B811" s="16" t="s">
        <v>81</v>
      </c>
      <c r="C811" s="16" t="s">
        <v>3777</v>
      </c>
      <c r="D811" s="16" t="n">
        <v>2009</v>
      </c>
      <c r="E811" s="16" t="s">
        <v>3781</v>
      </c>
      <c r="F811" s="16" t="s">
        <v>3784</v>
      </c>
      <c r="G811" s="16" t="s">
        <v>1278</v>
      </c>
      <c r="H811" s="16" t="s">
        <v>285</v>
      </c>
      <c r="I811" s="16" t="s">
        <v>146</v>
      </c>
      <c r="J811" s="16" t="s">
        <v>3785</v>
      </c>
      <c r="K811" s="16" t="s">
        <v>112</v>
      </c>
      <c r="L811" s="16" t="s">
        <v>3786</v>
      </c>
    </row>
    <row r="812" customFormat="false" ht="34.5" hidden="false" customHeight="true" outlineLevel="0" collapsed="false">
      <c r="A812" s="8" t="n">
        <v>645</v>
      </c>
      <c r="B812" s="8" t="s">
        <v>27</v>
      </c>
      <c r="C812" s="8" t="s">
        <v>3787</v>
      </c>
      <c r="D812" s="8" t="n">
        <v>2023</v>
      </c>
      <c r="E812" s="8" t="s">
        <v>3788</v>
      </c>
      <c r="F812" s="8" t="s">
        <v>151</v>
      </c>
      <c r="G812" s="8" t="s">
        <v>3789</v>
      </c>
      <c r="H812" s="8" t="s">
        <v>3790</v>
      </c>
      <c r="I812" s="8" t="s">
        <v>153</v>
      </c>
      <c r="J812" s="8" t="s">
        <v>3791</v>
      </c>
      <c r="K812" s="8" t="s">
        <v>110</v>
      </c>
      <c r="L812" s="8" t="s">
        <v>3792</v>
      </c>
    </row>
    <row r="813" customFormat="false" ht="34.5" hidden="false" customHeight="true" outlineLevel="0" collapsed="false">
      <c r="A813" s="8" t="n">
        <v>646</v>
      </c>
      <c r="B813" s="8" t="s">
        <v>27</v>
      </c>
      <c r="C813" s="8" t="s">
        <v>3793</v>
      </c>
      <c r="D813" s="8" t="n">
        <v>2023</v>
      </c>
      <c r="E813" s="8" t="s">
        <v>3794</v>
      </c>
      <c r="F813" s="8" t="s">
        <v>151</v>
      </c>
      <c r="G813" s="8" t="s">
        <v>3795</v>
      </c>
      <c r="H813" s="8" t="s">
        <v>145</v>
      </c>
      <c r="I813" s="8" t="s">
        <v>146</v>
      </c>
      <c r="J813" s="8" t="s">
        <v>3796</v>
      </c>
      <c r="K813" s="8"/>
      <c r="L813" s="8" t="s">
        <v>3797</v>
      </c>
    </row>
    <row r="814" customFormat="false" ht="34.5" hidden="false" customHeight="true" outlineLevel="0" collapsed="false">
      <c r="A814" s="8" t="n">
        <v>647</v>
      </c>
      <c r="B814" s="8" t="s">
        <v>27</v>
      </c>
      <c r="C814" s="8" t="s">
        <v>1454</v>
      </c>
      <c r="D814" s="8" t="n">
        <v>2021</v>
      </c>
      <c r="E814" s="8" t="s">
        <v>3798</v>
      </c>
      <c r="F814" s="8" t="s">
        <v>151</v>
      </c>
      <c r="G814" s="8" t="s">
        <v>152</v>
      </c>
      <c r="H814" s="8" t="s">
        <v>145</v>
      </c>
      <c r="I814" s="8" t="s">
        <v>153</v>
      </c>
      <c r="J814" s="8" t="s">
        <v>3799</v>
      </c>
      <c r="K814" s="8"/>
      <c r="L814" s="8" t="s">
        <v>3800</v>
      </c>
    </row>
    <row r="815" customFormat="false" ht="34.5" hidden="false" customHeight="true" outlineLevel="0" collapsed="false">
      <c r="A815" s="8" t="n">
        <v>648</v>
      </c>
      <c r="B815" s="8" t="s">
        <v>27</v>
      </c>
      <c r="C815" s="8" t="s">
        <v>1454</v>
      </c>
      <c r="D815" s="8" t="n">
        <v>2022</v>
      </c>
      <c r="E815" s="8" t="s">
        <v>3801</v>
      </c>
      <c r="F815" s="8" t="s">
        <v>151</v>
      </c>
      <c r="G815" s="8" t="s">
        <v>152</v>
      </c>
      <c r="H815" s="8" t="s">
        <v>3802</v>
      </c>
      <c r="I815" s="8" t="s">
        <v>748</v>
      </c>
      <c r="J815" s="8" t="s">
        <v>3803</v>
      </c>
      <c r="K815" s="8"/>
      <c r="L815" s="8" t="s">
        <v>3804</v>
      </c>
    </row>
    <row r="816" customFormat="false" ht="23.25" hidden="false" customHeight="true" outlineLevel="0" collapsed="false">
      <c r="A816" s="9" t="n">
        <v>649</v>
      </c>
      <c r="B816" s="10" t="s">
        <v>27</v>
      </c>
      <c r="C816" s="10" t="s">
        <v>1464</v>
      </c>
      <c r="D816" s="10" t="n">
        <v>2023</v>
      </c>
      <c r="E816" s="10" t="s">
        <v>3805</v>
      </c>
      <c r="F816" s="10" t="s">
        <v>579</v>
      </c>
      <c r="G816" s="10" t="s">
        <v>3806</v>
      </c>
      <c r="H816" s="10" t="s">
        <v>145</v>
      </c>
      <c r="I816" s="10" t="s">
        <v>153</v>
      </c>
      <c r="J816" s="10" t="s">
        <v>3807</v>
      </c>
      <c r="K816" s="10" t="s">
        <v>110</v>
      </c>
      <c r="L816" s="10" t="s">
        <v>3808</v>
      </c>
    </row>
    <row r="817" customFormat="false" ht="34.5" hidden="false" customHeight="true" outlineLevel="0" collapsed="false">
      <c r="A817" s="11" t="n">
        <v>649</v>
      </c>
      <c r="B817" s="12" t="s">
        <v>29</v>
      </c>
      <c r="C817" s="12" t="s">
        <v>1476</v>
      </c>
      <c r="D817" s="12" t="n">
        <v>2023</v>
      </c>
      <c r="E817" s="12" t="s">
        <v>3805</v>
      </c>
      <c r="F817" s="12" t="s">
        <v>201</v>
      </c>
      <c r="G817" s="12" t="s">
        <v>3809</v>
      </c>
      <c r="H817" s="12" t="s">
        <v>145</v>
      </c>
      <c r="I817" s="12" t="s">
        <v>387</v>
      </c>
      <c r="J817" s="12" t="s">
        <v>3810</v>
      </c>
      <c r="K817" s="12" t="s">
        <v>110</v>
      </c>
      <c r="L817" s="12" t="s">
        <v>3811</v>
      </c>
    </row>
    <row r="818" customFormat="false" ht="45.75" hidden="false" customHeight="true" outlineLevel="0" collapsed="false">
      <c r="A818" s="11" t="n">
        <v>649</v>
      </c>
      <c r="B818" s="12" t="s">
        <v>69</v>
      </c>
      <c r="C818" s="12" t="s">
        <v>3812</v>
      </c>
      <c r="D818" s="12" t="n">
        <v>2023</v>
      </c>
      <c r="E818" s="12" t="s">
        <v>3805</v>
      </c>
      <c r="F818" s="12" t="s">
        <v>151</v>
      </c>
      <c r="G818" s="12" t="s">
        <v>3813</v>
      </c>
      <c r="H818" s="12" t="s">
        <v>145</v>
      </c>
      <c r="I818" s="12" t="s">
        <v>153</v>
      </c>
      <c r="J818" s="12" t="s">
        <v>3814</v>
      </c>
      <c r="K818" s="12" t="s">
        <v>110</v>
      </c>
      <c r="L818" s="12" t="s">
        <v>3815</v>
      </c>
    </row>
    <row r="819" customFormat="false" ht="34.5" hidden="false" customHeight="true" outlineLevel="0" collapsed="false">
      <c r="A819" s="11" t="n">
        <v>649</v>
      </c>
      <c r="B819" s="12" t="s">
        <v>73</v>
      </c>
      <c r="C819" s="12" t="s">
        <v>3816</v>
      </c>
      <c r="D819" s="12" t="n">
        <v>2023</v>
      </c>
      <c r="E819" s="12" t="s">
        <v>3805</v>
      </c>
      <c r="F819" s="12" t="s">
        <v>3817</v>
      </c>
      <c r="G819" s="12" t="s">
        <v>3634</v>
      </c>
      <c r="H819" s="12" t="s">
        <v>145</v>
      </c>
      <c r="I819" s="12" t="s">
        <v>153</v>
      </c>
      <c r="J819" s="12" t="s">
        <v>3818</v>
      </c>
      <c r="K819" s="12" t="s">
        <v>110</v>
      </c>
      <c r="L819" s="12" t="s">
        <v>3819</v>
      </c>
    </row>
    <row r="820" customFormat="false" ht="45.75" hidden="false" customHeight="true" outlineLevel="0" collapsed="false">
      <c r="A820" s="11" t="n">
        <v>649</v>
      </c>
      <c r="B820" s="12" t="s">
        <v>83</v>
      </c>
      <c r="C820" s="12" t="s">
        <v>3820</v>
      </c>
      <c r="D820" s="12" t="n">
        <v>2023</v>
      </c>
      <c r="E820" s="12" t="s">
        <v>3821</v>
      </c>
      <c r="F820" s="12" t="s">
        <v>3822</v>
      </c>
      <c r="G820" s="12" t="s">
        <v>3823</v>
      </c>
      <c r="H820" s="12" t="s">
        <v>145</v>
      </c>
      <c r="I820" s="12" t="s">
        <v>153</v>
      </c>
      <c r="J820" s="12" t="s">
        <v>3824</v>
      </c>
      <c r="K820" s="12" t="s">
        <v>110</v>
      </c>
      <c r="L820" s="12" t="s">
        <v>3825</v>
      </c>
    </row>
    <row r="821" customFormat="false" ht="68.25" hidden="false" customHeight="true" outlineLevel="0" collapsed="false">
      <c r="A821" s="11" t="n">
        <v>649</v>
      </c>
      <c r="B821" s="12" t="s">
        <v>87</v>
      </c>
      <c r="C821" s="12" t="s">
        <v>3826</v>
      </c>
      <c r="D821" s="12" t="n">
        <v>2023</v>
      </c>
      <c r="E821" s="12" t="s">
        <v>3805</v>
      </c>
      <c r="F821" s="12" t="s">
        <v>579</v>
      </c>
      <c r="G821" s="12" t="s">
        <v>3827</v>
      </c>
      <c r="H821" s="12" t="s">
        <v>3828</v>
      </c>
      <c r="I821" s="12" t="s">
        <v>153</v>
      </c>
      <c r="J821" s="12" t="s">
        <v>3829</v>
      </c>
      <c r="K821" s="12" t="s">
        <v>110</v>
      </c>
      <c r="L821" s="12" t="s">
        <v>3830</v>
      </c>
    </row>
    <row r="822" customFormat="false" ht="34.5" hidden="false" customHeight="true" outlineLevel="0" collapsed="false">
      <c r="A822" s="13" t="n">
        <v>650</v>
      </c>
      <c r="B822" s="14" t="s">
        <v>27</v>
      </c>
      <c r="C822" s="14" t="s">
        <v>2034</v>
      </c>
      <c r="D822" s="14" t="n">
        <v>2023</v>
      </c>
      <c r="E822" s="14" t="s">
        <v>3831</v>
      </c>
      <c r="F822" s="14" t="s">
        <v>151</v>
      </c>
      <c r="G822" s="14" t="s">
        <v>1458</v>
      </c>
      <c r="H822" s="14" t="s">
        <v>3279</v>
      </c>
      <c r="I822" s="14" t="s">
        <v>146</v>
      </c>
      <c r="J822" s="14" t="s">
        <v>3553</v>
      </c>
      <c r="K822" s="14" t="s">
        <v>112</v>
      </c>
      <c r="L822" s="14" t="s">
        <v>3832</v>
      </c>
    </row>
    <row r="823" customFormat="false" ht="34.5" hidden="false" customHeight="true" outlineLevel="0" collapsed="false">
      <c r="A823" s="15" t="n">
        <v>650</v>
      </c>
      <c r="B823" s="16" t="s">
        <v>39</v>
      </c>
      <c r="C823" s="16" t="s">
        <v>2034</v>
      </c>
      <c r="D823" s="16" t="n">
        <v>2023</v>
      </c>
      <c r="E823" s="16" t="s">
        <v>3831</v>
      </c>
      <c r="F823" s="16" t="s">
        <v>151</v>
      </c>
      <c r="G823" s="16" t="s">
        <v>2045</v>
      </c>
      <c r="H823" s="16" t="s">
        <v>145</v>
      </c>
      <c r="I823" s="16" t="s">
        <v>146</v>
      </c>
      <c r="J823" s="16" t="s">
        <v>3553</v>
      </c>
      <c r="K823" s="16"/>
      <c r="L823" s="16" t="s">
        <v>3833</v>
      </c>
    </row>
    <row r="824" customFormat="false" ht="34.5" hidden="false" customHeight="true" outlineLevel="0" collapsed="false">
      <c r="A824" s="15" t="n">
        <v>650</v>
      </c>
      <c r="B824" s="16" t="s">
        <v>81</v>
      </c>
      <c r="C824" s="16" t="s">
        <v>2034</v>
      </c>
      <c r="D824" s="16" t="n">
        <v>2023</v>
      </c>
      <c r="E824" s="16" t="s">
        <v>3834</v>
      </c>
      <c r="F824" s="16" t="s">
        <v>587</v>
      </c>
      <c r="G824" s="16" t="s">
        <v>3835</v>
      </c>
      <c r="H824" s="16" t="s">
        <v>3836</v>
      </c>
      <c r="I824" s="16" t="s">
        <v>146</v>
      </c>
      <c r="J824" s="16" t="s">
        <v>3837</v>
      </c>
      <c r="K824" s="16" t="s">
        <v>116</v>
      </c>
      <c r="L824" s="16" t="s">
        <v>3838</v>
      </c>
    </row>
    <row r="825" customFormat="false" ht="34.5" hidden="false" customHeight="true" outlineLevel="0" collapsed="false">
      <c r="A825" s="8" t="n">
        <v>651</v>
      </c>
      <c r="B825" s="8" t="s">
        <v>27</v>
      </c>
      <c r="C825" s="8" t="s">
        <v>1511</v>
      </c>
      <c r="D825" s="8" t="n">
        <v>2024</v>
      </c>
      <c r="E825" s="8" t="s">
        <v>3839</v>
      </c>
      <c r="F825" s="8" t="s">
        <v>143</v>
      </c>
      <c r="G825" s="8" t="s">
        <v>1513</v>
      </c>
      <c r="H825" s="8" t="s">
        <v>145</v>
      </c>
      <c r="I825" s="8" t="s">
        <v>153</v>
      </c>
      <c r="J825" s="8" t="s">
        <v>3840</v>
      </c>
      <c r="K825" s="8" t="s">
        <v>114</v>
      </c>
      <c r="L825" s="8" t="s">
        <v>3841</v>
      </c>
    </row>
    <row r="826" customFormat="false" ht="34.5" hidden="false" customHeight="true" outlineLevel="0" collapsed="false">
      <c r="A826" s="8" t="n">
        <v>652</v>
      </c>
      <c r="B826" s="8" t="s">
        <v>27</v>
      </c>
      <c r="C826" s="8" t="s">
        <v>3842</v>
      </c>
      <c r="D826" s="8" t="n">
        <v>2021</v>
      </c>
      <c r="E826" s="8" t="s">
        <v>3843</v>
      </c>
      <c r="F826" s="8" t="s">
        <v>143</v>
      </c>
      <c r="G826" s="8" t="s">
        <v>1177</v>
      </c>
      <c r="H826" s="8" t="s">
        <v>187</v>
      </c>
      <c r="I826" s="8" t="s">
        <v>146</v>
      </c>
      <c r="J826" s="8" t="s">
        <v>1174</v>
      </c>
      <c r="K826" s="8" t="s">
        <v>112</v>
      </c>
      <c r="L826" s="8" t="s">
        <v>3844</v>
      </c>
    </row>
    <row r="827" customFormat="false" ht="34.5" hidden="false" customHeight="true" outlineLevel="0" collapsed="false">
      <c r="A827" s="8" t="n">
        <v>653</v>
      </c>
      <c r="B827" s="8" t="s">
        <v>27</v>
      </c>
      <c r="C827" s="8" t="s">
        <v>3845</v>
      </c>
      <c r="D827" s="8" t="n">
        <v>2021</v>
      </c>
      <c r="E827" s="8" t="s">
        <v>3846</v>
      </c>
      <c r="F827" s="8" t="s">
        <v>143</v>
      </c>
      <c r="G827" s="8" t="s">
        <v>3847</v>
      </c>
      <c r="H827" s="8" t="s">
        <v>145</v>
      </c>
      <c r="I827" s="8" t="s">
        <v>153</v>
      </c>
      <c r="J827" s="8" t="s">
        <v>3848</v>
      </c>
      <c r="K827" s="8"/>
      <c r="L827" s="8" t="s">
        <v>3849</v>
      </c>
    </row>
    <row r="828" customFormat="false" ht="23.25" hidden="false" customHeight="true" outlineLevel="0" collapsed="false">
      <c r="A828" s="8" t="n">
        <v>654</v>
      </c>
      <c r="B828" s="8" t="s">
        <v>27</v>
      </c>
      <c r="C828" s="8" t="s">
        <v>3850</v>
      </c>
      <c r="D828" s="8" t="n">
        <v>2008</v>
      </c>
      <c r="E828" s="8" t="s">
        <v>3851</v>
      </c>
      <c r="F828" s="8" t="s">
        <v>143</v>
      </c>
      <c r="G828" s="8" t="s">
        <v>832</v>
      </c>
      <c r="H828" s="8" t="s">
        <v>145</v>
      </c>
      <c r="I828" s="8" t="s">
        <v>146</v>
      </c>
      <c r="J828" s="8" t="s">
        <v>3852</v>
      </c>
      <c r="K828" s="8" t="s">
        <v>116</v>
      </c>
      <c r="L828" s="8" t="s">
        <v>3853</v>
      </c>
    </row>
    <row r="829" customFormat="false" ht="34.5" hidden="false" customHeight="true" outlineLevel="0" collapsed="false">
      <c r="A829" s="8" t="n">
        <v>655</v>
      </c>
      <c r="B829" s="8" t="s">
        <v>27</v>
      </c>
      <c r="C829" s="8" t="s">
        <v>3850</v>
      </c>
      <c r="D829" s="8" t="n">
        <v>2013</v>
      </c>
      <c r="E829" s="8" t="s">
        <v>3854</v>
      </c>
      <c r="F829" s="8" t="s">
        <v>143</v>
      </c>
      <c r="G829" s="8" t="s">
        <v>3855</v>
      </c>
      <c r="H829" s="8" t="s">
        <v>1373</v>
      </c>
      <c r="I829" s="8" t="s">
        <v>387</v>
      </c>
      <c r="J829" s="8" t="s">
        <v>3856</v>
      </c>
      <c r="K829" s="8" t="s">
        <v>116</v>
      </c>
      <c r="L829" s="8" t="s">
        <v>3857</v>
      </c>
    </row>
    <row r="830" customFormat="false" ht="34.5" hidden="false" customHeight="true" outlineLevel="0" collapsed="false">
      <c r="A830" s="8" t="n">
        <v>656</v>
      </c>
      <c r="B830" s="8" t="s">
        <v>27</v>
      </c>
      <c r="C830" s="8" t="s">
        <v>828</v>
      </c>
      <c r="D830" s="8" t="n">
        <v>2008</v>
      </c>
      <c r="E830" s="8" t="s">
        <v>3858</v>
      </c>
      <c r="F830" s="8" t="s">
        <v>143</v>
      </c>
      <c r="G830" s="8" t="s">
        <v>3859</v>
      </c>
      <c r="H830" s="8" t="s">
        <v>3860</v>
      </c>
      <c r="I830" s="8" t="s">
        <v>146</v>
      </c>
      <c r="J830" s="8" t="s">
        <v>3512</v>
      </c>
      <c r="K830" s="8" t="s">
        <v>116</v>
      </c>
      <c r="L830" s="8" t="s">
        <v>3861</v>
      </c>
    </row>
    <row r="831" customFormat="false" ht="34.5" hidden="false" customHeight="true" outlineLevel="0" collapsed="false">
      <c r="A831" s="8" t="n">
        <v>657</v>
      </c>
      <c r="B831" s="8" t="s">
        <v>27</v>
      </c>
      <c r="C831" s="8" t="s">
        <v>828</v>
      </c>
      <c r="D831" s="8" t="n">
        <v>2020</v>
      </c>
      <c r="E831" s="8" t="s">
        <v>3862</v>
      </c>
      <c r="F831" s="8" t="s">
        <v>143</v>
      </c>
      <c r="G831" s="8" t="s">
        <v>3863</v>
      </c>
      <c r="H831" s="8" t="s">
        <v>3864</v>
      </c>
      <c r="I831" s="8" t="s">
        <v>146</v>
      </c>
      <c r="J831" s="8" t="s">
        <v>3553</v>
      </c>
      <c r="K831" s="8" t="s">
        <v>116</v>
      </c>
      <c r="L831" s="8" t="s">
        <v>3865</v>
      </c>
    </row>
    <row r="832" customFormat="false" ht="34.5" hidden="false" customHeight="true" outlineLevel="0" collapsed="false">
      <c r="A832" s="8" t="n">
        <v>658</v>
      </c>
      <c r="B832" s="8" t="s">
        <v>27</v>
      </c>
      <c r="C832" s="8" t="s">
        <v>828</v>
      </c>
      <c r="D832" s="8" t="n">
        <v>2024</v>
      </c>
      <c r="E832" s="8" t="s">
        <v>3866</v>
      </c>
      <c r="F832" s="8" t="s">
        <v>151</v>
      </c>
      <c r="G832" s="8" t="s">
        <v>3552</v>
      </c>
      <c r="H832" s="8" t="s">
        <v>3867</v>
      </c>
      <c r="I832" s="8" t="s">
        <v>146</v>
      </c>
      <c r="J832" s="8" t="s">
        <v>3868</v>
      </c>
      <c r="K832" s="8" t="s">
        <v>116</v>
      </c>
      <c r="L832" s="8" t="s">
        <v>3869</v>
      </c>
    </row>
    <row r="833" customFormat="false" ht="34.5" hidden="false" customHeight="true" outlineLevel="0" collapsed="false">
      <c r="A833" s="8" t="n">
        <v>659</v>
      </c>
      <c r="B833" s="8" t="s">
        <v>27</v>
      </c>
      <c r="C833" s="8" t="s">
        <v>3870</v>
      </c>
      <c r="D833" s="8" t="n">
        <v>2009</v>
      </c>
      <c r="E833" s="8" t="s">
        <v>3871</v>
      </c>
      <c r="F833" s="8" t="s">
        <v>143</v>
      </c>
      <c r="G833" s="8" t="s">
        <v>1823</v>
      </c>
      <c r="H833" s="8" t="s">
        <v>145</v>
      </c>
      <c r="I833" s="8" t="s">
        <v>146</v>
      </c>
      <c r="J833" s="8" t="s">
        <v>3872</v>
      </c>
      <c r="K833" s="8" t="s">
        <v>116</v>
      </c>
      <c r="L833" s="8" t="s">
        <v>3873</v>
      </c>
    </row>
    <row r="834" customFormat="false" ht="34.5" hidden="false" customHeight="true" outlineLevel="0" collapsed="false">
      <c r="A834" s="13" t="n">
        <v>660</v>
      </c>
      <c r="B834" s="14" t="s">
        <v>27</v>
      </c>
      <c r="C834" s="14" t="s">
        <v>1331</v>
      </c>
      <c r="D834" s="14" t="n">
        <v>2020</v>
      </c>
      <c r="E834" s="14" t="s">
        <v>3874</v>
      </c>
      <c r="F834" s="14" t="s">
        <v>201</v>
      </c>
      <c r="G834" s="14" t="s">
        <v>1278</v>
      </c>
      <c r="H834" s="14" t="s">
        <v>145</v>
      </c>
      <c r="I834" s="14" t="s">
        <v>387</v>
      </c>
      <c r="J834" s="14" t="s">
        <v>3875</v>
      </c>
      <c r="K834" s="14" t="s">
        <v>112</v>
      </c>
      <c r="L834" s="14" t="s">
        <v>3876</v>
      </c>
    </row>
    <row r="835" customFormat="false" ht="34.5" hidden="false" customHeight="true" outlineLevel="0" collapsed="false">
      <c r="A835" s="15" t="n">
        <v>660</v>
      </c>
      <c r="B835" s="16" t="s">
        <v>39</v>
      </c>
      <c r="C835" s="16" t="s">
        <v>1363</v>
      </c>
      <c r="D835" s="16" t="n">
        <v>2020</v>
      </c>
      <c r="E835" s="16" t="s">
        <v>3877</v>
      </c>
      <c r="F835" s="16" t="s">
        <v>153</v>
      </c>
      <c r="G835" s="16" t="s">
        <v>3878</v>
      </c>
      <c r="H835" s="16" t="s">
        <v>721</v>
      </c>
      <c r="I835" s="16" t="s">
        <v>522</v>
      </c>
      <c r="J835" s="16" t="s">
        <v>1609</v>
      </c>
      <c r="K835" s="16" t="s">
        <v>112</v>
      </c>
      <c r="L835" s="16" t="s">
        <v>3879</v>
      </c>
    </row>
    <row r="836" customFormat="false" ht="34.5" hidden="false" customHeight="true" outlineLevel="0" collapsed="false">
      <c r="A836" s="15" t="n">
        <v>660</v>
      </c>
      <c r="B836" s="16" t="s">
        <v>51</v>
      </c>
      <c r="C836" s="16" t="s">
        <v>1363</v>
      </c>
      <c r="D836" s="16" t="n">
        <v>2020</v>
      </c>
      <c r="E836" s="16" t="s">
        <v>3877</v>
      </c>
      <c r="F836" s="16" t="s">
        <v>579</v>
      </c>
      <c r="G836" s="16" t="s">
        <v>1264</v>
      </c>
      <c r="H836" s="16" t="s">
        <v>145</v>
      </c>
      <c r="I836" s="16" t="s">
        <v>146</v>
      </c>
      <c r="J836" s="16" t="s">
        <v>3880</v>
      </c>
      <c r="K836" s="16" t="s">
        <v>112</v>
      </c>
      <c r="L836" s="16" t="s">
        <v>3881</v>
      </c>
    </row>
    <row r="837" customFormat="false" ht="45.75" hidden="false" customHeight="true" outlineLevel="0" collapsed="false">
      <c r="A837" s="15" t="n">
        <v>660</v>
      </c>
      <c r="B837" s="16" t="s">
        <v>69</v>
      </c>
      <c r="C837" s="16" t="s">
        <v>1331</v>
      </c>
      <c r="D837" s="16" t="n">
        <v>2020</v>
      </c>
      <c r="E837" s="16" t="s">
        <v>3877</v>
      </c>
      <c r="F837" s="16" t="s">
        <v>151</v>
      </c>
      <c r="G837" s="16" t="s">
        <v>3646</v>
      </c>
      <c r="H837" s="16" t="s">
        <v>145</v>
      </c>
      <c r="I837" s="16" t="s">
        <v>387</v>
      </c>
      <c r="J837" s="16" t="s">
        <v>3882</v>
      </c>
      <c r="K837" s="16" t="s">
        <v>112</v>
      </c>
      <c r="L837" s="16" t="s">
        <v>3883</v>
      </c>
    </row>
    <row r="838" customFormat="false" ht="23.25" hidden="false" customHeight="true" outlineLevel="0" collapsed="false">
      <c r="A838" s="8" t="n">
        <v>661</v>
      </c>
      <c r="B838" s="8" t="s">
        <v>29</v>
      </c>
      <c r="C838" s="8" t="s">
        <v>3884</v>
      </c>
      <c r="D838" s="8" t="n">
        <v>2015</v>
      </c>
      <c r="E838" s="8" t="s">
        <v>3885</v>
      </c>
      <c r="F838" s="8" t="s">
        <v>143</v>
      </c>
      <c r="G838" s="8" t="s">
        <v>348</v>
      </c>
      <c r="H838" s="8" t="s">
        <v>145</v>
      </c>
      <c r="I838" s="8" t="s">
        <v>153</v>
      </c>
      <c r="J838" s="8" t="s">
        <v>3886</v>
      </c>
      <c r="K838" s="8"/>
      <c r="L838" s="8" t="s">
        <v>3887</v>
      </c>
    </row>
    <row r="839" customFormat="false" ht="23.25" hidden="false" customHeight="true" outlineLevel="0" collapsed="false">
      <c r="A839" s="8" t="n">
        <v>662</v>
      </c>
      <c r="B839" s="8" t="s">
        <v>29</v>
      </c>
      <c r="C839" s="8" t="s">
        <v>3888</v>
      </c>
      <c r="D839" s="8" t="n">
        <v>2020</v>
      </c>
      <c r="E839" s="8" t="s">
        <v>3889</v>
      </c>
      <c r="F839" s="8" t="s">
        <v>143</v>
      </c>
      <c r="G839" s="8" t="s">
        <v>348</v>
      </c>
      <c r="H839" s="8" t="s">
        <v>145</v>
      </c>
      <c r="I839" s="8" t="s">
        <v>153</v>
      </c>
      <c r="J839" s="8" t="s">
        <v>3890</v>
      </c>
      <c r="K839" s="8"/>
      <c r="L839" s="8" t="s">
        <v>3891</v>
      </c>
    </row>
    <row r="840" customFormat="false" ht="34.5" hidden="false" customHeight="true" outlineLevel="0" collapsed="false">
      <c r="A840" s="8" t="n">
        <v>663</v>
      </c>
      <c r="B840" s="8" t="s">
        <v>29</v>
      </c>
      <c r="C840" s="8" t="s">
        <v>3892</v>
      </c>
      <c r="D840" s="8" t="n">
        <v>2024</v>
      </c>
      <c r="E840" s="8" t="s">
        <v>3893</v>
      </c>
      <c r="F840" s="8" t="s">
        <v>151</v>
      </c>
      <c r="G840" s="8" t="s">
        <v>3894</v>
      </c>
      <c r="H840" s="8" t="s">
        <v>145</v>
      </c>
      <c r="I840" s="8" t="s">
        <v>153</v>
      </c>
      <c r="J840" s="8" t="s">
        <v>3895</v>
      </c>
      <c r="K840" s="8" t="s">
        <v>114</v>
      </c>
      <c r="L840" s="8" t="s">
        <v>3896</v>
      </c>
    </row>
    <row r="841" customFormat="false" ht="23.25" hidden="false" customHeight="true" outlineLevel="0" collapsed="false">
      <c r="A841" s="8" t="n">
        <v>664</v>
      </c>
      <c r="B841" s="8" t="s">
        <v>29</v>
      </c>
      <c r="C841" s="8" t="s">
        <v>3897</v>
      </c>
      <c r="D841" s="8" t="n">
        <v>2017</v>
      </c>
      <c r="E841" s="8" t="s">
        <v>3898</v>
      </c>
      <c r="F841" s="8" t="s">
        <v>143</v>
      </c>
      <c r="G841" s="8" t="s">
        <v>348</v>
      </c>
      <c r="H841" s="8" t="s">
        <v>145</v>
      </c>
      <c r="I841" s="8" t="s">
        <v>153</v>
      </c>
      <c r="J841" s="8" t="s">
        <v>3899</v>
      </c>
      <c r="K841" s="8"/>
      <c r="L841" s="8" t="s">
        <v>3900</v>
      </c>
    </row>
    <row r="842" customFormat="false" ht="34.5" hidden="false" customHeight="true" outlineLevel="0" collapsed="false">
      <c r="A842" s="9" t="n">
        <v>665</v>
      </c>
      <c r="B842" s="10" t="s">
        <v>29</v>
      </c>
      <c r="C842" s="10" t="s">
        <v>3901</v>
      </c>
      <c r="D842" s="10" t="n">
        <v>2024</v>
      </c>
      <c r="E842" s="10" t="s">
        <v>3902</v>
      </c>
      <c r="F842" s="10" t="s">
        <v>143</v>
      </c>
      <c r="G842" s="10" t="s">
        <v>1080</v>
      </c>
      <c r="H842" s="10" t="s">
        <v>145</v>
      </c>
      <c r="I842" s="10" t="s">
        <v>387</v>
      </c>
      <c r="J842" s="10" t="s">
        <v>3903</v>
      </c>
      <c r="K842" s="10" t="s">
        <v>110</v>
      </c>
      <c r="L842" s="10" t="s">
        <v>3904</v>
      </c>
    </row>
    <row r="843" customFormat="false" ht="45.75" hidden="false" customHeight="true" outlineLevel="0" collapsed="false">
      <c r="A843" s="11" t="n">
        <v>665</v>
      </c>
      <c r="B843" s="12" t="s">
        <v>69</v>
      </c>
      <c r="C843" s="12" t="s">
        <v>3901</v>
      </c>
      <c r="D843" s="12" t="n">
        <v>2024</v>
      </c>
      <c r="E843" s="12" t="s">
        <v>3905</v>
      </c>
      <c r="F843" s="12" t="s">
        <v>143</v>
      </c>
      <c r="G843" s="12" t="s">
        <v>3906</v>
      </c>
      <c r="H843" s="12" t="s">
        <v>145</v>
      </c>
      <c r="I843" s="12" t="s">
        <v>153</v>
      </c>
      <c r="J843" s="12" t="s">
        <v>3907</v>
      </c>
      <c r="K843" s="12" t="s">
        <v>110</v>
      </c>
      <c r="L843" s="12" t="s">
        <v>3908</v>
      </c>
    </row>
    <row r="844" customFormat="false" ht="34.5" hidden="false" customHeight="true" outlineLevel="0" collapsed="false">
      <c r="A844" s="8" t="n">
        <v>666</v>
      </c>
      <c r="B844" s="8" t="s">
        <v>29</v>
      </c>
      <c r="C844" s="8" t="s">
        <v>3909</v>
      </c>
      <c r="D844" s="8" t="n">
        <v>2023</v>
      </c>
      <c r="E844" s="8" t="s">
        <v>3910</v>
      </c>
      <c r="F844" s="8" t="s">
        <v>143</v>
      </c>
      <c r="G844" s="8" t="s">
        <v>3911</v>
      </c>
      <c r="H844" s="8" t="s">
        <v>721</v>
      </c>
      <c r="I844" s="8" t="s">
        <v>522</v>
      </c>
      <c r="J844" s="8" t="s">
        <v>3912</v>
      </c>
      <c r="K844" s="8" t="s">
        <v>114</v>
      </c>
      <c r="L844" s="8" t="s">
        <v>3913</v>
      </c>
    </row>
    <row r="845" customFormat="false" ht="34.5" hidden="false" customHeight="true" outlineLevel="0" collapsed="false">
      <c r="A845" s="8" t="n">
        <v>667</v>
      </c>
      <c r="B845" s="8" t="s">
        <v>29</v>
      </c>
      <c r="C845" s="8" t="s">
        <v>3914</v>
      </c>
      <c r="D845" s="8" t="n">
        <v>2025</v>
      </c>
      <c r="E845" s="8" t="s">
        <v>3915</v>
      </c>
      <c r="F845" s="8" t="s">
        <v>151</v>
      </c>
      <c r="G845" s="8" t="s">
        <v>2132</v>
      </c>
      <c r="H845" s="8" t="s">
        <v>187</v>
      </c>
      <c r="I845" s="8" t="s">
        <v>522</v>
      </c>
      <c r="J845" s="8" t="s">
        <v>3916</v>
      </c>
      <c r="K845" s="8" t="s">
        <v>114</v>
      </c>
      <c r="L845" s="8" t="s">
        <v>3917</v>
      </c>
    </row>
    <row r="846" customFormat="false" ht="34.5" hidden="false" customHeight="true" outlineLevel="0" collapsed="false">
      <c r="A846" s="8" t="n">
        <v>668</v>
      </c>
      <c r="B846" s="8" t="s">
        <v>29</v>
      </c>
      <c r="C846" s="8" t="s">
        <v>504</v>
      </c>
      <c r="D846" s="8" t="n">
        <v>2023</v>
      </c>
      <c r="E846" s="8" t="s">
        <v>3918</v>
      </c>
      <c r="F846" s="8" t="s">
        <v>143</v>
      </c>
      <c r="G846" s="8" t="s">
        <v>3919</v>
      </c>
      <c r="H846" s="8" t="s">
        <v>145</v>
      </c>
      <c r="I846" s="8" t="s">
        <v>146</v>
      </c>
      <c r="J846" s="8" t="s">
        <v>491</v>
      </c>
      <c r="K846" s="8" t="s">
        <v>112</v>
      </c>
      <c r="L846" s="8" t="s">
        <v>3920</v>
      </c>
    </row>
    <row r="847" customFormat="false" ht="34.5" hidden="false" customHeight="true" outlineLevel="0" collapsed="false">
      <c r="A847" s="8" t="n">
        <v>669</v>
      </c>
      <c r="B847" s="8" t="s">
        <v>29</v>
      </c>
      <c r="C847" s="8" t="s">
        <v>3921</v>
      </c>
      <c r="D847" s="8" t="n">
        <v>2025</v>
      </c>
      <c r="E847" s="8" t="s">
        <v>3922</v>
      </c>
      <c r="F847" s="8" t="s">
        <v>143</v>
      </c>
      <c r="G847" s="8" t="s">
        <v>1517</v>
      </c>
      <c r="H847" s="8" t="s">
        <v>145</v>
      </c>
      <c r="I847" s="8" t="s">
        <v>153</v>
      </c>
      <c r="J847" s="8" t="s">
        <v>3923</v>
      </c>
      <c r="K847" s="8" t="s">
        <v>114</v>
      </c>
      <c r="L847" s="8" t="s">
        <v>3924</v>
      </c>
    </row>
    <row r="848" customFormat="false" ht="34.5" hidden="false" customHeight="true" outlineLevel="0" collapsed="false">
      <c r="A848" s="8" t="n">
        <v>670</v>
      </c>
      <c r="B848" s="8" t="s">
        <v>29</v>
      </c>
      <c r="C848" s="8" t="s">
        <v>3925</v>
      </c>
      <c r="D848" s="8" t="n">
        <v>2024</v>
      </c>
      <c r="E848" s="8" t="s">
        <v>3926</v>
      </c>
      <c r="F848" s="8" t="s">
        <v>151</v>
      </c>
      <c r="G848" s="8" t="s">
        <v>3927</v>
      </c>
      <c r="H848" s="8" t="s">
        <v>145</v>
      </c>
      <c r="I848" s="8" t="s">
        <v>153</v>
      </c>
      <c r="J848" s="8" t="s">
        <v>3928</v>
      </c>
      <c r="K848" s="8" t="s">
        <v>114</v>
      </c>
      <c r="L848" s="8" t="s">
        <v>3929</v>
      </c>
    </row>
    <row r="849" customFormat="false" ht="34.5" hidden="false" customHeight="true" outlineLevel="0" collapsed="false">
      <c r="A849" s="8" t="n">
        <v>671</v>
      </c>
      <c r="B849" s="8" t="s">
        <v>29</v>
      </c>
      <c r="C849" s="8" t="s">
        <v>3930</v>
      </c>
      <c r="D849" s="8" t="n">
        <v>2024</v>
      </c>
      <c r="E849" s="8" t="s">
        <v>3931</v>
      </c>
      <c r="F849" s="8" t="s">
        <v>143</v>
      </c>
      <c r="G849" s="8" t="s">
        <v>3932</v>
      </c>
      <c r="H849" s="8" t="s">
        <v>145</v>
      </c>
      <c r="I849" s="8" t="s">
        <v>153</v>
      </c>
      <c r="J849" s="8" t="s">
        <v>3933</v>
      </c>
      <c r="K849" s="8" t="s">
        <v>114</v>
      </c>
      <c r="L849" s="8" t="s">
        <v>3934</v>
      </c>
    </row>
    <row r="850" customFormat="false" ht="34.5" hidden="false" customHeight="true" outlineLevel="0" collapsed="false">
      <c r="A850" s="13" t="n">
        <v>672</v>
      </c>
      <c r="B850" s="14" t="s">
        <v>29</v>
      </c>
      <c r="C850" s="14" t="s">
        <v>1793</v>
      </c>
      <c r="D850" s="14" t="n">
        <v>2023</v>
      </c>
      <c r="E850" s="14" t="s">
        <v>3935</v>
      </c>
      <c r="F850" s="14" t="s">
        <v>143</v>
      </c>
      <c r="G850" s="14" t="s">
        <v>3936</v>
      </c>
      <c r="H850" s="14" t="s">
        <v>145</v>
      </c>
      <c r="I850" s="14" t="s">
        <v>387</v>
      </c>
      <c r="J850" s="14" t="s">
        <v>2758</v>
      </c>
      <c r="K850" s="14" t="s">
        <v>110</v>
      </c>
      <c r="L850" s="14" t="s">
        <v>3937</v>
      </c>
    </row>
    <row r="851" customFormat="false" ht="34.5" hidden="false" customHeight="true" outlineLevel="0" collapsed="false">
      <c r="A851" s="15" t="n">
        <v>672</v>
      </c>
      <c r="B851" s="16" t="s">
        <v>73</v>
      </c>
      <c r="C851" s="16" t="s">
        <v>1793</v>
      </c>
      <c r="D851" s="16" t="n">
        <v>2023</v>
      </c>
      <c r="E851" s="16" t="s">
        <v>3938</v>
      </c>
      <c r="F851" s="16" t="s">
        <v>201</v>
      </c>
      <c r="G851" s="16" t="s">
        <v>3939</v>
      </c>
      <c r="H851" s="16" t="s">
        <v>145</v>
      </c>
      <c r="I851" s="16" t="s">
        <v>153</v>
      </c>
      <c r="J851" s="16" t="s">
        <v>3940</v>
      </c>
      <c r="K851" s="16" t="s">
        <v>110</v>
      </c>
      <c r="L851" s="16" t="s">
        <v>3941</v>
      </c>
    </row>
    <row r="852" customFormat="false" ht="34.5" hidden="false" customHeight="true" outlineLevel="0" collapsed="false">
      <c r="A852" s="15" t="n">
        <v>672</v>
      </c>
      <c r="B852" s="16" t="s">
        <v>81</v>
      </c>
      <c r="C852" s="16" t="s">
        <v>1793</v>
      </c>
      <c r="D852" s="16" t="n">
        <v>2023</v>
      </c>
      <c r="E852" s="16" t="s">
        <v>3942</v>
      </c>
      <c r="F852" s="16" t="s">
        <v>143</v>
      </c>
      <c r="G852" s="16" t="s">
        <v>1499</v>
      </c>
      <c r="H852" s="16" t="s">
        <v>145</v>
      </c>
      <c r="I852" s="16" t="s">
        <v>153</v>
      </c>
      <c r="J852" s="16" t="s">
        <v>3943</v>
      </c>
      <c r="K852" s="16" t="s">
        <v>110</v>
      </c>
      <c r="L852" s="16" t="s">
        <v>3944</v>
      </c>
    </row>
    <row r="853" customFormat="false" ht="34.5" hidden="false" customHeight="true" outlineLevel="0" collapsed="false">
      <c r="A853" s="9" t="n">
        <v>673</v>
      </c>
      <c r="B853" s="10" t="s">
        <v>29</v>
      </c>
      <c r="C853" s="10" t="s">
        <v>1793</v>
      </c>
      <c r="D853" s="10" t="n">
        <v>2024</v>
      </c>
      <c r="E853" s="10" t="s">
        <v>3945</v>
      </c>
      <c r="F853" s="10" t="s">
        <v>143</v>
      </c>
      <c r="G853" s="10" t="s">
        <v>3946</v>
      </c>
      <c r="H853" s="10" t="s">
        <v>145</v>
      </c>
      <c r="I853" s="10" t="s">
        <v>387</v>
      </c>
      <c r="J853" s="10" t="s">
        <v>3947</v>
      </c>
      <c r="K853" s="10" t="s">
        <v>110</v>
      </c>
      <c r="L853" s="10" t="s">
        <v>3948</v>
      </c>
    </row>
    <row r="854" customFormat="false" ht="34.5" hidden="false" customHeight="true" outlineLevel="0" collapsed="false">
      <c r="A854" s="11" t="n">
        <v>673</v>
      </c>
      <c r="B854" s="12" t="s">
        <v>43</v>
      </c>
      <c r="C854" s="12" t="s">
        <v>1793</v>
      </c>
      <c r="D854" s="12" t="n">
        <v>2024</v>
      </c>
      <c r="E854" s="12" t="s">
        <v>3945</v>
      </c>
      <c r="F854" s="12" t="s">
        <v>143</v>
      </c>
      <c r="G854" s="12" t="s">
        <v>3949</v>
      </c>
      <c r="H854" s="12" t="s">
        <v>145</v>
      </c>
      <c r="I854" s="12" t="s">
        <v>153</v>
      </c>
      <c r="J854" s="12" t="s">
        <v>3950</v>
      </c>
      <c r="K854" s="12" t="s">
        <v>110</v>
      </c>
      <c r="L854" s="12" t="s">
        <v>3951</v>
      </c>
    </row>
    <row r="855" customFormat="false" ht="34.5" hidden="false" customHeight="true" outlineLevel="0" collapsed="false">
      <c r="A855" s="11" t="n">
        <v>673</v>
      </c>
      <c r="B855" s="12" t="s">
        <v>81</v>
      </c>
      <c r="C855" s="12" t="s">
        <v>1793</v>
      </c>
      <c r="D855" s="12" t="n">
        <v>2024</v>
      </c>
      <c r="E855" s="12" t="s">
        <v>3952</v>
      </c>
      <c r="F855" s="12" t="s">
        <v>143</v>
      </c>
      <c r="G855" s="12" t="s">
        <v>3953</v>
      </c>
      <c r="H855" s="12" t="s">
        <v>145</v>
      </c>
      <c r="I855" s="12" t="s">
        <v>153</v>
      </c>
      <c r="J855" s="12" t="s">
        <v>3954</v>
      </c>
      <c r="K855" s="12" t="s">
        <v>110</v>
      </c>
      <c r="L855" s="12" t="s">
        <v>3955</v>
      </c>
    </row>
    <row r="856" customFormat="false" ht="34.5" hidden="false" customHeight="true" outlineLevel="0" collapsed="false">
      <c r="A856" s="8" t="n">
        <v>674</v>
      </c>
      <c r="B856" s="8" t="s">
        <v>29</v>
      </c>
      <c r="C856" s="8" t="s">
        <v>1793</v>
      </c>
      <c r="D856" s="8" t="n">
        <v>2024</v>
      </c>
      <c r="E856" s="8" t="s">
        <v>3956</v>
      </c>
      <c r="F856" s="8" t="s">
        <v>143</v>
      </c>
      <c r="G856" s="8" t="s">
        <v>3957</v>
      </c>
      <c r="H856" s="8" t="s">
        <v>145</v>
      </c>
      <c r="I856" s="8" t="s">
        <v>387</v>
      </c>
      <c r="J856" s="8" t="s">
        <v>3958</v>
      </c>
      <c r="K856" s="8" t="s">
        <v>110</v>
      </c>
      <c r="L856" s="8" t="s">
        <v>3959</v>
      </c>
    </row>
    <row r="857" customFormat="false" ht="34.5" hidden="false" customHeight="true" outlineLevel="0" collapsed="false">
      <c r="A857" s="9" t="n">
        <v>675</v>
      </c>
      <c r="B857" s="10" t="s">
        <v>29</v>
      </c>
      <c r="C857" s="10" t="s">
        <v>1793</v>
      </c>
      <c r="D857" s="10" t="n">
        <v>2024</v>
      </c>
      <c r="E857" s="10" t="s">
        <v>3960</v>
      </c>
      <c r="F857" s="10" t="s">
        <v>143</v>
      </c>
      <c r="G857" s="10" t="s">
        <v>1400</v>
      </c>
      <c r="H857" s="10" t="s">
        <v>145</v>
      </c>
      <c r="I857" s="10" t="s">
        <v>387</v>
      </c>
      <c r="J857" s="10" t="s">
        <v>3961</v>
      </c>
      <c r="K857" s="10" t="s">
        <v>110</v>
      </c>
      <c r="L857" s="10" t="s">
        <v>3962</v>
      </c>
    </row>
    <row r="858" customFormat="false" ht="34.5" hidden="false" customHeight="true" outlineLevel="0" collapsed="false">
      <c r="A858" s="11" t="n">
        <v>675</v>
      </c>
      <c r="B858" s="12" t="s">
        <v>43</v>
      </c>
      <c r="C858" s="12" t="s">
        <v>3963</v>
      </c>
      <c r="D858" s="12" t="n">
        <v>2024</v>
      </c>
      <c r="E858" s="12" t="s">
        <v>3960</v>
      </c>
      <c r="F858" s="12" t="s">
        <v>143</v>
      </c>
      <c r="G858" s="12" t="s">
        <v>3964</v>
      </c>
      <c r="H858" s="12" t="s">
        <v>145</v>
      </c>
      <c r="I858" s="12" t="s">
        <v>153</v>
      </c>
      <c r="J858" s="12" t="s">
        <v>3965</v>
      </c>
      <c r="K858" s="12" t="s">
        <v>110</v>
      </c>
      <c r="L858" s="12" t="s">
        <v>3966</v>
      </c>
    </row>
    <row r="859" customFormat="false" ht="34.5" hidden="false" customHeight="true" outlineLevel="0" collapsed="false">
      <c r="A859" s="8" t="n">
        <v>676</v>
      </c>
      <c r="B859" s="8" t="s">
        <v>29</v>
      </c>
      <c r="C859" s="8" t="s">
        <v>3967</v>
      </c>
      <c r="D859" s="8" t="n">
        <v>2025</v>
      </c>
      <c r="E859" s="8" t="s">
        <v>3968</v>
      </c>
      <c r="F859" s="8" t="s">
        <v>579</v>
      </c>
      <c r="G859" s="8" t="s">
        <v>3969</v>
      </c>
      <c r="H859" s="8" t="s">
        <v>145</v>
      </c>
      <c r="I859" s="8" t="s">
        <v>387</v>
      </c>
      <c r="J859" s="8" t="s">
        <v>3970</v>
      </c>
      <c r="K859" s="8" t="s">
        <v>110</v>
      </c>
      <c r="L859" s="8" t="s">
        <v>3971</v>
      </c>
    </row>
    <row r="860" customFormat="false" ht="34.5" hidden="false" customHeight="true" outlineLevel="0" collapsed="false">
      <c r="A860" s="8" t="n">
        <v>677</v>
      </c>
      <c r="B860" s="8" t="s">
        <v>29</v>
      </c>
      <c r="C860" s="8" t="s">
        <v>880</v>
      </c>
      <c r="D860" s="8" t="n">
        <v>2024</v>
      </c>
      <c r="E860" s="8" t="s">
        <v>3972</v>
      </c>
      <c r="F860" s="8" t="s">
        <v>143</v>
      </c>
      <c r="G860" s="8" t="s">
        <v>3973</v>
      </c>
      <c r="H860" s="8" t="s">
        <v>145</v>
      </c>
      <c r="I860" s="8" t="s">
        <v>153</v>
      </c>
      <c r="J860" s="8" t="s">
        <v>3974</v>
      </c>
      <c r="K860" s="8" t="s">
        <v>114</v>
      </c>
      <c r="L860" s="8" t="s">
        <v>3975</v>
      </c>
    </row>
    <row r="861" customFormat="false" ht="34.5" hidden="false" customHeight="true" outlineLevel="0" collapsed="false">
      <c r="A861" s="8" t="n">
        <v>678</v>
      </c>
      <c r="B861" s="8" t="s">
        <v>29</v>
      </c>
      <c r="C861" s="8" t="s">
        <v>3976</v>
      </c>
      <c r="D861" s="8" t="n">
        <v>2012</v>
      </c>
      <c r="E861" s="8" t="s">
        <v>3977</v>
      </c>
      <c r="F861" s="8" t="s">
        <v>143</v>
      </c>
      <c r="G861" s="8" t="s">
        <v>348</v>
      </c>
      <c r="H861" s="8" t="s">
        <v>145</v>
      </c>
      <c r="I861" s="8" t="s">
        <v>153</v>
      </c>
      <c r="J861" s="8" t="s">
        <v>3978</v>
      </c>
      <c r="K861" s="8"/>
      <c r="L861" s="8" t="s">
        <v>3979</v>
      </c>
    </row>
    <row r="862" customFormat="false" ht="34.5" hidden="false" customHeight="true" outlineLevel="0" collapsed="false">
      <c r="A862" s="8" t="n">
        <v>679</v>
      </c>
      <c r="B862" s="8" t="s">
        <v>29</v>
      </c>
      <c r="C862" s="8" t="s">
        <v>3980</v>
      </c>
      <c r="D862" s="8" t="n">
        <v>2024</v>
      </c>
      <c r="E862" s="8" t="s">
        <v>3981</v>
      </c>
      <c r="F862" s="8" t="s">
        <v>143</v>
      </c>
      <c r="G862" s="8" t="s">
        <v>3982</v>
      </c>
      <c r="H862" s="8" t="s">
        <v>244</v>
      </c>
      <c r="I862" s="8" t="s">
        <v>387</v>
      </c>
      <c r="J862" s="8" t="s">
        <v>3983</v>
      </c>
      <c r="K862" s="8" t="s">
        <v>110</v>
      </c>
      <c r="L862" s="8" t="s">
        <v>3984</v>
      </c>
    </row>
    <row r="863" customFormat="false" ht="34.5" hidden="false" customHeight="true" outlineLevel="0" collapsed="false">
      <c r="A863" s="13" t="n">
        <v>680</v>
      </c>
      <c r="B863" s="14" t="s">
        <v>29</v>
      </c>
      <c r="C863" s="14" t="s">
        <v>3985</v>
      </c>
      <c r="D863" s="14" t="n">
        <v>2024</v>
      </c>
      <c r="E863" s="14" t="s">
        <v>3986</v>
      </c>
      <c r="F863" s="14" t="s">
        <v>151</v>
      </c>
      <c r="G863" s="14" t="s">
        <v>3987</v>
      </c>
      <c r="H863" s="14" t="s">
        <v>145</v>
      </c>
      <c r="I863" s="14" t="s">
        <v>153</v>
      </c>
      <c r="J863" s="14" t="s">
        <v>3988</v>
      </c>
      <c r="K863" s="14" t="s">
        <v>114</v>
      </c>
      <c r="L863" s="14" t="s">
        <v>3989</v>
      </c>
    </row>
    <row r="864" customFormat="false" ht="34.5" hidden="false" customHeight="true" outlineLevel="0" collapsed="false">
      <c r="A864" s="15" t="n">
        <v>680</v>
      </c>
      <c r="B864" s="16" t="s">
        <v>43</v>
      </c>
      <c r="C864" s="16" t="s">
        <v>3243</v>
      </c>
      <c r="D864" s="16" t="n">
        <v>2024</v>
      </c>
      <c r="E864" s="16" t="s">
        <v>3990</v>
      </c>
      <c r="F864" s="16" t="s">
        <v>151</v>
      </c>
      <c r="G864" s="16" t="s">
        <v>572</v>
      </c>
      <c r="H864" s="16" t="s">
        <v>145</v>
      </c>
      <c r="I864" s="16" t="s">
        <v>153</v>
      </c>
      <c r="J864" s="16" t="s">
        <v>3991</v>
      </c>
      <c r="K864" s="16" t="s">
        <v>114</v>
      </c>
      <c r="L864" s="16" t="s">
        <v>3992</v>
      </c>
    </row>
    <row r="865" customFormat="false" ht="34.5" hidden="false" customHeight="true" outlineLevel="0" collapsed="false">
      <c r="A865" s="8" t="n">
        <v>681</v>
      </c>
      <c r="B865" s="8" t="s">
        <v>29</v>
      </c>
      <c r="C865" s="8" t="s">
        <v>3993</v>
      </c>
      <c r="D865" s="8" t="n">
        <v>2022</v>
      </c>
      <c r="E865" s="8" t="s">
        <v>3994</v>
      </c>
      <c r="F865" s="8" t="s">
        <v>143</v>
      </c>
      <c r="G865" s="8" t="s">
        <v>348</v>
      </c>
      <c r="H865" s="8" t="s">
        <v>145</v>
      </c>
      <c r="I865" s="8" t="s">
        <v>153</v>
      </c>
      <c r="J865" s="8" t="s">
        <v>3886</v>
      </c>
      <c r="K865" s="8"/>
      <c r="L865" s="8" t="s">
        <v>3995</v>
      </c>
    </row>
    <row r="866" customFormat="false" ht="23.25" hidden="false" customHeight="true" outlineLevel="0" collapsed="false">
      <c r="A866" s="8" t="n">
        <v>682</v>
      </c>
      <c r="B866" s="8" t="s">
        <v>29</v>
      </c>
      <c r="C866" s="8" t="s">
        <v>3996</v>
      </c>
      <c r="D866" s="8" t="n">
        <v>2022</v>
      </c>
      <c r="E866" s="8" t="s">
        <v>3997</v>
      </c>
      <c r="F866" s="8" t="s">
        <v>143</v>
      </c>
      <c r="G866" s="8" t="s">
        <v>348</v>
      </c>
      <c r="H866" s="8" t="s">
        <v>145</v>
      </c>
      <c r="I866" s="8" t="s">
        <v>153</v>
      </c>
      <c r="J866" s="8" t="s">
        <v>3998</v>
      </c>
      <c r="K866" s="8"/>
      <c r="L866" s="8" t="s">
        <v>3999</v>
      </c>
    </row>
    <row r="867" customFormat="false" ht="34.5" hidden="false" customHeight="true" outlineLevel="0" collapsed="false">
      <c r="A867" s="8" t="n">
        <v>683</v>
      </c>
      <c r="B867" s="8" t="s">
        <v>29</v>
      </c>
      <c r="C867" s="8" t="s">
        <v>4000</v>
      </c>
      <c r="D867" s="8" t="n">
        <v>2023</v>
      </c>
      <c r="E867" s="8" t="s">
        <v>4001</v>
      </c>
      <c r="F867" s="8" t="s">
        <v>151</v>
      </c>
      <c r="G867" s="8" t="s">
        <v>4002</v>
      </c>
      <c r="H867" s="8" t="s">
        <v>145</v>
      </c>
      <c r="I867" s="8" t="s">
        <v>153</v>
      </c>
      <c r="J867" s="8" t="s">
        <v>4003</v>
      </c>
      <c r="K867" s="8" t="s">
        <v>114</v>
      </c>
      <c r="L867" s="8" t="s">
        <v>4004</v>
      </c>
    </row>
    <row r="868" customFormat="false" ht="34.5" hidden="false" customHeight="true" outlineLevel="0" collapsed="false">
      <c r="A868" s="8" t="n">
        <v>684</v>
      </c>
      <c r="B868" s="8" t="s">
        <v>29</v>
      </c>
      <c r="C868" s="8" t="s">
        <v>4005</v>
      </c>
      <c r="D868" s="8" t="n">
        <v>2022</v>
      </c>
      <c r="E868" s="8" t="s">
        <v>4006</v>
      </c>
      <c r="F868" s="8" t="s">
        <v>151</v>
      </c>
      <c r="G868" s="8" t="s">
        <v>4007</v>
      </c>
      <c r="H868" s="8" t="s">
        <v>145</v>
      </c>
      <c r="I868" s="8" t="s">
        <v>153</v>
      </c>
      <c r="J868" s="8" t="s">
        <v>4008</v>
      </c>
      <c r="K868" s="8" t="s">
        <v>114</v>
      </c>
      <c r="L868" s="8" t="s">
        <v>4009</v>
      </c>
    </row>
    <row r="869" customFormat="false" ht="34.5" hidden="false" customHeight="true" outlineLevel="0" collapsed="false">
      <c r="A869" s="8" t="n">
        <v>685</v>
      </c>
      <c r="B869" s="8" t="s">
        <v>29</v>
      </c>
      <c r="C869" s="8" t="s">
        <v>2604</v>
      </c>
      <c r="D869" s="8" t="n">
        <v>2024</v>
      </c>
      <c r="E869" s="8" t="s">
        <v>4010</v>
      </c>
      <c r="F869" s="8" t="s">
        <v>143</v>
      </c>
      <c r="G869" s="8" t="s">
        <v>4011</v>
      </c>
      <c r="H869" s="8" t="s">
        <v>145</v>
      </c>
      <c r="I869" s="8" t="s">
        <v>153</v>
      </c>
      <c r="J869" s="8" t="s">
        <v>4012</v>
      </c>
      <c r="K869" s="8" t="s">
        <v>110</v>
      </c>
      <c r="L869" s="8" t="s">
        <v>4013</v>
      </c>
    </row>
    <row r="870" customFormat="false" ht="34.5" hidden="false" customHeight="true" outlineLevel="0" collapsed="false">
      <c r="A870" s="8" t="n">
        <v>686</v>
      </c>
      <c r="B870" s="8" t="s">
        <v>29</v>
      </c>
      <c r="C870" s="8" t="s">
        <v>4014</v>
      </c>
      <c r="D870" s="8" t="n">
        <v>2019</v>
      </c>
      <c r="E870" s="8" t="s">
        <v>4015</v>
      </c>
      <c r="F870" s="8" t="s">
        <v>201</v>
      </c>
      <c r="G870" s="8" t="s">
        <v>4016</v>
      </c>
      <c r="H870" s="8" t="s">
        <v>145</v>
      </c>
      <c r="I870" s="8" t="s">
        <v>387</v>
      </c>
      <c r="J870" s="8" t="s">
        <v>4017</v>
      </c>
      <c r="K870" s="8" t="s">
        <v>112</v>
      </c>
      <c r="L870" s="8" t="s">
        <v>4018</v>
      </c>
    </row>
    <row r="871" customFormat="false" ht="34.5" hidden="false" customHeight="true" outlineLevel="0" collapsed="false">
      <c r="A871" s="8" t="n">
        <v>687</v>
      </c>
      <c r="B871" s="8" t="s">
        <v>29</v>
      </c>
      <c r="C871" s="8" t="s">
        <v>4019</v>
      </c>
      <c r="D871" s="8" t="n">
        <v>2023</v>
      </c>
      <c r="E871" s="8" t="s">
        <v>4020</v>
      </c>
      <c r="F871" s="8" t="s">
        <v>143</v>
      </c>
      <c r="G871" s="8" t="s">
        <v>3740</v>
      </c>
      <c r="H871" s="8" t="s">
        <v>1213</v>
      </c>
      <c r="I871" s="8" t="s">
        <v>146</v>
      </c>
      <c r="J871" s="8" t="s">
        <v>4021</v>
      </c>
      <c r="K871" s="8" t="s">
        <v>112</v>
      </c>
      <c r="L871" s="8" t="s">
        <v>4022</v>
      </c>
    </row>
    <row r="872" customFormat="false" ht="34.5" hidden="false" customHeight="true" outlineLevel="0" collapsed="false">
      <c r="A872" s="8" t="n">
        <v>688</v>
      </c>
      <c r="B872" s="8" t="s">
        <v>29</v>
      </c>
      <c r="C872" s="8" t="s">
        <v>4023</v>
      </c>
      <c r="D872" s="8" t="n">
        <v>2021</v>
      </c>
      <c r="E872" s="8" t="s">
        <v>4024</v>
      </c>
      <c r="F872" s="8" t="s">
        <v>143</v>
      </c>
      <c r="G872" s="8" t="s">
        <v>1763</v>
      </c>
      <c r="H872" s="8" t="s">
        <v>1213</v>
      </c>
      <c r="I872" s="8" t="s">
        <v>146</v>
      </c>
      <c r="J872" s="8" t="s">
        <v>4025</v>
      </c>
      <c r="K872" s="8" t="s">
        <v>112</v>
      </c>
      <c r="L872" s="8" t="s">
        <v>4026</v>
      </c>
    </row>
    <row r="873" customFormat="false" ht="23.25" hidden="false" customHeight="true" outlineLevel="0" collapsed="false">
      <c r="A873" s="8" t="n">
        <v>689</v>
      </c>
      <c r="B873" s="8" t="s">
        <v>29</v>
      </c>
      <c r="C873" s="8" t="s">
        <v>4027</v>
      </c>
      <c r="D873" s="8" t="n">
        <v>2005</v>
      </c>
      <c r="E873" s="8" t="s">
        <v>4028</v>
      </c>
      <c r="F873" s="8" t="s">
        <v>143</v>
      </c>
      <c r="G873" s="8" t="s">
        <v>348</v>
      </c>
      <c r="H873" s="8" t="s">
        <v>145</v>
      </c>
      <c r="I873" s="8" t="s">
        <v>153</v>
      </c>
      <c r="J873" s="8" t="s">
        <v>4029</v>
      </c>
      <c r="K873" s="8"/>
      <c r="L873" s="8" t="s">
        <v>4030</v>
      </c>
    </row>
    <row r="874" customFormat="false" ht="34.5" hidden="false" customHeight="true" outlineLevel="0" collapsed="false">
      <c r="A874" s="13" t="n">
        <v>690</v>
      </c>
      <c r="B874" s="14" t="s">
        <v>29</v>
      </c>
      <c r="C874" s="14" t="s">
        <v>4031</v>
      </c>
      <c r="D874" s="14" t="n">
        <v>2024</v>
      </c>
      <c r="E874" s="14" t="s">
        <v>4032</v>
      </c>
      <c r="F874" s="14" t="s">
        <v>201</v>
      </c>
      <c r="G874" s="14" t="s">
        <v>4033</v>
      </c>
      <c r="H874" s="14" t="s">
        <v>145</v>
      </c>
      <c r="I874" s="14" t="s">
        <v>387</v>
      </c>
      <c r="J874" s="14" t="s">
        <v>4034</v>
      </c>
      <c r="K874" s="14" t="s">
        <v>110</v>
      </c>
      <c r="L874" s="14" t="s">
        <v>4035</v>
      </c>
    </row>
    <row r="875" customFormat="false" ht="34.5" hidden="false" customHeight="true" outlineLevel="0" collapsed="false">
      <c r="A875" s="15" t="n">
        <v>690</v>
      </c>
      <c r="B875" s="16" t="s">
        <v>43</v>
      </c>
      <c r="C875" s="16" t="s">
        <v>4031</v>
      </c>
      <c r="D875" s="16" t="n">
        <v>2024</v>
      </c>
      <c r="E875" s="16" t="s">
        <v>4036</v>
      </c>
      <c r="F875" s="16" t="s">
        <v>201</v>
      </c>
      <c r="G875" s="16" t="s">
        <v>4037</v>
      </c>
      <c r="H875" s="16" t="s">
        <v>145</v>
      </c>
      <c r="I875" s="16" t="s">
        <v>387</v>
      </c>
      <c r="J875" s="16" t="s">
        <v>4038</v>
      </c>
      <c r="K875" s="16" t="s">
        <v>110</v>
      </c>
      <c r="L875" s="16" t="s">
        <v>4039</v>
      </c>
    </row>
    <row r="876" customFormat="false" ht="34.5" hidden="false" customHeight="true" outlineLevel="0" collapsed="false">
      <c r="A876" s="15" t="n">
        <v>690</v>
      </c>
      <c r="B876" s="16" t="s">
        <v>81</v>
      </c>
      <c r="C876" s="16" t="s">
        <v>4031</v>
      </c>
      <c r="D876" s="16" t="n">
        <v>2024</v>
      </c>
      <c r="E876" s="16" t="s">
        <v>4036</v>
      </c>
      <c r="F876" s="16" t="s">
        <v>4040</v>
      </c>
      <c r="G876" s="16" t="s">
        <v>1790</v>
      </c>
      <c r="H876" s="16" t="s">
        <v>145</v>
      </c>
      <c r="I876" s="16" t="s">
        <v>387</v>
      </c>
      <c r="J876" s="16" t="s">
        <v>4041</v>
      </c>
      <c r="K876" s="16" t="s">
        <v>110</v>
      </c>
      <c r="L876" s="16" t="s">
        <v>4042</v>
      </c>
    </row>
    <row r="877" customFormat="false" ht="34.5" hidden="false" customHeight="true" outlineLevel="0" collapsed="false">
      <c r="A877" s="8" t="n">
        <v>691</v>
      </c>
      <c r="B877" s="8" t="s">
        <v>29</v>
      </c>
      <c r="C877" s="8" t="s">
        <v>4043</v>
      </c>
      <c r="D877" s="8" t="n">
        <v>2013</v>
      </c>
      <c r="E877" s="8" t="s">
        <v>4044</v>
      </c>
      <c r="F877" s="8" t="s">
        <v>143</v>
      </c>
      <c r="G877" s="8" t="s">
        <v>348</v>
      </c>
      <c r="H877" s="8" t="s">
        <v>145</v>
      </c>
      <c r="I877" s="8" t="s">
        <v>153</v>
      </c>
      <c r="J877" s="8" t="s">
        <v>4045</v>
      </c>
      <c r="K877" s="8"/>
      <c r="L877" s="8" t="s">
        <v>4046</v>
      </c>
    </row>
    <row r="878" customFormat="false" ht="34.5" hidden="false" customHeight="true" outlineLevel="0" collapsed="false">
      <c r="A878" s="8" t="n">
        <v>692</v>
      </c>
      <c r="B878" s="8" t="s">
        <v>29</v>
      </c>
      <c r="C878" s="8" t="s">
        <v>4047</v>
      </c>
      <c r="D878" s="8" t="n">
        <v>2019</v>
      </c>
      <c r="E878" s="8" t="s">
        <v>4048</v>
      </c>
      <c r="F878" s="8" t="s">
        <v>143</v>
      </c>
      <c r="G878" s="8" t="s">
        <v>348</v>
      </c>
      <c r="H878" s="8" t="s">
        <v>145</v>
      </c>
      <c r="I878" s="8" t="s">
        <v>153</v>
      </c>
      <c r="J878" s="8" t="s">
        <v>4049</v>
      </c>
      <c r="K878" s="8"/>
      <c r="L878" s="8" t="s">
        <v>4050</v>
      </c>
    </row>
    <row r="879" customFormat="false" ht="34.5" hidden="false" customHeight="true" outlineLevel="0" collapsed="false">
      <c r="A879" s="8" t="n">
        <v>693</v>
      </c>
      <c r="B879" s="8" t="s">
        <v>29</v>
      </c>
      <c r="C879" s="8" t="s">
        <v>1399</v>
      </c>
      <c r="D879" s="8" t="n">
        <v>2024</v>
      </c>
      <c r="E879" s="8" t="s">
        <v>4051</v>
      </c>
      <c r="F879" s="8" t="s">
        <v>143</v>
      </c>
      <c r="G879" s="8" t="s">
        <v>4052</v>
      </c>
      <c r="H879" s="8" t="s">
        <v>145</v>
      </c>
      <c r="I879" s="8" t="s">
        <v>387</v>
      </c>
      <c r="J879" s="8" t="s">
        <v>4053</v>
      </c>
      <c r="K879" s="8" t="s">
        <v>110</v>
      </c>
      <c r="L879" s="8" t="s">
        <v>4054</v>
      </c>
    </row>
    <row r="880" customFormat="false" ht="34.5" hidden="false" customHeight="true" outlineLevel="0" collapsed="false">
      <c r="A880" s="8" t="n">
        <v>694</v>
      </c>
      <c r="B880" s="8" t="s">
        <v>29</v>
      </c>
      <c r="C880" s="8" t="s">
        <v>1399</v>
      </c>
      <c r="D880" s="8" t="n">
        <v>2024</v>
      </c>
      <c r="E880" s="8" t="s">
        <v>4055</v>
      </c>
      <c r="F880" s="8" t="s">
        <v>201</v>
      </c>
      <c r="G880" s="8" t="s">
        <v>4056</v>
      </c>
      <c r="H880" s="8" t="s">
        <v>145</v>
      </c>
      <c r="I880" s="8" t="s">
        <v>387</v>
      </c>
      <c r="J880" s="8" t="s">
        <v>4057</v>
      </c>
      <c r="K880" s="8" t="s">
        <v>110</v>
      </c>
      <c r="L880" s="8" t="s">
        <v>4058</v>
      </c>
    </row>
    <row r="881" customFormat="false" ht="34.5" hidden="false" customHeight="true" outlineLevel="0" collapsed="false">
      <c r="A881" s="8" t="n">
        <v>695</v>
      </c>
      <c r="B881" s="8" t="s">
        <v>29</v>
      </c>
      <c r="C881" s="8" t="s">
        <v>4059</v>
      </c>
      <c r="D881" s="8" t="n">
        <v>2024</v>
      </c>
      <c r="E881" s="8" t="s">
        <v>4060</v>
      </c>
      <c r="F881" s="8" t="s">
        <v>151</v>
      </c>
      <c r="G881" s="8" t="s">
        <v>4061</v>
      </c>
      <c r="H881" s="8" t="s">
        <v>145</v>
      </c>
      <c r="I881" s="8" t="s">
        <v>153</v>
      </c>
      <c r="J881" s="8" t="s">
        <v>4062</v>
      </c>
      <c r="K881" s="8" t="s">
        <v>114</v>
      </c>
      <c r="L881" s="8" t="s">
        <v>4063</v>
      </c>
    </row>
    <row r="882" customFormat="false" ht="34.5" hidden="false" customHeight="true" outlineLevel="0" collapsed="false">
      <c r="A882" s="8" t="n">
        <v>696</v>
      </c>
      <c r="B882" s="8" t="s">
        <v>29</v>
      </c>
      <c r="C882" s="8" t="s">
        <v>4064</v>
      </c>
      <c r="D882" s="8" t="n">
        <v>2010</v>
      </c>
      <c r="E882" s="8" t="s">
        <v>4065</v>
      </c>
      <c r="F882" s="8" t="s">
        <v>151</v>
      </c>
      <c r="G882" s="8" t="s">
        <v>4066</v>
      </c>
      <c r="H882" s="8" t="s">
        <v>4067</v>
      </c>
      <c r="I882" s="8" t="s">
        <v>146</v>
      </c>
      <c r="J882" s="8" t="s">
        <v>4068</v>
      </c>
      <c r="K882" s="8" t="s">
        <v>116</v>
      </c>
      <c r="L882" s="8" t="s">
        <v>4069</v>
      </c>
    </row>
    <row r="883" customFormat="false" ht="34.5" hidden="false" customHeight="true" outlineLevel="0" collapsed="false">
      <c r="A883" s="8" t="n">
        <v>697</v>
      </c>
      <c r="B883" s="8" t="s">
        <v>29</v>
      </c>
      <c r="C883" s="8" t="s">
        <v>4070</v>
      </c>
      <c r="D883" s="8" t="n">
        <v>2019</v>
      </c>
      <c r="E883" s="8" t="s">
        <v>4071</v>
      </c>
      <c r="F883" s="8" t="s">
        <v>151</v>
      </c>
      <c r="G883" s="8" t="s">
        <v>4072</v>
      </c>
      <c r="H883" s="8" t="s">
        <v>423</v>
      </c>
      <c r="I883" s="8" t="s">
        <v>146</v>
      </c>
      <c r="J883" s="8" t="s">
        <v>4073</v>
      </c>
      <c r="K883" s="8" t="s">
        <v>116</v>
      </c>
      <c r="L883" s="8" t="s">
        <v>4074</v>
      </c>
    </row>
    <row r="884" customFormat="false" ht="34.5" hidden="false" customHeight="true" outlineLevel="0" collapsed="false">
      <c r="A884" s="8" t="n">
        <v>698</v>
      </c>
      <c r="B884" s="8" t="s">
        <v>29</v>
      </c>
      <c r="C884" s="8" t="s">
        <v>4075</v>
      </c>
      <c r="D884" s="8" t="n">
        <v>2019</v>
      </c>
      <c r="E884" s="8" t="s">
        <v>4076</v>
      </c>
      <c r="F884" s="8" t="s">
        <v>143</v>
      </c>
      <c r="G884" s="8" t="s">
        <v>4077</v>
      </c>
      <c r="H884" s="8" t="s">
        <v>145</v>
      </c>
      <c r="I884" s="8" t="s">
        <v>153</v>
      </c>
      <c r="J884" s="8" t="s">
        <v>4078</v>
      </c>
      <c r="K884" s="8"/>
      <c r="L884" s="8" t="s">
        <v>4079</v>
      </c>
    </row>
    <row r="885" customFormat="false" ht="34.5" hidden="false" customHeight="true" outlineLevel="0" collapsed="false">
      <c r="A885" s="8" t="n">
        <v>699</v>
      </c>
      <c r="B885" s="8" t="s">
        <v>29</v>
      </c>
      <c r="C885" s="8" t="s">
        <v>4080</v>
      </c>
      <c r="D885" s="8" t="n">
        <v>2001</v>
      </c>
      <c r="E885" s="8" t="s">
        <v>4081</v>
      </c>
      <c r="F885" s="8" t="s">
        <v>143</v>
      </c>
      <c r="G885" s="8" t="s">
        <v>4082</v>
      </c>
      <c r="H885" s="8" t="s">
        <v>145</v>
      </c>
      <c r="I885" s="8" t="s">
        <v>153</v>
      </c>
      <c r="J885" s="8" t="s">
        <v>4083</v>
      </c>
      <c r="K885" s="8"/>
      <c r="L885" s="8" t="s">
        <v>4084</v>
      </c>
    </row>
    <row r="886" customFormat="false" ht="23.25" hidden="false" customHeight="true" outlineLevel="0" collapsed="false">
      <c r="A886" s="8" t="n">
        <v>700</v>
      </c>
      <c r="B886" s="8" t="s">
        <v>29</v>
      </c>
      <c r="C886" s="8" t="s">
        <v>4085</v>
      </c>
      <c r="D886" s="8" t="n">
        <v>2023</v>
      </c>
      <c r="E886" s="8" t="s">
        <v>4086</v>
      </c>
      <c r="F886" s="8" t="s">
        <v>143</v>
      </c>
      <c r="G886" s="8" t="s">
        <v>348</v>
      </c>
      <c r="H886" s="8" t="s">
        <v>145</v>
      </c>
      <c r="I886" s="8" t="s">
        <v>153</v>
      </c>
      <c r="J886" s="8" t="s">
        <v>4087</v>
      </c>
      <c r="K886" s="8"/>
      <c r="L886" s="8" t="s">
        <v>4088</v>
      </c>
    </row>
    <row r="887" customFormat="false" ht="34.5" hidden="false" customHeight="true" outlineLevel="0" collapsed="false">
      <c r="A887" s="8" t="n">
        <v>701</v>
      </c>
      <c r="B887" s="8" t="s">
        <v>29</v>
      </c>
      <c r="C887" s="8" t="s">
        <v>4089</v>
      </c>
      <c r="D887" s="8" t="n">
        <v>2024</v>
      </c>
      <c r="E887" s="8" t="s">
        <v>4090</v>
      </c>
      <c r="F887" s="8" t="s">
        <v>151</v>
      </c>
      <c r="G887" s="8" t="s">
        <v>4091</v>
      </c>
      <c r="H887" s="8" t="s">
        <v>145</v>
      </c>
      <c r="I887" s="8" t="s">
        <v>387</v>
      </c>
      <c r="J887" s="8" t="s">
        <v>4092</v>
      </c>
      <c r="K887" s="8" t="s">
        <v>110</v>
      </c>
      <c r="L887" s="8" t="s">
        <v>4093</v>
      </c>
    </row>
    <row r="888" customFormat="false" ht="34.5" hidden="false" customHeight="true" outlineLevel="0" collapsed="false">
      <c r="A888" s="8" t="n">
        <v>702</v>
      </c>
      <c r="B888" s="8" t="s">
        <v>29</v>
      </c>
      <c r="C888" s="8" t="s">
        <v>4094</v>
      </c>
      <c r="D888" s="8" t="n">
        <v>2024</v>
      </c>
      <c r="E888" s="8" t="s">
        <v>4095</v>
      </c>
      <c r="F888" s="8" t="s">
        <v>201</v>
      </c>
      <c r="G888" s="8" t="s">
        <v>4096</v>
      </c>
      <c r="H888" s="8" t="s">
        <v>244</v>
      </c>
      <c r="I888" s="8" t="s">
        <v>153</v>
      </c>
      <c r="J888" s="8" t="s">
        <v>4097</v>
      </c>
      <c r="K888" s="8" t="s">
        <v>114</v>
      </c>
      <c r="L888" s="8" t="s">
        <v>4098</v>
      </c>
    </row>
    <row r="889" customFormat="false" ht="34.5" hidden="false" customHeight="true" outlineLevel="0" collapsed="false">
      <c r="A889" s="8" t="n">
        <v>703</v>
      </c>
      <c r="B889" s="8" t="s">
        <v>29</v>
      </c>
      <c r="C889" s="8" t="s">
        <v>2151</v>
      </c>
      <c r="D889" s="8" t="n">
        <v>2022</v>
      </c>
      <c r="E889" s="8" t="s">
        <v>4099</v>
      </c>
      <c r="F889" s="8" t="s">
        <v>201</v>
      </c>
      <c r="G889" s="8" t="s">
        <v>2132</v>
      </c>
      <c r="H889" s="8" t="s">
        <v>145</v>
      </c>
      <c r="I889" s="8" t="s">
        <v>153</v>
      </c>
      <c r="J889" s="8" t="s">
        <v>4100</v>
      </c>
      <c r="K889" s="8" t="s">
        <v>114</v>
      </c>
      <c r="L889" s="8" t="s">
        <v>4101</v>
      </c>
    </row>
    <row r="890" customFormat="false" ht="34.5" hidden="false" customHeight="true" outlineLevel="0" collapsed="false">
      <c r="A890" s="8" t="n">
        <v>704</v>
      </c>
      <c r="B890" s="8" t="s">
        <v>29</v>
      </c>
      <c r="C890" s="8" t="s">
        <v>3555</v>
      </c>
      <c r="D890" s="8" t="n">
        <v>2024</v>
      </c>
      <c r="E890" s="8" t="s">
        <v>3556</v>
      </c>
      <c r="F890" s="8" t="s">
        <v>143</v>
      </c>
      <c r="G890" s="8" t="s">
        <v>4102</v>
      </c>
      <c r="H890" s="8" t="s">
        <v>4103</v>
      </c>
      <c r="I890" s="8" t="s">
        <v>146</v>
      </c>
      <c r="J890" s="8" t="s">
        <v>4104</v>
      </c>
      <c r="K890" s="8" t="s">
        <v>110</v>
      </c>
      <c r="L890" s="8" t="s">
        <v>4105</v>
      </c>
    </row>
    <row r="891" customFormat="false" ht="34.5" hidden="false" customHeight="true" outlineLevel="0" collapsed="false">
      <c r="A891" s="8" t="n">
        <v>705</v>
      </c>
      <c r="B891" s="8" t="s">
        <v>29</v>
      </c>
      <c r="C891" s="8" t="s">
        <v>4106</v>
      </c>
      <c r="D891" s="8" t="n">
        <v>2024</v>
      </c>
      <c r="E891" s="8" t="s">
        <v>4107</v>
      </c>
      <c r="F891" s="8" t="s">
        <v>143</v>
      </c>
      <c r="G891" s="8" t="s">
        <v>4108</v>
      </c>
      <c r="H891" s="8" t="s">
        <v>2846</v>
      </c>
      <c r="I891" s="8" t="s">
        <v>387</v>
      </c>
      <c r="J891" s="8" t="s">
        <v>4109</v>
      </c>
      <c r="K891" s="8" t="s">
        <v>110</v>
      </c>
      <c r="L891" s="8" t="s">
        <v>4110</v>
      </c>
    </row>
    <row r="892" customFormat="false" ht="34.5" hidden="false" customHeight="true" outlineLevel="0" collapsed="false">
      <c r="A892" s="8" t="n">
        <v>706</v>
      </c>
      <c r="B892" s="8" t="s">
        <v>29</v>
      </c>
      <c r="C892" s="8" t="s">
        <v>4111</v>
      </c>
      <c r="D892" s="8" t="n">
        <v>2024</v>
      </c>
      <c r="E892" s="8" t="s">
        <v>4112</v>
      </c>
      <c r="F892" s="8" t="s">
        <v>143</v>
      </c>
      <c r="G892" s="8" t="s">
        <v>4113</v>
      </c>
      <c r="H892" s="8" t="s">
        <v>145</v>
      </c>
      <c r="I892" s="8" t="s">
        <v>153</v>
      </c>
      <c r="J892" s="8" t="s">
        <v>4114</v>
      </c>
      <c r="K892" s="8" t="s">
        <v>114</v>
      </c>
      <c r="L892" s="8" t="s">
        <v>4115</v>
      </c>
    </row>
    <row r="893" customFormat="false" ht="34.5" hidden="false" customHeight="true" outlineLevel="0" collapsed="false">
      <c r="A893" s="8" t="n">
        <v>707</v>
      </c>
      <c r="B893" s="8" t="s">
        <v>29</v>
      </c>
      <c r="C893" s="8" t="s">
        <v>4116</v>
      </c>
      <c r="D893" s="8" t="n">
        <v>2023</v>
      </c>
      <c r="E893" s="8" t="s">
        <v>4117</v>
      </c>
      <c r="F893" s="8" t="s">
        <v>143</v>
      </c>
      <c r="G893" s="8" t="s">
        <v>4118</v>
      </c>
      <c r="H893" s="8" t="s">
        <v>145</v>
      </c>
      <c r="I893" s="8" t="s">
        <v>153</v>
      </c>
      <c r="J893" s="8" t="s">
        <v>4119</v>
      </c>
      <c r="K893" s="8" t="s">
        <v>114</v>
      </c>
      <c r="L893" s="8" t="s">
        <v>4120</v>
      </c>
    </row>
    <row r="894" customFormat="false" ht="34.5" hidden="false" customHeight="true" outlineLevel="0" collapsed="false">
      <c r="A894" s="8" t="n">
        <v>708</v>
      </c>
      <c r="B894" s="8" t="s">
        <v>29</v>
      </c>
      <c r="C894" s="8" t="s">
        <v>4121</v>
      </c>
      <c r="D894" s="8" t="n">
        <v>2023</v>
      </c>
      <c r="E894" s="8" t="s">
        <v>4122</v>
      </c>
      <c r="F894" s="8" t="s">
        <v>143</v>
      </c>
      <c r="G894" s="8" t="s">
        <v>1517</v>
      </c>
      <c r="H894" s="8" t="s">
        <v>145</v>
      </c>
      <c r="I894" s="8" t="s">
        <v>153</v>
      </c>
      <c r="J894" s="8" t="s">
        <v>3622</v>
      </c>
      <c r="K894" s="8" t="s">
        <v>114</v>
      </c>
      <c r="L894" s="8" t="s">
        <v>4123</v>
      </c>
    </row>
    <row r="895" customFormat="false" ht="23.25" hidden="false" customHeight="true" outlineLevel="0" collapsed="false">
      <c r="A895" s="8" t="n">
        <v>709</v>
      </c>
      <c r="B895" s="8" t="s">
        <v>29</v>
      </c>
      <c r="C895" s="8" t="s">
        <v>4124</v>
      </c>
      <c r="D895" s="8" t="n">
        <v>2019</v>
      </c>
      <c r="E895" s="8" t="s">
        <v>4125</v>
      </c>
      <c r="F895" s="8" t="s">
        <v>143</v>
      </c>
      <c r="G895" s="8" t="s">
        <v>348</v>
      </c>
      <c r="H895" s="8" t="s">
        <v>145</v>
      </c>
      <c r="I895" s="8" t="s">
        <v>153</v>
      </c>
      <c r="J895" s="8" t="s">
        <v>4126</v>
      </c>
      <c r="K895" s="8"/>
      <c r="L895" s="8" t="s">
        <v>4127</v>
      </c>
    </row>
    <row r="896" customFormat="false" ht="23.25" hidden="false" customHeight="true" outlineLevel="0" collapsed="false">
      <c r="A896" s="8" t="n">
        <v>710</v>
      </c>
      <c r="B896" s="8" t="s">
        <v>29</v>
      </c>
      <c r="C896" s="8" t="s">
        <v>4128</v>
      </c>
      <c r="D896" s="8" t="n">
        <v>2014</v>
      </c>
      <c r="E896" s="8" t="s">
        <v>4129</v>
      </c>
      <c r="F896" s="8" t="s">
        <v>143</v>
      </c>
      <c r="G896" s="8" t="s">
        <v>348</v>
      </c>
      <c r="H896" s="8" t="s">
        <v>145</v>
      </c>
      <c r="I896" s="8" t="s">
        <v>153</v>
      </c>
      <c r="J896" s="8" t="s">
        <v>4130</v>
      </c>
      <c r="K896" s="8"/>
      <c r="L896" s="8" t="s">
        <v>4131</v>
      </c>
    </row>
    <row r="897" customFormat="false" ht="23.25" hidden="false" customHeight="true" outlineLevel="0" collapsed="false">
      <c r="A897" s="8" t="n">
        <v>711</v>
      </c>
      <c r="B897" s="8" t="s">
        <v>29</v>
      </c>
      <c r="C897" s="8" t="s">
        <v>4132</v>
      </c>
      <c r="D897" s="8" t="n">
        <v>2023</v>
      </c>
      <c r="E897" s="8" t="s">
        <v>4133</v>
      </c>
      <c r="F897" s="8" t="s">
        <v>201</v>
      </c>
      <c r="G897" s="8" t="s">
        <v>4134</v>
      </c>
      <c r="H897" s="8" t="s">
        <v>1373</v>
      </c>
      <c r="I897" s="8" t="s">
        <v>146</v>
      </c>
      <c r="J897" s="8" t="s">
        <v>4135</v>
      </c>
      <c r="K897" s="8" t="s">
        <v>116</v>
      </c>
      <c r="L897" s="8" t="s">
        <v>4136</v>
      </c>
    </row>
    <row r="898" customFormat="false" ht="23.25" hidden="false" customHeight="true" outlineLevel="0" collapsed="false">
      <c r="A898" s="8" t="n">
        <v>712</v>
      </c>
      <c r="B898" s="8" t="s">
        <v>29</v>
      </c>
      <c r="C898" s="8" t="s">
        <v>4137</v>
      </c>
      <c r="D898" s="8" t="n">
        <v>2020</v>
      </c>
      <c r="E898" s="8" t="s">
        <v>4138</v>
      </c>
      <c r="F898" s="8" t="s">
        <v>143</v>
      </c>
      <c r="G898" s="8" t="s">
        <v>4139</v>
      </c>
      <c r="H898" s="8" t="s">
        <v>145</v>
      </c>
      <c r="I898" s="8" t="s">
        <v>153</v>
      </c>
      <c r="J898" s="8" t="s">
        <v>4140</v>
      </c>
      <c r="K898" s="8"/>
      <c r="L898" s="8" t="s">
        <v>4141</v>
      </c>
    </row>
    <row r="899" customFormat="false" ht="34.5" hidden="false" customHeight="true" outlineLevel="0" collapsed="false">
      <c r="A899" s="9" t="n">
        <v>713</v>
      </c>
      <c r="B899" s="10" t="s">
        <v>29</v>
      </c>
      <c r="C899" s="10" t="s">
        <v>4142</v>
      </c>
      <c r="D899" s="10" t="n">
        <v>2023</v>
      </c>
      <c r="E899" s="10" t="s">
        <v>4143</v>
      </c>
      <c r="F899" s="10" t="s">
        <v>151</v>
      </c>
      <c r="G899" s="10" t="s">
        <v>1080</v>
      </c>
      <c r="H899" s="10" t="s">
        <v>145</v>
      </c>
      <c r="I899" s="10" t="s">
        <v>522</v>
      </c>
      <c r="J899" s="10" t="s">
        <v>4144</v>
      </c>
      <c r="K899" s="10" t="s">
        <v>112</v>
      </c>
      <c r="L899" s="10" t="s">
        <v>4145</v>
      </c>
    </row>
    <row r="900" customFormat="false" ht="34.5" hidden="false" customHeight="true" outlineLevel="0" collapsed="false">
      <c r="A900" s="11" t="n">
        <v>713</v>
      </c>
      <c r="B900" s="12" t="s">
        <v>43</v>
      </c>
      <c r="C900" s="12" t="s">
        <v>4142</v>
      </c>
      <c r="D900" s="12" t="n">
        <v>2023</v>
      </c>
      <c r="E900" s="12" t="s">
        <v>4146</v>
      </c>
      <c r="F900" s="12" t="s">
        <v>151</v>
      </c>
      <c r="G900" s="12" t="s">
        <v>1458</v>
      </c>
      <c r="H900" s="12" t="s">
        <v>145</v>
      </c>
      <c r="I900" s="12" t="s">
        <v>153</v>
      </c>
      <c r="J900" s="12" t="s">
        <v>4147</v>
      </c>
      <c r="K900" s="12" t="s">
        <v>112</v>
      </c>
      <c r="L900" s="12" t="s">
        <v>4148</v>
      </c>
    </row>
    <row r="901" customFormat="false" ht="34.5" hidden="false" customHeight="true" outlineLevel="0" collapsed="false">
      <c r="A901" s="13" t="n">
        <v>714</v>
      </c>
      <c r="B901" s="14" t="s">
        <v>29</v>
      </c>
      <c r="C901" s="14" t="s">
        <v>1303</v>
      </c>
      <c r="D901" s="14" t="n">
        <v>2024</v>
      </c>
      <c r="E901" s="14" t="s">
        <v>3645</v>
      </c>
      <c r="F901" s="14" t="s">
        <v>143</v>
      </c>
      <c r="G901" s="14" t="s">
        <v>1278</v>
      </c>
      <c r="H901" s="14" t="s">
        <v>1213</v>
      </c>
      <c r="I901" s="14" t="s">
        <v>146</v>
      </c>
      <c r="J901" s="14" t="s">
        <v>4149</v>
      </c>
      <c r="K901" s="14" t="s">
        <v>112</v>
      </c>
      <c r="L901" s="14" t="s">
        <v>4150</v>
      </c>
    </row>
    <row r="902" customFormat="false" ht="34.5" hidden="false" customHeight="true" outlineLevel="0" collapsed="false">
      <c r="A902" s="15" t="n">
        <v>714</v>
      </c>
      <c r="B902" s="16" t="s">
        <v>81</v>
      </c>
      <c r="C902" s="16" t="s">
        <v>1303</v>
      </c>
      <c r="D902" s="16" t="n">
        <v>2024</v>
      </c>
      <c r="E902" s="16" t="s">
        <v>4151</v>
      </c>
      <c r="F902" s="16" t="s">
        <v>143</v>
      </c>
      <c r="G902" s="16" t="s">
        <v>3646</v>
      </c>
      <c r="H902" s="16" t="s">
        <v>1213</v>
      </c>
      <c r="I902" s="16" t="s">
        <v>146</v>
      </c>
      <c r="J902" s="16" t="s">
        <v>4152</v>
      </c>
      <c r="K902" s="16" t="s">
        <v>112</v>
      </c>
      <c r="L902" s="16" t="s">
        <v>4153</v>
      </c>
    </row>
    <row r="903" customFormat="false" ht="34.5" hidden="false" customHeight="true" outlineLevel="0" collapsed="false">
      <c r="A903" s="9" t="n">
        <v>715</v>
      </c>
      <c r="B903" s="10" t="s">
        <v>29</v>
      </c>
      <c r="C903" s="10" t="s">
        <v>4154</v>
      </c>
      <c r="D903" s="10" t="n">
        <v>2023</v>
      </c>
      <c r="E903" s="10" t="s">
        <v>4155</v>
      </c>
      <c r="F903" s="10" t="s">
        <v>151</v>
      </c>
      <c r="G903" s="10" t="s">
        <v>3359</v>
      </c>
      <c r="H903" s="10" t="s">
        <v>145</v>
      </c>
      <c r="I903" s="10" t="s">
        <v>153</v>
      </c>
      <c r="J903" s="10" t="s">
        <v>4156</v>
      </c>
      <c r="K903" s="10"/>
      <c r="L903" s="10" t="s">
        <v>4157</v>
      </c>
    </row>
    <row r="904" customFormat="false" ht="34.5" hidden="false" customHeight="true" outlineLevel="0" collapsed="false">
      <c r="A904" s="11" t="n">
        <v>715</v>
      </c>
      <c r="B904" s="12" t="s">
        <v>87</v>
      </c>
      <c r="C904" s="12" t="s">
        <v>4158</v>
      </c>
      <c r="D904" s="12" t="n">
        <v>2023</v>
      </c>
      <c r="E904" s="12" t="s">
        <v>4159</v>
      </c>
      <c r="F904" s="12" t="s">
        <v>4160</v>
      </c>
      <c r="G904" s="12" t="s">
        <v>197</v>
      </c>
      <c r="H904" s="12" t="s">
        <v>145</v>
      </c>
      <c r="I904" s="12" t="s">
        <v>153</v>
      </c>
      <c r="J904" s="12" t="s">
        <v>4161</v>
      </c>
      <c r="K904" s="12"/>
      <c r="L904" s="12" t="s">
        <v>4162</v>
      </c>
    </row>
    <row r="905" customFormat="false" ht="34.5" hidden="false" customHeight="true" outlineLevel="0" collapsed="false">
      <c r="A905" s="8" t="n">
        <v>716</v>
      </c>
      <c r="B905" s="8" t="s">
        <v>29</v>
      </c>
      <c r="C905" s="8" t="s">
        <v>4163</v>
      </c>
      <c r="D905" s="8" t="n">
        <v>1999</v>
      </c>
      <c r="E905" s="8" t="s">
        <v>4164</v>
      </c>
      <c r="F905" s="8" t="s">
        <v>143</v>
      </c>
      <c r="G905" s="8" t="s">
        <v>4165</v>
      </c>
      <c r="H905" s="8" t="s">
        <v>145</v>
      </c>
      <c r="I905" s="8" t="s">
        <v>153</v>
      </c>
      <c r="J905" s="8" t="s">
        <v>4166</v>
      </c>
      <c r="K905" s="8"/>
      <c r="L905" s="8" t="s">
        <v>4167</v>
      </c>
    </row>
    <row r="906" customFormat="false" ht="23.25" hidden="false" customHeight="true" outlineLevel="0" collapsed="false">
      <c r="A906" s="8" t="n">
        <v>717</v>
      </c>
      <c r="B906" s="8" t="s">
        <v>29</v>
      </c>
      <c r="C906" s="8" t="s">
        <v>4168</v>
      </c>
      <c r="D906" s="8" t="n">
        <v>2018</v>
      </c>
      <c r="E906" s="8" t="s">
        <v>4169</v>
      </c>
      <c r="F906" s="8" t="s">
        <v>143</v>
      </c>
      <c r="G906" s="8" t="s">
        <v>4170</v>
      </c>
      <c r="H906" s="8" t="s">
        <v>145</v>
      </c>
      <c r="I906" s="8" t="s">
        <v>153</v>
      </c>
      <c r="J906" s="8" t="s">
        <v>4171</v>
      </c>
      <c r="K906" s="8"/>
      <c r="L906" s="8" t="s">
        <v>4172</v>
      </c>
    </row>
    <row r="907" customFormat="false" ht="34.5" hidden="false" customHeight="true" outlineLevel="0" collapsed="false">
      <c r="A907" s="8" t="n">
        <v>718</v>
      </c>
      <c r="B907" s="8" t="s">
        <v>29</v>
      </c>
      <c r="C907" s="8" t="s">
        <v>2003</v>
      </c>
      <c r="D907" s="8" t="n">
        <v>2023</v>
      </c>
      <c r="E907" s="8" t="s">
        <v>4173</v>
      </c>
      <c r="F907" s="8" t="s">
        <v>151</v>
      </c>
      <c r="G907" s="8" t="s">
        <v>3359</v>
      </c>
      <c r="H907" s="8" t="s">
        <v>145</v>
      </c>
      <c r="I907" s="8" t="s">
        <v>153</v>
      </c>
      <c r="J907" s="8" t="s">
        <v>4174</v>
      </c>
      <c r="K907" s="8"/>
      <c r="L907" s="8" t="s">
        <v>4175</v>
      </c>
    </row>
    <row r="908" customFormat="false" ht="23.25" hidden="false" customHeight="true" outlineLevel="0" collapsed="false">
      <c r="A908" s="8" t="n">
        <v>719</v>
      </c>
      <c r="B908" s="8" t="s">
        <v>29</v>
      </c>
      <c r="C908" s="8" t="s">
        <v>4176</v>
      </c>
      <c r="D908" s="8" t="n">
        <v>2023</v>
      </c>
      <c r="E908" s="8" t="s">
        <v>4177</v>
      </c>
      <c r="F908" s="8" t="s">
        <v>143</v>
      </c>
      <c r="G908" s="8" t="s">
        <v>1513</v>
      </c>
      <c r="H908" s="8" t="s">
        <v>145</v>
      </c>
      <c r="I908" s="8" t="s">
        <v>153</v>
      </c>
      <c r="J908" s="8" t="s">
        <v>4178</v>
      </c>
      <c r="K908" s="8" t="s">
        <v>114</v>
      </c>
      <c r="L908" s="8" t="s">
        <v>4179</v>
      </c>
    </row>
    <row r="909" customFormat="false" ht="34.5" hidden="false" customHeight="true" outlineLevel="0" collapsed="false">
      <c r="A909" s="8" t="n">
        <v>720</v>
      </c>
      <c r="B909" s="8" t="s">
        <v>29</v>
      </c>
      <c r="C909" s="8" t="s">
        <v>4180</v>
      </c>
      <c r="D909" s="8" t="n">
        <v>2024</v>
      </c>
      <c r="E909" s="8" t="s">
        <v>4181</v>
      </c>
      <c r="F909" s="8" t="s">
        <v>201</v>
      </c>
      <c r="G909" s="8" t="s">
        <v>4182</v>
      </c>
      <c r="H909" s="8" t="s">
        <v>145</v>
      </c>
      <c r="I909" s="8" t="s">
        <v>153</v>
      </c>
      <c r="J909" s="8" t="s">
        <v>4183</v>
      </c>
      <c r="K909" s="8" t="s">
        <v>114</v>
      </c>
      <c r="L909" s="8" t="s">
        <v>4184</v>
      </c>
    </row>
    <row r="910" customFormat="false" ht="34.5" hidden="false" customHeight="true" outlineLevel="0" collapsed="false">
      <c r="A910" s="8" t="n">
        <v>721</v>
      </c>
      <c r="B910" s="8" t="s">
        <v>29</v>
      </c>
      <c r="C910" s="8" t="s">
        <v>1591</v>
      </c>
      <c r="D910" s="8" t="n">
        <v>2024</v>
      </c>
      <c r="E910" s="8" t="s">
        <v>4185</v>
      </c>
      <c r="F910" s="8" t="s">
        <v>201</v>
      </c>
      <c r="G910" s="8" t="s">
        <v>4186</v>
      </c>
      <c r="H910" s="8" t="s">
        <v>145</v>
      </c>
      <c r="I910" s="8" t="s">
        <v>153</v>
      </c>
      <c r="J910" s="8" t="s">
        <v>4187</v>
      </c>
      <c r="K910" s="8" t="s">
        <v>114</v>
      </c>
      <c r="L910" s="8" t="s">
        <v>4188</v>
      </c>
    </row>
    <row r="911" customFormat="false" ht="34.5" hidden="false" customHeight="true" outlineLevel="0" collapsed="false">
      <c r="A911" s="8" t="n">
        <v>722</v>
      </c>
      <c r="B911" s="8" t="s">
        <v>29</v>
      </c>
      <c r="C911" s="8" t="s">
        <v>4189</v>
      </c>
      <c r="D911" s="8" t="n">
        <v>2017</v>
      </c>
      <c r="E911" s="8" t="s">
        <v>4190</v>
      </c>
      <c r="F911" s="8" t="s">
        <v>143</v>
      </c>
      <c r="G911" s="8" t="s">
        <v>4191</v>
      </c>
      <c r="H911" s="8" t="s">
        <v>4192</v>
      </c>
      <c r="I911" s="8" t="s">
        <v>146</v>
      </c>
      <c r="J911" s="8" t="s">
        <v>3175</v>
      </c>
      <c r="K911" s="8" t="s">
        <v>116</v>
      </c>
      <c r="L911" s="8" t="s">
        <v>4193</v>
      </c>
    </row>
    <row r="912" customFormat="false" ht="23.25" hidden="false" customHeight="true" outlineLevel="0" collapsed="false">
      <c r="A912" s="8" t="n">
        <v>723</v>
      </c>
      <c r="B912" s="8" t="s">
        <v>29</v>
      </c>
      <c r="C912" s="8" t="s">
        <v>4194</v>
      </c>
      <c r="D912" s="8" t="n">
        <v>1995</v>
      </c>
      <c r="E912" s="8" t="s">
        <v>4195</v>
      </c>
      <c r="F912" s="8" t="s">
        <v>143</v>
      </c>
      <c r="G912" s="8" t="s">
        <v>348</v>
      </c>
      <c r="H912" s="8" t="s">
        <v>145</v>
      </c>
      <c r="I912" s="8" t="s">
        <v>153</v>
      </c>
      <c r="J912" s="8" t="s">
        <v>4196</v>
      </c>
      <c r="K912" s="8"/>
      <c r="L912" s="8" t="s">
        <v>4197</v>
      </c>
    </row>
    <row r="913" customFormat="false" ht="34.5" hidden="false" customHeight="true" outlineLevel="0" collapsed="false">
      <c r="A913" s="13" t="n">
        <v>724</v>
      </c>
      <c r="B913" s="14" t="s">
        <v>29</v>
      </c>
      <c r="C913" s="14" t="s">
        <v>2958</v>
      </c>
      <c r="D913" s="14" t="n">
        <v>2023</v>
      </c>
      <c r="E913" s="14" t="s">
        <v>4198</v>
      </c>
      <c r="F913" s="14" t="s">
        <v>143</v>
      </c>
      <c r="G913" s="14" t="s">
        <v>3806</v>
      </c>
      <c r="H913" s="14" t="s">
        <v>145</v>
      </c>
      <c r="I913" s="14" t="s">
        <v>153</v>
      </c>
      <c r="J913" s="14" t="s">
        <v>4199</v>
      </c>
      <c r="K913" s="14" t="s">
        <v>114</v>
      </c>
      <c r="L913" s="14" t="s">
        <v>4200</v>
      </c>
    </row>
    <row r="914" customFormat="false" ht="34.5" hidden="false" customHeight="true" outlineLevel="0" collapsed="false">
      <c r="A914" s="15" t="n">
        <v>724</v>
      </c>
      <c r="B914" s="16" t="s">
        <v>43</v>
      </c>
      <c r="C914" s="16" t="s">
        <v>2958</v>
      </c>
      <c r="D914" s="16" t="n">
        <v>2023</v>
      </c>
      <c r="E914" s="16" t="s">
        <v>4201</v>
      </c>
      <c r="F914" s="16" t="s">
        <v>143</v>
      </c>
      <c r="G914" s="16" t="s">
        <v>1636</v>
      </c>
      <c r="H914" s="16" t="s">
        <v>145</v>
      </c>
      <c r="I914" s="16" t="s">
        <v>153</v>
      </c>
      <c r="J914" s="16" t="s">
        <v>4202</v>
      </c>
      <c r="K914" s="16" t="s">
        <v>114</v>
      </c>
      <c r="L914" s="16" t="s">
        <v>4203</v>
      </c>
    </row>
    <row r="915" customFormat="false" ht="45.75" hidden="false" customHeight="true" outlineLevel="0" collapsed="false">
      <c r="A915" s="15" t="n">
        <v>724</v>
      </c>
      <c r="B915" s="16" t="s">
        <v>83</v>
      </c>
      <c r="C915" s="16" t="s">
        <v>4204</v>
      </c>
      <c r="D915" s="16" t="n">
        <v>2023</v>
      </c>
      <c r="E915" s="16" t="s">
        <v>4201</v>
      </c>
      <c r="F915" s="16" t="s">
        <v>4205</v>
      </c>
      <c r="G915" s="16" t="s">
        <v>4206</v>
      </c>
      <c r="H915" s="16" t="s">
        <v>145</v>
      </c>
      <c r="I915" s="16" t="s">
        <v>153</v>
      </c>
      <c r="J915" s="16" t="s">
        <v>4207</v>
      </c>
      <c r="K915" s="16" t="s">
        <v>114</v>
      </c>
      <c r="L915" s="16" t="s">
        <v>4208</v>
      </c>
    </row>
    <row r="916" customFormat="false" ht="23.25" hidden="false" customHeight="true" outlineLevel="0" collapsed="false">
      <c r="A916" s="8" t="n">
        <v>725</v>
      </c>
      <c r="B916" s="8" t="s">
        <v>29</v>
      </c>
      <c r="C916" s="8" t="s">
        <v>4209</v>
      </c>
      <c r="D916" s="8" t="n">
        <v>2024</v>
      </c>
      <c r="E916" s="8" t="s">
        <v>4210</v>
      </c>
      <c r="F916" s="8" t="s">
        <v>143</v>
      </c>
      <c r="G916" s="8" t="s">
        <v>4211</v>
      </c>
      <c r="H916" s="8" t="s">
        <v>145</v>
      </c>
      <c r="I916" s="8" t="s">
        <v>153</v>
      </c>
      <c r="J916" s="8" t="s">
        <v>4212</v>
      </c>
      <c r="K916" s="8" t="s">
        <v>114</v>
      </c>
      <c r="L916" s="8" t="s">
        <v>4213</v>
      </c>
    </row>
    <row r="917" customFormat="false" ht="23.25" hidden="false" customHeight="true" outlineLevel="0" collapsed="false">
      <c r="A917" s="8" t="n">
        <v>726</v>
      </c>
      <c r="B917" s="8" t="s">
        <v>29</v>
      </c>
      <c r="C917" s="8" t="s">
        <v>4214</v>
      </c>
      <c r="D917" s="8" t="n">
        <v>2018</v>
      </c>
      <c r="E917" s="8" t="s">
        <v>4215</v>
      </c>
      <c r="F917" s="8" t="s">
        <v>143</v>
      </c>
      <c r="G917" s="8" t="s">
        <v>348</v>
      </c>
      <c r="H917" s="8" t="s">
        <v>145</v>
      </c>
      <c r="I917" s="8" t="s">
        <v>153</v>
      </c>
      <c r="J917" s="8" t="s">
        <v>4216</v>
      </c>
      <c r="K917" s="8"/>
      <c r="L917" s="8" t="s">
        <v>4217</v>
      </c>
    </row>
    <row r="918" customFormat="false" ht="34.5" hidden="false" customHeight="true" outlineLevel="0" collapsed="false">
      <c r="A918" s="8" t="n">
        <v>727</v>
      </c>
      <c r="B918" s="8" t="s">
        <v>29</v>
      </c>
      <c r="C918" s="8" t="s">
        <v>4218</v>
      </c>
      <c r="D918" s="8" t="n">
        <v>2024</v>
      </c>
      <c r="E918" s="8" t="s">
        <v>4219</v>
      </c>
      <c r="F918" s="8" t="s">
        <v>201</v>
      </c>
      <c r="G918" s="8" t="s">
        <v>3463</v>
      </c>
      <c r="H918" s="8" t="s">
        <v>145</v>
      </c>
      <c r="I918" s="8" t="s">
        <v>153</v>
      </c>
      <c r="J918" s="8" t="s">
        <v>4220</v>
      </c>
      <c r="K918" s="8" t="s">
        <v>114</v>
      </c>
      <c r="L918" s="8" t="s">
        <v>4221</v>
      </c>
    </row>
    <row r="919" customFormat="false" ht="34.5" hidden="false" customHeight="true" outlineLevel="0" collapsed="false">
      <c r="A919" s="13" t="n">
        <v>728</v>
      </c>
      <c r="B919" s="14" t="s">
        <v>29</v>
      </c>
      <c r="C919" s="14" t="s">
        <v>4222</v>
      </c>
      <c r="D919" s="14" t="n">
        <v>2024</v>
      </c>
      <c r="E919" s="14" t="s">
        <v>4223</v>
      </c>
      <c r="F919" s="14" t="s">
        <v>151</v>
      </c>
      <c r="G919" s="14" t="s">
        <v>4224</v>
      </c>
      <c r="H919" s="14" t="s">
        <v>145</v>
      </c>
      <c r="I919" s="14" t="s">
        <v>153</v>
      </c>
      <c r="J919" s="14" t="s">
        <v>4225</v>
      </c>
      <c r="K919" s="14" t="s">
        <v>112</v>
      </c>
      <c r="L919" s="14" t="s">
        <v>4226</v>
      </c>
    </row>
    <row r="920" customFormat="false" ht="34.5" hidden="false" customHeight="true" outlineLevel="0" collapsed="false">
      <c r="A920" s="15" t="n">
        <v>728</v>
      </c>
      <c r="B920" s="16" t="s">
        <v>39</v>
      </c>
      <c r="C920" s="16" t="s">
        <v>4222</v>
      </c>
      <c r="D920" s="16" t="n">
        <v>2024</v>
      </c>
      <c r="E920" s="16" t="s">
        <v>4227</v>
      </c>
      <c r="F920" s="16" t="s">
        <v>151</v>
      </c>
      <c r="G920" s="16" t="s">
        <v>4228</v>
      </c>
      <c r="H920" s="16" t="s">
        <v>145</v>
      </c>
      <c r="I920" s="16" t="s">
        <v>522</v>
      </c>
      <c r="J920" s="16" t="s">
        <v>1609</v>
      </c>
      <c r="K920" s="16"/>
      <c r="L920" s="16" t="s">
        <v>4229</v>
      </c>
    </row>
    <row r="921" customFormat="false" ht="34.5" hidden="false" customHeight="true" outlineLevel="0" collapsed="false">
      <c r="A921" s="15" t="n">
        <v>728</v>
      </c>
      <c r="B921" s="16" t="s">
        <v>43</v>
      </c>
      <c r="C921" s="16" t="s">
        <v>4222</v>
      </c>
      <c r="D921" s="16" t="n">
        <v>2024</v>
      </c>
      <c r="E921" s="16" t="s">
        <v>4227</v>
      </c>
      <c r="F921" s="16" t="s">
        <v>151</v>
      </c>
      <c r="G921" s="16" t="s">
        <v>4230</v>
      </c>
      <c r="H921" s="16" t="s">
        <v>145</v>
      </c>
      <c r="I921" s="16" t="s">
        <v>153</v>
      </c>
      <c r="J921" s="16" t="s">
        <v>4231</v>
      </c>
      <c r="K921" s="16" t="s">
        <v>112</v>
      </c>
      <c r="L921" s="16" t="s">
        <v>4232</v>
      </c>
    </row>
    <row r="922" customFormat="false" ht="45.75" hidden="false" customHeight="true" outlineLevel="0" collapsed="false">
      <c r="A922" s="15" t="n">
        <v>728</v>
      </c>
      <c r="B922" s="16" t="s">
        <v>69</v>
      </c>
      <c r="C922" s="16" t="s">
        <v>4222</v>
      </c>
      <c r="D922" s="16" t="n">
        <v>2024</v>
      </c>
      <c r="E922" s="16" t="s">
        <v>4227</v>
      </c>
      <c r="F922" s="16" t="s">
        <v>151</v>
      </c>
      <c r="G922" s="16" t="s">
        <v>4233</v>
      </c>
      <c r="H922" s="16" t="s">
        <v>145</v>
      </c>
      <c r="I922" s="16" t="s">
        <v>522</v>
      </c>
      <c r="J922" s="16" t="s">
        <v>4234</v>
      </c>
      <c r="K922" s="16" t="s">
        <v>112</v>
      </c>
      <c r="L922" s="16" t="s">
        <v>4235</v>
      </c>
    </row>
    <row r="923" customFormat="false" ht="23.25" hidden="false" customHeight="true" outlineLevel="0" collapsed="false">
      <c r="A923" s="8" t="n">
        <v>729</v>
      </c>
      <c r="B923" s="8" t="s">
        <v>29</v>
      </c>
      <c r="C923" s="8" t="s">
        <v>4236</v>
      </c>
      <c r="D923" s="8" t="n">
        <v>2022</v>
      </c>
      <c r="E923" s="8" t="s">
        <v>4237</v>
      </c>
      <c r="F923" s="8" t="s">
        <v>143</v>
      </c>
      <c r="G923" s="8" t="s">
        <v>861</v>
      </c>
      <c r="H923" s="8" t="s">
        <v>145</v>
      </c>
      <c r="I923" s="8" t="s">
        <v>153</v>
      </c>
      <c r="J923" s="8" t="s">
        <v>4238</v>
      </c>
      <c r="K923" s="8"/>
      <c r="L923" s="8" t="s">
        <v>4239</v>
      </c>
    </row>
    <row r="924" customFormat="false" ht="23.25" hidden="false" customHeight="true" outlineLevel="0" collapsed="false">
      <c r="A924" s="13" t="n">
        <v>730</v>
      </c>
      <c r="B924" s="14" t="s">
        <v>29</v>
      </c>
      <c r="C924" s="14" t="s">
        <v>1595</v>
      </c>
      <c r="D924" s="14" t="n">
        <v>2018</v>
      </c>
      <c r="E924" s="14" t="s">
        <v>4240</v>
      </c>
      <c r="F924" s="14" t="s">
        <v>143</v>
      </c>
      <c r="G924" s="14" t="s">
        <v>4241</v>
      </c>
      <c r="H924" s="14" t="s">
        <v>145</v>
      </c>
      <c r="I924" s="14" t="s">
        <v>387</v>
      </c>
      <c r="J924" s="14" t="s">
        <v>4242</v>
      </c>
      <c r="K924" s="14" t="s">
        <v>116</v>
      </c>
      <c r="L924" s="14" t="s">
        <v>4243</v>
      </c>
    </row>
    <row r="925" customFormat="false" ht="34.5" hidden="false" customHeight="true" outlineLevel="0" collapsed="false">
      <c r="A925" s="15" t="n">
        <v>730</v>
      </c>
      <c r="B925" s="16" t="s">
        <v>87</v>
      </c>
      <c r="C925" s="16" t="s">
        <v>4244</v>
      </c>
      <c r="D925" s="16" t="n">
        <v>2018</v>
      </c>
      <c r="E925" s="16" t="s">
        <v>4240</v>
      </c>
      <c r="F925" s="16" t="s">
        <v>4245</v>
      </c>
      <c r="G925" s="16" t="s">
        <v>4246</v>
      </c>
      <c r="H925" s="16" t="s">
        <v>145</v>
      </c>
      <c r="I925" s="16" t="s">
        <v>153</v>
      </c>
      <c r="J925" s="16" t="s">
        <v>4247</v>
      </c>
      <c r="K925" s="16" t="s">
        <v>116</v>
      </c>
      <c r="L925" s="16" t="s">
        <v>4248</v>
      </c>
    </row>
    <row r="926" customFormat="false" ht="34.5" hidden="false" customHeight="true" outlineLevel="0" collapsed="false">
      <c r="A926" s="8" t="n">
        <v>731</v>
      </c>
      <c r="B926" s="8" t="s">
        <v>29</v>
      </c>
      <c r="C926" s="8" t="s">
        <v>4249</v>
      </c>
      <c r="D926" s="8" t="n">
        <v>2023</v>
      </c>
      <c r="E926" s="8" t="s">
        <v>4250</v>
      </c>
      <c r="F926" s="8" t="s">
        <v>151</v>
      </c>
      <c r="G926" s="8" t="s">
        <v>4251</v>
      </c>
      <c r="H926" s="8" t="s">
        <v>145</v>
      </c>
      <c r="I926" s="8" t="s">
        <v>387</v>
      </c>
      <c r="J926" s="8" t="s">
        <v>4252</v>
      </c>
      <c r="K926" s="8" t="s">
        <v>110</v>
      </c>
      <c r="L926" s="8" t="s">
        <v>4253</v>
      </c>
    </row>
    <row r="927" customFormat="false" ht="34.5" hidden="false" customHeight="true" outlineLevel="0" collapsed="false">
      <c r="A927" s="8" t="n">
        <v>732</v>
      </c>
      <c r="B927" s="8" t="s">
        <v>29</v>
      </c>
      <c r="C927" s="8" t="s">
        <v>1511</v>
      </c>
      <c r="D927" s="8" t="n">
        <v>2024</v>
      </c>
      <c r="E927" s="8" t="s">
        <v>4254</v>
      </c>
      <c r="F927" s="8" t="s">
        <v>143</v>
      </c>
      <c r="G927" s="8" t="s">
        <v>4186</v>
      </c>
      <c r="H927" s="8" t="s">
        <v>145</v>
      </c>
      <c r="I927" s="8" t="s">
        <v>153</v>
      </c>
      <c r="J927" s="8" t="s">
        <v>4255</v>
      </c>
      <c r="K927" s="8" t="s">
        <v>114</v>
      </c>
      <c r="L927" s="8" t="s">
        <v>4256</v>
      </c>
    </row>
    <row r="928" customFormat="false" ht="34.5" hidden="false" customHeight="true" outlineLevel="0" collapsed="false">
      <c r="A928" s="8" t="n">
        <v>733</v>
      </c>
      <c r="B928" s="8" t="s">
        <v>29</v>
      </c>
      <c r="C928" s="8" t="s">
        <v>4257</v>
      </c>
      <c r="D928" s="8" t="n">
        <v>2024</v>
      </c>
      <c r="E928" s="8" t="s">
        <v>4258</v>
      </c>
      <c r="F928" s="8" t="s">
        <v>143</v>
      </c>
      <c r="G928" s="8" t="s">
        <v>4259</v>
      </c>
      <c r="H928" s="8" t="s">
        <v>145</v>
      </c>
      <c r="I928" s="8" t="s">
        <v>387</v>
      </c>
      <c r="J928" s="8" t="s">
        <v>4260</v>
      </c>
      <c r="K928" s="8" t="s">
        <v>110</v>
      </c>
      <c r="L928" s="8" t="s">
        <v>4261</v>
      </c>
    </row>
    <row r="929" customFormat="false" ht="34.5" hidden="false" customHeight="true" outlineLevel="0" collapsed="false">
      <c r="A929" s="13" t="n">
        <v>734</v>
      </c>
      <c r="B929" s="14" t="s">
        <v>29</v>
      </c>
      <c r="C929" s="14" t="s">
        <v>828</v>
      </c>
      <c r="D929" s="14" t="n">
        <v>2025</v>
      </c>
      <c r="E929" s="14" t="s">
        <v>4262</v>
      </c>
      <c r="F929" s="14" t="s">
        <v>143</v>
      </c>
      <c r="G929" s="14" t="s">
        <v>830</v>
      </c>
      <c r="H929" s="14" t="s">
        <v>4263</v>
      </c>
      <c r="I929" s="14" t="s">
        <v>387</v>
      </c>
      <c r="J929" s="14" t="s">
        <v>4264</v>
      </c>
      <c r="K929" s="14" t="s">
        <v>110</v>
      </c>
      <c r="L929" s="14" t="s">
        <v>4265</v>
      </c>
    </row>
    <row r="930" customFormat="false" ht="45.75" hidden="false" customHeight="true" outlineLevel="0" collapsed="false">
      <c r="A930" s="15" t="n">
        <v>734</v>
      </c>
      <c r="B930" s="16" t="s">
        <v>39</v>
      </c>
      <c r="C930" s="16" t="s">
        <v>828</v>
      </c>
      <c r="D930" s="16" t="n">
        <v>2025</v>
      </c>
      <c r="E930" s="16" t="s">
        <v>4262</v>
      </c>
      <c r="F930" s="16" t="s">
        <v>143</v>
      </c>
      <c r="G930" s="16" t="s">
        <v>4266</v>
      </c>
      <c r="H930" s="16" t="s">
        <v>145</v>
      </c>
      <c r="I930" s="16" t="s">
        <v>533</v>
      </c>
      <c r="J930" s="16" t="s">
        <v>4267</v>
      </c>
      <c r="K930" s="16" t="s">
        <v>4268</v>
      </c>
      <c r="L930" s="16" t="s">
        <v>4269</v>
      </c>
    </row>
    <row r="931" customFormat="false" ht="23.25" hidden="false" customHeight="true" outlineLevel="0" collapsed="false">
      <c r="A931" s="8" t="n">
        <v>735</v>
      </c>
      <c r="B931" s="8" t="s">
        <v>29</v>
      </c>
      <c r="C931" s="8" t="s">
        <v>4270</v>
      </c>
      <c r="D931" s="8" t="n">
        <v>2018</v>
      </c>
      <c r="E931" s="8" t="s">
        <v>4271</v>
      </c>
      <c r="F931" s="8" t="s">
        <v>143</v>
      </c>
      <c r="G931" s="8" t="s">
        <v>348</v>
      </c>
      <c r="H931" s="8" t="s">
        <v>145</v>
      </c>
      <c r="I931" s="8" t="s">
        <v>153</v>
      </c>
      <c r="J931" s="8" t="s">
        <v>4272</v>
      </c>
      <c r="K931" s="8"/>
      <c r="L931" s="8" t="s">
        <v>4273</v>
      </c>
    </row>
    <row r="932" customFormat="false" ht="34.5" hidden="false" customHeight="true" outlineLevel="0" collapsed="false">
      <c r="A932" s="8" t="n">
        <v>736</v>
      </c>
      <c r="B932" s="8" t="s">
        <v>29</v>
      </c>
      <c r="C932" s="8" t="s">
        <v>1331</v>
      </c>
      <c r="D932" s="8" t="n">
        <v>2021</v>
      </c>
      <c r="E932" s="8" t="s">
        <v>4274</v>
      </c>
      <c r="F932" s="8" t="s">
        <v>151</v>
      </c>
      <c r="G932" s="8" t="s">
        <v>3646</v>
      </c>
      <c r="H932" s="8" t="s">
        <v>1213</v>
      </c>
      <c r="I932" s="8" t="s">
        <v>146</v>
      </c>
      <c r="J932" s="8" t="s">
        <v>4275</v>
      </c>
      <c r="K932" s="8" t="s">
        <v>112</v>
      </c>
      <c r="L932" s="8" t="s">
        <v>4276</v>
      </c>
    </row>
    <row r="933" customFormat="false" ht="34.5" hidden="false" customHeight="true" outlineLevel="0" collapsed="false">
      <c r="A933" s="8" t="n">
        <v>737</v>
      </c>
      <c r="B933" s="8" t="s">
        <v>31</v>
      </c>
      <c r="C933" s="8" t="s">
        <v>4277</v>
      </c>
      <c r="D933" s="8" t="n">
        <v>2006</v>
      </c>
      <c r="E933" s="8" t="s">
        <v>4278</v>
      </c>
      <c r="F933" s="8" t="s">
        <v>143</v>
      </c>
      <c r="G933" s="8" t="s">
        <v>364</v>
      </c>
      <c r="H933" s="8" t="s">
        <v>145</v>
      </c>
      <c r="I933" s="8" t="s">
        <v>153</v>
      </c>
      <c r="J933" s="8" t="s">
        <v>4279</v>
      </c>
      <c r="K933" s="8"/>
      <c r="L933" s="8" t="s">
        <v>4280</v>
      </c>
    </row>
    <row r="934" customFormat="false" ht="34.5" hidden="false" customHeight="true" outlineLevel="0" collapsed="false">
      <c r="A934" s="8" t="n">
        <v>738</v>
      </c>
      <c r="B934" s="8" t="s">
        <v>31</v>
      </c>
      <c r="C934" s="8" t="s">
        <v>4281</v>
      </c>
      <c r="D934" s="8" t="n">
        <v>2021</v>
      </c>
      <c r="E934" s="8" t="s">
        <v>4282</v>
      </c>
      <c r="F934" s="8" t="s">
        <v>143</v>
      </c>
      <c r="G934" s="8" t="s">
        <v>4283</v>
      </c>
      <c r="H934" s="8" t="s">
        <v>1319</v>
      </c>
      <c r="I934" s="8" t="s">
        <v>146</v>
      </c>
      <c r="J934" s="8" t="s">
        <v>4284</v>
      </c>
      <c r="K934" s="8"/>
      <c r="L934" s="8" t="s">
        <v>4285</v>
      </c>
    </row>
    <row r="935" customFormat="false" ht="34.5" hidden="false" customHeight="true" outlineLevel="0" collapsed="false">
      <c r="A935" s="8" t="n">
        <v>739</v>
      </c>
      <c r="B935" s="8" t="s">
        <v>31</v>
      </c>
      <c r="C935" s="8" t="s">
        <v>4286</v>
      </c>
      <c r="D935" s="8" t="n">
        <v>2013</v>
      </c>
      <c r="E935" s="8" t="s">
        <v>4287</v>
      </c>
      <c r="F935" s="8" t="s">
        <v>143</v>
      </c>
      <c r="G935" s="8" t="s">
        <v>4288</v>
      </c>
      <c r="H935" s="8" t="s">
        <v>145</v>
      </c>
      <c r="I935" s="8" t="s">
        <v>153</v>
      </c>
      <c r="J935" s="8" t="s">
        <v>4289</v>
      </c>
      <c r="K935" s="8" t="s">
        <v>112</v>
      </c>
      <c r="L935" s="8" t="s">
        <v>4290</v>
      </c>
    </row>
    <row r="936" customFormat="false" ht="34.5" hidden="false" customHeight="true" outlineLevel="0" collapsed="false">
      <c r="A936" s="8" t="n">
        <v>740</v>
      </c>
      <c r="B936" s="8" t="s">
        <v>31</v>
      </c>
      <c r="C936" s="8" t="s">
        <v>4291</v>
      </c>
      <c r="D936" s="8" t="n">
        <v>2025</v>
      </c>
      <c r="E936" s="8" t="s">
        <v>4292</v>
      </c>
      <c r="F936" s="8" t="s">
        <v>143</v>
      </c>
      <c r="G936" s="8" t="s">
        <v>4293</v>
      </c>
      <c r="H936" s="8" t="s">
        <v>4294</v>
      </c>
      <c r="I936" s="8" t="s">
        <v>522</v>
      </c>
      <c r="J936" s="8" t="s">
        <v>4295</v>
      </c>
      <c r="K936" s="8" t="s">
        <v>112</v>
      </c>
      <c r="L936" s="8" t="s">
        <v>4296</v>
      </c>
    </row>
    <row r="937" customFormat="false" ht="34.5" hidden="false" customHeight="true" outlineLevel="0" collapsed="false">
      <c r="A937" s="8" t="n">
        <v>741</v>
      </c>
      <c r="B937" s="8" t="s">
        <v>31</v>
      </c>
      <c r="C937" s="8" t="s">
        <v>4297</v>
      </c>
      <c r="D937" s="8" t="n">
        <v>2019</v>
      </c>
      <c r="E937" s="8" t="s">
        <v>4298</v>
      </c>
      <c r="F937" s="8" t="s">
        <v>143</v>
      </c>
      <c r="G937" s="8" t="s">
        <v>4299</v>
      </c>
      <c r="H937" s="8" t="s">
        <v>145</v>
      </c>
      <c r="I937" s="8" t="s">
        <v>522</v>
      </c>
      <c r="J937" s="8" t="s">
        <v>4300</v>
      </c>
      <c r="K937" s="8" t="s">
        <v>116</v>
      </c>
      <c r="L937" s="8" t="s">
        <v>4301</v>
      </c>
    </row>
    <row r="938" customFormat="false" ht="34.5" hidden="false" customHeight="true" outlineLevel="0" collapsed="false">
      <c r="A938" s="8" t="n">
        <v>742</v>
      </c>
      <c r="B938" s="8" t="s">
        <v>31</v>
      </c>
      <c r="C938" s="8" t="s">
        <v>4302</v>
      </c>
      <c r="D938" s="8" t="n">
        <v>2024</v>
      </c>
      <c r="E938" s="8" t="s">
        <v>4303</v>
      </c>
      <c r="F938" s="8" t="s">
        <v>143</v>
      </c>
      <c r="G938" s="8" t="s">
        <v>4304</v>
      </c>
      <c r="H938" s="8" t="s">
        <v>145</v>
      </c>
      <c r="I938" s="8" t="s">
        <v>153</v>
      </c>
      <c r="J938" s="8" t="s">
        <v>4305</v>
      </c>
      <c r="K938" s="8"/>
      <c r="L938" s="8" t="s">
        <v>4306</v>
      </c>
    </row>
    <row r="939" customFormat="false" ht="34.5" hidden="false" customHeight="true" outlineLevel="0" collapsed="false">
      <c r="A939" s="8" t="n">
        <v>743</v>
      </c>
      <c r="B939" s="8" t="s">
        <v>31</v>
      </c>
      <c r="C939" s="8" t="s">
        <v>4307</v>
      </c>
      <c r="D939" s="8" t="n">
        <v>2021</v>
      </c>
      <c r="E939" s="8" t="s">
        <v>4308</v>
      </c>
      <c r="F939" s="8" t="s">
        <v>151</v>
      </c>
      <c r="G939" s="8" t="s">
        <v>4309</v>
      </c>
      <c r="H939" s="8" t="s">
        <v>4310</v>
      </c>
      <c r="I939" s="8" t="s">
        <v>146</v>
      </c>
      <c r="J939" s="8" t="s">
        <v>4311</v>
      </c>
      <c r="K939" s="8" t="s">
        <v>112</v>
      </c>
      <c r="L939" s="8" t="s">
        <v>4312</v>
      </c>
    </row>
    <row r="940" customFormat="false" ht="34.5" hidden="false" customHeight="true" outlineLevel="0" collapsed="false">
      <c r="A940" s="8" t="n">
        <v>744</v>
      </c>
      <c r="B940" s="8" t="s">
        <v>31</v>
      </c>
      <c r="C940" s="8" t="s">
        <v>4313</v>
      </c>
      <c r="D940" s="8" t="n">
        <v>2023</v>
      </c>
      <c r="E940" s="8" t="s">
        <v>4314</v>
      </c>
      <c r="F940" s="8" t="s">
        <v>143</v>
      </c>
      <c r="G940" s="8" t="s">
        <v>4315</v>
      </c>
      <c r="H940" s="8" t="s">
        <v>4316</v>
      </c>
      <c r="I940" s="8" t="s">
        <v>748</v>
      </c>
      <c r="J940" s="8" t="s">
        <v>4317</v>
      </c>
      <c r="K940" s="8"/>
      <c r="L940" s="8" t="s">
        <v>4318</v>
      </c>
    </row>
    <row r="941" customFormat="false" ht="34.5" hidden="false" customHeight="true" outlineLevel="0" collapsed="false">
      <c r="A941" s="8" t="n">
        <v>745</v>
      </c>
      <c r="B941" s="8" t="s">
        <v>31</v>
      </c>
      <c r="C941" s="8" t="s">
        <v>4319</v>
      </c>
      <c r="D941" s="8" t="n">
        <v>2016</v>
      </c>
      <c r="E941" s="8" t="s">
        <v>4320</v>
      </c>
      <c r="F941" s="8" t="s">
        <v>153</v>
      </c>
      <c r="G941" s="8" t="s">
        <v>2383</v>
      </c>
      <c r="H941" s="8" t="s">
        <v>4321</v>
      </c>
      <c r="I941" s="8" t="s">
        <v>153</v>
      </c>
      <c r="J941" s="8" t="s">
        <v>4322</v>
      </c>
      <c r="K941" s="8" t="s">
        <v>112</v>
      </c>
      <c r="L941" s="8" t="s">
        <v>4323</v>
      </c>
    </row>
    <row r="942" customFormat="false" ht="34.5" hidden="false" customHeight="true" outlineLevel="0" collapsed="false">
      <c r="A942" s="8" t="n">
        <v>746</v>
      </c>
      <c r="B942" s="8" t="s">
        <v>31</v>
      </c>
      <c r="C942" s="8" t="s">
        <v>4324</v>
      </c>
      <c r="D942" s="8" t="n">
        <v>2016</v>
      </c>
      <c r="E942" s="8" t="s">
        <v>4325</v>
      </c>
      <c r="F942" s="8" t="s">
        <v>151</v>
      </c>
      <c r="G942" s="8" t="s">
        <v>213</v>
      </c>
      <c r="H942" s="8" t="s">
        <v>4326</v>
      </c>
      <c r="I942" s="8" t="s">
        <v>146</v>
      </c>
      <c r="J942" s="8" t="s">
        <v>4327</v>
      </c>
      <c r="K942" s="8"/>
      <c r="L942" s="8" t="s">
        <v>4328</v>
      </c>
    </row>
    <row r="943" customFormat="false" ht="34.5" hidden="false" customHeight="true" outlineLevel="0" collapsed="false">
      <c r="A943" s="8" t="n">
        <v>747</v>
      </c>
      <c r="B943" s="8" t="s">
        <v>31</v>
      </c>
      <c r="C943" s="8" t="s">
        <v>4324</v>
      </c>
      <c r="D943" s="8" t="n">
        <v>2020</v>
      </c>
      <c r="E943" s="8" t="s">
        <v>4329</v>
      </c>
      <c r="F943" s="8" t="s">
        <v>151</v>
      </c>
      <c r="G943" s="8" t="s">
        <v>4330</v>
      </c>
      <c r="H943" s="8" t="s">
        <v>4331</v>
      </c>
      <c r="I943" s="8" t="s">
        <v>146</v>
      </c>
      <c r="J943" s="8" t="s">
        <v>4332</v>
      </c>
      <c r="K943" s="8"/>
      <c r="L943" s="8" t="s">
        <v>4333</v>
      </c>
    </row>
    <row r="944" customFormat="false" ht="34.5" hidden="false" customHeight="true" outlineLevel="0" collapsed="false">
      <c r="A944" s="8" t="n">
        <v>748</v>
      </c>
      <c r="B944" s="8" t="s">
        <v>31</v>
      </c>
      <c r="C944" s="8" t="s">
        <v>4334</v>
      </c>
      <c r="D944" s="8" t="n">
        <v>2023</v>
      </c>
      <c r="E944" s="8" t="s">
        <v>4335</v>
      </c>
      <c r="F944" s="8" t="s">
        <v>143</v>
      </c>
      <c r="G944" s="8" t="s">
        <v>364</v>
      </c>
      <c r="H944" s="8" t="s">
        <v>4336</v>
      </c>
      <c r="I944" s="8" t="s">
        <v>146</v>
      </c>
      <c r="J944" s="8" t="s">
        <v>4337</v>
      </c>
      <c r="K944" s="8"/>
      <c r="L944" s="8" t="s">
        <v>4338</v>
      </c>
    </row>
    <row r="945" customFormat="false" ht="34.5" hidden="false" customHeight="true" outlineLevel="0" collapsed="false">
      <c r="A945" s="8" t="n">
        <v>749</v>
      </c>
      <c r="B945" s="8" t="s">
        <v>31</v>
      </c>
      <c r="C945" s="8" t="s">
        <v>4339</v>
      </c>
      <c r="D945" s="8" t="n">
        <v>2004</v>
      </c>
      <c r="E945" s="8" t="s">
        <v>4340</v>
      </c>
      <c r="F945" s="8" t="s">
        <v>143</v>
      </c>
      <c r="G945" s="8" t="s">
        <v>364</v>
      </c>
      <c r="H945" s="8" t="s">
        <v>4341</v>
      </c>
      <c r="I945" s="8" t="s">
        <v>153</v>
      </c>
      <c r="J945" s="8" t="s">
        <v>4342</v>
      </c>
      <c r="K945" s="8"/>
      <c r="L945" s="8" t="s">
        <v>4343</v>
      </c>
    </row>
    <row r="946" customFormat="false" ht="34.5" hidden="false" customHeight="true" outlineLevel="0" collapsed="false">
      <c r="A946" s="8" t="n">
        <v>750</v>
      </c>
      <c r="B946" s="8" t="s">
        <v>31</v>
      </c>
      <c r="C946" s="8" t="s">
        <v>4344</v>
      </c>
      <c r="D946" s="8" t="n">
        <v>2016</v>
      </c>
      <c r="E946" s="8" t="s">
        <v>4345</v>
      </c>
      <c r="F946" s="8" t="s">
        <v>143</v>
      </c>
      <c r="G946" s="8" t="s">
        <v>4346</v>
      </c>
      <c r="H946" s="8" t="s">
        <v>4347</v>
      </c>
      <c r="I946" s="8" t="s">
        <v>146</v>
      </c>
      <c r="J946" s="8" t="s">
        <v>4348</v>
      </c>
      <c r="K946" s="8"/>
      <c r="L946" s="8" t="s">
        <v>4349</v>
      </c>
    </row>
    <row r="947" customFormat="false" ht="34.5" hidden="false" customHeight="true" outlineLevel="0" collapsed="false">
      <c r="A947" s="8" t="n">
        <v>751</v>
      </c>
      <c r="B947" s="8" t="s">
        <v>31</v>
      </c>
      <c r="C947" s="8" t="s">
        <v>4350</v>
      </c>
      <c r="D947" s="8" t="n">
        <v>2021</v>
      </c>
      <c r="E947" s="8" t="s">
        <v>4351</v>
      </c>
      <c r="F947" s="8" t="s">
        <v>151</v>
      </c>
      <c r="G947" s="8" t="s">
        <v>4352</v>
      </c>
      <c r="H947" s="8" t="s">
        <v>145</v>
      </c>
      <c r="I947" s="8" t="s">
        <v>4353</v>
      </c>
      <c r="J947" s="8" t="s">
        <v>4354</v>
      </c>
      <c r="K947" s="8" t="s">
        <v>112</v>
      </c>
      <c r="L947" s="8" t="s">
        <v>4355</v>
      </c>
    </row>
    <row r="948" customFormat="false" ht="34.5" hidden="false" customHeight="true" outlineLevel="0" collapsed="false">
      <c r="A948" s="8" t="n">
        <v>752</v>
      </c>
      <c r="B948" s="8" t="s">
        <v>31</v>
      </c>
      <c r="C948" s="8" t="s">
        <v>4356</v>
      </c>
      <c r="D948" s="8" t="n">
        <v>2024</v>
      </c>
      <c r="E948" s="8" t="s">
        <v>4357</v>
      </c>
      <c r="F948" s="8" t="s">
        <v>153</v>
      </c>
      <c r="G948" s="8" t="s">
        <v>4358</v>
      </c>
      <c r="H948" s="8" t="s">
        <v>4359</v>
      </c>
      <c r="I948" s="8" t="s">
        <v>146</v>
      </c>
      <c r="J948" s="8" t="s">
        <v>4360</v>
      </c>
      <c r="K948" s="8"/>
      <c r="L948" s="8" t="s">
        <v>4361</v>
      </c>
    </row>
    <row r="949" customFormat="false" ht="34.5" hidden="false" customHeight="true" outlineLevel="0" collapsed="false">
      <c r="A949" s="8" t="n">
        <v>753</v>
      </c>
      <c r="B949" s="8" t="s">
        <v>31</v>
      </c>
      <c r="C949" s="8" t="s">
        <v>4362</v>
      </c>
      <c r="D949" s="8" t="n">
        <v>2022</v>
      </c>
      <c r="E949" s="8" t="s">
        <v>4363</v>
      </c>
      <c r="F949" s="8" t="s">
        <v>143</v>
      </c>
      <c r="G949" s="8" t="s">
        <v>4364</v>
      </c>
      <c r="H949" s="8" t="s">
        <v>4365</v>
      </c>
      <c r="I949" s="8" t="s">
        <v>153</v>
      </c>
      <c r="J949" s="8" t="s">
        <v>4366</v>
      </c>
      <c r="K949" s="8" t="s">
        <v>114</v>
      </c>
      <c r="L949" s="8" t="s">
        <v>4367</v>
      </c>
    </row>
    <row r="950" customFormat="false" ht="34.5" hidden="false" customHeight="true" outlineLevel="0" collapsed="false">
      <c r="A950" s="8" t="n">
        <v>754</v>
      </c>
      <c r="B950" s="8" t="s">
        <v>31</v>
      </c>
      <c r="C950" s="8" t="s">
        <v>4368</v>
      </c>
      <c r="D950" s="8" t="n">
        <v>2021</v>
      </c>
      <c r="E950" s="8" t="s">
        <v>4369</v>
      </c>
      <c r="F950" s="8" t="s">
        <v>143</v>
      </c>
      <c r="G950" s="8" t="s">
        <v>4370</v>
      </c>
      <c r="H950" s="8" t="s">
        <v>145</v>
      </c>
      <c r="I950" s="8" t="s">
        <v>387</v>
      </c>
      <c r="J950" s="8" t="s">
        <v>4371</v>
      </c>
      <c r="K950" s="8"/>
      <c r="L950" s="8" t="s">
        <v>4372</v>
      </c>
    </row>
    <row r="951" customFormat="false" ht="34.5" hidden="false" customHeight="true" outlineLevel="0" collapsed="false">
      <c r="A951" s="8" t="n">
        <v>755</v>
      </c>
      <c r="B951" s="8" t="s">
        <v>31</v>
      </c>
      <c r="C951" s="8" t="s">
        <v>2658</v>
      </c>
      <c r="D951" s="8" t="n">
        <v>2021</v>
      </c>
      <c r="E951" s="8" t="s">
        <v>4373</v>
      </c>
      <c r="F951" s="8" t="s">
        <v>143</v>
      </c>
      <c r="G951" s="8" t="s">
        <v>3217</v>
      </c>
      <c r="H951" s="8" t="s">
        <v>145</v>
      </c>
      <c r="I951" s="8" t="s">
        <v>153</v>
      </c>
      <c r="J951" s="8" t="s">
        <v>4374</v>
      </c>
      <c r="K951" s="8" t="s">
        <v>112</v>
      </c>
      <c r="L951" s="8" t="s">
        <v>4375</v>
      </c>
    </row>
    <row r="952" customFormat="false" ht="34.5" hidden="false" customHeight="true" outlineLevel="0" collapsed="false">
      <c r="A952" s="8" t="n">
        <v>756</v>
      </c>
      <c r="B952" s="8" t="s">
        <v>33</v>
      </c>
      <c r="C952" s="8" t="s">
        <v>4376</v>
      </c>
      <c r="D952" s="8" t="n">
        <v>2005</v>
      </c>
      <c r="E952" s="8" t="s">
        <v>4377</v>
      </c>
      <c r="F952" s="8" t="s">
        <v>151</v>
      </c>
      <c r="G952" s="8" t="s">
        <v>364</v>
      </c>
      <c r="H952" s="8" t="s">
        <v>187</v>
      </c>
      <c r="I952" s="8" t="s">
        <v>208</v>
      </c>
      <c r="J952" s="8" t="s">
        <v>4378</v>
      </c>
      <c r="K952" s="8"/>
      <c r="L952" s="8" t="s">
        <v>4379</v>
      </c>
    </row>
    <row r="953" customFormat="false" ht="34.5" hidden="false" customHeight="true" outlineLevel="0" collapsed="false">
      <c r="A953" s="8" t="n">
        <v>757</v>
      </c>
      <c r="B953" s="8" t="s">
        <v>33</v>
      </c>
      <c r="C953" s="8" t="s">
        <v>4380</v>
      </c>
      <c r="D953" s="8" t="n">
        <v>2017</v>
      </c>
      <c r="E953" s="8" t="s">
        <v>4381</v>
      </c>
      <c r="F953" s="8" t="s">
        <v>151</v>
      </c>
      <c r="G953" s="8" t="s">
        <v>2299</v>
      </c>
      <c r="H953" s="8" t="s">
        <v>187</v>
      </c>
      <c r="I953" s="8" t="s">
        <v>153</v>
      </c>
      <c r="J953" s="8" t="s">
        <v>4382</v>
      </c>
      <c r="K953" s="8"/>
      <c r="L953" s="8" t="s">
        <v>4383</v>
      </c>
    </row>
    <row r="954" customFormat="false" ht="34.5" hidden="false" customHeight="true" outlineLevel="0" collapsed="false">
      <c r="A954" s="8" t="n">
        <v>758</v>
      </c>
      <c r="B954" s="8" t="s">
        <v>33</v>
      </c>
      <c r="C954" s="8" t="s">
        <v>4384</v>
      </c>
      <c r="D954" s="8" t="n">
        <v>2019</v>
      </c>
      <c r="E954" s="8" t="s">
        <v>4385</v>
      </c>
      <c r="F954" s="8" t="s">
        <v>143</v>
      </c>
      <c r="G954" s="8" t="s">
        <v>588</v>
      </c>
      <c r="H954" s="8" t="s">
        <v>145</v>
      </c>
      <c r="I954" s="8" t="s">
        <v>153</v>
      </c>
      <c r="J954" s="8" t="s">
        <v>4386</v>
      </c>
      <c r="K954" s="8"/>
      <c r="L954" s="8" t="s">
        <v>4387</v>
      </c>
    </row>
    <row r="955" customFormat="false" ht="34.5" hidden="false" customHeight="true" outlineLevel="0" collapsed="false">
      <c r="A955" s="8" t="n">
        <v>759</v>
      </c>
      <c r="B955" s="8" t="s">
        <v>33</v>
      </c>
      <c r="C955" s="8" t="s">
        <v>4388</v>
      </c>
      <c r="D955" s="8" t="n">
        <v>2014</v>
      </c>
      <c r="E955" s="8" t="s">
        <v>4389</v>
      </c>
      <c r="F955" s="8" t="s">
        <v>143</v>
      </c>
      <c r="G955" s="8" t="s">
        <v>588</v>
      </c>
      <c r="H955" s="8" t="s">
        <v>145</v>
      </c>
      <c r="I955" s="8" t="s">
        <v>153</v>
      </c>
      <c r="J955" s="8" t="s">
        <v>4390</v>
      </c>
      <c r="K955" s="8"/>
      <c r="L955" s="8" t="s">
        <v>4391</v>
      </c>
    </row>
    <row r="956" customFormat="false" ht="34.5" hidden="false" customHeight="true" outlineLevel="0" collapsed="false">
      <c r="A956" s="8" t="n">
        <v>760</v>
      </c>
      <c r="B956" s="8" t="s">
        <v>33</v>
      </c>
      <c r="C956" s="8" t="s">
        <v>4392</v>
      </c>
      <c r="D956" s="8" t="n">
        <v>2017</v>
      </c>
      <c r="E956" s="8" t="s">
        <v>4393</v>
      </c>
      <c r="F956" s="8" t="s">
        <v>143</v>
      </c>
      <c r="G956" s="8" t="s">
        <v>4394</v>
      </c>
      <c r="H956" s="8" t="s">
        <v>145</v>
      </c>
      <c r="I956" s="8" t="s">
        <v>146</v>
      </c>
      <c r="J956" s="8" t="s">
        <v>4395</v>
      </c>
      <c r="K956" s="8"/>
      <c r="L956" s="8" t="s">
        <v>4396</v>
      </c>
    </row>
    <row r="957" customFormat="false" ht="34.5" hidden="false" customHeight="true" outlineLevel="0" collapsed="false">
      <c r="A957" s="8" t="n">
        <v>761</v>
      </c>
      <c r="B957" s="8" t="s">
        <v>33</v>
      </c>
      <c r="C957" s="8" t="s">
        <v>4397</v>
      </c>
      <c r="D957" s="8" t="n">
        <v>2003</v>
      </c>
      <c r="E957" s="8" t="s">
        <v>4398</v>
      </c>
      <c r="F957" s="8" t="s">
        <v>151</v>
      </c>
      <c r="G957" s="8" t="s">
        <v>4399</v>
      </c>
      <c r="H957" s="8" t="s">
        <v>255</v>
      </c>
      <c r="I957" s="8" t="s">
        <v>146</v>
      </c>
      <c r="J957" s="8" t="s">
        <v>4400</v>
      </c>
      <c r="K957" s="8"/>
      <c r="L957" s="8" t="s">
        <v>4401</v>
      </c>
    </row>
    <row r="958" customFormat="false" ht="34.5" hidden="false" customHeight="true" outlineLevel="0" collapsed="false">
      <c r="A958" s="8" t="n">
        <v>762</v>
      </c>
      <c r="B958" s="8" t="s">
        <v>33</v>
      </c>
      <c r="C958" s="8" t="s">
        <v>4402</v>
      </c>
      <c r="D958" s="8" t="n">
        <v>2003</v>
      </c>
      <c r="E958" s="8" t="s">
        <v>4403</v>
      </c>
      <c r="F958" s="8" t="s">
        <v>151</v>
      </c>
      <c r="G958" s="8" t="s">
        <v>4404</v>
      </c>
      <c r="H958" s="8" t="s">
        <v>4405</v>
      </c>
      <c r="I958" s="8" t="s">
        <v>146</v>
      </c>
      <c r="J958" s="8" t="s">
        <v>4406</v>
      </c>
      <c r="K958" s="8"/>
      <c r="L958" s="8" t="s">
        <v>4407</v>
      </c>
    </row>
    <row r="959" customFormat="false" ht="34.5" hidden="false" customHeight="true" outlineLevel="0" collapsed="false">
      <c r="A959" s="8" t="n">
        <v>763</v>
      </c>
      <c r="B959" s="8" t="s">
        <v>33</v>
      </c>
      <c r="C959" s="8" t="s">
        <v>4408</v>
      </c>
      <c r="D959" s="8" t="n">
        <v>2019</v>
      </c>
      <c r="E959" s="8" t="s">
        <v>4409</v>
      </c>
      <c r="F959" s="8" t="s">
        <v>143</v>
      </c>
      <c r="G959" s="8" t="s">
        <v>4410</v>
      </c>
      <c r="H959" s="8" t="s">
        <v>145</v>
      </c>
      <c r="I959" s="8" t="s">
        <v>146</v>
      </c>
      <c r="J959" s="8" t="s">
        <v>4411</v>
      </c>
      <c r="K959" s="8"/>
      <c r="L959" s="8" t="s">
        <v>4412</v>
      </c>
    </row>
    <row r="960" customFormat="false" ht="34.5" hidden="false" customHeight="true" outlineLevel="0" collapsed="false">
      <c r="A960" s="8" t="n">
        <v>764</v>
      </c>
      <c r="B960" s="8" t="s">
        <v>33</v>
      </c>
      <c r="C960" s="8" t="s">
        <v>4413</v>
      </c>
      <c r="D960" s="8" t="n">
        <v>2016</v>
      </c>
      <c r="E960" s="8" t="s">
        <v>4414</v>
      </c>
      <c r="F960" s="8" t="s">
        <v>151</v>
      </c>
      <c r="G960" s="8" t="s">
        <v>4415</v>
      </c>
      <c r="H960" s="8" t="s">
        <v>1354</v>
      </c>
      <c r="I960" s="8" t="s">
        <v>153</v>
      </c>
      <c r="J960" s="8" t="s">
        <v>4416</v>
      </c>
      <c r="K960" s="8" t="s">
        <v>116</v>
      </c>
      <c r="L960" s="8" t="s">
        <v>4417</v>
      </c>
    </row>
    <row r="961" customFormat="false" ht="34.5" hidden="false" customHeight="true" outlineLevel="0" collapsed="false">
      <c r="A961" s="8" t="n">
        <v>765</v>
      </c>
      <c r="B961" s="8" t="s">
        <v>33</v>
      </c>
      <c r="C961" s="8" t="s">
        <v>4418</v>
      </c>
      <c r="D961" s="8" t="n">
        <v>2017</v>
      </c>
      <c r="E961" s="8" t="s">
        <v>4419</v>
      </c>
      <c r="F961" s="8" t="s">
        <v>151</v>
      </c>
      <c r="G961" s="8" t="s">
        <v>4420</v>
      </c>
      <c r="H961" s="8" t="s">
        <v>3592</v>
      </c>
      <c r="I961" s="8" t="s">
        <v>146</v>
      </c>
      <c r="J961" s="8" t="s">
        <v>4421</v>
      </c>
      <c r="K961" s="8" t="s">
        <v>114</v>
      </c>
      <c r="L961" s="8" t="s">
        <v>4422</v>
      </c>
    </row>
    <row r="962" customFormat="false" ht="34.5" hidden="false" customHeight="true" outlineLevel="0" collapsed="false">
      <c r="A962" s="8" t="n">
        <v>766</v>
      </c>
      <c r="B962" s="8" t="s">
        <v>33</v>
      </c>
      <c r="C962" s="8" t="s">
        <v>1622</v>
      </c>
      <c r="D962" s="8" t="n">
        <v>2015</v>
      </c>
      <c r="E962" s="8" t="s">
        <v>4423</v>
      </c>
      <c r="F962" s="8" t="s">
        <v>143</v>
      </c>
      <c r="G962" s="8" t="s">
        <v>4424</v>
      </c>
      <c r="H962" s="8" t="s">
        <v>327</v>
      </c>
      <c r="I962" s="8" t="s">
        <v>146</v>
      </c>
      <c r="J962" s="8" t="s">
        <v>4425</v>
      </c>
      <c r="K962" s="8" t="s">
        <v>116</v>
      </c>
      <c r="L962" s="8" t="s">
        <v>4426</v>
      </c>
    </row>
    <row r="963" customFormat="false" ht="34.5" hidden="false" customHeight="true" outlineLevel="0" collapsed="false">
      <c r="A963" s="8" t="n">
        <v>767</v>
      </c>
      <c r="B963" s="8" t="s">
        <v>33</v>
      </c>
      <c r="C963" s="8" t="s">
        <v>4427</v>
      </c>
      <c r="D963" s="8" t="n">
        <v>2015</v>
      </c>
      <c r="E963" s="8" t="s">
        <v>4428</v>
      </c>
      <c r="F963" s="8" t="s">
        <v>153</v>
      </c>
      <c r="G963" s="8" t="s">
        <v>4429</v>
      </c>
      <c r="H963" s="8" t="s">
        <v>4430</v>
      </c>
      <c r="I963" s="8" t="s">
        <v>146</v>
      </c>
      <c r="J963" s="8" t="s">
        <v>4431</v>
      </c>
      <c r="K963" s="8"/>
      <c r="L963" s="8" t="s">
        <v>4432</v>
      </c>
    </row>
    <row r="964" customFormat="false" ht="34.5" hidden="false" customHeight="true" outlineLevel="0" collapsed="false">
      <c r="A964" s="8" t="n">
        <v>768</v>
      </c>
      <c r="B964" s="8" t="s">
        <v>33</v>
      </c>
      <c r="C964" s="8" t="s">
        <v>4433</v>
      </c>
      <c r="D964" s="8" t="n">
        <v>2002</v>
      </c>
      <c r="E964" s="8" t="s">
        <v>4434</v>
      </c>
      <c r="F964" s="8" t="s">
        <v>151</v>
      </c>
      <c r="G964" s="8" t="s">
        <v>1619</v>
      </c>
      <c r="H964" s="8" t="s">
        <v>255</v>
      </c>
      <c r="I964" s="8" t="s">
        <v>146</v>
      </c>
      <c r="J964" s="8" t="s">
        <v>4435</v>
      </c>
      <c r="K964" s="8"/>
      <c r="L964" s="8" t="s">
        <v>4436</v>
      </c>
    </row>
    <row r="965" customFormat="false" ht="45.75" hidden="false" customHeight="true" outlineLevel="0" collapsed="false">
      <c r="A965" s="8" t="n">
        <v>769</v>
      </c>
      <c r="B965" s="8" t="s">
        <v>33</v>
      </c>
      <c r="C965" s="8" t="s">
        <v>4437</v>
      </c>
      <c r="D965" s="8" t="n">
        <v>2011</v>
      </c>
      <c r="E965" s="8" t="s">
        <v>4438</v>
      </c>
      <c r="F965" s="8" t="s">
        <v>151</v>
      </c>
      <c r="G965" s="8" t="s">
        <v>4439</v>
      </c>
      <c r="H965" s="8" t="s">
        <v>1354</v>
      </c>
      <c r="I965" s="8" t="s">
        <v>146</v>
      </c>
      <c r="J965" s="8" t="s">
        <v>4440</v>
      </c>
      <c r="K965" s="8"/>
      <c r="L965" s="8" t="s">
        <v>4441</v>
      </c>
    </row>
    <row r="966" customFormat="false" ht="34.5" hidden="false" customHeight="true" outlineLevel="0" collapsed="false">
      <c r="A966" s="8" t="n">
        <v>770</v>
      </c>
      <c r="B966" s="8" t="s">
        <v>33</v>
      </c>
      <c r="C966" s="8" t="s">
        <v>4442</v>
      </c>
      <c r="D966" s="8" t="n">
        <v>2015</v>
      </c>
      <c r="E966" s="8" t="s">
        <v>4443</v>
      </c>
      <c r="F966" s="8" t="s">
        <v>151</v>
      </c>
      <c r="G966" s="8" t="s">
        <v>152</v>
      </c>
      <c r="H966" s="8" t="s">
        <v>145</v>
      </c>
      <c r="I966" s="8" t="s">
        <v>146</v>
      </c>
      <c r="J966" s="8" t="s">
        <v>4444</v>
      </c>
      <c r="K966" s="8"/>
      <c r="L966" s="8" t="s">
        <v>4445</v>
      </c>
    </row>
    <row r="967" customFormat="false" ht="34.5" hidden="false" customHeight="true" outlineLevel="0" collapsed="false">
      <c r="A967" s="8" t="n">
        <v>771</v>
      </c>
      <c r="B967" s="8" t="s">
        <v>33</v>
      </c>
      <c r="C967" s="8" t="s">
        <v>4446</v>
      </c>
      <c r="D967" s="8" t="n">
        <v>2009</v>
      </c>
      <c r="E967" s="8" t="s">
        <v>4447</v>
      </c>
      <c r="F967" s="8" t="s">
        <v>143</v>
      </c>
      <c r="G967" s="8" t="s">
        <v>4448</v>
      </c>
      <c r="H967" s="8" t="s">
        <v>255</v>
      </c>
      <c r="I967" s="8" t="s">
        <v>153</v>
      </c>
      <c r="J967" s="8" t="s">
        <v>4449</v>
      </c>
      <c r="K967" s="8" t="s">
        <v>116</v>
      </c>
      <c r="L967" s="8" t="s">
        <v>4450</v>
      </c>
    </row>
    <row r="968" customFormat="false" ht="23.25" hidden="false" customHeight="true" outlineLevel="0" collapsed="false">
      <c r="A968" s="8" t="n">
        <v>772</v>
      </c>
      <c r="B968" s="8" t="s">
        <v>33</v>
      </c>
      <c r="C968" s="8" t="s">
        <v>4451</v>
      </c>
      <c r="D968" s="8" t="n">
        <v>2019</v>
      </c>
      <c r="E968" s="8" t="s">
        <v>4452</v>
      </c>
      <c r="F968" s="8" t="s">
        <v>151</v>
      </c>
      <c r="G968" s="8" t="s">
        <v>396</v>
      </c>
      <c r="H968" s="8" t="s">
        <v>255</v>
      </c>
      <c r="I968" s="8" t="s">
        <v>146</v>
      </c>
      <c r="J968" s="8" t="s">
        <v>4453</v>
      </c>
      <c r="K968" s="8"/>
      <c r="L968" s="8" t="s">
        <v>4454</v>
      </c>
    </row>
    <row r="969" customFormat="false" ht="34.5" hidden="false" customHeight="true" outlineLevel="0" collapsed="false">
      <c r="A969" s="8" t="n">
        <v>773</v>
      </c>
      <c r="B969" s="8" t="s">
        <v>33</v>
      </c>
      <c r="C969" s="8" t="s">
        <v>591</v>
      </c>
      <c r="D969" s="8" t="n">
        <v>2018</v>
      </c>
      <c r="E969" s="8" t="s">
        <v>4455</v>
      </c>
      <c r="F969" s="8" t="s">
        <v>143</v>
      </c>
      <c r="G969" s="8" t="s">
        <v>4456</v>
      </c>
      <c r="H969" s="8" t="s">
        <v>145</v>
      </c>
      <c r="I969" s="8" t="s">
        <v>153</v>
      </c>
      <c r="J969" s="8" t="s">
        <v>4457</v>
      </c>
      <c r="K969" s="8" t="s">
        <v>114</v>
      </c>
      <c r="L969" s="8" t="s">
        <v>4458</v>
      </c>
    </row>
    <row r="970" customFormat="false" ht="34.5" hidden="false" customHeight="true" outlineLevel="0" collapsed="false">
      <c r="A970" s="8" t="n">
        <v>774</v>
      </c>
      <c r="B970" s="8" t="s">
        <v>33</v>
      </c>
      <c r="C970" s="8" t="s">
        <v>3430</v>
      </c>
      <c r="D970" s="8" t="n">
        <v>2008</v>
      </c>
      <c r="E970" s="8" t="s">
        <v>4459</v>
      </c>
      <c r="F970" s="8" t="s">
        <v>151</v>
      </c>
      <c r="G970" s="8" t="s">
        <v>4415</v>
      </c>
      <c r="H970" s="8" t="s">
        <v>285</v>
      </c>
      <c r="I970" s="8" t="s">
        <v>146</v>
      </c>
      <c r="J970" s="8" t="s">
        <v>4460</v>
      </c>
      <c r="K970" s="8"/>
      <c r="L970" s="8" t="s">
        <v>4461</v>
      </c>
    </row>
    <row r="971" customFormat="false" ht="34.5" hidden="false" customHeight="true" outlineLevel="0" collapsed="false">
      <c r="A971" s="8" t="n">
        <v>775</v>
      </c>
      <c r="B971" s="8" t="s">
        <v>33</v>
      </c>
      <c r="C971" s="8" t="s">
        <v>4462</v>
      </c>
      <c r="D971" s="8" t="n">
        <v>2018</v>
      </c>
      <c r="E971" s="8" t="s">
        <v>4463</v>
      </c>
      <c r="F971" s="8" t="s">
        <v>143</v>
      </c>
      <c r="G971" s="8" t="s">
        <v>4464</v>
      </c>
      <c r="H971" s="8" t="s">
        <v>145</v>
      </c>
      <c r="I971" s="8" t="s">
        <v>146</v>
      </c>
      <c r="J971" s="8" t="s">
        <v>4465</v>
      </c>
      <c r="K971" s="8"/>
      <c r="L971" s="8" t="s">
        <v>4466</v>
      </c>
    </row>
    <row r="972" customFormat="false" ht="34.5" hidden="false" customHeight="true" outlineLevel="0" collapsed="false">
      <c r="A972" s="8" t="n">
        <v>776</v>
      </c>
      <c r="B972" s="8" t="s">
        <v>33</v>
      </c>
      <c r="C972" s="8" t="s">
        <v>4467</v>
      </c>
      <c r="D972" s="8" t="n">
        <v>2019</v>
      </c>
      <c r="E972" s="8" t="s">
        <v>4468</v>
      </c>
      <c r="F972" s="8" t="s">
        <v>151</v>
      </c>
      <c r="G972" s="8" t="s">
        <v>798</v>
      </c>
      <c r="H972" s="8" t="s">
        <v>255</v>
      </c>
      <c r="I972" s="8" t="s">
        <v>146</v>
      </c>
      <c r="J972" s="8" t="s">
        <v>4469</v>
      </c>
      <c r="K972" s="8"/>
      <c r="L972" s="8" t="s">
        <v>4470</v>
      </c>
    </row>
    <row r="973" customFormat="false" ht="34.5" hidden="false" customHeight="true" outlineLevel="0" collapsed="false">
      <c r="A973" s="8" t="n">
        <v>777</v>
      </c>
      <c r="B973" s="8" t="s">
        <v>33</v>
      </c>
      <c r="C973" s="8" t="s">
        <v>4467</v>
      </c>
      <c r="D973" s="8" t="n">
        <v>2018</v>
      </c>
      <c r="E973" s="8" t="s">
        <v>4471</v>
      </c>
      <c r="F973" s="8" t="s">
        <v>143</v>
      </c>
      <c r="G973" s="8" t="s">
        <v>4399</v>
      </c>
      <c r="H973" s="8" t="s">
        <v>255</v>
      </c>
      <c r="I973" s="8" t="s">
        <v>146</v>
      </c>
      <c r="J973" s="8" t="s">
        <v>4472</v>
      </c>
      <c r="K973" s="8"/>
      <c r="L973" s="8" t="s">
        <v>4473</v>
      </c>
    </row>
    <row r="974" customFormat="false" ht="23.25" hidden="false" customHeight="true" outlineLevel="0" collapsed="false">
      <c r="A974" s="8" t="n">
        <v>778</v>
      </c>
      <c r="B974" s="8" t="s">
        <v>33</v>
      </c>
      <c r="C974" s="8" t="s">
        <v>4474</v>
      </c>
      <c r="D974" s="8" t="n">
        <v>2013</v>
      </c>
      <c r="E974" s="8" t="s">
        <v>4475</v>
      </c>
      <c r="F974" s="8" t="s">
        <v>143</v>
      </c>
      <c r="G974" s="8" t="s">
        <v>626</v>
      </c>
      <c r="H974" s="8" t="s">
        <v>145</v>
      </c>
      <c r="I974" s="8" t="s">
        <v>146</v>
      </c>
      <c r="J974" s="8" t="s">
        <v>4476</v>
      </c>
      <c r="K974" s="8"/>
      <c r="L974" s="8" t="s">
        <v>4477</v>
      </c>
    </row>
    <row r="975" customFormat="false" ht="34.5" hidden="false" customHeight="true" outlineLevel="0" collapsed="false">
      <c r="A975" s="8" t="n">
        <v>779</v>
      </c>
      <c r="B975" s="8" t="s">
        <v>33</v>
      </c>
      <c r="C975" s="8" t="s">
        <v>4478</v>
      </c>
      <c r="D975" s="8" t="n">
        <v>2014</v>
      </c>
      <c r="E975" s="8" t="s">
        <v>4479</v>
      </c>
      <c r="F975" s="8" t="s">
        <v>151</v>
      </c>
      <c r="G975" s="8" t="s">
        <v>832</v>
      </c>
      <c r="H975" s="8" t="s">
        <v>871</v>
      </c>
      <c r="I975" s="8" t="s">
        <v>208</v>
      </c>
      <c r="J975" s="8" t="s">
        <v>4480</v>
      </c>
      <c r="K975" s="8"/>
      <c r="L975" s="8" t="s">
        <v>4481</v>
      </c>
    </row>
    <row r="976" customFormat="false" ht="23.25" hidden="false" customHeight="true" outlineLevel="0" collapsed="false">
      <c r="A976" s="8" t="n">
        <v>780</v>
      </c>
      <c r="B976" s="8" t="s">
        <v>33</v>
      </c>
      <c r="C976" s="8" t="s">
        <v>4482</v>
      </c>
      <c r="D976" s="8" t="n">
        <v>2015</v>
      </c>
      <c r="E976" s="8" t="s">
        <v>4483</v>
      </c>
      <c r="F976" s="8" t="s">
        <v>143</v>
      </c>
      <c r="G976" s="8" t="s">
        <v>152</v>
      </c>
      <c r="H976" s="8" t="s">
        <v>4484</v>
      </c>
      <c r="I976" s="8" t="s">
        <v>153</v>
      </c>
      <c r="J976" s="8" t="s">
        <v>4485</v>
      </c>
      <c r="K976" s="8"/>
      <c r="L976" s="8" t="s">
        <v>4486</v>
      </c>
    </row>
    <row r="977" customFormat="false" ht="34.5" hidden="false" customHeight="true" outlineLevel="0" collapsed="false">
      <c r="A977" s="8" t="n">
        <v>781</v>
      </c>
      <c r="B977" s="8" t="s">
        <v>33</v>
      </c>
      <c r="C977" s="8" t="s">
        <v>4487</v>
      </c>
      <c r="D977" s="8" t="n">
        <v>2010</v>
      </c>
      <c r="E977" s="8" t="s">
        <v>4488</v>
      </c>
      <c r="F977" s="8" t="s">
        <v>143</v>
      </c>
      <c r="G977" s="8" t="s">
        <v>4489</v>
      </c>
      <c r="H977" s="8" t="s">
        <v>255</v>
      </c>
      <c r="I977" s="8" t="s">
        <v>153</v>
      </c>
      <c r="J977" s="8" t="s">
        <v>4490</v>
      </c>
      <c r="K977" s="8" t="s">
        <v>116</v>
      </c>
      <c r="L977" s="8" t="s">
        <v>4491</v>
      </c>
    </row>
    <row r="978" customFormat="false" ht="34.5" hidden="false" customHeight="true" outlineLevel="0" collapsed="false">
      <c r="A978" s="8" t="n">
        <v>782</v>
      </c>
      <c r="B978" s="8" t="s">
        <v>33</v>
      </c>
      <c r="C978" s="8" t="s">
        <v>4492</v>
      </c>
      <c r="D978" s="8" t="n">
        <v>2018</v>
      </c>
      <c r="E978" s="8" t="s">
        <v>4493</v>
      </c>
      <c r="F978" s="8" t="s">
        <v>151</v>
      </c>
      <c r="G978" s="8" t="s">
        <v>4494</v>
      </c>
      <c r="H978" s="8" t="s">
        <v>501</v>
      </c>
      <c r="I978" s="8" t="s">
        <v>146</v>
      </c>
      <c r="J978" s="8" t="s">
        <v>4495</v>
      </c>
      <c r="K978" s="8" t="s">
        <v>116</v>
      </c>
      <c r="L978" s="8" t="s">
        <v>4496</v>
      </c>
    </row>
    <row r="979" customFormat="false" ht="34.5" hidden="false" customHeight="true" outlineLevel="0" collapsed="false">
      <c r="A979" s="8" t="n">
        <v>783</v>
      </c>
      <c r="B979" s="8" t="s">
        <v>33</v>
      </c>
      <c r="C979" s="8" t="s">
        <v>4497</v>
      </c>
      <c r="D979" s="8" t="n">
        <v>2015</v>
      </c>
      <c r="E979" s="8" t="s">
        <v>4498</v>
      </c>
      <c r="F979" s="8" t="s">
        <v>151</v>
      </c>
      <c r="G979" s="8" t="s">
        <v>4499</v>
      </c>
      <c r="H979" s="8" t="s">
        <v>255</v>
      </c>
      <c r="I979" s="8" t="s">
        <v>146</v>
      </c>
      <c r="J979" s="8" t="s">
        <v>4500</v>
      </c>
      <c r="K979" s="8"/>
      <c r="L979" s="8" t="s">
        <v>4501</v>
      </c>
    </row>
    <row r="980" customFormat="false" ht="23.25" hidden="false" customHeight="true" outlineLevel="0" collapsed="false">
      <c r="A980" s="8" t="n">
        <v>784</v>
      </c>
      <c r="B980" s="8" t="s">
        <v>33</v>
      </c>
      <c r="C980" s="8" t="s">
        <v>4502</v>
      </c>
      <c r="D980" s="8" t="n">
        <v>2003</v>
      </c>
      <c r="E980" s="8" t="s">
        <v>4503</v>
      </c>
      <c r="F980" s="8" t="s">
        <v>151</v>
      </c>
      <c r="G980" s="8" t="s">
        <v>2299</v>
      </c>
      <c r="H980" s="8" t="s">
        <v>2886</v>
      </c>
      <c r="I980" s="8" t="s">
        <v>153</v>
      </c>
      <c r="J980" s="8" t="s">
        <v>4504</v>
      </c>
      <c r="K980" s="8"/>
      <c r="L980" s="8" t="s">
        <v>4505</v>
      </c>
    </row>
    <row r="981" customFormat="false" ht="34.5" hidden="false" customHeight="true" outlineLevel="0" collapsed="false">
      <c r="A981" s="8" t="n">
        <v>785</v>
      </c>
      <c r="B981" s="8" t="s">
        <v>33</v>
      </c>
      <c r="C981" s="8" t="s">
        <v>4502</v>
      </c>
      <c r="D981" s="8" t="n">
        <v>2014</v>
      </c>
      <c r="E981" s="8" t="s">
        <v>4506</v>
      </c>
      <c r="F981" s="8" t="s">
        <v>143</v>
      </c>
      <c r="G981" s="8" t="s">
        <v>4507</v>
      </c>
      <c r="H981" s="8" t="s">
        <v>145</v>
      </c>
      <c r="I981" s="8" t="s">
        <v>153</v>
      </c>
      <c r="J981" s="8" t="s">
        <v>4508</v>
      </c>
      <c r="K981" s="8"/>
      <c r="L981" s="8" t="s">
        <v>4509</v>
      </c>
    </row>
    <row r="982" customFormat="false" ht="34.5" hidden="false" customHeight="true" outlineLevel="0" collapsed="false">
      <c r="A982" s="8" t="n">
        <v>786</v>
      </c>
      <c r="B982" s="8" t="s">
        <v>33</v>
      </c>
      <c r="C982" s="8" t="s">
        <v>4510</v>
      </c>
      <c r="D982" s="8" t="n">
        <v>1986</v>
      </c>
      <c r="E982" s="8" t="s">
        <v>4511</v>
      </c>
      <c r="F982" s="8" t="s">
        <v>151</v>
      </c>
      <c r="G982" s="8" t="s">
        <v>4512</v>
      </c>
      <c r="H982" s="8" t="s">
        <v>187</v>
      </c>
      <c r="I982" s="8" t="s">
        <v>153</v>
      </c>
      <c r="J982" s="8" t="s">
        <v>4513</v>
      </c>
      <c r="K982" s="8"/>
      <c r="L982" s="8" t="s">
        <v>4514</v>
      </c>
    </row>
    <row r="983" customFormat="false" ht="45.75" hidden="false" customHeight="true" outlineLevel="0" collapsed="false">
      <c r="A983" s="8" t="n">
        <v>787</v>
      </c>
      <c r="B983" s="8" t="s">
        <v>33</v>
      </c>
      <c r="C983" s="8" t="s">
        <v>4515</v>
      </c>
      <c r="D983" s="8" t="n">
        <v>2011</v>
      </c>
      <c r="E983" s="8" t="s">
        <v>4516</v>
      </c>
      <c r="F983" s="8" t="s">
        <v>143</v>
      </c>
      <c r="G983" s="8" t="s">
        <v>4517</v>
      </c>
      <c r="H983" s="8" t="s">
        <v>255</v>
      </c>
      <c r="I983" s="8" t="s">
        <v>153</v>
      </c>
      <c r="J983" s="8" t="s">
        <v>4518</v>
      </c>
      <c r="K983" s="8" t="s">
        <v>116</v>
      </c>
      <c r="L983" s="8" t="s">
        <v>4519</v>
      </c>
    </row>
    <row r="984" customFormat="false" ht="34.5" hidden="false" customHeight="true" outlineLevel="0" collapsed="false">
      <c r="A984" s="8" t="n">
        <v>788</v>
      </c>
      <c r="B984" s="8" t="s">
        <v>33</v>
      </c>
      <c r="C984" s="8" t="s">
        <v>4520</v>
      </c>
      <c r="D984" s="8" t="n">
        <v>2014</v>
      </c>
      <c r="E984" s="8" t="s">
        <v>4521</v>
      </c>
      <c r="F984" s="8" t="s">
        <v>143</v>
      </c>
      <c r="G984" s="8" t="s">
        <v>588</v>
      </c>
      <c r="H984" s="8" t="s">
        <v>145</v>
      </c>
      <c r="I984" s="8" t="s">
        <v>153</v>
      </c>
      <c r="J984" s="8" t="s">
        <v>4522</v>
      </c>
      <c r="K984" s="8"/>
      <c r="L984" s="8" t="s">
        <v>4523</v>
      </c>
    </row>
    <row r="985" customFormat="false" ht="34.5" hidden="false" customHeight="true" outlineLevel="0" collapsed="false">
      <c r="A985" s="8" t="n">
        <v>789</v>
      </c>
      <c r="B985" s="8" t="s">
        <v>33</v>
      </c>
      <c r="C985" s="8" t="s">
        <v>4520</v>
      </c>
      <c r="D985" s="8" t="n">
        <v>2016</v>
      </c>
      <c r="E985" s="8" t="s">
        <v>4524</v>
      </c>
      <c r="F985" s="8" t="s">
        <v>143</v>
      </c>
      <c r="G985" s="8" t="s">
        <v>588</v>
      </c>
      <c r="H985" s="8" t="s">
        <v>145</v>
      </c>
      <c r="I985" s="8" t="s">
        <v>153</v>
      </c>
      <c r="J985" s="8" t="s">
        <v>4522</v>
      </c>
      <c r="K985" s="8"/>
      <c r="L985" s="8" t="s">
        <v>4525</v>
      </c>
    </row>
    <row r="986" customFormat="false" ht="34.5" hidden="false" customHeight="true" outlineLevel="0" collapsed="false">
      <c r="A986" s="8" t="n">
        <v>790</v>
      </c>
      <c r="B986" s="8" t="s">
        <v>33</v>
      </c>
      <c r="C986" s="8" t="s">
        <v>4526</v>
      </c>
      <c r="D986" s="8" t="n">
        <v>2015</v>
      </c>
      <c r="E986" s="8" t="s">
        <v>4527</v>
      </c>
      <c r="F986" s="8" t="s">
        <v>143</v>
      </c>
      <c r="G986" s="8" t="s">
        <v>2299</v>
      </c>
      <c r="H986" s="8" t="s">
        <v>145</v>
      </c>
      <c r="I986" s="8" t="s">
        <v>153</v>
      </c>
      <c r="J986" s="8" t="s">
        <v>4528</v>
      </c>
      <c r="K986" s="8"/>
      <c r="L986" s="8" t="s">
        <v>4529</v>
      </c>
    </row>
    <row r="987" customFormat="false" ht="34.5" hidden="false" customHeight="true" outlineLevel="0" collapsed="false">
      <c r="A987" s="8" t="n">
        <v>791</v>
      </c>
      <c r="B987" s="8" t="s">
        <v>33</v>
      </c>
      <c r="C987" s="8" t="s">
        <v>4530</v>
      </c>
      <c r="D987" s="8" t="n">
        <v>2013</v>
      </c>
      <c r="E987" s="8" t="s">
        <v>4531</v>
      </c>
      <c r="F987" s="8" t="s">
        <v>151</v>
      </c>
      <c r="G987" s="8" t="s">
        <v>4532</v>
      </c>
      <c r="H987" s="8" t="s">
        <v>4533</v>
      </c>
      <c r="I987" s="8" t="s">
        <v>153</v>
      </c>
      <c r="J987" s="8" t="s">
        <v>4534</v>
      </c>
      <c r="K987" s="8" t="s">
        <v>116</v>
      </c>
      <c r="L987" s="8" t="s">
        <v>4535</v>
      </c>
    </row>
    <row r="988" customFormat="false" ht="34.5" hidden="false" customHeight="true" outlineLevel="0" collapsed="false">
      <c r="A988" s="8" t="n">
        <v>792</v>
      </c>
      <c r="B988" s="8" t="s">
        <v>33</v>
      </c>
      <c r="C988" s="8" t="s">
        <v>4536</v>
      </c>
      <c r="D988" s="8" t="n">
        <v>2012</v>
      </c>
      <c r="E988" s="8" t="s">
        <v>4537</v>
      </c>
      <c r="F988" s="8" t="s">
        <v>151</v>
      </c>
      <c r="G988" s="8" t="s">
        <v>3552</v>
      </c>
      <c r="H988" s="8" t="s">
        <v>145</v>
      </c>
      <c r="I988" s="8" t="s">
        <v>146</v>
      </c>
      <c r="J988" s="8" t="s">
        <v>4538</v>
      </c>
      <c r="K988" s="8"/>
      <c r="L988" s="8" t="s">
        <v>4539</v>
      </c>
    </row>
    <row r="989" customFormat="false" ht="34.5" hidden="false" customHeight="true" outlineLevel="0" collapsed="false">
      <c r="A989" s="8" t="n">
        <v>793</v>
      </c>
      <c r="B989" s="8" t="s">
        <v>33</v>
      </c>
      <c r="C989" s="8" t="s">
        <v>2598</v>
      </c>
      <c r="D989" s="8" t="n">
        <v>2015</v>
      </c>
      <c r="E989" s="8" t="s">
        <v>4540</v>
      </c>
      <c r="F989" s="8" t="s">
        <v>143</v>
      </c>
      <c r="G989" s="8" t="s">
        <v>4541</v>
      </c>
      <c r="H989" s="8" t="s">
        <v>145</v>
      </c>
      <c r="I989" s="8" t="s">
        <v>153</v>
      </c>
      <c r="J989" s="8" t="s">
        <v>4542</v>
      </c>
      <c r="K989" s="8"/>
      <c r="L989" s="8" t="s">
        <v>4543</v>
      </c>
    </row>
    <row r="990" customFormat="false" ht="34.5" hidden="false" customHeight="true" outlineLevel="0" collapsed="false">
      <c r="A990" s="8" t="n">
        <v>794</v>
      </c>
      <c r="B990" s="8" t="s">
        <v>33</v>
      </c>
      <c r="C990" s="8" t="s">
        <v>2598</v>
      </c>
      <c r="D990" s="8" t="n">
        <v>2019</v>
      </c>
      <c r="E990" s="8" t="s">
        <v>4544</v>
      </c>
      <c r="F990" s="8" t="s">
        <v>143</v>
      </c>
      <c r="G990" s="8" t="s">
        <v>4541</v>
      </c>
      <c r="H990" s="8" t="s">
        <v>145</v>
      </c>
      <c r="I990" s="8" t="s">
        <v>153</v>
      </c>
      <c r="J990" s="8" t="s">
        <v>4545</v>
      </c>
      <c r="K990" s="8"/>
      <c r="L990" s="8" t="s">
        <v>4546</v>
      </c>
    </row>
    <row r="991" customFormat="false" ht="34.5" hidden="false" customHeight="true" outlineLevel="0" collapsed="false">
      <c r="A991" s="8" t="n">
        <v>795</v>
      </c>
      <c r="B991" s="8" t="s">
        <v>33</v>
      </c>
      <c r="C991" s="8" t="s">
        <v>4547</v>
      </c>
      <c r="D991" s="8" t="n">
        <v>2014</v>
      </c>
      <c r="E991" s="8" t="s">
        <v>4548</v>
      </c>
      <c r="F991" s="8" t="s">
        <v>151</v>
      </c>
      <c r="G991" s="8" t="s">
        <v>4507</v>
      </c>
      <c r="H991" s="8" t="s">
        <v>145</v>
      </c>
      <c r="I991" s="8" t="s">
        <v>153</v>
      </c>
      <c r="J991" s="8" t="s">
        <v>4549</v>
      </c>
      <c r="K991" s="8"/>
      <c r="L991" s="8" t="s">
        <v>4550</v>
      </c>
    </row>
    <row r="992" customFormat="false" ht="34.5" hidden="false" customHeight="true" outlineLevel="0" collapsed="false">
      <c r="A992" s="8" t="n">
        <v>796</v>
      </c>
      <c r="B992" s="8" t="s">
        <v>33</v>
      </c>
      <c r="C992" s="8" t="s">
        <v>4551</v>
      </c>
      <c r="D992" s="8" t="n">
        <v>1999</v>
      </c>
      <c r="E992" s="8" t="s">
        <v>4552</v>
      </c>
      <c r="F992" s="8" t="s">
        <v>151</v>
      </c>
      <c r="G992" s="8" t="s">
        <v>4553</v>
      </c>
      <c r="H992" s="8" t="s">
        <v>255</v>
      </c>
      <c r="I992" s="8" t="s">
        <v>146</v>
      </c>
      <c r="J992" s="8" t="s">
        <v>4554</v>
      </c>
      <c r="K992" s="8"/>
      <c r="L992" s="8" t="s">
        <v>4555</v>
      </c>
    </row>
    <row r="993" customFormat="false" ht="34.5" hidden="false" customHeight="true" outlineLevel="0" collapsed="false">
      <c r="A993" s="8" t="n">
        <v>797</v>
      </c>
      <c r="B993" s="8" t="s">
        <v>35</v>
      </c>
      <c r="C993" s="8" t="s">
        <v>4556</v>
      </c>
      <c r="D993" s="8" t="n">
        <v>2012</v>
      </c>
      <c r="E993" s="8" t="s">
        <v>4557</v>
      </c>
      <c r="F993" s="8" t="s">
        <v>151</v>
      </c>
      <c r="G993" s="8" t="s">
        <v>4558</v>
      </c>
      <c r="H993" s="8" t="s">
        <v>1213</v>
      </c>
      <c r="I993" s="8" t="s">
        <v>146</v>
      </c>
      <c r="J993" s="8" t="s">
        <v>4559</v>
      </c>
      <c r="K993" s="8" t="s">
        <v>116</v>
      </c>
      <c r="L993" s="8" t="s">
        <v>4560</v>
      </c>
    </row>
    <row r="994" customFormat="false" ht="34.5" hidden="false" customHeight="true" outlineLevel="0" collapsed="false">
      <c r="A994" s="8" t="n">
        <v>798</v>
      </c>
      <c r="B994" s="8" t="s">
        <v>35</v>
      </c>
      <c r="C994" s="8" t="s">
        <v>4561</v>
      </c>
      <c r="D994" s="8" t="n">
        <v>2009</v>
      </c>
      <c r="E994" s="8" t="s">
        <v>4562</v>
      </c>
      <c r="F994" s="8" t="s">
        <v>143</v>
      </c>
      <c r="G994" s="8" t="s">
        <v>4563</v>
      </c>
      <c r="H994" s="8" t="s">
        <v>255</v>
      </c>
      <c r="I994" s="8" t="s">
        <v>146</v>
      </c>
      <c r="J994" s="8" t="s">
        <v>4564</v>
      </c>
      <c r="K994" s="8" t="s">
        <v>116</v>
      </c>
      <c r="L994" s="8" t="s">
        <v>4565</v>
      </c>
    </row>
    <row r="995" customFormat="false" ht="34.5" hidden="false" customHeight="true" outlineLevel="0" collapsed="false">
      <c r="A995" s="8" t="n">
        <v>799</v>
      </c>
      <c r="B995" s="8" t="s">
        <v>35</v>
      </c>
      <c r="C995" s="8" t="s">
        <v>4566</v>
      </c>
      <c r="D995" s="8" t="n">
        <v>2011</v>
      </c>
      <c r="E995" s="8" t="s">
        <v>4567</v>
      </c>
      <c r="F995" s="8" t="s">
        <v>201</v>
      </c>
      <c r="G995" s="8" t="s">
        <v>4568</v>
      </c>
      <c r="H995" s="8" t="s">
        <v>4569</v>
      </c>
      <c r="I995" s="8" t="s">
        <v>146</v>
      </c>
      <c r="J995" s="8" t="s">
        <v>4570</v>
      </c>
      <c r="K995" s="8" t="s">
        <v>116</v>
      </c>
      <c r="L995" s="8" t="s">
        <v>4571</v>
      </c>
    </row>
    <row r="996" customFormat="false" ht="34.5" hidden="false" customHeight="true" outlineLevel="0" collapsed="false">
      <c r="A996" s="8" t="n">
        <v>800</v>
      </c>
      <c r="B996" s="8" t="s">
        <v>35</v>
      </c>
      <c r="C996" s="8" t="s">
        <v>509</v>
      </c>
      <c r="D996" s="8" t="n">
        <v>2011</v>
      </c>
      <c r="E996" s="8" t="s">
        <v>4572</v>
      </c>
      <c r="F996" s="8" t="s">
        <v>151</v>
      </c>
      <c r="G996" s="8" t="s">
        <v>152</v>
      </c>
      <c r="H996" s="8" t="s">
        <v>4573</v>
      </c>
      <c r="I996" s="8" t="s">
        <v>146</v>
      </c>
      <c r="J996" s="8" t="s">
        <v>4574</v>
      </c>
      <c r="K996" s="8" t="s">
        <v>116</v>
      </c>
      <c r="L996" s="8" t="s">
        <v>4575</v>
      </c>
    </row>
    <row r="997" customFormat="false" ht="34.5" hidden="false" customHeight="true" outlineLevel="0" collapsed="false">
      <c r="A997" s="8" t="n">
        <v>801</v>
      </c>
      <c r="B997" s="8" t="s">
        <v>35</v>
      </c>
      <c r="C997" s="8" t="s">
        <v>4576</v>
      </c>
      <c r="D997" s="8" t="n">
        <v>2015</v>
      </c>
      <c r="E997" s="8" t="s">
        <v>4577</v>
      </c>
      <c r="F997" s="8" t="s">
        <v>143</v>
      </c>
      <c r="G997" s="8" t="s">
        <v>197</v>
      </c>
      <c r="H997" s="8" t="s">
        <v>512</v>
      </c>
      <c r="I997" s="8" t="s">
        <v>146</v>
      </c>
      <c r="J997" s="8" t="s">
        <v>4578</v>
      </c>
      <c r="K997" s="8"/>
      <c r="L997" s="8" t="s">
        <v>4579</v>
      </c>
    </row>
    <row r="998" customFormat="false" ht="34.5" hidden="false" customHeight="true" outlineLevel="0" collapsed="false">
      <c r="A998" s="8" t="n">
        <v>802</v>
      </c>
      <c r="B998" s="8" t="s">
        <v>35</v>
      </c>
      <c r="C998" s="8" t="s">
        <v>4580</v>
      </c>
      <c r="D998" s="8" t="n">
        <v>2013</v>
      </c>
      <c r="E998" s="8" t="s">
        <v>4581</v>
      </c>
      <c r="F998" s="8" t="s">
        <v>143</v>
      </c>
      <c r="G998" s="8" t="s">
        <v>515</v>
      </c>
      <c r="H998" s="8" t="s">
        <v>678</v>
      </c>
      <c r="I998" s="8" t="s">
        <v>146</v>
      </c>
      <c r="J998" s="8" t="s">
        <v>4582</v>
      </c>
      <c r="K998" s="8" t="s">
        <v>116</v>
      </c>
      <c r="L998" s="8" t="s">
        <v>4583</v>
      </c>
    </row>
    <row r="999" customFormat="false" ht="34.5" hidden="false" customHeight="true" outlineLevel="0" collapsed="false">
      <c r="A999" s="8" t="n">
        <v>803</v>
      </c>
      <c r="B999" s="8" t="s">
        <v>35</v>
      </c>
      <c r="C999" s="8" t="s">
        <v>4584</v>
      </c>
      <c r="D999" s="8" t="n">
        <v>2013</v>
      </c>
      <c r="E999" s="8" t="s">
        <v>4585</v>
      </c>
      <c r="F999" s="8" t="s">
        <v>151</v>
      </c>
      <c r="G999" s="8" t="s">
        <v>197</v>
      </c>
      <c r="H999" s="8" t="s">
        <v>4586</v>
      </c>
      <c r="I999" s="8" t="s">
        <v>146</v>
      </c>
      <c r="J999" s="8" t="s">
        <v>4587</v>
      </c>
      <c r="K999" s="8" t="s">
        <v>116</v>
      </c>
      <c r="L999" s="8" t="s">
        <v>4588</v>
      </c>
    </row>
    <row r="1000" customFormat="false" ht="34.5" hidden="false" customHeight="true" outlineLevel="0" collapsed="false">
      <c r="A1000" s="8" t="n">
        <v>804</v>
      </c>
      <c r="B1000" s="8" t="s">
        <v>35</v>
      </c>
      <c r="C1000" s="8" t="s">
        <v>4589</v>
      </c>
      <c r="D1000" s="8" t="n">
        <v>1999</v>
      </c>
      <c r="E1000" s="8" t="s">
        <v>4590</v>
      </c>
      <c r="F1000" s="8" t="s">
        <v>151</v>
      </c>
      <c r="G1000" s="8" t="s">
        <v>213</v>
      </c>
      <c r="H1000" s="8" t="s">
        <v>4591</v>
      </c>
      <c r="I1000" s="8" t="s">
        <v>146</v>
      </c>
      <c r="J1000" s="8" t="s">
        <v>4592</v>
      </c>
      <c r="K1000" s="8"/>
      <c r="L1000" s="8" t="s">
        <v>4593</v>
      </c>
    </row>
    <row r="1001" customFormat="false" ht="34.5" hidden="false" customHeight="true" outlineLevel="0" collapsed="false">
      <c r="A1001" s="8" t="n">
        <v>805</v>
      </c>
      <c r="B1001" s="8" t="s">
        <v>35</v>
      </c>
      <c r="C1001" s="8" t="s">
        <v>4594</v>
      </c>
      <c r="D1001" s="8" t="n">
        <v>2008</v>
      </c>
      <c r="E1001" s="8" t="s">
        <v>4595</v>
      </c>
      <c r="F1001" s="8" t="s">
        <v>579</v>
      </c>
      <c r="G1001" s="8" t="s">
        <v>4596</v>
      </c>
      <c r="H1001" s="8" t="s">
        <v>4597</v>
      </c>
      <c r="I1001" s="8" t="s">
        <v>146</v>
      </c>
      <c r="J1001" s="8" t="s">
        <v>4598</v>
      </c>
      <c r="K1001" s="8" t="s">
        <v>116</v>
      </c>
      <c r="L1001" s="8" t="s">
        <v>4599</v>
      </c>
    </row>
    <row r="1002" customFormat="false" ht="34.5" hidden="false" customHeight="true" outlineLevel="0" collapsed="false">
      <c r="A1002" s="8" t="n">
        <v>806</v>
      </c>
      <c r="B1002" s="8" t="s">
        <v>35</v>
      </c>
      <c r="C1002" s="8" t="s">
        <v>4600</v>
      </c>
      <c r="D1002" s="8" t="n">
        <v>2013</v>
      </c>
      <c r="E1002" s="8" t="s">
        <v>4601</v>
      </c>
      <c r="F1002" s="8" t="s">
        <v>143</v>
      </c>
      <c r="G1002" s="8" t="s">
        <v>515</v>
      </c>
      <c r="H1002" s="8" t="s">
        <v>678</v>
      </c>
      <c r="I1002" s="8" t="s">
        <v>146</v>
      </c>
      <c r="J1002" s="8" t="s">
        <v>4602</v>
      </c>
      <c r="K1002" s="8" t="s">
        <v>116</v>
      </c>
      <c r="L1002" s="8" t="s">
        <v>4603</v>
      </c>
    </row>
    <row r="1003" customFormat="false" ht="34.5" hidden="false" customHeight="true" outlineLevel="0" collapsed="false">
      <c r="A1003" s="8" t="n">
        <v>807</v>
      </c>
      <c r="B1003" s="8" t="s">
        <v>35</v>
      </c>
      <c r="C1003" s="8" t="s">
        <v>4604</v>
      </c>
      <c r="D1003" s="8" t="n">
        <v>2013</v>
      </c>
      <c r="E1003" s="8" t="s">
        <v>4605</v>
      </c>
      <c r="F1003" s="8" t="s">
        <v>143</v>
      </c>
      <c r="G1003" s="8" t="s">
        <v>4568</v>
      </c>
      <c r="H1003" s="8" t="s">
        <v>721</v>
      </c>
      <c r="I1003" s="8" t="s">
        <v>146</v>
      </c>
      <c r="J1003" s="8" t="s">
        <v>4606</v>
      </c>
      <c r="K1003" s="8" t="s">
        <v>116</v>
      </c>
      <c r="L1003" s="8" t="s">
        <v>4607</v>
      </c>
    </row>
    <row r="1004" customFormat="false" ht="34.5" hidden="false" customHeight="true" outlineLevel="0" collapsed="false">
      <c r="A1004" s="8" t="n">
        <v>808</v>
      </c>
      <c r="B1004" s="8" t="s">
        <v>35</v>
      </c>
      <c r="C1004" s="8" t="s">
        <v>4608</v>
      </c>
      <c r="D1004" s="8" t="n">
        <v>2013</v>
      </c>
      <c r="E1004" s="8" t="s">
        <v>4609</v>
      </c>
      <c r="F1004" s="8" t="s">
        <v>143</v>
      </c>
      <c r="G1004" s="8" t="s">
        <v>1619</v>
      </c>
      <c r="H1004" s="8" t="s">
        <v>4610</v>
      </c>
      <c r="I1004" s="8" t="s">
        <v>146</v>
      </c>
      <c r="J1004" s="8" t="s">
        <v>4611</v>
      </c>
      <c r="K1004" s="8" t="s">
        <v>116</v>
      </c>
      <c r="L1004" s="8" t="s">
        <v>4612</v>
      </c>
    </row>
    <row r="1005" customFormat="false" ht="34.5" hidden="false" customHeight="true" outlineLevel="0" collapsed="false">
      <c r="A1005" s="8" t="n">
        <v>809</v>
      </c>
      <c r="B1005" s="8" t="s">
        <v>35</v>
      </c>
      <c r="C1005" s="8" t="s">
        <v>4613</v>
      </c>
      <c r="D1005" s="8" t="n">
        <v>2014</v>
      </c>
      <c r="E1005" s="8" t="s">
        <v>4614</v>
      </c>
      <c r="F1005" s="8" t="s">
        <v>201</v>
      </c>
      <c r="G1005" s="8" t="s">
        <v>4615</v>
      </c>
      <c r="H1005" s="8" t="s">
        <v>4616</v>
      </c>
      <c r="I1005" s="8" t="s">
        <v>146</v>
      </c>
      <c r="J1005" s="8" t="s">
        <v>4617</v>
      </c>
      <c r="K1005" s="8" t="s">
        <v>116</v>
      </c>
      <c r="L1005" s="8" t="s">
        <v>4618</v>
      </c>
    </row>
    <row r="1006" customFormat="false" ht="34.5" hidden="false" customHeight="true" outlineLevel="0" collapsed="false">
      <c r="A1006" s="8" t="n">
        <v>810</v>
      </c>
      <c r="B1006" s="8" t="s">
        <v>35</v>
      </c>
      <c r="C1006" s="8" t="s">
        <v>1622</v>
      </c>
      <c r="D1006" s="8" t="n">
        <v>2010</v>
      </c>
      <c r="E1006" s="8" t="s">
        <v>4619</v>
      </c>
      <c r="F1006" s="8" t="s">
        <v>143</v>
      </c>
      <c r="G1006" s="8" t="s">
        <v>4512</v>
      </c>
      <c r="H1006" s="8" t="s">
        <v>327</v>
      </c>
      <c r="I1006" s="8" t="s">
        <v>522</v>
      </c>
      <c r="J1006" s="8" t="s">
        <v>4620</v>
      </c>
      <c r="K1006" s="8" t="s">
        <v>116</v>
      </c>
      <c r="L1006" s="8" t="s">
        <v>4621</v>
      </c>
    </row>
    <row r="1007" customFormat="false" ht="34.5" hidden="false" customHeight="true" outlineLevel="0" collapsed="false">
      <c r="A1007" s="8" t="n">
        <v>811</v>
      </c>
      <c r="B1007" s="8" t="s">
        <v>35</v>
      </c>
      <c r="C1007" s="8" t="s">
        <v>4622</v>
      </c>
      <c r="D1007" s="8" t="n">
        <v>2014</v>
      </c>
      <c r="E1007" s="8" t="s">
        <v>4623</v>
      </c>
      <c r="F1007" s="8" t="s">
        <v>151</v>
      </c>
      <c r="G1007" s="8" t="s">
        <v>4558</v>
      </c>
      <c r="H1007" s="8" t="s">
        <v>327</v>
      </c>
      <c r="I1007" s="8" t="s">
        <v>146</v>
      </c>
      <c r="J1007" s="8" t="s">
        <v>4624</v>
      </c>
      <c r="K1007" s="8" t="s">
        <v>116</v>
      </c>
      <c r="L1007" s="8" t="s">
        <v>4625</v>
      </c>
    </row>
    <row r="1008" customFormat="false" ht="34.5" hidden="false" customHeight="true" outlineLevel="0" collapsed="false">
      <c r="A1008" s="8" t="n">
        <v>812</v>
      </c>
      <c r="B1008" s="8" t="s">
        <v>35</v>
      </c>
      <c r="C1008" s="8" t="s">
        <v>4626</v>
      </c>
      <c r="D1008" s="8" t="n">
        <v>2009</v>
      </c>
      <c r="E1008" s="8" t="s">
        <v>4627</v>
      </c>
      <c r="F1008" s="8" t="s">
        <v>151</v>
      </c>
      <c r="G1008" s="8" t="s">
        <v>152</v>
      </c>
      <c r="H1008" s="8" t="s">
        <v>4628</v>
      </c>
      <c r="I1008" s="8" t="s">
        <v>146</v>
      </c>
      <c r="J1008" s="8" t="s">
        <v>4629</v>
      </c>
      <c r="K1008" s="8"/>
      <c r="L1008" s="8" t="s">
        <v>4630</v>
      </c>
    </row>
    <row r="1009" customFormat="false" ht="34.5" hidden="false" customHeight="true" outlineLevel="0" collapsed="false">
      <c r="A1009" s="8" t="n">
        <v>813</v>
      </c>
      <c r="B1009" s="8" t="s">
        <v>35</v>
      </c>
      <c r="C1009" s="8" t="s">
        <v>4631</v>
      </c>
      <c r="D1009" s="8" t="n">
        <v>2011</v>
      </c>
      <c r="E1009" s="8" t="s">
        <v>4632</v>
      </c>
      <c r="F1009" s="8" t="s">
        <v>579</v>
      </c>
      <c r="G1009" s="8" t="s">
        <v>4512</v>
      </c>
      <c r="H1009" s="8" t="s">
        <v>145</v>
      </c>
      <c r="I1009" s="8" t="s">
        <v>146</v>
      </c>
      <c r="J1009" s="8" t="s">
        <v>4633</v>
      </c>
      <c r="K1009" s="8"/>
      <c r="L1009" s="8" t="s">
        <v>4634</v>
      </c>
    </row>
    <row r="1010" customFormat="false" ht="34.5" hidden="false" customHeight="true" outlineLevel="0" collapsed="false">
      <c r="A1010" s="8" t="n">
        <v>814</v>
      </c>
      <c r="B1010" s="8" t="s">
        <v>35</v>
      </c>
      <c r="C1010" s="8" t="s">
        <v>4635</v>
      </c>
      <c r="D1010" s="8" t="n">
        <v>1987</v>
      </c>
      <c r="E1010" s="8" t="s">
        <v>4636</v>
      </c>
      <c r="F1010" s="8" t="s">
        <v>151</v>
      </c>
      <c r="G1010" s="8" t="s">
        <v>152</v>
      </c>
      <c r="H1010" s="8" t="s">
        <v>4637</v>
      </c>
      <c r="I1010" s="8" t="s">
        <v>146</v>
      </c>
      <c r="J1010" s="8" t="s">
        <v>4638</v>
      </c>
      <c r="K1010" s="8"/>
      <c r="L1010" s="8" t="s">
        <v>4639</v>
      </c>
    </row>
    <row r="1011" customFormat="false" ht="34.5" hidden="false" customHeight="true" outlineLevel="0" collapsed="false">
      <c r="A1011" s="8" t="n">
        <v>815</v>
      </c>
      <c r="B1011" s="8" t="s">
        <v>35</v>
      </c>
      <c r="C1011" s="8" t="s">
        <v>4640</v>
      </c>
      <c r="D1011" s="8" t="n">
        <v>2014</v>
      </c>
      <c r="E1011" s="8" t="s">
        <v>4641</v>
      </c>
      <c r="F1011" s="8" t="s">
        <v>151</v>
      </c>
      <c r="G1011" s="8" t="s">
        <v>2664</v>
      </c>
      <c r="H1011" s="8" t="s">
        <v>145</v>
      </c>
      <c r="I1011" s="8" t="s">
        <v>146</v>
      </c>
      <c r="J1011" s="8" t="s">
        <v>4642</v>
      </c>
      <c r="K1011" s="8" t="s">
        <v>116</v>
      </c>
      <c r="L1011" s="8" t="s">
        <v>4643</v>
      </c>
    </row>
    <row r="1012" customFormat="false" ht="34.5" hidden="false" customHeight="true" outlineLevel="0" collapsed="false">
      <c r="A1012" s="8" t="n">
        <v>816</v>
      </c>
      <c r="B1012" s="8" t="s">
        <v>35</v>
      </c>
      <c r="C1012" s="8" t="s">
        <v>4446</v>
      </c>
      <c r="D1012" s="8" t="n">
        <v>2009</v>
      </c>
      <c r="E1012" s="8" t="s">
        <v>4644</v>
      </c>
      <c r="F1012" s="8" t="s">
        <v>201</v>
      </c>
      <c r="G1012" s="8" t="s">
        <v>4645</v>
      </c>
      <c r="H1012" s="8" t="s">
        <v>255</v>
      </c>
      <c r="I1012" s="8" t="s">
        <v>146</v>
      </c>
      <c r="J1012" s="8" t="s">
        <v>4646</v>
      </c>
      <c r="K1012" s="8" t="s">
        <v>116</v>
      </c>
      <c r="L1012" s="8" t="s">
        <v>4647</v>
      </c>
    </row>
    <row r="1013" customFormat="false" ht="34.5" hidden="false" customHeight="true" outlineLevel="0" collapsed="false">
      <c r="A1013" s="8" t="n">
        <v>817</v>
      </c>
      <c r="B1013" s="8" t="s">
        <v>35</v>
      </c>
      <c r="C1013" s="8" t="s">
        <v>4648</v>
      </c>
      <c r="D1013" s="8" t="n">
        <v>2015</v>
      </c>
      <c r="E1013" s="8" t="s">
        <v>4649</v>
      </c>
      <c r="F1013" s="8" t="s">
        <v>151</v>
      </c>
      <c r="G1013" s="8" t="s">
        <v>4650</v>
      </c>
      <c r="H1013" s="8" t="s">
        <v>817</v>
      </c>
      <c r="I1013" s="8" t="s">
        <v>146</v>
      </c>
      <c r="J1013" s="8" t="s">
        <v>4651</v>
      </c>
      <c r="K1013" s="8" t="s">
        <v>116</v>
      </c>
      <c r="L1013" s="8" t="s">
        <v>4652</v>
      </c>
    </row>
    <row r="1014" customFormat="false" ht="34.5" hidden="false" customHeight="true" outlineLevel="0" collapsed="false">
      <c r="A1014" s="8" t="n">
        <v>818</v>
      </c>
      <c r="B1014" s="8" t="s">
        <v>35</v>
      </c>
      <c r="C1014" s="8" t="s">
        <v>4653</v>
      </c>
      <c r="D1014" s="8" t="n">
        <v>1985</v>
      </c>
      <c r="E1014" s="8" t="s">
        <v>4654</v>
      </c>
      <c r="F1014" s="8" t="s">
        <v>151</v>
      </c>
      <c r="G1014" s="8" t="s">
        <v>348</v>
      </c>
      <c r="H1014" s="8" t="s">
        <v>145</v>
      </c>
      <c r="I1014" s="8" t="s">
        <v>522</v>
      </c>
      <c r="J1014" s="8" t="s">
        <v>4655</v>
      </c>
      <c r="K1014" s="8"/>
      <c r="L1014" s="8" t="s">
        <v>4656</v>
      </c>
    </row>
    <row r="1015" customFormat="false" ht="34.5" hidden="false" customHeight="true" outlineLevel="0" collapsed="false">
      <c r="A1015" s="8" t="n">
        <v>819</v>
      </c>
      <c r="B1015" s="8" t="s">
        <v>35</v>
      </c>
      <c r="C1015" s="8" t="s">
        <v>4657</v>
      </c>
      <c r="D1015" s="8" t="n">
        <v>2007</v>
      </c>
      <c r="E1015" s="8" t="s">
        <v>4658</v>
      </c>
      <c r="F1015" s="8" t="s">
        <v>579</v>
      </c>
      <c r="G1015" s="8" t="s">
        <v>4596</v>
      </c>
      <c r="H1015" s="8" t="s">
        <v>4659</v>
      </c>
      <c r="I1015" s="8" t="s">
        <v>146</v>
      </c>
      <c r="J1015" s="8" t="s">
        <v>4660</v>
      </c>
      <c r="K1015" s="8" t="s">
        <v>116</v>
      </c>
      <c r="L1015" s="8" t="s">
        <v>4661</v>
      </c>
    </row>
    <row r="1016" customFormat="false" ht="34.5" hidden="false" customHeight="true" outlineLevel="0" collapsed="false">
      <c r="A1016" s="8" t="n">
        <v>820</v>
      </c>
      <c r="B1016" s="8" t="s">
        <v>35</v>
      </c>
      <c r="C1016" s="8" t="s">
        <v>4662</v>
      </c>
      <c r="D1016" s="8" t="n">
        <v>2015</v>
      </c>
      <c r="E1016" s="8" t="s">
        <v>4663</v>
      </c>
      <c r="F1016" s="8" t="s">
        <v>143</v>
      </c>
      <c r="G1016" s="8" t="s">
        <v>4615</v>
      </c>
      <c r="H1016" s="8" t="s">
        <v>327</v>
      </c>
      <c r="I1016" s="8" t="s">
        <v>146</v>
      </c>
      <c r="J1016" s="8" t="s">
        <v>4664</v>
      </c>
      <c r="K1016" s="8" t="s">
        <v>116</v>
      </c>
      <c r="L1016" s="8" t="s">
        <v>4665</v>
      </c>
    </row>
    <row r="1017" customFormat="false" ht="34.5" hidden="false" customHeight="true" outlineLevel="0" collapsed="false">
      <c r="A1017" s="8" t="n">
        <v>821</v>
      </c>
      <c r="B1017" s="8" t="s">
        <v>35</v>
      </c>
      <c r="C1017" s="8" t="s">
        <v>4666</v>
      </c>
      <c r="D1017" s="8" t="n">
        <v>2010</v>
      </c>
      <c r="E1017" s="8" t="s">
        <v>4667</v>
      </c>
      <c r="F1017" s="8" t="s">
        <v>579</v>
      </c>
      <c r="G1017" s="8" t="s">
        <v>4596</v>
      </c>
      <c r="H1017" s="8" t="s">
        <v>1213</v>
      </c>
      <c r="I1017" s="8" t="s">
        <v>146</v>
      </c>
      <c r="J1017" s="8" t="s">
        <v>4668</v>
      </c>
      <c r="K1017" s="8" t="s">
        <v>116</v>
      </c>
      <c r="L1017" s="8" t="s">
        <v>4669</v>
      </c>
    </row>
    <row r="1018" customFormat="false" ht="34.5" hidden="false" customHeight="true" outlineLevel="0" collapsed="false">
      <c r="A1018" s="8" t="n">
        <v>822</v>
      </c>
      <c r="B1018" s="8" t="s">
        <v>35</v>
      </c>
      <c r="C1018" s="8" t="s">
        <v>4670</v>
      </c>
      <c r="D1018" s="8" t="n">
        <v>2009</v>
      </c>
      <c r="E1018" s="8" t="s">
        <v>4671</v>
      </c>
      <c r="F1018" s="8" t="s">
        <v>143</v>
      </c>
      <c r="G1018" s="8" t="s">
        <v>4558</v>
      </c>
      <c r="H1018" s="8" t="s">
        <v>4672</v>
      </c>
      <c r="I1018" s="8" t="s">
        <v>146</v>
      </c>
      <c r="J1018" s="8" t="s">
        <v>4673</v>
      </c>
      <c r="K1018" s="8" t="s">
        <v>116</v>
      </c>
      <c r="L1018" s="8" t="s">
        <v>4674</v>
      </c>
    </row>
    <row r="1019" customFormat="false" ht="34.5" hidden="false" customHeight="true" outlineLevel="0" collapsed="false">
      <c r="A1019" s="8" t="n">
        <v>823</v>
      </c>
      <c r="B1019" s="8" t="s">
        <v>35</v>
      </c>
      <c r="C1019" s="8" t="s">
        <v>4675</v>
      </c>
      <c r="D1019" s="8" t="n">
        <v>2009</v>
      </c>
      <c r="E1019" s="8" t="s">
        <v>4676</v>
      </c>
      <c r="F1019" s="8" t="s">
        <v>151</v>
      </c>
      <c r="G1019" s="8" t="s">
        <v>4558</v>
      </c>
      <c r="H1019" s="8" t="s">
        <v>4672</v>
      </c>
      <c r="I1019" s="8" t="s">
        <v>146</v>
      </c>
      <c r="J1019" s="8" t="s">
        <v>4677</v>
      </c>
      <c r="K1019" s="8" t="s">
        <v>116</v>
      </c>
      <c r="L1019" s="8" t="s">
        <v>4678</v>
      </c>
    </row>
    <row r="1020" customFormat="false" ht="34.5" hidden="false" customHeight="true" outlineLevel="0" collapsed="false">
      <c r="A1020" s="8" t="n">
        <v>824</v>
      </c>
      <c r="B1020" s="8" t="s">
        <v>35</v>
      </c>
      <c r="C1020" s="8" t="s">
        <v>4679</v>
      </c>
      <c r="D1020" s="8" t="n">
        <v>2012</v>
      </c>
      <c r="E1020" s="8" t="s">
        <v>4680</v>
      </c>
      <c r="F1020" s="8" t="s">
        <v>151</v>
      </c>
      <c r="G1020" s="8" t="s">
        <v>4681</v>
      </c>
      <c r="H1020" s="8" t="s">
        <v>4682</v>
      </c>
      <c r="I1020" s="8" t="s">
        <v>146</v>
      </c>
      <c r="J1020" s="8" t="s">
        <v>4683</v>
      </c>
      <c r="K1020" s="8" t="s">
        <v>116</v>
      </c>
      <c r="L1020" s="8" t="s">
        <v>4684</v>
      </c>
    </row>
    <row r="1021" customFormat="false" ht="34.5" hidden="false" customHeight="true" outlineLevel="0" collapsed="false">
      <c r="A1021" s="8" t="n">
        <v>825</v>
      </c>
      <c r="B1021" s="8" t="s">
        <v>35</v>
      </c>
      <c r="C1021" s="8" t="s">
        <v>4685</v>
      </c>
      <c r="D1021" s="8" t="n">
        <v>2006</v>
      </c>
      <c r="E1021" s="8" t="s">
        <v>4686</v>
      </c>
      <c r="F1021" s="8" t="s">
        <v>151</v>
      </c>
      <c r="G1021" s="8" t="s">
        <v>4568</v>
      </c>
      <c r="H1021" s="8" t="s">
        <v>4687</v>
      </c>
      <c r="I1021" s="8" t="s">
        <v>146</v>
      </c>
      <c r="J1021" s="8" t="s">
        <v>4688</v>
      </c>
      <c r="K1021" s="8" t="s">
        <v>116</v>
      </c>
      <c r="L1021" s="8" t="s">
        <v>4689</v>
      </c>
    </row>
    <row r="1022" customFormat="false" ht="34.5" hidden="false" customHeight="true" outlineLevel="0" collapsed="false">
      <c r="A1022" s="8" t="n">
        <v>826</v>
      </c>
      <c r="B1022" s="8" t="s">
        <v>35</v>
      </c>
      <c r="C1022" s="8" t="s">
        <v>4685</v>
      </c>
      <c r="D1022" s="8" t="n">
        <v>2009</v>
      </c>
      <c r="E1022" s="8" t="s">
        <v>4690</v>
      </c>
      <c r="F1022" s="8" t="s">
        <v>151</v>
      </c>
      <c r="G1022" s="8" t="s">
        <v>152</v>
      </c>
      <c r="H1022" s="8" t="s">
        <v>678</v>
      </c>
      <c r="I1022" s="8" t="s">
        <v>146</v>
      </c>
      <c r="J1022" s="8" t="s">
        <v>4691</v>
      </c>
      <c r="K1022" s="8" t="s">
        <v>116</v>
      </c>
      <c r="L1022" s="8" t="s">
        <v>4692</v>
      </c>
    </row>
    <row r="1023" customFormat="false" ht="34.5" hidden="false" customHeight="true" outlineLevel="0" collapsed="false">
      <c r="A1023" s="8" t="n">
        <v>827</v>
      </c>
      <c r="B1023" s="8" t="s">
        <v>35</v>
      </c>
      <c r="C1023" s="8" t="s">
        <v>4685</v>
      </c>
      <c r="D1023" s="8" t="n">
        <v>2011</v>
      </c>
      <c r="E1023" s="8" t="s">
        <v>4693</v>
      </c>
      <c r="F1023" s="8" t="s">
        <v>143</v>
      </c>
      <c r="G1023" s="8" t="s">
        <v>152</v>
      </c>
      <c r="H1023" s="8" t="s">
        <v>678</v>
      </c>
      <c r="I1023" s="8" t="s">
        <v>146</v>
      </c>
      <c r="J1023" s="8" t="s">
        <v>4694</v>
      </c>
      <c r="K1023" s="8" t="s">
        <v>116</v>
      </c>
      <c r="L1023" s="8" t="s">
        <v>4695</v>
      </c>
    </row>
    <row r="1024" customFormat="false" ht="34.5" hidden="false" customHeight="true" outlineLevel="0" collapsed="false">
      <c r="A1024" s="8" t="n">
        <v>828</v>
      </c>
      <c r="B1024" s="8" t="s">
        <v>35</v>
      </c>
      <c r="C1024" s="8" t="s">
        <v>4696</v>
      </c>
      <c r="D1024" s="8" t="n">
        <v>2003</v>
      </c>
      <c r="E1024" s="8" t="s">
        <v>4697</v>
      </c>
      <c r="F1024" s="8" t="s">
        <v>143</v>
      </c>
      <c r="G1024" s="8" t="s">
        <v>152</v>
      </c>
      <c r="H1024" s="8" t="s">
        <v>678</v>
      </c>
      <c r="I1024" s="8" t="s">
        <v>146</v>
      </c>
      <c r="J1024" s="8" t="s">
        <v>4698</v>
      </c>
      <c r="K1024" s="8" t="s">
        <v>116</v>
      </c>
      <c r="L1024" s="8" t="s">
        <v>4699</v>
      </c>
    </row>
    <row r="1025" customFormat="false" ht="34.5" hidden="false" customHeight="true" outlineLevel="0" collapsed="false">
      <c r="A1025" s="8" t="n">
        <v>829</v>
      </c>
      <c r="B1025" s="8" t="s">
        <v>35</v>
      </c>
      <c r="C1025" s="8" t="s">
        <v>4700</v>
      </c>
      <c r="D1025" s="8" t="n">
        <v>2012</v>
      </c>
      <c r="E1025" s="8" t="s">
        <v>4701</v>
      </c>
      <c r="F1025" s="8" t="s">
        <v>151</v>
      </c>
      <c r="G1025" s="8" t="s">
        <v>4596</v>
      </c>
      <c r="H1025" s="8" t="s">
        <v>4672</v>
      </c>
      <c r="I1025" s="8" t="s">
        <v>146</v>
      </c>
      <c r="J1025" s="8" t="s">
        <v>4702</v>
      </c>
      <c r="K1025" s="8" t="s">
        <v>116</v>
      </c>
      <c r="L1025" s="8" t="s">
        <v>4703</v>
      </c>
    </row>
    <row r="1026" customFormat="false" ht="34.5" hidden="false" customHeight="true" outlineLevel="0" collapsed="false">
      <c r="A1026" s="8" t="n">
        <v>830</v>
      </c>
      <c r="B1026" s="8" t="s">
        <v>35</v>
      </c>
      <c r="C1026" s="8" t="s">
        <v>4704</v>
      </c>
      <c r="D1026" s="8" t="n">
        <v>2012</v>
      </c>
      <c r="E1026" s="8" t="s">
        <v>4705</v>
      </c>
      <c r="F1026" s="8" t="s">
        <v>201</v>
      </c>
      <c r="G1026" s="8" t="s">
        <v>4650</v>
      </c>
      <c r="H1026" s="8" t="s">
        <v>145</v>
      </c>
      <c r="I1026" s="8" t="s">
        <v>146</v>
      </c>
      <c r="J1026" s="8" t="s">
        <v>4706</v>
      </c>
      <c r="K1026" s="8"/>
      <c r="L1026" s="8" t="s">
        <v>4707</v>
      </c>
    </row>
    <row r="1027" customFormat="false" ht="34.5" hidden="false" customHeight="true" outlineLevel="0" collapsed="false">
      <c r="A1027" s="8" t="n">
        <v>831</v>
      </c>
      <c r="B1027" s="8" t="s">
        <v>35</v>
      </c>
      <c r="C1027" s="8" t="s">
        <v>4708</v>
      </c>
      <c r="D1027" s="8" t="n">
        <v>2007</v>
      </c>
      <c r="E1027" s="8" t="s">
        <v>4709</v>
      </c>
      <c r="F1027" s="8" t="s">
        <v>151</v>
      </c>
      <c r="G1027" s="8" t="s">
        <v>4710</v>
      </c>
      <c r="H1027" s="8" t="s">
        <v>4711</v>
      </c>
      <c r="I1027" s="8" t="s">
        <v>146</v>
      </c>
      <c r="J1027" s="8" t="s">
        <v>4712</v>
      </c>
      <c r="K1027" s="8" t="s">
        <v>116</v>
      </c>
      <c r="L1027" s="8" t="s">
        <v>4713</v>
      </c>
    </row>
    <row r="1028" customFormat="false" ht="34.5" hidden="false" customHeight="true" outlineLevel="0" collapsed="false">
      <c r="A1028" s="8" t="n">
        <v>832</v>
      </c>
      <c r="B1028" s="8" t="s">
        <v>35</v>
      </c>
      <c r="C1028" s="8" t="s">
        <v>4714</v>
      </c>
      <c r="D1028" s="8" t="n">
        <v>2013</v>
      </c>
      <c r="E1028" s="8" t="s">
        <v>4715</v>
      </c>
      <c r="F1028" s="8" t="s">
        <v>579</v>
      </c>
      <c r="G1028" s="8" t="s">
        <v>4716</v>
      </c>
      <c r="H1028" s="8" t="s">
        <v>4717</v>
      </c>
      <c r="I1028" s="8" t="s">
        <v>146</v>
      </c>
      <c r="J1028" s="8" t="s">
        <v>4718</v>
      </c>
      <c r="K1028" s="8" t="s">
        <v>116</v>
      </c>
      <c r="L1028" s="8" t="s">
        <v>4719</v>
      </c>
    </row>
    <row r="1029" customFormat="false" ht="34.5" hidden="false" customHeight="true" outlineLevel="0" collapsed="false">
      <c r="A1029" s="8" t="n">
        <v>833</v>
      </c>
      <c r="B1029" s="8" t="s">
        <v>35</v>
      </c>
      <c r="C1029" s="8" t="s">
        <v>4720</v>
      </c>
      <c r="D1029" s="8" t="n">
        <v>2014</v>
      </c>
      <c r="E1029" s="8" t="s">
        <v>4721</v>
      </c>
      <c r="F1029" s="8" t="s">
        <v>201</v>
      </c>
      <c r="G1029" s="8" t="s">
        <v>1619</v>
      </c>
      <c r="H1029" s="8" t="s">
        <v>678</v>
      </c>
      <c r="I1029" s="8" t="s">
        <v>146</v>
      </c>
      <c r="J1029" s="8" t="s">
        <v>4722</v>
      </c>
      <c r="K1029" s="8" t="s">
        <v>114</v>
      </c>
      <c r="L1029" s="8" t="s">
        <v>4723</v>
      </c>
    </row>
    <row r="1030" customFormat="false" ht="34.5" hidden="false" customHeight="true" outlineLevel="0" collapsed="false">
      <c r="A1030" s="8" t="n">
        <v>834</v>
      </c>
      <c r="B1030" s="8" t="s">
        <v>35</v>
      </c>
      <c r="C1030" s="8" t="s">
        <v>4724</v>
      </c>
      <c r="D1030" s="8" t="n">
        <v>2015</v>
      </c>
      <c r="E1030" s="8" t="s">
        <v>4725</v>
      </c>
      <c r="F1030" s="8" t="s">
        <v>151</v>
      </c>
      <c r="G1030" s="8" t="s">
        <v>1619</v>
      </c>
      <c r="H1030" s="8" t="s">
        <v>678</v>
      </c>
      <c r="I1030" s="8" t="s">
        <v>146</v>
      </c>
      <c r="J1030" s="8" t="s">
        <v>4726</v>
      </c>
      <c r="K1030" s="8" t="s">
        <v>114</v>
      </c>
      <c r="L1030" s="8" t="s">
        <v>4727</v>
      </c>
    </row>
    <row r="1031" customFormat="false" ht="34.5" hidden="false" customHeight="true" outlineLevel="0" collapsed="false">
      <c r="A1031" s="8" t="n">
        <v>835</v>
      </c>
      <c r="B1031" s="8" t="s">
        <v>35</v>
      </c>
      <c r="C1031" s="8" t="s">
        <v>4728</v>
      </c>
      <c r="D1031" s="8" t="n">
        <v>2014</v>
      </c>
      <c r="E1031" s="8" t="s">
        <v>4729</v>
      </c>
      <c r="F1031" s="8" t="s">
        <v>151</v>
      </c>
      <c r="G1031" s="8" t="s">
        <v>677</v>
      </c>
      <c r="H1031" s="8" t="s">
        <v>4730</v>
      </c>
      <c r="I1031" s="8" t="s">
        <v>146</v>
      </c>
      <c r="J1031" s="8" t="s">
        <v>4731</v>
      </c>
      <c r="K1031" s="8" t="s">
        <v>116</v>
      </c>
      <c r="L1031" s="8" t="s">
        <v>4732</v>
      </c>
    </row>
    <row r="1032" customFormat="false" ht="34.5" hidden="false" customHeight="true" outlineLevel="0" collapsed="false">
      <c r="A1032" s="8" t="n">
        <v>836</v>
      </c>
      <c r="B1032" s="8" t="s">
        <v>35</v>
      </c>
      <c r="C1032" s="8" t="s">
        <v>4733</v>
      </c>
      <c r="D1032" s="8" t="n">
        <v>2014</v>
      </c>
      <c r="E1032" s="8" t="s">
        <v>4734</v>
      </c>
      <c r="F1032" s="8" t="s">
        <v>151</v>
      </c>
      <c r="G1032" s="8" t="s">
        <v>152</v>
      </c>
      <c r="H1032" s="8" t="s">
        <v>4735</v>
      </c>
      <c r="I1032" s="8" t="s">
        <v>146</v>
      </c>
      <c r="J1032" s="8" t="s">
        <v>4736</v>
      </c>
      <c r="K1032" s="8"/>
      <c r="L1032" s="8" t="s">
        <v>4737</v>
      </c>
    </row>
    <row r="1033" customFormat="false" ht="34.5" hidden="false" customHeight="true" outlineLevel="0" collapsed="false">
      <c r="A1033" s="8" t="n">
        <v>837</v>
      </c>
      <c r="B1033" s="8" t="s">
        <v>35</v>
      </c>
      <c r="C1033" s="8" t="s">
        <v>4738</v>
      </c>
      <c r="D1033" s="8" t="n">
        <v>2007</v>
      </c>
      <c r="E1033" s="8" t="s">
        <v>4739</v>
      </c>
      <c r="F1033" s="8" t="s">
        <v>151</v>
      </c>
      <c r="G1033" s="8" t="s">
        <v>4740</v>
      </c>
      <c r="H1033" s="8" t="s">
        <v>817</v>
      </c>
      <c r="I1033" s="8" t="s">
        <v>146</v>
      </c>
      <c r="J1033" s="8" t="s">
        <v>4741</v>
      </c>
      <c r="K1033" s="8" t="s">
        <v>116</v>
      </c>
      <c r="L1033" s="8" t="s">
        <v>4742</v>
      </c>
    </row>
    <row r="1034" customFormat="false" ht="34.5" hidden="false" customHeight="true" outlineLevel="0" collapsed="false">
      <c r="A1034" s="8" t="n">
        <v>838</v>
      </c>
      <c r="B1034" s="8" t="s">
        <v>35</v>
      </c>
      <c r="C1034" s="8" t="s">
        <v>4743</v>
      </c>
      <c r="D1034" s="8" t="n">
        <v>2013</v>
      </c>
      <c r="E1034" s="8" t="s">
        <v>4744</v>
      </c>
      <c r="F1034" s="8" t="s">
        <v>151</v>
      </c>
      <c r="G1034" s="8" t="s">
        <v>677</v>
      </c>
      <c r="H1034" s="8" t="s">
        <v>1904</v>
      </c>
      <c r="I1034" s="8" t="s">
        <v>146</v>
      </c>
      <c r="J1034" s="8" t="s">
        <v>4745</v>
      </c>
      <c r="K1034" s="8" t="s">
        <v>116</v>
      </c>
      <c r="L1034" s="8" t="s">
        <v>4746</v>
      </c>
    </row>
    <row r="1035" customFormat="false" ht="34.5" hidden="false" customHeight="true" outlineLevel="0" collapsed="false">
      <c r="A1035" s="8" t="n">
        <v>839</v>
      </c>
      <c r="B1035" s="8" t="s">
        <v>35</v>
      </c>
      <c r="C1035" s="8" t="s">
        <v>4747</v>
      </c>
      <c r="D1035" s="8" t="n">
        <v>2013</v>
      </c>
      <c r="E1035" s="8" t="s">
        <v>4748</v>
      </c>
      <c r="F1035" s="8" t="s">
        <v>151</v>
      </c>
      <c r="G1035" s="8" t="s">
        <v>4749</v>
      </c>
      <c r="H1035" s="8" t="s">
        <v>4750</v>
      </c>
      <c r="I1035" s="8" t="s">
        <v>146</v>
      </c>
      <c r="J1035" s="8" t="s">
        <v>4751</v>
      </c>
      <c r="K1035" s="8" t="s">
        <v>116</v>
      </c>
      <c r="L1035" s="8" t="s">
        <v>4752</v>
      </c>
    </row>
    <row r="1036" customFormat="false" ht="34.5" hidden="false" customHeight="true" outlineLevel="0" collapsed="false">
      <c r="A1036" s="8" t="n">
        <v>840</v>
      </c>
      <c r="B1036" s="8" t="s">
        <v>35</v>
      </c>
      <c r="C1036" s="8" t="s">
        <v>4753</v>
      </c>
      <c r="D1036" s="8" t="n">
        <v>2014</v>
      </c>
      <c r="E1036" s="8" t="s">
        <v>4754</v>
      </c>
      <c r="F1036" s="8" t="s">
        <v>151</v>
      </c>
      <c r="G1036" s="8" t="s">
        <v>1678</v>
      </c>
      <c r="H1036" s="8" t="s">
        <v>1213</v>
      </c>
      <c r="I1036" s="8" t="s">
        <v>146</v>
      </c>
      <c r="J1036" s="8" t="s">
        <v>4755</v>
      </c>
      <c r="K1036" s="8" t="s">
        <v>116</v>
      </c>
      <c r="L1036" s="8" t="s">
        <v>4756</v>
      </c>
    </row>
    <row r="1037" customFormat="false" ht="34.5" hidden="false" customHeight="true" outlineLevel="0" collapsed="false">
      <c r="A1037" s="8" t="n">
        <v>841</v>
      </c>
      <c r="B1037" s="8" t="s">
        <v>35</v>
      </c>
      <c r="C1037" s="8" t="s">
        <v>4757</v>
      </c>
      <c r="D1037" s="8" t="n">
        <v>2010</v>
      </c>
      <c r="E1037" s="8" t="s">
        <v>4758</v>
      </c>
      <c r="F1037" s="8" t="s">
        <v>151</v>
      </c>
      <c r="G1037" s="8" t="s">
        <v>152</v>
      </c>
      <c r="H1037" s="8" t="s">
        <v>4759</v>
      </c>
      <c r="I1037" s="8" t="s">
        <v>146</v>
      </c>
      <c r="J1037" s="8" t="s">
        <v>4760</v>
      </c>
      <c r="K1037" s="8"/>
      <c r="L1037" s="8" t="s">
        <v>4761</v>
      </c>
    </row>
    <row r="1038" customFormat="false" ht="34.5" hidden="false" customHeight="true" outlineLevel="0" collapsed="false">
      <c r="A1038" s="8" t="n">
        <v>842</v>
      </c>
      <c r="B1038" s="8" t="s">
        <v>35</v>
      </c>
      <c r="C1038" s="8" t="s">
        <v>4762</v>
      </c>
      <c r="D1038" s="8" t="n">
        <v>2005</v>
      </c>
      <c r="E1038" s="8" t="s">
        <v>4763</v>
      </c>
      <c r="F1038" s="8" t="s">
        <v>4764</v>
      </c>
      <c r="G1038" s="8" t="s">
        <v>213</v>
      </c>
      <c r="H1038" s="8" t="s">
        <v>4765</v>
      </c>
      <c r="I1038" s="8" t="s">
        <v>146</v>
      </c>
      <c r="J1038" s="8" t="s">
        <v>4766</v>
      </c>
      <c r="K1038" s="8"/>
      <c r="L1038" s="8" t="s">
        <v>4767</v>
      </c>
    </row>
    <row r="1039" customFormat="false" ht="34.5" hidden="false" customHeight="true" outlineLevel="0" collapsed="false">
      <c r="A1039" s="8" t="n">
        <v>843</v>
      </c>
      <c r="B1039" s="8" t="s">
        <v>35</v>
      </c>
      <c r="C1039" s="8" t="s">
        <v>4768</v>
      </c>
      <c r="D1039" s="8" t="n">
        <v>2009</v>
      </c>
      <c r="E1039" s="8" t="s">
        <v>4769</v>
      </c>
      <c r="F1039" s="8" t="s">
        <v>151</v>
      </c>
      <c r="G1039" s="8" t="s">
        <v>1619</v>
      </c>
      <c r="H1039" s="8" t="s">
        <v>817</v>
      </c>
      <c r="I1039" s="8" t="s">
        <v>146</v>
      </c>
      <c r="J1039" s="8" t="s">
        <v>4770</v>
      </c>
      <c r="K1039" s="8" t="s">
        <v>116</v>
      </c>
      <c r="L1039" s="8" t="s">
        <v>4771</v>
      </c>
    </row>
    <row r="1040" customFormat="false" ht="34.5" hidden="false" customHeight="true" outlineLevel="0" collapsed="false">
      <c r="A1040" s="8" t="n">
        <v>844</v>
      </c>
      <c r="B1040" s="8" t="s">
        <v>35</v>
      </c>
      <c r="C1040" s="8" t="s">
        <v>4772</v>
      </c>
      <c r="D1040" s="8" t="n">
        <v>2014</v>
      </c>
      <c r="E1040" s="8" t="s">
        <v>4773</v>
      </c>
      <c r="F1040" s="8" t="s">
        <v>143</v>
      </c>
      <c r="G1040" s="8" t="s">
        <v>4615</v>
      </c>
      <c r="H1040" s="8" t="s">
        <v>327</v>
      </c>
      <c r="I1040" s="8" t="s">
        <v>146</v>
      </c>
      <c r="J1040" s="8" t="s">
        <v>4774</v>
      </c>
      <c r="K1040" s="8" t="s">
        <v>116</v>
      </c>
      <c r="L1040" s="8" t="s">
        <v>4775</v>
      </c>
    </row>
    <row r="1041" customFormat="false" ht="34.5" hidden="false" customHeight="true" outlineLevel="0" collapsed="false">
      <c r="A1041" s="8" t="n">
        <v>845</v>
      </c>
      <c r="B1041" s="8" t="s">
        <v>35</v>
      </c>
      <c r="C1041" s="8" t="s">
        <v>4776</v>
      </c>
      <c r="D1041" s="8" t="n">
        <v>2010</v>
      </c>
      <c r="E1041" s="8" t="s">
        <v>4777</v>
      </c>
      <c r="F1041" s="8" t="s">
        <v>143</v>
      </c>
      <c r="G1041" s="8" t="s">
        <v>4563</v>
      </c>
      <c r="H1041" s="8" t="s">
        <v>145</v>
      </c>
      <c r="I1041" s="8" t="s">
        <v>146</v>
      </c>
      <c r="J1041" s="8" t="s">
        <v>4778</v>
      </c>
      <c r="K1041" s="8"/>
      <c r="L1041" s="8" t="s">
        <v>4779</v>
      </c>
    </row>
    <row r="1042" customFormat="false" ht="45.75" hidden="false" customHeight="true" outlineLevel="0" collapsed="false">
      <c r="A1042" s="8" t="n">
        <v>846</v>
      </c>
      <c r="B1042" s="8" t="s">
        <v>35</v>
      </c>
      <c r="C1042" s="8" t="s">
        <v>4780</v>
      </c>
      <c r="D1042" s="8" t="n">
        <v>2012</v>
      </c>
      <c r="E1042" s="8" t="s">
        <v>4781</v>
      </c>
      <c r="F1042" s="8" t="s">
        <v>151</v>
      </c>
      <c r="G1042" s="8" t="s">
        <v>677</v>
      </c>
      <c r="H1042" s="8" t="s">
        <v>244</v>
      </c>
      <c r="I1042" s="8" t="s">
        <v>146</v>
      </c>
      <c r="J1042" s="8" t="s">
        <v>4782</v>
      </c>
      <c r="K1042" s="8" t="s">
        <v>116</v>
      </c>
      <c r="L1042" s="8" t="s">
        <v>4783</v>
      </c>
    </row>
    <row r="1043" customFormat="false" ht="34.5" hidden="false" customHeight="true" outlineLevel="0" collapsed="false">
      <c r="A1043" s="8" t="n">
        <v>847</v>
      </c>
      <c r="B1043" s="8" t="s">
        <v>35</v>
      </c>
      <c r="C1043" s="8" t="s">
        <v>4784</v>
      </c>
      <c r="D1043" s="8" t="n">
        <v>2014</v>
      </c>
      <c r="E1043" s="8" t="s">
        <v>4785</v>
      </c>
      <c r="F1043" s="8" t="s">
        <v>143</v>
      </c>
      <c r="G1043" s="8" t="s">
        <v>3552</v>
      </c>
      <c r="H1043" s="8" t="s">
        <v>145</v>
      </c>
      <c r="I1043" s="8" t="s">
        <v>146</v>
      </c>
      <c r="J1043" s="8" t="s">
        <v>4786</v>
      </c>
      <c r="K1043" s="8"/>
      <c r="L1043" s="8" t="s">
        <v>4787</v>
      </c>
    </row>
    <row r="1044" customFormat="false" ht="34.5" hidden="false" customHeight="true" outlineLevel="0" collapsed="false">
      <c r="A1044" s="8" t="n">
        <v>848</v>
      </c>
      <c r="B1044" s="8" t="s">
        <v>35</v>
      </c>
      <c r="C1044" s="8" t="s">
        <v>4788</v>
      </c>
      <c r="D1044" s="8" t="n">
        <v>1986</v>
      </c>
      <c r="E1044" s="8" t="s">
        <v>4789</v>
      </c>
      <c r="F1044" s="8" t="s">
        <v>4790</v>
      </c>
      <c r="G1044" s="8" t="s">
        <v>213</v>
      </c>
      <c r="H1044" s="8" t="s">
        <v>1213</v>
      </c>
      <c r="I1044" s="8" t="s">
        <v>146</v>
      </c>
      <c r="J1044" s="8" t="s">
        <v>4791</v>
      </c>
      <c r="K1044" s="8"/>
      <c r="L1044" s="8" t="s">
        <v>4792</v>
      </c>
    </row>
    <row r="1045" customFormat="false" ht="23.25" hidden="false" customHeight="true" outlineLevel="0" collapsed="false">
      <c r="A1045" s="8" t="n">
        <v>849</v>
      </c>
      <c r="B1045" s="8" t="s">
        <v>35</v>
      </c>
      <c r="C1045" s="8" t="s">
        <v>4793</v>
      </c>
      <c r="D1045" s="8" t="n">
        <v>2013</v>
      </c>
      <c r="E1045" s="8" t="s">
        <v>4794</v>
      </c>
      <c r="F1045" s="8" t="s">
        <v>4795</v>
      </c>
      <c r="G1045" s="8" t="s">
        <v>348</v>
      </c>
      <c r="H1045" s="8" t="s">
        <v>145</v>
      </c>
      <c r="I1045" s="8" t="s">
        <v>522</v>
      </c>
      <c r="J1045" s="8" t="s">
        <v>4796</v>
      </c>
      <c r="K1045" s="8"/>
      <c r="L1045" s="8" t="s">
        <v>4797</v>
      </c>
    </row>
    <row r="1046" customFormat="false" ht="34.5" hidden="false" customHeight="true" outlineLevel="0" collapsed="false">
      <c r="A1046" s="8" t="n">
        <v>850</v>
      </c>
      <c r="B1046" s="8" t="s">
        <v>35</v>
      </c>
      <c r="C1046" s="8" t="s">
        <v>4798</v>
      </c>
      <c r="D1046" s="8" t="n">
        <v>2008</v>
      </c>
      <c r="E1046" s="8" t="s">
        <v>4799</v>
      </c>
      <c r="F1046" s="8" t="s">
        <v>151</v>
      </c>
      <c r="G1046" s="8" t="s">
        <v>4710</v>
      </c>
      <c r="H1046" s="8" t="s">
        <v>4711</v>
      </c>
      <c r="I1046" s="8" t="s">
        <v>146</v>
      </c>
      <c r="J1046" s="8" t="s">
        <v>4800</v>
      </c>
      <c r="K1046" s="8" t="s">
        <v>116</v>
      </c>
      <c r="L1046" s="8" t="s">
        <v>4801</v>
      </c>
    </row>
    <row r="1047" customFormat="false" ht="34.5" hidden="false" customHeight="true" outlineLevel="0" collapsed="false">
      <c r="A1047" s="8" t="n">
        <v>851</v>
      </c>
      <c r="B1047" s="8" t="s">
        <v>35</v>
      </c>
      <c r="C1047" s="8" t="s">
        <v>4802</v>
      </c>
      <c r="D1047" s="8" t="n">
        <v>2002</v>
      </c>
      <c r="E1047" s="8" t="s">
        <v>4803</v>
      </c>
      <c r="F1047" s="8" t="s">
        <v>201</v>
      </c>
      <c r="G1047" s="8" t="s">
        <v>3552</v>
      </c>
      <c r="H1047" s="8" t="s">
        <v>4804</v>
      </c>
      <c r="I1047" s="8" t="s">
        <v>146</v>
      </c>
      <c r="J1047" s="8" t="s">
        <v>4805</v>
      </c>
      <c r="K1047" s="8"/>
      <c r="L1047" s="8" t="s">
        <v>4806</v>
      </c>
    </row>
    <row r="1048" customFormat="false" ht="34.5" hidden="false" customHeight="true" outlineLevel="0" collapsed="false">
      <c r="A1048" s="8" t="n">
        <v>852</v>
      </c>
      <c r="B1048" s="8" t="s">
        <v>35</v>
      </c>
      <c r="C1048" s="8" t="s">
        <v>4807</v>
      </c>
      <c r="D1048" s="8" t="n">
        <v>2010</v>
      </c>
      <c r="E1048" s="8" t="s">
        <v>4808</v>
      </c>
      <c r="F1048" s="8" t="s">
        <v>579</v>
      </c>
      <c r="G1048" s="8" t="s">
        <v>4596</v>
      </c>
      <c r="H1048" s="8" t="s">
        <v>4809</v>
      </c>
      <c r="I1048" s="8" t="s">
        <v>146</v>
      </c>
      <c r="J1048" s="8" t="s">
        <v>4810</v>
      </c>
      <c r="K1048" s="8" t="s">
        <v>116</v>
      </c>
      <c r="L1048" s="8" t="s">
        <v>4811</v>
      </c>
    </row>
    <row r="1049" customFormat="false" ht="34.5" hidden="false" customHeight="true" outlineLevel="0" collapsed="false">
      <c r="A1049" s="8" t="n">
        <v>853</v>
      </c>
      <c r="B1049" s="8" t="s">
        <v>35</v>
      </c>
      <c r="C1049" s="8" t="s">
        <v>4812</v>
      </c>
      <c r="D1049" s="8" t="n">
        <v>2013</v>
      </c>
      <c r="E1049" s="8" t="s">
        <v>4813</v>
      </c>
      <c r="F1049" s="8" t="s">
        <v>151</v>
      </c>
      <c r="G1049" s="8" t="s">
        <v>152</v>
      </c>
      <c r="H1049" s="8" t="s">
        <v>678</v>
      </c>
      <c r="I1049" s="8" t="s">
        <v>146</v>
      </c>
      <c r="J1049" s="8" t="s">
        <v>4814</v>
      </c>
      <c r="K1049" s="8" t="s">
        <v>116</v>
      </c>
      <c r="L1049" s="8" t="s">
        <v>4815</v>
      </c>
    </row>
    <row r="1050" customFormat="false" ht="34.5" hidden="false" customHeight="true" outlineLevel="0" collapsed="false">
      <c r="A1050" s="8" t="n">
        <v>854</v>
      </c>
      <c r="B1050" s="8" t="s">
        <v>35</v>
      </c>
      <c r="C1050" s="8" t="s">
        <v>4816</v>
      </c>
      <c r="D1050" s="8" t="n">
        <v>1999</v>
      </c>
      <c r="E1050" s="8" t="s">
        <v>4817</v>
      </c>
      <c r="F1050" s="8" t="s">
        <v>4790</v>
      </c>
      <c r="G1050" s="8" t="s">
        <v>213</v>
      </c>
      <c r="H1050" s="8" t="s">
        <v>145</v>
      </c>
      <c r="I1050" s="8" t="s">
        <v>146</v>
      </c>
      <c r="J1050" s="8" t="s">
        <v>4818</v>
      </c>
      <c r="K1050" s="8"/>
      <c r="L1050" s="8" t="s">
        <v>4819</v>
      </c>
    </row>
    <row r="1051" customFormat="false" ht="34.5" hidden="false" customHeight="true" outlineLevel="0" collapsed="false">
      <c r="A1051" s="8" t="n">
        <v>855</v>
      </c>
      <c r="B1051" s="8" t="s">
        <v>35</v>
      </c>
      <c r="C1051" s="8" t="s">
        <v>4820</v>
      </c>
      <c r="D1051" s="8" t="n">
        <v>2009</v>
      </c>
      <c r="E1051" s="8" t="s">
        <v>4821</v>
      </c>
      <c r="F1051" s="8" t="s">
        <v>143</v>
      </c>
      <c r="G1051" s="8" t="s">
        <v>3552</v>
      </c>
      <c r="H1051" s="8" t="s">
        <v>678</v>
      </c>
      <c r="I1051" s="8" t="s">
        <v>146</v>
      </c>
      <c r="J1051" s="8" t="s">
        <v>4660</v>
      </c>
      <c r="K1051" s="8" t="s">
        <v>116</v>
      </c>
      <c r="L1051" s="8" t="s">
        <v>4822</v>
      </c>
    </row>
    <row r="1052" customFormat="false" ht="34.5" hidden="false" customHeight="true" outlineLevel="0" collapsed="false">
      <c r="A1052" s="8" t="n">
        <v>856</v>
      </c>
      <c r="B1052" s="8" t="s">
        <v>35</v>
      </c>
      <c r="C1052" s="8" t="s">
        <v>4823</v>
      </c>
      <c r="D1052" s="8" t="n">
        <v>2012</v>
      </c>
      <c r="E1052" s="8" t="s">
        <v>4824</v>
      </c>
      <c r="F1052" s="8" t="s">
        <v>151</v>
      </c>
      <c r="G1052" s="8" t="s">
        <v>152</v>
      </c>
      <c r="H1052" s="8" t="s">
        <v>678</v>
      </c>
      <c r="I1052" s="8" t="s">
        <v>146</v>
      </c>
      <c r="J1052" s="8" t="s">
        <v>4825</v>
      </c>
      <c r="K1052" s="8"/>
      <c r="L1052" s="8" t="s">
        <v>4826</v>
      </c>
    </row>
    <row r="1053" customFormat="false" ht="34.5" hidden="false" customHeight="true" outlineLevel="0" collapsed="false">
      <c r="A1053" s="8" t="n">
        <v>857</v>
      </c>
      <c r="B1053" s="8" t="s">
        <v>35</v>
      </c>
      <c r="C1053" s="8" t="s">
        <v>4827</v>
      </c>
      <c r="D1053" s="8" t="n">
        <v>2015</v>
      </c>
      <c r="E1053" s="8" t="s">
        <v>4828</v>
      </c>
      <c r="F1053" s="8" t="s">
        <v>143</v>
      </c>
      <c r="G1053" s="8" t="s">
        <v>832</v>
      </c>
      <c r="H1053" s="8" t="s">
        <v>4829</v>
      </c>
      <c r="I1053" s="8" t="s">
        <v>146</v>
      </c>
      <c r="J1053" s="8" t="s">
        <v>4830</v>
      </c>
      <c r="K1053" s="8" t="s">
        <v>116</v>
      </c>
      <c r="L1053" s="8" t="s">
        <v>4831</v>
      </c>
    </row>
    <row r="1054" customFormat="false" ht="34.5" hidden="false" customHeight="true" outlineLevel="0" collapsed="false">
      <c r="A1054" s="8" t="n">
        <v>858</v>
      </c>
      <c r="B1054" s="8" t="s">
        <v>35</v>
      </c>
      <c r="C1054" s="8" t="s">
        <v>4832</v>
      </c>
      <c r="D1054" s="8" t="n">
        <v>2010</v>
      </c>
      <c r="E1054" s="8" t="s">
        <v>4833</v>
      </c>
      <c r="F1054" s="8" t="s">
        <v>201</v>
      </c>
      <c r="G1054" s="8" t="s">
        <v>4834</v>
      </c>
      <c r="H1054" s="8" t="s">
        <v>382</v>
      </c>
      <c r="I1054" s="8" t="s">
        <v>146</v>
      </c>
      <c r="J1054" s="8" t="s">
        <v>4835</v>
      </c>
      <c r="K1054" s="8" t="s">
        <v>116</v>
      </c>
      <c r="L1054" s="8" t="s">
        <v>4836</v>
      </c>
    </row>
    <row r="1055" customFormat="false" ht="34.5" hidden="false" customHeight="true" outlineLevel="0" collapsed="false">
      <c r="A1055" s="8" t="n">
        <v>859</v>
      </c>
      <c r="B1055" s="8" t="s">
        <v>35</v>
      </c>
      <c r="C1055" s="8" t="s">
        <v>4837</v>
      </c>
      <c r="D1055" s="8" t="n">
        <v>2004</v>
      </c>
      <c r="E1055" s="8" t="s">
        <v>4838</v>
      </c>
      <c r="F1055" s="8" t="s">
        <v>143</v>
      </c>
      <c r="G1055" s="8" t="s">
        <v>364</v>
      </c>
      <c r="H1055" s="8" t="s">
        <v>4310</v>
      </c>
      <c r="I1055" s="8" t="s">
        <v>146</v>
      </c>
      <c r="J1055" s="8" t="s">
        <v>4839</v>
      </c>
      <c r="K1055" s="8" t="s">
        <v>116</v>
      </c>
      <c r="L1055" s="8" t="s">
        <v>4840</v>
      </c>
    </row>
    <row r="1056" customFormat="false" ht="34.5" hidden="false" customHeight="true" outlineLevel="0" collapsed="false">
      <c r="A1056" s="8" t="n">
        <v>860</v>
      </c>
      <c r="B1056" s="8" t="s">
        <v>35</v>
      </c>
      <c r="C1056" s="8" t="s">
        <v>4841</v>
      </c>
      <c r="D1056" s="8" t="n">
        <v>1991</v>
      </c>
      <c r="E1056" s="8" t="s">
        <v>4842</v>
      </c>
      <c r="F1056" s="8" t="s">
        <v>201</v>
      </c>
      <c r="G1056" s="8" t="s">
        <v>152</v>
      </c>
      <c r="H1056" s="8" t="s">
        <v>678</v>
      </c>
      <c r="I1056" s="8" t="s">
        <v>146</v>
      </c>
      <c r="J1056" s="8" t="s">
        <v>4843</v>
      </c>
      <c r="K1056" s="8"/>
      <c r="L1056" s="8" t="s">
        <v>4844</v>
      </c>
    </row>
    <row r="1057" customFormat="false" ht="34.5" hidden="false" customHeight="true" outlineLevel="0" collapsed="false">
      <c r="A1057" s="8" t="n">
        <v>861</v>
      </c>
      <c r="B1057" s="8" t="s">
        <v>35</v>
      </c>
      <c r="C1057" s="8" t="s">
        <v>4845</v>
      </c>
      <c r="D1057" s="8" t="n">
        <v>2011</v>
      </c>
      <c r="E1057" s="8" t="s">
        <v>4846</v>
      </c>
      <c r="F1057" s="8" t="s">
        <v>143</v>
      </c>
      <c r="G1057" s="8" t="s">
        <v>152</v>
      </c>
      <c r="H1057" s="8" t="s">
        <v>4847</v>
      </c>
      <c r="I1057" s="8" t="s">
        <v>146</v>
      </c>
      <c r="J1057" s="8" t="s">
        <v>4848</v>
      </c>
      <c r="K1057" s="8" t="s">
        <v>116</v>
      </c>
      <c r="L1057" s="8" t="s">
        <v>4849</v>
      </c>
    </row>
    <row r="1058" customFormat="false" ht="34.5" hidden="false" customHeight="true" outlineLevel="0" collapsed="false">
      <c r="A1058" s="8" t="n">
        <v>862</v>
      </c>
      <c r="B1058" s="8" t="s">
        <v>35</v>
      </c>
      <c r="C1058" s="8" t="s">
        <v>4850</v>
      </c>
      <c r="D1058" s="8" t="n">
        <v>2014</v>
      </c>
      <c r="E1058" s="8" t="s">
        <v>4851</v>
      </c>
      <c r="F1058" s="8" t="s">
        <v>151</v>
      </c>
      <c r="G1058" s="8" t="s">
        <v>4852</v>
      </c>
      <c r="H1058" s="8" t="s">
        <v>4573</v>
      </c>
      <c r="I1058" s="8" t="s">
        <v>146</v>
      </c>
      <c r="J1058" s="8" t="s">
        <v>4853</v>
      </c>
      <c r="K1058" s="8" t="s">
        <v>116</v>
      </c>
      <c r="L1058" s="8" t="s">
        <v>4854</v>
      </c>
    </row>
    <row r="1059" customFormat="false" ht="34.5" hidden="false" customHeight="true" outlineLevel="0" collapsed="false">
      <c r="A1059" s="8" t="n">
        <v>863</v>
      </c>
      <c r="B1059" s="8" t="s">
        <v>35</v>
      </c>
      <c r="C1059" s="8" t="s">
        <v>4855</v>
      </c>
      <c r="D1059" s="8" t="n">
        <v>2006</v>
      </c>
      <c r="E1059" s="8" t="s">
        <v>4856</v>
      </c>
      <c r="F1059" s="8" t="s">
        <v>151</v>
      </c>
      <c r="G1059" s="8" t="s">
        <v>4596</v>
      </c>
      <c r="H1059" s="8" t="s">
        <v>817</v>
      </c>
      <c r="I1059" s="8" t="s">
        <v>146</v>
      </c>
      <c r="J1059" s="8" t="s">
        <v>4857</v>
      </c>
      <c r="K1059" s="8" t="s">
        <v>116</v>
      </c>
      <c r="L1059" s="8" t="s">
        <v>4858</v>
      </c>
    </row>
    <row r="1060" customFormat="false" ht="34.5" hidden="false" customHeight="true" outlineLevel="0" collapsed="false">
      <c r="A1060" s="8" t="n">
        <v>864</v>
      </c>
      <c r="B1060" s="8" t="s">
        <v>35</v>
      </c>
      <c r="C1060" s="8" t="s">
        <v>4859</v>
      </c>
      <c r="D1060" s="8" t="n">
        <v>2010</v>
      </c>
      <c r="E1060" s="8" t="s">
        <v>4860</v>
      </c>
      <c r="F1060" s="8" t="s">
        <v>151</v>
      </c>
      <c r="G1060" s="8" t="s">
        <v>832</v>
      </c>
      <c r="H1060" s="8" t="s">
        <v>817</v>
      </c>
      <c r="I1060" s="8" t="s">
        <v>146</v>
      </c>
      <c r="J1060" s="8" t="s">
        <v>4861</v>
      </c>
      <c r="K1060" s="8" t="s">
        <v>116</v>
      </c>
      <c r="L1060" s="8" t="s">
        <v>4862</v>
      </c>
    </row>
    <row r="1061" customFormat="false" ht="34.5" hidden="false" customHeight="true" outlineLevel="0" collapsed="false">
      <c r="A1061" s="8" t="n">
        <v>865</v>
      </c>
      <c r="B1061" s="8" t="s">
        <v>35</v>
      </c>
      <c r="C1061" s="8" t="s">
        <v>4863</v>
      </c>
      <c r="D1061" s="8" t="n">
        <v>2010</v>
      </c>
      <c r="E1061" s="8" t="s">
        <v>4864</v>
      </c>
      <c r="F1061" s="8" t="s">
        <v>4795</v>
      </c>
      <c r="G1061" s="8" t="s">
        <v>348</v>
      </c>
      <c r="H1061" s="8" t="s">
        <v>145</v>
      </c>
      <c r="I1061" s="8" t="s">
        <v>522</v>
      </c>
      <c r="J1061" s="8" t="s">
        <v>4865</v>
      </c>
      <c r="K1061" s="8"/>
      <c r="L1061" s="8" t="s">
        <v>4866</v>
      </c>
    </row>
    <row r="1062" customFormat="false" ht="34.5" hidden="false" customHeight="true" outlineLevel="0" collapsed="false">
      <c r="A1062" s="8" t="n">
        <v>866</v>
      </c>
      <c r="B1062" s="8" t="s">
        <v>35</v>
      </c>
      <c r="C1062" s="8" t="s">
        <v>4867</v>
      </c>
      <c r="D1062" s="8" t="n">
        <v>2014</v>
      </c>
      <c r="E1062" s="8" t="s">
        <v>4868</v>
      </c>
      <c r="F1062" s="8" t="s">
        <v>151</v>
      </c>
      <c r="G1062" s="8" t="s">
        <v>4596</v>
      </c>
      <c r="H1062" s="8" t="s">
        <v>4869</v>
      </c>
      <c r="I1062" s="8" t="s">
        <v>146</v>
      </c>
      <c r="J1062" s="8" t="s">
        <v>4870</v>
      </c>
      <c r="K1062" s="8"/>
      <c r="L1062" s="8" t="s">
        <v>4871</v>
      </c>
    </row>
    <row r="1063" customFormat="false" ht="34.5" hidden="false" customHeight="true" outlineLevel="0" collapsed="false">
      <c r="A1063" s="8" t="n">
        <v>867</v>
      </c>
      <c r="B1063" s="8" t="s">
        <v>35</v>
      </c>
      <c r="C1063" s="8" t="s">
        <v>4872</v>
      </c>
      <c r="D1063" s="8" t="n">
        <v>2001</v>
      </c>
      <c r="E1063" s="8" t="s">
        <v>4873</v>
      </c>
      <c r="F1063" s="8" t="s">
        <v>151</v>
      </c>
      <c r="G1063" s="8" t="s">
        <v>4874</v>
      </c>
      <c r="H1063" s="8" t="s">
        <v>4875</v>
      </c>
      <c r="I1063" s="8" t="s">
        <v>146</v>
      </c>
      <c r="J1063" s="8" t="s">
        <v>4876</v>
      </c>
      <c r="K1063" s="8" t="s">
        <v>116</v>
      </c>
      <c r="L1063" s="8" t="s">
        <v>4877</v>
      </c>
    </row>
    <row r="1064" customFormat="false" ht="34.5" hidden="false" customHeight="true" outlineLevel="0" collapsed="false">
      <c r="A1064" s="8" t="n">
        <v>868</v>
      </c>
      <c r="B1064" s="8" t="s">
        <v>35</v>
      </c>
      <c r="C1064" s="8" t="s">
        <v>4878</v>
      </c>
      <c r="D1064" s="8" t="n">
        <v>2009</v>
      </c>
      <c r="E1064" s="8" t="s">
        <v>4879</v>
      </c>
      <c r="F1064" s="8" t="s">
        <v>201</v>
      </c>
      <c r="G1064" s="8" t="s">
        <v>152</v>
      </c>
      <c r="H1064" s="8" t="s">
        <v>4310</v>
      </c>
      <c r="I1064" s="8" t="s">
        <v>146</v>
      </c>
      <c r="J1064" s="8" t="s">
        <v>4880</v>
      </c>
      <c r="K1064" s="8" t="s">
        <v>116</v>
      </c>
      <c r="L1064" s="8" t="s">
        <v>4881</v>
      </c>
    </row>
    <row r="1065" customFormat="false" ht="34.5" hidden="false" customHeight="true" outlineLevel="0" collapsed="false">
      <c r="A1065" s="8" t="n">
        <v>869</v>
      </c>
      <c r="B1065" s="8" t="s">
        <v>35</v>
      </c>
      <c r="C1065" s="8" t="s">
        <v>983</v>
      </c>
      <c r="D1065" s="8" t="n">
        <v>2010</v>
      </c>
      <c r="E1065" s="8" t="s">
        <v>4882</v>
      </c>
      <c r="F1065" s="8" t="s">
        <v>151</v>
      </c>
      <c r="G1065" s="8" t="s">
        <v>3552</v>
      </c>
      <c r="H1065" s="8" t="s">
        <v>145</v>
      </c>
      <c r="I1065" s="8" t="s">
        <v>4883</v>
      </c>
      <c r="J1065" s="8" t="s">
        <v>4884</v>
      </c>
      <c r="K1065" s="8" t="s">
        <v>116</v>
      </c>
      <c r="L1065" s="8" t="s">
        <v>4885</v>
      </c>
    </row>
    <row r="1066" customFormat="false" ht="45.75" hidden="false" customHeight="true" outlineLevel="0" collapsed="false">
      <c r="A1066" s="8" t="n">
        <v>870</v>
      </c>
      <c r="B1066" s="8" t="s">
        <v>37</v>
      </c>
      <c r="C1066" s="8" t="s">
        <v>4886</v>
      </c>
      <c r="D1066" s="8" t="n">
        <v>2017</v>
      </c>
      <c r="E1066" s="8" t="s">
        <v>4887</v>
      </c>
      <c r="F1066" s="8" t="s">
        <v>201</v>
      </c>
      <c r="G1066" s="8" t="s">
        <v>4888</v>
      </c>
      <c r="H1066" s="8" t="s">
        <v>145</v>
      </c>
      <c r="I1066" s="8" t="s">
        <v>153</v>
      </c>
      <c r="J1066" s="8" t="s">
        <v>4889</v>
      </c>
      <c r="K1066" s="8" t="s">
        <v>112</v>
      </c>
      <c r="L1066" s="8" t="s">
        <v>4890</v>
      </c>
    </row>
    <row r="1067" customFormat="false" ht="45.75" hidden="false" customHeight="true" outlineLevel="0" collapsed="false">
      <c r="A1067" s="8" t="n">
        <v>871</v>
      </c>
      <c r="B1067" s="8" t="s">
        <v>37</v>
      </c>
      <c r="C1067" s="8" t="s">
        <v>4891</v>
      </c>
      <c r="D1067" s="8" t="n">
        <v>2008</v>
      </c>
      <c r="E1067" s="8" t="s">
        <v>4892</v>
      </c>
      <c r="F1067" s="8" t="s">
        <v>151</v>
      </c>
      <c r="G1067" s="8" t="s">
        <v>4893</v>
      </c>
      <c r="H1067" s="8" t="s">
        <v>4894</v>
      </c>
      <c r="I1067" s="8" t="s">
        <v>146</v>
      </c>
      <c r="J1067" s="8" t="s">
        <v>4895</v>
      </c>
      <c r="K1067" s="8" t="s">
        <v>112</v>
      </c>
      <c r="L1067" s="8" t="s">
        <v>4896</v>
      </c>
    </row>
    <row r="1068" customFormat="false" ht="34.5" hidden="false" customHeight="true" outlineLevel="0" collapsed="false">
      <c r="A1068" s="13" t="n">
        <v>872</v>
      </c>
      <c r="B1068" s="14" t="s">
        <v>37</v>
      </c>
      <c r="C1068" s="14" t="s">
        <v>4897</v>
      </c>
      <c r="D1068" s="14" t="n">
        <v>2005</v>
      </c>
      <c r="E1068" s="14" t="s">
        <v>4898</v>
      </c>
      <c r="F1068" s="14" t="s">
        <v>151</v>
      </c>
      <c r="G1068" s="14" t="s">
        <v>1461</v>
      </c>
      <c r="H1068" s="14" t="s">
        <v>187</v>
      </c>
      <c r="I1068" s="14" t="s">
        <v>146</v>
      </c>
      <c r="J1068" s="14" t="s">
        <v>4899</v>
      </c>
      <c r="K1068" s="14" t="s">
        <v>112</v>
      </c>
      <c r="L1068" s="14" t="s">
        <v>4900</v>
      </c>
    </row>
    <row r="1069" customFormat="false" ht="34.5" hidden="false" customHeight="true" outlineLevel="0" collapsed="false">
      <c r="A1069" s="15" t="n">
        <v>872</v>
      </c>
      <c r="B1069" s="16" t="s">
        <v>45</v>
      </c>
      <c r="C1069" s="16" t="s">
        <v>4901</v>
      </c>
      <c r="D1069" s="16" t="n">
        <v>2005</v>
      </c>
      <c r="E1069" s="16" t="s">
        <v>4902</v>
      </c>
      <c r="F1069" s="16" t="s">
        <v>151</v>
      </c>
      <c r="G1069" s="16" t="s">
        <v>4903</v>
      </c>
      <c r="H1069" s="16" t="s">
        <v>4711</v>
      </c>
      <c r="I1069" s="16" t="s">
        <v>146</v>
      </c>
      <c r="J1069" s="16" t="s">
        <v>4904</v>
      </c>
      <c r="K1069" s="16" t="s">
        <v>112</v>
      </c>
      <c r="L1069" s="16" t="s">
        <v>4905</v>
      </c>
    </row>
    <row r="1070" customFormat="false" ht="34.5" hidden="false" customHeight="true" outlineLevel="0" collapsed="false">
      <c r="A1070" s="8" t="n">
        <v>873</v>
      </c>
      <c r="B1070" s="8" t="s">
        <v>37</v>
      </c>
      <c r="C1070" s="8" t="s">
        <v>4906</v>
      </c>
      <c r="D1070" s="8" t="n">
        <v>2014</v>
      </c>
      <c r="E1070" s="8" t="s">
        <v>4907</v>
      </c>
      <c r="F1070" s="8" t="s">
        <v>151</v>
      </c>
      <c r="G1070" s="8" t="s">
        <v>4908</v>
      </c>
      <c r="H1070" s="8" t="s">
        <v>4909</v>
      </c>
      <c r="I1070" s="8" t="s">
        <v>146</v>
      </c>
      <c r="J1070" s="8" t="s">
        <v>4910</v>
      </c>
      <c r="K1070" s="8" t="s">
        <v>112</v>
      </c>
      <c r="L1070" s="8" t="s">
        <v>4911</v>
      </c>
    </row>
    <row r="1071" customFormat="false" ht="34.5" hidden="false" customHeight="true" outlineLevel="0" collapsed="false">
      <c r="A1071" s="8" t="n">
        <v>874</v>
      </c>
      <c r="B1071" s="8" t="s">
        <v>37</v>
      </c>
      <c r="C1071" s="8" t="s">
        <v>3311</v>
      </c>
      <c r="D1071" s="8" t="n">
        <v>2008</v>
      </c>
      <c r="E1071" s="8" t="s">
        <v>4912</v>
      </c>
      <c r="F1071" s="8" t="s">
        <v>143</v>
      </c>
      <c r="G1071" s="8" t="s">
        <v>4913</v>
      </c>
      <c r="H1071" s="8" t="s">
        <v>1319</v>
      </c>
      <c r="I1071" s="8" t="s">
        <v>153</v>
      </c>
      <c r="J1071" s="8" t="s">
        <v>4914</v>
      </c>
      <c r="K1071" s="8" t="s">
        <v>112</v>
      </c>
      <c r="L1071" s="8" t="s">
        <v>4915</v>
      </c>
    </row>
    <row r="1072" customFormat="false" ht="34.5" hidden="false" customHeight="true" outlineLevel="0" collapsed="false">
      <c r="A1072" s="8" t="n">
        <v>875</v>
      </c>
      <c r="B1072" s="8" t="s">
        <v>37</v>
      </c>
      <c r="C1072" s="8" t="s">
        <v>4916</v>
      </c>
      <c r="D1072" s="8" t="n">
        <v>2013</v>
      </c>
      <c r="E1072" s="8" t="s">
        <v>4917</v>
      </c>
      <c r="F1072" s="8" t="s">
        <v>143</v>
      </c>
      <c r="G1072" s="8" t="s">
        <v>4918</v>
      </c>
      <c r="H1072" s="8" t="s">
        <v>479</v>
      </c>
      <c r="I1072" s="8" t="s">
        <v>153</v>
      </c>
      <c r="J1072" s="8" t="s">
        <v>4919</v>
      </c>
      <c r="K1072" s="8" t="s">
        <v>112</v>
      </c>
      <c r="L1072" s="8" t="s">
        <v>4920</v>
      </c>
    </row>
    <row r="1073" customFormat="false" ht="34.5" hidden="false" customHeight="true" outlineLevel="0" collapsed="false">
      <c r="A1073" s="8" t="n">
        <v>876</v>
      </c>
      <c r="B1073" s="8" t="s">
        <v>37</v>
      </c>
      <c r="C1073" s="8" t="s">
        <v>4921</v>
      </c>
      <c r="D1073" s="8" t="n">
        <v>2018</v>
      </c>
      <c r="E1073" s="8" t="s">
        <v>4922</v>
      </c>
      <c r="F1073" s="8" t="s">
        <v>579</v>
      </c>
      <c r="G1073" s="8" t="s">
        <v>1461</v>
      </c>
      <c r="H1073" s="8" t="s">
        <v>4923</v>
      </c>
      <c r="I1073" s="8" t="s">
        <v>153</v>
      </c>
      <c r="J1073" s="8" t="s">
        <v>4924</v>
      </c>
      <c r="K1073" s="8" t="s">
        <v>114</v>
      </c>
      <c r="L1073" s="8" t="s">
        <v>4925</v>
      </c>
    </row>
    <row r="1074" customFormat="false" ht="34.5" hidden="false" customHeight="true" outlineLevel="0" collapsed="false">
      <c r="A1074" s="8" t="n">
        <v>877</v>
      </c>
      <c r="B1074" s="8" t="s">
        <v>37</v>
      </c>
      <c r="C1074" s="8" t="s">
        <v>4926</v>
      </c>
      <c r="D1074" s="8" t="n">
        <v>2011</v>
      </c>
      <c r="E1074" s="8" t="s">
        <v>4927</v>
      </c>
      <c r="F1074" s="8" t="s">
        <v>143</v>
      </c>
      <c r="G1074" s="8" t="s">
        <v>4928</v>
      </c>
      <c r="H1074" s="8" t="s">
        <v>187</v>
      </c>
      <c r="I1074" s="8" t="s">
        <v>153</v>
      </c>
      <c r="J1074" s="8" t="s">
        <v>4929</v>
      </c>
      <c r="K1074" s="8" t="s">
        <v>114</v>
      </c>
      <c r="L1074" s="8" t="s">
        <v>4930</v>
      </c>
    </row>
    <row r="1075" customFormat="false" ht="34.5" hidden="false" customHeight="true" outlineLevel="0" collapsed="false">
      <c r="A1075" s="8" t="n">
        <v>878</v>
      </c>
      <c r="B1075" s="8" t="s">
        <v>37</v>
      </c>
      <c r="C1075" s="8" t="s">
        <v>4931</v>
      </c>
      <c r="D1075" s="8" t="n">
        <v>2013</v>
      </c>
      <c r="E1075" s="8" t="s">
        <v>4932</v>
      </c>
      <c r="F1075" s="8" t="s">
        <v>579</v>
      </c>
      <c r="G1075" s="8" t="s">
        <v>4933</v>
      </c>
      <c r="H1075" s="8" t="s">
        <v>187</v>
      </c>
      <c r="I1075" s="8" t="s">
        <v>146</v>
      </c>
      <c r="J1075" s="8" t="s">
        <v>4934</v>
      </c>
      <c r="K1075" s="8" t="s">
        <v>112</v>
      </c>
      <c r="L1075" s="8" t="s">
        <v>4935</v>
      </c>
    </row>
    <row r="1076" customFormat="false" ht="34.5" hidden="false" customHeight="true" outlineLevel="0" collapsed="false">
      <c r="A1076" s="9" t="n">
        <v>879</v>
      </c>
      <c r="B1076" s="10" t="s">
        <v>37</v>
      </c>
      <c r="C1076" s="10" t="s">
        <v>4936</v>
      </c>
      <c r="D1076" s="10" t="n">
        <v>2015</v>
      </c>
      <c r="E1076" s="10" t="s">
        <v>4937</v>
      </c>
      <c r="F1076" s="10" t="s">
        <v>143</v>
      </c>
      <c r="G1076" s="10" t="s">
        <v>152</v>
      </c>
      <c r="H1076" s="10" t="s">
        <v>145</v>
      </c>
      <c r="I1076" s="10" t="s">
        <v>153</v>
      </c>
      <c r="J1076" s="10" t="s">
        <v>4938</v>
      </c>
      <c r="K1076" s="10" t="s">
        <v>112</v>
      </c>
      <c r="L1076" s="10" t="s">
        <v>4939</v>
      </c>
    </row>
    <row r="1077" customFormat="false" ht="34.5" hidden="false" customHeight="true" outlineLevel="0" collapsed="false">
      <c r="A1077" s="11" t="n">
        <v>879</v>
      </c>
      <c r="B1077" s="12" t="s">
        <v>41</v>
      </c>
      <c r="C1077" s="12" t="s">
        <v>4936</v>
      </c>
      <c r="D1077" s="12" t="n">
        <v>2015</v>
      </c>
      <c r="E1077" s="12" t="s">
        <v>4940</v>
      </c>
      <c r="F1077" s="12" t="s">
        <v>143</v>
      </c>
      <c r="G1077" s="12" t="s">
        <v>4941</v>
      </c>
      <c r="H1077" s="12" t="s">
        <v>145</v>
      </c>
      <c r="I1077" s="12" t="s">
        <v>146</v>
      </c>
      <c r="J1077" s="12" t="s">
        <v>4942</v>
      </c>
      <c r="K1077" s="12" t="s">
        <v>112</v>
      </c>
      <c r="L1077" s="12" t="s">
        <v>4943</v>
      </c>
    </row>
    <row r="1078" customFormat="false" ht="34.5" hidden="false" customHeight="true" outlineLevel="0" collapsed="false">
      <c r="A1078" s="8" t="n">
        <v>880</v>
      </c>
      <c r="B1078" s="8" t="s">
        <v>37</v>
      </c>
      <c r="C1078" s="8" t="s">
        <v>4944</v>
      </c>
      <c r="D1078" s="8" t="n">
        <v>2005</v>
      </c>
      <c r="E1078" s="8" t="s">
        <v>4945</v>
      </c>
      <c r="F1078" s="8" t="s">
        <v>579</v>
      </c>
      <c r="G1078" s="8" t="s">
        <v>4946</v>
      </c>
      <c r="H1078" s="8" t="s">
        <v>187</v>
      </c>
      <c r="I1078" s="8" t="s">
        <v>146</v>
      </c>
      <c r="J1078" s="8" t="s">
        <v>4947</v>
      </c>
      <c r="K1078" s="8" t="s">
        <v>112</v>
      </c>
      <c r="L1078" s="8" t="s">
        <v>4948</v>
      </c>
    </row>
    <row r="1079" customFormat="false" ht="34.5" hidden="false" customHeight="true" outlineLevel="0" collapsed="false">
      <c r="A1079" s="9" t="n">
        <v>881</v>
      </c>
      <c r="B1079" s="10" t="s">
        <v>37</v>
      </c>
      <c r="C1079" s="10" t="s">
        <v>4949</v>
      </c>
      <c r="D1079" s="10" t="n">
        <v>2013</v>
      </c>
      <c r="E1079" s="10" t="s">
        <v>4950</v>
      </c>
      <c r="F1079" s="10" t="s">
        <v>143</v>
      </c>
      <c r="G1079" s="10" t="s">
        <v>1163</v>
      </c>
      <c r="H1079" s="10" t="s">
        <v>145</v>
      </c>
      <c r="I1079" s="10" t="s">
        <v>153</v>
      </c>
      <c r="J1079" s="10" t="s">
        <v>4951</v>
      </c>
      <c r="K1079" s="10" t="s">
        <v>112</v>
      </c>
      <c r="L1079" s="10" t="s">
        <v>4952</v>
      </c>
    </row>
    <row r="1080" customFormat="false" ht="34.5" hidden="false" customHeight="true" outlineLevel="0" collapsed="false">
      <c r="A1080" s="11" t="n">
        <v>881</v>
      </c>
      <c r="B1080" s="12" t="s">
        <v>61</v>
      </c>
      <c r="C1080" s="12" t="s">
        <v>4949</v>
      </c>
      <c r="D1080" s="12" t="n">
        <v>2013</v>
      </c>
      <c r="E1080" s="12" t="s">
        <v>4950</v>
      </c>
      <c r="F1080" s="12" t="s">
        <v>143</v>
      </c>
      <c r="G1080" s="12" t="s">
        <v>2889</v>
      </c>
      <c r="H1080" s="12" t="s">
        <v>145</v>
      </c>
      <c r="I1080" s="12" t="s">
        <v>387</v>
      </c>
      <c r="J1080" s="12" t="s">
        <v>3264</v>
      </c>
      <c r="K1080" s="12" t="s">
        <v>112</v>
      </c>
      <c r="L1080" s="12" t="s">
        <v>4953</v>
      </c>
    </row>
    <row r="1081" customFormat="false" ht="34.5" hidden="false" customHeight="true" outlineLevel="0" collapsed="false">
      <c r="A1081" s="8" t="n">
        <v>882</v>
      </c>
      <c r="B1081" s="8" t="s">
        <v>37</v>
      </c>
      <c r="C1081" s="8" t="s">
        <v>4954</v>
      </c>
      <c r="D1081" s="8" t="n">
        <v>2015</v>
      </c>
      <c r="E1081" s="8" t="s">
        <v>4955</v>
      </c>
      <c r="F1081" s="8" t="s">
        <v>143</v>
      </c>
      <c r="G1081" s="8" t="s">
        <v>626</v>
      </c>
      <c r="H1081" s="8" t="s">
        <v>145</v>
      </c>
      <c r="I1081" s="8" t="s">
        <v>153</v>
      </c>
      <c r="J1081" s="8" t="s">
        <v>4956</v>
      </c>
      <c r="K1081" s="8" t="s">
        <v>112</v>
      </c>
      <c r="L1081" s="8" t="s">
        <v>4957</v>
      </c>
    </row>
    <row r="1082" customFormat="false" ht="34.5" hidden="false" customHeight="true" outlineLevel="0" collapsed="false">
      <c r="A1082" s="8" t="n">
        <v>883</v>
      </c>
      <c r="B1082" s="8" t="s">
        <v>37</v>
      </c>
      <c r="C1082" s="8" t="s">
        <v>4958</v>
      </c>
      <c r="D1082" s="8" t="n">
        <v>1961</v>
      </c>
      <c r="E1082" s="8" t="s">
        <v>4959</v>
      </c>
      <c r="F1082" s="8" t="s">
        <v>151</v>
      </c>
      <c r="G1082" s="8" t="s">
        <v>348</v>
      </c>
      <c r="H1082" s="8" t="s">
        <v>4960</v>
      </c>
      <c r="I1082" s="8"/>
      <c r="J1082" s="8" t="s">
        <v>4961</v>
      </c>
      <c r="K1082" s="8"/>
      <c r="L1082" s="8" t="s">
        <v>4962</v>
      </c>
    </row>
    <row r="1083" customFormat="false" ht="34.5" hidden="false" customHeight="true" outlineLevel="0" collapsed="false">
      <c r="A1083" s="13" t="n">
        <v>884</v>
      </c>
      <c r="B1083" s="14" t="s">
        <v>37</v>
      </c>
      <c r="C1083" s="14" t="s">
        <v>4963</v>
      </c>
      <c r="D1083" s="14" t="n">
        <v>2015</v>
      </c>
      <c r="E1083" s="14" t="s">
        <v>4964</v>
      </c>
      <c r="F1083" s="14" t="s">
        <v>143</v>
      </c>
      <c r="G1083" s="14" t="s">
        <v>197</v>
      </c>
      <c r="H1083" s="14" t="s">
        <v>145</v>
      </c>
      <c r="I1083" s="14" t="s">
        <v>153</v>
      </c>
      <c r="J1083" s="14" t="s">
        <v>4965</v>
      </c>
      <c r="K1083" s="14" t="s">
        <v>112</v>
      </c>
      <c r="L1083" s="14" t="s">
        <v>4966</v>
      </c>
    </row>
    <row r="1084" customFormat="false" ht="34.5" hidden="false" customHeight="true" outlineLevel="0" collapsed="false">
      <c r="A1084" s="15" t="n">
        <v>884</v>
      </c>
      <c r="B1084" s="16" t="s">
        <v>81</v>
      </c>
      <c r="C1084" s="16" t="s">
        <v>4963</v>
      </c>
      <c r="D1084" s="16" t="n">
        <v>2015</v>
      </c>
      <c r="E1084" s="16" t="s">
        <v>4964</v>
      </c>
      <c r="F1084" s="16" t="s">
        <v>4967</v>
      </c>
      <c r="G1084" s="16" t="s">
        <v>197</v>
      </c>
      <c r="H1084" s="16" t="s">
        <v>145</v>
      </c>
      <c r="I1084" s="16" t="s">
        <v>153</v>
      </c>
      <c r="J1084" s="16" t="s">
        <v>4968</v>
      </c>
      <c r="K1084" s="16" t="s">
        <v>112</v>
      </c>
      <c r="L1084" s="16" t="s">
        <v>4969</v>
      </c>
    </row>
    <row r="1085" customFormat="false" ht="34.5" hidden="false" customHeight="true" outlineLevel="0" collapsed="false">
      <c r="A1085" s="8" t="n">
        <v>885</v>
      </c>
      <c r="B1085" s="8" t="s">
        <v>37</v>
      </c>
      <c r="C1085" s="8" t="s">
        <v>4970</v>
      </c>
      <c r="D1085" s="8" t="n">
        <v>2010</v>
      </c>
      <c r="E1085" s="8" t="s">
        <v>4971</v>
      </c>
      <c r="F1085" s="8" t="s">
        <v>143</v>
      </c>
      <c r="G1085" s="8" t="s">
        <v>4972</v>
      </c>
      <c r="H1085" s="8" t="s">
        <v>901</v>
      </c>
      <c r="I1085" s="8" t="s">
        <v>146</v>
      </c>
      <c r="J1085" s="8" t="s">
        <v>4973</v>
      </c>
      <c r="K1085" s="8" t="s">
        <v>112</v>
      </c>
      <c r="L1085" s="8" t="s">
        <v>4974</v>
      </c>
    </row>
    <row r="1086" customFormat="false" ht="34.5" hidden="false" customHeight="true" outlineLevel="0" collapsed="false">
      <c r="A1086" s="13" t="n">
        <v>886</v>
      </c>
      <c r="B1086" s="14" t="s">
        <v>37</v>
      </c>
      <c r="C1086" s="14" t="s">
        <v>4975</v>
      </c>
      <c r="D1086" s="14" t="n">
        <v>2015</v>
      </c>
      <c r="E1086" s="14" t="s">
        <v>4976</v>
      </c>
      <c r="F1086" s="14" t="s">
        <v>143</v>
      </c>
      <c r="G1086" s="14" t="s">
        <v>1763</v>
      </c>
      <c r="H1086" s="14" t="s">
        <v>145</v>
      </c>
      <c r="I1086" s="14" t="s">
        <v>153</v>
      </c>
      <c r="J1086" s="14" t="s">
        <v>4977</v>
      </c>
      <c r="K1086" s="14" t="s">
        <v>112</v>
      </c>
      <c r="L1086" s="14" t="s">
        <v>4978</v>
      </c>
    </row>
    <row r="1087" customFormat="false" ht="34.5" hidden="false" customHeight="true" outlineLevel="0" collapsed="false">
      <c r="A1087" s="15" t="n">
        <v>886</v>
      </c>
      <c r="B1087" s="16" t="s">
        <v>73</v>
      </c>
      <c r="C1087" s="16" t="s">
        <v>4979</v>
      </c>
      <c r="D1087" s="16" t="n">
        <v>2015</v>
      </c>
      <c r="E1087" s="16" t="s">
        <v>4980</v>
      </c>
      <c r="F1087" s="16" t="s">
        <v>143</v>
      </c>
      <c r="G1087" s="16" t="s">
        <v>4981</v>
      </c>
      <c r="H1087" s="16" t="s">
        <v>145</v>
      </c>
      <c r="I1087" s="16" t="s">
        <v>153</v>
      </c>
      <c r="J1087" s="16" t="s">
        <v>3104</v>
      </c>
      <c r="K1087" s="16" t="s">
        <v>112</v>
      </c>
      <c r="L1087" s="16" t="s">
        <v>4982</v>
      </c>
    </row>
    <row r="1088" customFormat="false" ht="34.5" hidden="false" customHeight="true" outlineLevel="0" collapsed="false">
      <c r="A1088" s="8" t="n">
        <v>887</v>
      </c>
      <c r="B1088" s="8" t="s">
        <v>37</v>
      </c>
      <c r="C1088" s="8" t="s">
        <v>4983</v>
      </c>
      <c r="D1088" s="8" t="n">
        <v>2011</v>
      </c>
      <c r="E1088" s="8" t="s">
        <v>4984</v>
      </c>
      <c r="F1088" s="8" t="s">
        <v>143</v>
      </c>
      <c r="G1088" s="8" t="s">
        <v>3448</v>
      </c>
      <c r="H1088" s="8" t="s">
        <v>1373</v>
      </c>
      <c r="I1088" s="8" t="s">
        <v>146</v>
      </c>
      <c r="J1088" s="8" t="s">
        <v>4985</v>
      </c>
      <c r="K1088" s="8"/>
      <c r="L1088" s="8" t="s">
        <v>4986</v>
      </c>
    </row>
    <row r="1089" customFormat="false" ht="34.5" hidden="false" customHeight="true" outlineLevel="0" collapsed="false">
      <c r="A1089" s="8" t="n">
        <v>888</v>
      </c>
      <c r="B1089" s="8" t="s">
        <v>37</v>
      </c>
      <c r="C1089" s="8" t="s">
        <v>4987</v>
      </c>
      <c r="D1089" s="8" t="n">
        <v>2008</v>
      </c>
      <c r="E1089" s="8" t="s">
        <v>4988</v>
      </c>
      <c r="F1089" s="8" t="s">
        <v>143</v>
      </c>
      <c r="G1089" s="8" t="s">
        <v>4989</v>
      </c>
      <c r="H1089" s="8" t="s">
        <v>338</v>
      </c>
      <c r="I1089" s="8" t="s">
        <v>146</v>
      </c>
      <c r="J1089" s="8" t="s">
        <v>4990</v>
      </c>
      <c r="K1089" s="8" t="s">
        <v>112</v>
      </c>
      <c r="L1089" s="8" t="s">
        <v>4991</v>
      </c>
    </row>
    <row r="1090" customFormat="false" ht="34.5" hidden="false" customHeight="true" outlineLevel="0" collapsed="false">
      <c r="A1090" s="8" t="n">
        <v>889</v>
      </c>
      <c r="B1090" s="8" t="s">
        <v>37</v>
      </c>
      <c r="C1090" s="8" t="s">
        <v>4992</v>
      </c>
      <c r="D1090" s="8" t="n">
        <v>2005</v>
      </c>
      <c r="E1090" s="8" t="s">
        <v>4993</v>
      </c>
      <c r="F1090" s="8" t="s">
        <v>201</v>
      </c>
      <c r="G1090" s="8" t="s">
        <v>364</v>
      </c>
      <c r="H1090" s="8" t="s">
        <v>145</v>
      </c>
      <c r="I1090" s="8" t="s">
        <v>153</v>
      </c>
      <c r="J1090" s="8" t="s">
        <v>4994</v>
      </c>
      <c r="K1090" s="8"/>
      <c r="L1090" s="8" t="s">
        <v>4995</v>
      </c>
    </row>
    <row r="1091" customFormat="false" ht="34.5" hidden="false" customHeight="true" outlineLevel="0" collapsed="false">
      <c r="A1091" s="8" t="n">
        <v>890</v>
      </c>
      <c r="B1091" s="8" t="s">
        <v>37</v>
      </c>
      <c r="C1091" s="8" t="s">
        <v>4996</v>
      </c>
      <c r="D1091" s="8" t="n">
        <v>2015</v>
      </c>
      <c r="E1091" s="8" t="s">
        <v>4997</v>
      </c>
      <c r="F1091" s="8" t="s">
        <v>201</v>
      </c>
      <c r="G1091" s="8" t="s">
        <v>4918</v>
      </c>
      <c r="H1091" s="8" t="s">
        <v>187</v>
      </c>
      <c r="I1091" s="8" t="s">
        <v>153</v>
      </c>
      <c r="J1091" s="8" t="s">
        <v>4998</v>
      </c>
      <c r="K1091" s="8" t="s">
        <v>114</v>
      </c>
      <c r="L1091" s="8" t="s">
        <v>4999</v>
      </c>
    </row>
    <row r="1092" customFormat="false" ht="34.5" hidden="false" customHeight="true" outlineLevel="0" collapsed="false">
      <c r="A1092" s="8" t="n">
        <v>891</v>
      </c>
      <c r="B1092" s="8" t="s">
        <v>37</v>
      </c>
      <c r="C1092" s="8" t="s">
        <v>5000</v>
      </c>
      <c r="D1092" s="8" t="n">
        <v>2011</v>
      </c>
      <c r="E1092" s="8" t="s">
        <v>5001</v>
      </c>
      <c r="F1092" s="8" t="s">
        <v>143</v>
      </c>
      <c r="G1092" s="8" t="s">
        <v>5002</v>
      </c>
      <c r="H1092" s="8" t="s">
        <v>187</v>
      </c>
      <c r="I1092" s="8" t="s">
        <v>153</v>
      </c>
      <c r="J1092" s="8" t="s">
        <v>5003</v>
      </c>
      <c r="K1092" s="8"/>
      <c r="L1092" s="8" t="s">
        <v>5004</v>
      </c>
    </row>
    <row r="1093" customFormat="false" ht="34.5" hidden="false" customHeight="true" outlineLevel="0" collapsed="false">
      <c r="A1093" s="8" t="n">
        <v>892</v>
      </c>
      <c r="B1093" s="8" t="s">
        <v>37</v>
      </c>
      <c r="C1093" s="8" t="s">
        <v>5005</v>
      </c>
      <c r="D1093" s="8" t="n">
        <v>2015</v>
      </c>
      <c r="E1093" s="8" t="s">
        <v>5006</v>
      </c>
      <c r="F1093" s="8" t="s">
        <v>143</v>
      </c>
      <c r="G1093" s="8" t="s">
        <v>5007</v>
      </c>
      <c r="H1093" s="8" t="s">
        <v>1319</v>
      </c>
      <c r="I1093" s="8" t="s">
        <v>153</v>
      </c>
      <c r="J1093" s="8" t="s">
        <v>5008</v>
      </c>
      <c r="K1093" s="8"/>
      <c r="L1093" s="8" t="s">
        <v>5009</v>
      </c>
    </row>
    <row r="1094" customFormat="false" ht="34.5" hidden="false" customHeight="true" outlineLevel="0" collapsed="false">
      <c r="A1094" s="8" t="n">
        <v>893</v>
      </c>
      <c r="B1094" s="8" t="s">
        <v>37</v>
      </c>
      <c r="C1094" s="8" t="s">
        <v>5010</v>
      </c>
      <c r="D1094" s="8" t="n">
        <v>2010</v>
      </c>
      <c r="E1094" s="8" t="s">
        <v>5011</v>
      </c>
      <c r="F1094" s="8" t="s">
        <v>201</v>
      </c>
      <c r="G1094" s="8" t="s">
        <v>5012</v>
      </c>
      <c r="H1094" s="8" t="s">
        <v>145</v>
      </c>
      <c r="I1094" s="8" t="s">
        <v>153</v>
      </c>
      <c r="J1094" s="8" t="s">
        <v>5013</v>
      </c>
      <c r="K1094" s="8" t="s">
        <v>116</v>
      </c>
      <c r="L1094" s="8" t="s">
        <v>5014</v>
      </c>
    </row>
    <row r="1095" customFormat="false" ht="34.5" hidden="false" customHeight="true" outlineLevel="0" collapsed="false">
      <c r="A1095" s="8" t="n">
        <v>894</v>
      </c>
      <c r="B1095" s="8" t="s">
        <v>37</v>
      </c>
      <c r="C1095" s="8" t="s">
        <v>5015</v>
      </c>
      <c r="D1095" s="8" t="n">
        <v>1973</v>
      </c>
      <c r="E1095" s="8" t="s">
        <v>5016</v>
      </c>
      <c r="F1095" s="8" t="s">
        <v>143</v>
      </c>
      <c r="G1095" s="8" t="s">
        <v>5017</v>
      </c>
      <c r="H1095" s="8" t="s">
        <v>187</v>
      </c>
      <c r="I1095" s="8" t="s">
        <v>153</v>
      </c>
      <c r="J1095" s="8" t="s">
        <v>5018</v>
      </c>
      <c r="K1095" s="8" t="s">
        <v>112</v>
      </c>
      <c r="L1095" s="8" t="s">
        <v>5019</v>
      </c>
    </row>
    <row r="1096" customFormat="false" ht="34.5" hidden="false" customHeight="true" outlineLevel="0" collapsed="false">
      <c r="A1096" s="8" t="n">
        <v>895</v>
      </c>
      <c r="B1096" s="8" t="s">
        <v>37</v>
      </c>
      <c r="C1096" s="8" t="s">
        <v>3203</v>
      </c>
      <c r="D1096" s="8" t="n">
        <v>2012</v>
      </c>
      <c r="E1096" s="8" t="s">
        <v>5020</v>
      </c>
      <c r="F1096" s="8" t="s">
        <v>143</v>
      </c>
      <c r="G1096" s="8" t="s">
        <v>5021</v>
      </c>
      <c r="H1096" s="8" t="s">
        <v>187</v>
      </c>
      <c r="I1096" s="8" t="s">
        <v>146</v>
      </c>
      <c r="J1096" s="8" t="s">
        <v>5022</v>
      </c>
      <c r="K1096" s="8" t="s">
        <v>112</v>
      </c>
      <c r="L1096" s="8" t="s">
        <v>5023</v>
      </c>
    </row>
    <row r="1097" customFormat="false" ht="34.5" hidden="false" customHeight="true" outlineLevel="0" collapsed="false">
      <c r="A1097" s="8" t="n">
        <v>896</v>
      </c>
      <c r="B1097" s="8" t="s">
        <v>37</v>
      </c>
      <c r="C1097" s="8" t="s">
        <v>3203</v>
      </c>
      <c r="D1097" s="8" t="n">
        <v>2017</v>
      </c>
      <c r="E1097" s="8" t="s">
        <v>5024</v>
      </c>
      <c r="F1097" s="8" t="s">
        <v>143</v>
      </c>
      <c r="G1097" s="8" t="s">
        <v>5025</v>
      </c>
      <c r="H1097" s="8" t="s">
        <v>187</v>
      </c>
      <c r="I1097" s="8" t="s">
        <v>153</v>
      </c>
      <c r="J1097" s="8" t="s">
        <v>5026</v>
      </c>
      <c r="K1097" s="8" t="s">
        <v>112</v>
      </c>
      <c r="L1097" s="8" t="s">
        <v>5027</v>
      </c>
    </row>
    <row r="1098" customFormat="false" ht="34.5" hidden="false" customHeight="true" outlineLevel="0" collapsed="false">
      <c r="A1098" s="9" t="n">
        <v>897</v>
      </c>
      <c r="B1098" s="10" t="s">
        <v>37</v>
      </c>
      <c r="C1098" s="10" t="s">
        <v>5028</v>
      </c>
      <c r="D1098" s="10" t="n">
        <v>2014</v>
      </c>
      <c r="E1098" s="10" t="s">
        <v>5029</v>
      </c>
      <c r="F1098" s="10" t="s">
        <v>143</v>
      </c>
      <c r="G1098" s="10" t="s">
        <v>1523</v>
      </c>
      <c r="H1098" s="10" t="s">
        <v>512</v>
      </c>
      <c r="I1098" s="10" t="s">
        <v>146</v>
      </c>
      <c r="J1098" s="10" t="s">
        <v>5030</v>
      </c>
      <c r="K1098" s="10" t="s">
        <v>112</v>
      </c>
      <c r="L1098" s="10" t="s">
        <v>5031</v>
      </c>
    </row>
    <row r="1099" customFormat="false" ht="34.5" hidden="false" customHeight="true" outlineLevel="0" collapsed="false">
      <c r="A1099" s="11" t="n">
        <v>897</v>
      </c>
      <c r="B1099" s="12" t="s">
        <v>61</v>
      </c>
      <c r="C1099" s="12" t="s">
        <v>5028</v>
      </c>
      <c r="D1099" s="12" t="n">
        <v>2014</v>
      </c>
      <c r="E1099" s="12" t="s">
        <v>5029</v>
      </c>
      <c r="F1099" s="12" t="s">
        <v>201</v>
      </c>
      <c r="G1099" s="12" t="s">
        <v>5032</v>
      </c>
      <c r="H1099" s="12" t="s">
        <v>512</v>
      </c>
      <c r="I1099" s="12" t="s">
        <v>146</v>
      </c>
      <c r="J1099" s="12" t="s">
        <v>5033</v>
      </c>
      <c r="K1099" s="12" t="s">
        <v>112</v>
      </c>
      <c r="L1099" s="12" t="s">
        <v>5034</v>
      </c>
    </row>
    <row r="1100" customFormat="false" ht="34.5" hidden="false" customHeight="true" outlineLevel="0" collapsed="false">
      <c r="A1100" s="8" t="n">
        <v>898</v>
      </c>
      <c r="B1100" s="8" t="s">
        <v>37</v>
      </c>
      <c r="C1100" s="8" t="s">
        <v>5035</v>
      </c>
      <c r="D1100" s="8" t="n">
        <v>1989</v>
      </c>
      <c r="E1100" s="8" t="s">
        <v>5036</v>
      </c>
      <c r="F1100" s="8" t="s">
        <v>143</v>
      </c>
      <c r="G1100" s="8" t="s">
        <v>348</v>
      </c>
      <c r="H1100" s="8" t="s">
        <v>4960</v>
      </c>
      <c r="I1100" s="8" t="s">
        <v>146</v>
      </c>
      <c r="J1100" s="8" t="s">
        <v>5037</v>
      </c>
      <c r="K1100" s="8"/>
      <c r="L1100" s="8" t="s">
        <v>5038</v>
      </c>
    </row>
    <row r="1101" customFormat="false" ht="34.5" hidden="false" customHeight="true" outlineLevel="0" collapsed="false">
      <c r="A1101" s="9" t="n">
        <v>899</v>
      </c>
      <c r="B1101" s="10" t="s">
        <v>39</v>
      </c>
      <c r="C1101" s="10" t="s">
        <v>5039</v>
      </c>
      <c r="D1101" s="10" t="n">
        <v>2019</v>
      </c>
      <c r="E1101" s="10" t="s">
        <v>5040</v>
      </c>
      <c r="F1101" s="10" t="s">
        <v>143</v>
      </c>
      <c r="G1101" s="10" t="s">
        <v>5041</v>
      </c>
      <c r="H1101" s="10" t="s">
        <v>5042</v>
      </c>
      <c r="I1101" s="10" t="s">
        <v>146</v>
      </c>
      <c r="J1101" s="10" t="s">
        <v>5043</v>
      </c>
      <c r="K1101" s="10" t="s">
        <v>116</v>
      </c>
      <c r="L1101" s="10" t="s">
        <v>5044</v>
      </c>
    </row>
    <row r="1102" customFormat="false" ht="34.5" hidden="false" customHeight="true" outlineLevel="0" collapsed="false">
      <c r="A1102" s="11" t="n">
        <v>899</v>
      </c>
      <c r="B1102" s="12" t="s">
        <v>71</v>
      </c>
      <c r="C1102" s="12" t="s">
        <v>5039</v>
      </c>
      <c r="D1102" s="12" t="n">
        <v>2019</v>
      </c>
      <c r="E1102" s="12" t="s">
        <v>5040</v>
      </c>
      <c r="F1102" s="12" t="s">
        <v>143</v>
      </c>
      <c r="G1102" s="12" t="s">
        <v>5045</v>
      </c>
      <c r="H1102" s="12" t="s">
        <v>5042</v>
      </c>
      <c r="I1102" s="12" t="s">
        <v>146</v>
      </c>
      <c r="J1102" s="12" t="s">
        <v>5046</v>
      </c>
      <c r="K1102" s="12" t="s">
        <v>116</v>
      </c>
      <c r="L1102" s="12" t="s">
        <v>5047</v>
      </c>
    </row>
    <row r="1103" customFormat="false" ht="23.25" hidden="false" customHeight="true" outlineLevel="0" collapsed="false">
      <c r="A1103" s="8" t="n">
        <v>900</v>
      </c>
      <c r="B1103" s="8" t="s">
        <v>39</v>
      </c>
      <c r="C1103" s="8" t="s">
        <v>5048</v>
      </c>
      <c r="D1103" s="8" t="n">
        <v>2019</v>
      </c>
      <c r="E1103" s="8" t="s">
        <v>5049</v>
      </c>
      <c r="F1103" s="8" t="s">
        <v>201</v>
      </c>
      <c r="G1103" s="8" t="s">
        <v>5050</v>
      </c>
      <c r="H1103" s="8" t="s">
        <v>2248</v>
      </c>
      <c r="I1103" s="8" t="s">
        <v>522</v>
      </c>
      <c r="J1103" s="8" t="s">
        <v>5051</v>
      </c>
      <c r="K1103" s="8"/>
      <c r="L1103" s="8" t="s">
        <v>5052</v>
      </c>
    </row>
    <row r="1104" customFormat="false" ht="23.25" hidden="false" customHeight="true" outlineLevel="0" collapsed="false">
      <c r="A1104" s="8" t="n">
        <v>901</v>
      </c>
      <c r="B1104" s="8" t="s">
        <v>39</v>
      </c>
      <c r="C1104" s="8" t="s">
        <v>5053</v>
      </c>
      <c r="D1104" s="8" t="n">
        <v>2019</v>
      </c>
      <c r="E1104" s="8" t="s">
        <v>5054</v>
      </c>
      <c r="F1104" s="8" t="s">
        <v>143</v>
      </c>
      <c r="G1104" s="8" t="s">
        <v>5055</v>
      </c>
      <c r="H1104" s="8" t="s">
        <v>3647</v>
      </c>
      <c r="I1104" s="8" t="s">
        <v>146</v>
      </c>
      <c r="J1104" s="8" t="s">
        <v>5056</v>
      </c>
      <c r="K1104" s="8" t="s">
        <v>112</v>
      </c>
      <c r="L1104" s="8" t="s">
        <v>5057</v>
      </c>
    </row>
    <row r="1105" customFormat="false" ht="34.5" hidden="false" customHeight="true" outlineLevel="0" collapsed="false">
      <c r="A1105" s="8" t="n">
        <v>902</v>
      </c>
      <c r="B1105" s="8" t="s">
        <v>39</v>
      </c>
      <c r="C1105" s="8" t="s">
        <v>5058</v>
      </c>
      <c r="D1105" s="8" t="n">
        <v>2025</v>
      </c>
      <c r="E1105" s="8" t="s">
        <v>5059</v>
      </c>
      <c r="F1105" s="8" t="s">
        <v>143</v>
      </c>
      <c r="G1105" s="8" t="s">
        <v>5060</v>
      </c>
      <c r="H1105" s="8" t="s">
        <v>678</v>
      </c>
      <c r="I1105" s="8" t="s">
        <v>146</v>
      </c>
      <c r="J1105" s="8" t="s">
        <v>5061</v>
      </c>
      <c r="K1105" s="8" t="s">
        <v>110</v>
      </c>
      <c r="L1105" s="8" t="s">
        <v>5062</v>
      </c>
    </row>
    <row r="1106" customFormat="false" ht="34.5" hidden="false" customHeight="true" outlineLevel="0" collapsed="false">
      <c r="A1106" s="8" t="n">
        <v>903</v>
      </c>
      <c r="B1106" s="8" t="s">
        <v>39</v>
      </c>
      <c r="C1106" s="8" t="s">
        <v>5063</v>
      </c>
      <c r="D1106" s="8" t="n">
        <v>2013</v>
      </c>
      <c r="E1106" s="8" t="s">
        <v>5064</v>
      </c>
      <c r="F1106" s="8" t="s">
        <v>151</v>
      </c>
      <c r="G1106" s="8" t="s">
        <v>5065</v>
      </c>
      <c r="H1106" s="8" t="s">
        <v>490</v>
      </c>
      <c r="I1106" s="8" t="s">
        <v>146</v>
      </c>
      <c r="J1106" s="8" t="s">
        <v>5066</v>
      </c>
      <c r="K1106" s="8" t="s">
        <v>116</v>
      </c>
      <c r="L1106" s="8" t="s">
        <v>5067</v>
      </c>
    </row>
    <row r="1107" customFormat="false" ht="34.5" hidden="false" customHeight="true" outlineLevel="0" collapsed="false">
      <c r="A1107" s="8" t="n">
        <v>904</v>
      </c>
      <c r="B1107" s="8" t="s">
        <v>39</v>
      </c>
      <c r="C1107" s="8" t="s">
        <v>5068</v>
      </c>
      <c r="D1107" s="8" t="n">
        <v>2023</v>
      </c>
      <c r="E1107" s="8" t="s">
        <v>5069</v>
      </c>
      <c r="F1107" s="8" t="s">
        <v>153</v>
      </c>
      <c r="G1107" s="8" t="s">
        <v>5070</v>
      </c>
      <c r="H1107" s="8" t="s">
        <v>145</v>
      </c>
      <c r="I1107" s="8" t="s">
        <v>146</v>
      </c>
      <c r="J1107" s="8" t="s">
        <v>5071</v>
      </c>
      <c r="K1107" s="8" t="s">
        <v>112</v>
      </c>
      <c r="L1107" s="8" t="s">
        <v>5072</v>
      </c>
    </row>
    <row r="1108" customFormat="false" ht="34.5" hidden="false" customHeight="true" outlineLevel="0" collapsed="false">
      <c r="A1108" s="8" t="n">
        <v>905</v>
      </c>
      <c r="B1108" s="8" t="s">
        <v>39</v>
      </c>
      <c r="C1108" s="8" t="s">
        <v>5073</v>
      </c>
      <c r="D1108" s="8" t="n">
        <v>2025</v>
      </c>
      <c r="E1108" s="8" t="s">
        <v>5074</v>
      </c>
      <c r="F1108" s="8" t="s">
        <v>143</v>
      </c>
      <c r="G1108" s="8" t="s">
        <v>5075</v>
      </c>
      <c r="H1108" s="8" t="s">
        <v>145</v>
      </c>
      <c r="I1108" s="8" t="s">
        <v>522</v>
      </c>
      <c r="J1108" s="8" t="s">
        <v>5076</v>
      </c>
      <c r="K1108" s="8" t="s">
        <v>112</v>
      </c>
      <c r="L1108" s="8" t="s">
        <v>5077</v>
      </c>
    </row>
    <row r="1109" customFormat="false" ht="34.5" hidden="false" customHeight="true" outlineLevel="0" collapsed="false">
      <c r="A1109" s="8" t="n">
        <v>906</v>
      </c>
      <c r="B1109" s="8" t="s">
        <v>39</v>
      </c>
      <c r="C1109" s="8" t="s">
        <v>5078</v>
      </c>
      <c r="D1109" s="8" t="n">
        <v>2024</v>
      </c>
      <c r="E1109" s="8" t="s">
        <v>5079</v>
      </c>
      <c r="F1109" s="8" t="s">
        <v>143</v>
      </c>
      <c r="G1109" s="8" t="s">
        <v>5080</v>
      </c>
      <c r="H1109" s="8" t="s">
        <v>145</v>
      </c>
      <c r="I1109" s="8" t="s">
        <v>146</v>
      </c>
      <c r="J1109" s="8" t="s">
        <v>5081</v>
      </c>
      <c r="K1109" s="8" t="s">
        <v>110</v>
      </c>
      <c r="L1109" s="8" t="s">
        <v>5082</v>
      </c>
    </row>
    <row r="1110" customFormat="false" ht="23.25" hidden="false" customHeight="true" outlineLevel="0" collapsed="false">
      <c r="A1110" s="8" t="n">
        <v>907</v>
      </c>
      <c r="B1110" s="8" t="s">
        <v>39</v>
      </c>
      <c r="C1110" s="8" t="s">
        <v>5083</v>
      </c>
      <c r="D1110" s="8" t="n">
        <v>2018</v>
      </c>
      <c r="E1110" s="8" t="s">
        <v>5084</v>
      </c>
      <c r="F1110" s="8" t="s">
        <v>143</v>
      </c>
      <c r="G1110" s="8" t="s">
        <v>5050</v>
      </c>
      <c r="H1110" s="8" t="s">
        <v>285</v>
      </c>
      <c r="I1110" s="8" t="s">
        <v>146</v>
      </c>
      <c r="J1110" s="8" t="s">
        <v>5043</v>
      </c>
      <c r="K1110" s="8"/>
      <c r="L1110" s="8" t="s">
        <v>5085</v>
      </c>
    </row>
    <row r="1111" customFormat="false" ht="23.25" hidden="false" customHeight="true" outlineLevel="0" collapsed="false">
      <c r="A1111" s="8" t="n">
        <v>908</v>
      </c>
      <c r="B1111" s="8" t="s">
        <v>39</v>
      </c>
      <c r="C1111" s="8" t="s">
        <v>5086</v>
      </c>
      <c r="D1111" s="8" t="n">
        <v>2015</v>
      </c>
      <c r="E1111" s="8" t="s">
        <v>5087</v>
      </c>
      <c r="F1111" s="8" t="s">
        <v>151</v>
      </c>
      <c r="G1111" s="8" t="s">
        <v>5088</v>
      </c>
      <c r="H1111" s="8" t="s">
        <v>678</v>
      </c>
      <c r="I1111" s="8" t="s">
        <v>522</v>
      </c>
      <c r="J1111" s="8" t="s">
        <v>5089</v>
      </c>
      <c r="K1111" s="8"/>
      <c r="L1111" s="8" t="s">
        <v>5090</v>
      </c>
    </row>
    <row r="1112" customFormat="false" ht="23.25" hidden="false" customHeight="true" outlineLevel="0" collapsed="false">
      <c r="A1112" s="8" t="n">
        <v>909</v>
      </c>
      <c r="B1112" s="8" t="s">
        <v>39</v>
      </c>
      <c r="C1112" s="8" t="s">
        <v>5091</v>
      </c>
      <c r="D1112" s="8" t="n">
        <v>2016</v>
      </c>
      <c r="E1112" s="8" t="s">
        <v>5092</v>
      </c>
      <c r="F1112" s="8" t="s">
        <v>151</v>
      </c>
      <c r="G1112" s="8" t="s">
        <v>5093</v>
      </c>
      <c r="H1112" s="8" t="s">
        <v>5094</v>
      </c>
      <c r="I1112" s="8" t="s">
        <v>522</v>
      </c>
      <c r="J1112" s="8" t="s">
        <v>1609</v>
      </c>
      <c r="K1112" s="8"/>
      <c r="L1112" s="8" t="s">
        <v>5095</v>
      </c>
    </row>
    <row r="1113" customFormat="false" ht="23.25" hidden="false" customHeight="true" outlineLevel="0" collapsed="false">
      <c r="A1113" s="8" t="n">
        <v>910</v>
      </c>
      <c r="B1113" s="8" t="s">
        <v>39</v>
      </c>
      <c r="C1113" s="8" t="s">
        <v>5096</v>
      </c>
      <c r="D1113" s="8" t="n">
        <v>2022</v>
      </c>
      <c r="E1113" s="8" t="s">
        <v>5097</v>
      </c>
      <c r="F1113" s="8" t="s">
        <v>143</v>
      </c>
      <c r="G1113" s="8" t="s">
        <v>5098</v>
      </c>
      <c r="H1113" s="8" t="s">
        <v>5099</v>
      </c>
      <c r="I1113" s="8" t="s">
        <v>146</v>
      </c>
      <c r="J1113" s="8" t="s">
        <v>5043</v>
      </c>
      <c r="K1113" s="8" t="s">
        <v>112</v>
      </c>
      <c r="L1113" s="8" t="s">
        <v>5100</v>
      </c>
    </row>
    <row r="1114" customFormat="false" ht="34.5" hidden="false" customHeight="true" outlineLevel="0" collapsed="false">
      <c r="A1114" s="8" t="n">
        <v>911</v>
      </c>
      <c r="B1114" s="8" t="s">
        <v>39</v>
      </c>
      <c r="C1114" s="8" t="s">
        <v>5101</v>
      </c>
      <c r="D1114" s="8" t="n">
        <v>2020</v>
      </c>
      <c r="E1114" s="8" t="s">
        <v>5102</v>
      </c>
      <c r="F1114" s="8" t="s">
        <v>143</v>
      </c>
      <c r="G1114" s="8" t="s">
        <v>5103</v>
      </c>
      <c r="H1114" s="8" t="s">
        <v>1213</v>
      </c>
      <c r="I1114" s="8" t="s">
        <v>146</v>
      </c>
      <c r="J1114" s="8" t="s">
        <v>5104</v>
      </c>
      <c r="K1114" s="8" t="s">
        <v>112</v>
      </c>
      <c r="L1114" s="8" t="s">
        <v>5105</v>
      </c>
    </row>
    <row r="1115" customFormat="false" ht="34.5" hidden="false" customHeight="true" outlineLevel="0" collapsed="false">
      <c r="A1115" s="8" t="n">
        <v>912</v>
      </c>
      <c r="B1115" s="8" t="s">
        <v>39</v>
      </c>
      <c r="C1115" s="8" t="s">
        <v>5106</v>
      </c>
      <c r="D1115" s="8" t="n">
        <v>2024</v>
      </c>
      <c r="E1115" s="8" t="s">
        <v>5107</v>
      </c>
      <c r="F1115" s="8" t="s">
        <v>153</v>
      </c>
      <c r="G1115" s="8" t="s">
        <v>5108</v>
      </c>
      <c r="H1115" s="8" t="s">
        <v>5109</v>
      </c>
      <c r="I1115" s="8" t="s">
        <v>146</v>
      </c>
      <c r="J1115" s="8" t="s">
        <v>5110</v>
      </c>
      <c r="K1115" s="8" t="s">
        <v>116</v>
      </c>
      <c r="L1115" s="8" t="s">
        <v>5111</v>
      </c>
    </row>
    <row r="1116" customFormat="false" ht="34.5" hidden="false" customHeight="true" outlineLevel="0" collapsed="false">
      <c r="A1116" s="8" t="n">
        <v>913</v>
      </c>
      <c r="B1116" s="8" t="s">
        <v>39</v>
      </c>
      <c r="C1116" s="8" t="s">
        <v>669</v>
      </c>
      <c r="D1116" s="8" t="n">
        <v>2018</v>
      </c>
      <c r="E1116" s="8" t="s">
        <v>5112</v>
      </c>
      <c r="F1116" s="8" t="s">
        <v>143</v>
      </c>
      <c r="G1116" s="8" t="s">
        <v>5045</v>
      </c>
      <c r="H1116" s="8" t="s">
        <v>145</v>
      </c>
      <c r="I1116" s="8" t="s">
        <v>153</v>
      </c>
      <c r="J1116" s="8" t="s">
        <v>5113</v>
      </c>
      <c r="K1116" s="8" t="s">
        <v>116</v>
      </c>
      <c r="L1116" s="8" t="s">
        <v>5114</v>
      </c>
    </row>
    <row r="1117" customFormat="false" ht="45.75" hidden="false" customHeight="true" outlineLevel="0" collapsed="false">
      <c r="A1117" s="8" t="n">
        <v>914</v>
      </c>
      <c r="B1117" s="8" t="s">
        <v>39</v>
      </c>
      <c r="C1117" s="8" t="s">
        <v>5115</v>
      </c>
      <c r="D1117" s="8" t="n">
        <v>2024</v>
      </c>
      <c r="E1117" s="8" t="s">
        <v>5116</v>
      </c>
      <c r="F1117" s="8" t="s">
        <v>143</v>
      </c>
      <c r="G1117" s="8" t="s">
        <v>5117</v>
      </c>
      <c r="H1117" s="8" t="s">
        <v>423</v>
      </c>
      <c r="I1117" s="8" t="s">
        <v>146</v>
      </c>
      <c r="J1117" s="8" t="s">
        <v>5118</v>
      </c>
      <c r="K1117" s="8" t="s">
        <v>110</v>
      </c>
      <c r="L1117" s="8" t="s">
        <v>5119</v>
      </c>
    </row>
    <row r="1118" customFormat="false" ht="23.25" hidden="false" customHeight="true" outlineLevel="0" collapsed="false">
      <c r="A1118" s="8" t="n">
        <v>915</v>
      </c>
      <c r="B1118" s="8" t="s">
        <v>39</v>
      </c>
      <c r="C1118" s="8" t="s">
        <v>5120</v>
      </c>
      <c r="D1118" s="8" t="n">
        <v>2022</v>
      </c>
      <c r="E1118" s="8" t="s">
        <v>5121</v>
      </c>
      <c r="F1118" s="8" t="s">
        <v>143</v>
      </c>
      <c r="G1118" s="8" t="s">
        <v>765</v>
      </c>
      <c r="H1118" s="8" t="s">
        <v>187</v>
      </c>
      <c r="I1118" s="8" t="s">
        <v>146</v>
      </c>
      <c r="J1118" s="8" t="s">
        <v>5122</v>
      </c>
      <c r="K1118" s="8"/>
      <c r="L1118" s="8" t="s">
        <v>5123</v>
      </c>
    </row>
    <row r="1119" customFormat="false" ht="34.5" hidden="false" customHeight="true" outlineLevel="0" collapsed="false">
      <c r="A1119" s="8" t="n">
        <v>916</v>
      </c>
      <c r="B1119" s="8" t="s">
        <v>39</v>
      </c>
      <c r="C1119" s="8" t="s">
        <v>1166</v>
      </c>
      <c r="D1119" s="8" t="n">
        <v>2017</v>
      </c>
      <c r="E1119" s="8" t="s">
        <v>5124</v>
      </c>
      <c r="F1119" s="8" t="s">
        <v>151</v>
      </c>
      <c r="G1119" s="8" t="s">
        <v>5065</v>
      </c>
      <c r="H1119" s="8" t="s">
        <v>5094</v>
      </c>
      <c r="I1119" s="8" t="s">
        <v>522</v>
      </c>
      <c r="J1119" s="8" t="s">
        <v>1609</v>
      </c>
      <c r="K1119" s="8" t="s">
        <v>112</v>
      </c>
      <c r="L1119" s="8" t="s">
        <v>5125</v>
      </c>
    </row>
    <row r="1120" customFormat="false" ht="23.25" hidden="false" customHeight="true" outlineLevel="0" collapsed="false">
      <c r="A1120" s="8" t="n">
        <v>917</v>
      </c>
      <c r="B1120" s="8" t="s">
        <v>39</v>
      </c>
      <c r="C1120" s="8" t="s">
        <v>5126</v>
      </c>
      <c r="D1120" s="8" t="n">
        <v>2017</v>
      </c>
      <c r="E1120" s="8" t="s">
        <v>5127</v>
      </c>
      <c r="F1120" s="8" t="s">
        <v>143</v>
      </c>
      <c r="G1120" s="8" t="s">
        <v>925</v>
      </c>
      <c r="H1120" s="8" t="s">
        <v>145</v>
      </c>
      <c r="I1120" s="8" t="s">
        <v>387</v>
      </c>
      <c r="J1120" s="8" t="s">
        <v>1609</v>
      </c>
      <c r="K1120" s="8" t="s">
        <v>1452</v>
      </c>
      <c r="L1120" s="8" t="s">
        <v>5128</v>
      </c>
    </row>
    <row r="1121" customFormat="false" ht="23.25" hidden="false" customHeight="true" outlineLevel="0" collapsed="false">
      <c r="A1121" s="8" t="n">
        <v>918</v>
      </c>
      <c r="B1121" s="8" t="s">
        <v>39</v>
      </c>
      <c r="C1121" s="8" t="s">
        <v>5129</v>
      </c>
      <c r="D1121" s="8" t="n">
        <v>2017</v>
      </c>
      <c r="E1121" s="8" t="s">
        <v>5130</v>
      </c>
      <c r="F1121" s="8" t="s">
        <v>151</v>
      </c>
      <c r="G1121" s="8" t="s">
        <v>5131</v>
      </c>
      <c r="H1121" s="8" t="s">
        <v>255</v>
      </c>
      <c r="I1121" s="8" t="s">
        <v>748</v>
      </c>
      <c r="J1121" s="8" t="s">
        <v>5132</v>
      </c>
      <c r="K1121" s="8" t="s">
        <v>112</v>
      </c>
      <c r="L1121" s="8" t="s">
        <v>5133</v>
      </c>
    </row>
    <row r="1122" customFormat="false" ht="45.75" hidden="false" customHeight="true" outlineLevel="0" collapsed="false">
      <c r="A1122" s="8" t="n">
        <v>919</v>
      </c>
      <c r="B1122" s="8" t="s">
        <v>39</v>
      </c>
      <c r="C1122" s="8" t="s">
        <v>5134</v>
      </c>
      <c r="D1122" s="8" t="n">
        <v>2019</v>
      </c>
      <c r="E1122" s="8" t="s">
        <v>5135</v>
      </c>
      <c r="F1122" s="8" t="s">
        <v>153</v>
      </c>
      <c r="G1122" s="8" t="s">
        <v>5136</v>
      </c>
      <c r="H1122" s="8" t="s">
        <v>871</v>
      </c>
      <c r="I1122" s="8" t="s">
        <v>146</v>
      </c>
      <c r="J1122" s="8" t="s">
        <v>3770</v>
      </c>
      <c r="K1122" s="8" t="s">
        <v>112</v>
      </c>
      <c r="L1122" s="8" t="s">
        <v>5137</v>
      </c>
    </row>
    <row r="1123" customFormat="false" ht="34.5" hidden="false" customHeight="true" outlineLevel="0" collapsed="false">
      <c r="A1123" s="8" t="n">
        <v>920</v>
      </c>
      <c r="B1123" s="8" t="s">
        <v>39</v>
      </c>
      <c r="C1123" s="8" t="s">
        <v>5138</v>
      </c>
      <c r="D1123" s="8" t="n">
        <v>2024</v>
      </c>
      <c r="E1123" s="8" t="s">
        <v>5139</v>
      </c>
      <c r="F1123" s="8" t="s">
        <v>151</v>
      </c>
      <c r="G1123" s="8" t="s">
        <v>765</v>
      </c>
      <c r="H1123" s="8" t="s">
        <v>527</v>
      </c>
      <c r="I1123" s="8" t="s">
        <v>146</v>
      </c>
      <c r="J1123" s="8" t="s">
        <v>3770</v>
      </c>
      <c r="K1123" s="8"/>
      <c r="L1123" s="8" t="s">
        <v>5140</v>
      </c>
    </row>
    <row r="1124" customFormat="false" ht="34.5" hidden="false" customHeight="true" outlineLevel="0" collapsed="false">
      <c r="A1124" s="8" t="n">
        <v>921</v>
      </c>
      <c r="B1124" s="8" t="s">
        <v>39</v>
      </c>
      <c r="C1124" s="8" t="s">
        <v>5141</v>
      </c>
      <c r="D1124" s="8" t="n">
        <v>2025</v>
      </c>
      <c r="E1124" s="8" t="s">
        <v>5142</v>
      </c>
      <c r="F1124" s="8" t="s">
        <v>151</v>
      </c>
      <c r="G1124" s="8" t="s">
        <v>5143</v>
      </c>
      <c r="H1124" s="8" t="s">
        <v>678</v>
      </c>
      <c r="I1124" s="8" t="s">
        <v>153</v>
      </c>
      <c r="J1124" s="8" t="s">
        <v>5144</v>
      </c>
      <c r="K1124" s="8"/>
      <c r="L1124" s="8" t="s">
        <v>5145</v>
      </c>
    </row>
    <row r="1125" customFormat="false" ht="23.25" hidden="false" customHeight="true" outlineLevel="0" collapsed="false">
      <c r="A1125" s="8" t="n">
        <v>922</v>
      </c>
      <c r="B1125" s="8" t="s">
        <v>39</v>
      </c>
      <c r="C1125" s="8" t="s">
        <v>5146</v>
      </c>
      <c r="D1125" s="8" t="n">
        <v>2022</v>
      </c>
      <c r="E1125" s="8" t="s">
        <v>5147</v>
      </c>
      <c r="F1125" s="8" t="s">
        <v>143</v>
      </c>
      <c r="G1125" s="8" t="s">
        <v>5148</v>
      </c>
      <c r="H1125" s="8" t="s">
        <v>5149</v>
      </c>
      <c r="I1125" s="8" t="s">
        <v>146</v>
      </c>
      <c r="J1125" s="8" t="s">
        <v>5043</v>
      </c>
      <c r="K1125" s="8"/>
      <c r="L1125" s="8" t="s">
        <v>5150</v>
      </c>
    </row>
    <row r="1126" customFormat="false" ht="34.5" hidden="false" customHeight="true" outlineLevel="0" collapsed="false">
      <c r="A1126" s="8" t="n">
        <v>923</v>
      </c>
      <c r="B1126" s="8" t="s">
        <v>39</v>
      </c>
      <c r="C1126" s="8" t="s">
        <v>681</v>
      </c>
      <c r="D1126" s="8" t="n">
        <v>2015</v>
      </c>
      <c r="E1126" s="8" t="s">
        <v>5151</v>
      </c>
      <c r="F1126" s="8" t="s">
        <v>143</v>
      </c>
      <c r="G1126" s="8" t="s">
        <v>495</v>
      </c>
      <c r="H1126" s="8" t="s">
        <v>684</v>
      </c>
      <c r="I1126" s="8" t="s">
        <v>146</v>
      </c>
      <c r="J1126" s="8" t="s">
        <v>5071</v>
      </c>
      <c r="K1126" s="8" t="s">
        <v>116</v>
      </c>
      <c r="L1126" s="8" t="s">
        <v>5152</v>
      </c>
    </row>
    <row r="1127" customFormat="false" ht="34.5" hidden="false" customHeight="true" outlineLevel="0" collapsed="false">
      <c r="A1127" s="8" t="n">
        <v>924</v>
      </c>
      <c r="B1127" s="8" t="s">
        <v>39</v>
      </c>
      <c r="C1127" s="8" t="s">
        <v>681</v>
      </c>
      <c r="D1127" s="8" t="n">
        <v>2023</v>
      </c>
      <c r="E1127" s="8" t="s">
        <v>5153</v>
      </c>
      <c r="F1127" s="8" t="s">
        <v>143</v>
      </c>
      <c r="G1127" s="8" t="s">
        <v>5154</v>
      </c>
      <c r="H1127" s="8" t="s">
        <v>678</v>
      </c>
      <c r="I1127" s="8" t="s">
        <v>146</v>
      </c>
      <c r="J1127" s="8" t="s">
        <v>383</v>
      </c>
      <c r="K1127" s="8"/>
      <c r="L1127" s="8" t="s">
        <v>5155</v>
      </c>
    </row>
    <row r="1128" customFormat="false" ht="34.5" hidden="false" customHeight="true" outlineLevel="0" collapsed="false">
      <c r="A1128" s="9" t="n">
        <v>925</v>
      </c>
      <c r="B1128" s="10" t="s">
        <v>39</v>
      </c>
      <c r="C1128" s="10" t="s">
        <v>5156</v>
      </c>
      <c r="D1128" s="10" t="n">
        <v>2021</v>
      </c>
      <c r="E1128" s="10" t="s">
        <v>5157</v>
      </c>
      <c r="F1128" s="10" t="s">
        <v>143</v>
      </c>
      <c r="G1128" s="10" t="s">
        <v>5158</v>
      </c>
      <c r="H1128" s="10" t="s">
        <v>5159</v>
      </c>
      <c r="I1128" s="10" t="s">
        <v>208</v>
      </c>
      <c r="J1128" s="10" t="s">
        <v>5160</v>
      </c>
      <c r="K1128" s="10" t="s">
        <v>110</v>
      </c>
      <c r="L1128" s="10" t="s">
        <v>5161</v>
      </c>
    </row>
    <row r="1129" customFormat="false" ht="34.5" hidden="false" customHeight="true" outlineLevel="0" collapsed="false">
      <c r="A1129" s="11" t="n">
        <v>925</v>
      </c>
      <c r="B1129" s="12" t="s">
        <v>41</v>
      </c>
      <c r="C1129" s="12" t="s">
        <v>5156</v>
      </c>
      <c r="D1129" s="12" t="n">
        <v>2021</v>
      </c>
      <c r="E1129" s="12" t="s">
        <v>5162</v>
      </c>
      <c r="F1129" s="12" t="s">
        <v>143</v>
      </c>
      <c r="G1129" s="12" t="s">
        <v>5163</v>
      </c>
      <c r="H1129" s="12" t="s">
        <v>145</v>
      </c>
      <c r="I1129" s="12" t="s">
        <v>208</v>
      </c>
      <c r="J1129" s="12" t="s">
        <v>5164</v>
      </c>
      <c r="K1129" s="12" t="s">
        <v>110</v>
      </c>
      <c r="L1129" s="12" t="s">
        <v>5165</v>
      </c>
    </row>
    <row r="1130" customFormat="false" ht="34.5" hidden="false" customHeight="true" outlineLevel="0" collapsed="false">
      <c r="A1130" s="8" t="n">
        <v>926</v>
      </c>
      <c r="B1130" s="8" t="s">
        <v>39</v>
      </c>
      <c r="C1130" s="8" t="s">
        <v>5166</v>
      </c>
      <c r="D1130" s="8" t="n">
        <v>2018</v>
      </c>
      <c r="E1130" s="8" t="s">
        <v>5167</v>
      </c>
      <c r="F1130" s="8" t="s">
        <v>143</v>
      </c>
      <c r="G1130" s="8" t="s">
        <v>5168</v>
      </c>
      <c r="H1130" s="8" t="s">
        <v>145</v>
      </c>
      <c r="I1130" s="8" t="s">
        <v>522</v>
      </c>
      <c r="J1130" s="8" t="s">
        <v>1609</v>
      </c>
      <c r="K1130" s="8" t="s">
        <v>110</v>
      </c>
      <c r="L1130" s="8" t="s">
        <v>5169</v>
      </c>
    </row>
    <row r="1131" customFormat="false" ht="34.5" hidden="false" customHeight="true" outlineLevel="0" collapsed="false">
      <c r="A1131" s="8" t="n">
        <v>927</v>
      </c>
      <c r="B1131" s="8" t="s">
        <v>39</v>
      </c>
      <c r="C1131" s="8" t="s">
        <v>5170</v>
      </c>
      <c r="D1131" s="8" t="n">
        <v>2025</v>
      </c>
      <c r="E1131" s="8" t="s">
        <v>5171</v>
      </c>
      <c r="F1131" s="8" t="s">
        <v>143</v>
      </c>
      <c r="G1131" s="8" t="s">
        <v>5172</v>
      </c>
      <c r="H1131" s="8" t="s">
        <v>145</v>
      </c>
      <c r="I1131" s="8" t="s">
        <v>748</v>
      </c>
      <c r="J1131" s="8" t="s">
        <v>5173</v>
      </c>
      <c r="K1131" s="8" t="s">
        <v>5174</v>
      </c>
      <c r="L1131" s="8" t="s">
        <v>5175</v>
      </c>
    </row>
    <row r="1132" customFormat="false" ht="34.5" hidden="false" customHeight="true" outlineLevel="0" collapsed="false">
      <c r="A1132" s="8" t="n">
        <v>928</v>
      </c>
      <c r="B1132" s="8" t="s">
        <v>39</v>
      </c>
      <c r="C1132" s="8" t="s">
        <v>5176</v>
      </c>
      <c r="D1132" s="8" t="n">
        <v>2022</v>
      </c>
      <c r="E1132" s="8" t="s">
        <v>5177</v>
      </c>
      <c r="F1132" s="8" t="s">
        <v>151</v>
      </c>
      <c r="G1132" s="8" t="s">
        <v>5178</v>
      </c>
      <c r="H1132" s="8" t="s">
        <v>5179</v>
      </c>
      <c r="I1132" s="8" t="s">
        <v>522</v>
      </c>
      <c r="J1132" s="8" t="s">
        <v>1609</v>
      </c>
      <c r="K1132" s="8" t="s">
        <v>112</v>
      </c>
      <c r="L1132" s="8" t="s">
        <v>5180</v>
      </c>
    </row>
    <row r="1133" customFormat="false" ht="34.5" hidden="false" customHeight="true" outlineLevel="0" collapsed="false">
      <c r="A1133" s="8" t="n">
        <v>929</v>
      </c>
      <c r="B1133" s="8" t="s">
        <v>39</v>
      </c>
      <c r="C1133" s="8" t="s">
        <v>5181</v>
      </c>
      <c r="D1133" s="8" t="n">
        <v>2024</v>
      </c>
      <c r="E1133" s="8" t="s">
        <v>5182</v>
      </c>
      <c r="F1133" s="8" t="s">
        <v>143</v>
      </c>
      <c r="G1133" s="8" t="s">
        <v>5183</v>
      </c>
      <c r="H1133" s="8" t="s">
        <v>5184</v>
      </c>
      <c r="I1133" s="8" t="s">
        <v>153</v>
      </c>
      <c r="J1133" s="8" t="s">
        <v>1609</v>
      </c>
      <c r="K1133" s="8"/>
      <c r="L1133" s="8" t="s">
        <v>5185</v>
      </c>
    </row>
    <row r="1134" customFormat="false" ht="34.5" hidden="false" customHeight="true" outlineLevel="0" collapsed="false">
      <c r="A1134" s="8" t="n">
        <v>930</v>
      </c>
      <c r="B1134" s="8" t="s">
        <v>39</v>
      </c>
      <c r="C1134" s="8" t="s">
        <v>5186</v>
      </c>
      <c r="D1134" s="8" t="n">
        <v>2022</v>
      </c>
      <c r="E1134" s="8" t="s">
        <v>5187</v>
      </c>
      <c r="F1134" s="8" t="s">
        <v>143</v>
      </c>
      <c r="G1134" s="8" t="s">
        <v>5188</v>
      </c>
      <c r="H1134" s="8" t="s">
        <v>5189</v>
      </c>
      <c r="I1134" s="8" t="s">
        <v>146</v>
      </c>
      <c r="J1134" s="8" t="s">
        <v>5043</v>
      </c>
      <c r="K1134" s="8" t="s">
        <v>110</v>
      </c>
      <c r="L1134" s="8" t="s">
        <v>5190</v>
      </c>
    </row>
    <row r="1135" customFormat="false" ht="45.75" hidden="false" customHeight="true" outlineLevel="0" collapsed="false">
      <c r="A1135" s="8" t="n">
        <v>931</v>
      </c>
      <c r="B1135" s="8" t="s">
        <v>39</v>
      </c>
      <c r="C1135" s="8" t="s">
        <v>2844</v>
      </c>
      <c r="D1135" s="8" t="n">
        <v>2020</v>
      </c>
      <c r="E1135" s="8" t="s">
        <v>5191</v>
      </c>
      <c r="F1135" s="8" t="s">
        <v>143</v>
      </c>
      <c r="G1135" s="8" t="s">
        <v>5192</v>
      </c>
      <c r="H1135" s="8" t="s">
        <v>145</v>
      </c>
      <c r="I1135" s="8" t="s">
        <v>522</v>
      </c>
      <c r="J1135" s="8" t="s">
        <v>1609</v>
      </c>
      <c r="K1135" s="8" t="s">
        <v>112</v>
      </c>
      <c r="L1135" s="8" t="s">
        <v>5193</v>
      </c>
    </row>
    <row r="1136" customFormat="false" ht="34.5" hidden="false" customHeight="true" outlineLevel="0" collapsed="false">
      <c r="A1136" s="8" t="n">
        <v>932</v>
      </c>
      <c r="B1136" s="8" t="s">
        <v>39</v>
      </c>
      <c r="C1136" s="8" t="s">
        <v>5194</v>
      </c>
      <c r="D1136" s="8" t="n">
        <v>2010</v>
      </c>
      <c r="E1136" s="8" t="s">
        <v>5195</v>
      </c>
      <c r="F1136" s="8" t="s">
        <v>143</v>
      </c>
      <c r="G1136" s="8" t="s">
        <v>5196</v>
      </c>
      <c r="H1136" s="8" t="s">
        <v>285</v>
      </c>
      <c r="I1136" s="8" t="s">
        <v>146</v>
      </c>
      <c r="J1136" s="8" t="s">
        <v>5043</v>
      </c>
      <c r="K1136" s="8"/>
      <c r="L1136" s="8" t="s">
        <v>5197</v>
      </c>
    </row>
    <row r="1137" customFormat="false" ht="34.5" hidden="false" customHeight="true" outlineLevel="0" collapsed="false">
      <c r="A1137" s="8" t="n">
        <v>933</v>
      </c>
      <c r="B1137" s="8" t="s">
        <v>39</v>
      </c>
      <c r="C1137" s="8" t="s">
        <v>5198</v>
      </c>
      <c r="D1137" s="8" t="n">
        <v>2019</v>
      </c>
      <c r="E1137" s="8" t="s">
        <v>5199</v>
      </c>
      <c r="F1137" s="8" t="s">
        <v>143</v>
      </c>
      <c r="G1137" s="8" t="s">
        <v>5200</v>
      </c>
      <c r="H1137" s="8" t="s">
        <v>145</v>
      </c>
      <c r="I1137" s="8" t="s">
        <v>522</v>
      </c>
      <c r="J1137" s="8" t="s">
        <v>1609</v>
      </c>
      <c r="K1137" s="8" t="s">
        <v>112</v>
      </c>
      <c r="L1137" s="8" t="s">
        <v>5201</v>
      </c>
    </row>
    <row r="1138" customFormat="false" ht="45.75" hidden="false" customHeight="true" outlineLevel="0" collapsed="false">
      <c r="A1138" s="8" t="n">
        <v>934</v>
      </c>
      <c r="B1138" s="8" t="s">
        <v>39</v>
      </c>
      <c r="C1138" s="8" t="s">
        <v>5202</v>
      </c>
      <c r="D1138" s="8" t="n">
        <v>2025</v>
      </c>
      <c r="E1138" s="8" t="s">
        <v>5203</v>
      </c>
      <c r="F1138" s="8" t="s">
        <v>143</v>
      </c>
      <c r="G1138" s="8" t="s">
        <v>5204</v>
      </c>
      <c r="H1138" s="8" t="s">
        <v>327</v>
      </c>
      <c r="I1138" s="8" t="s">
        <v>522</v>
      </c>
      <c r="J1138" s="8" t="s">
        <v>1609</v>
      </c>
      <c r="K1138" s="8"/>
      <c r="L1138" s="8" t="s">
        <v>5205</v>
      </c>
    </row>
    <row r="1139" customFormat="false" ht="34.5" hidden="false" customHeight="true" outlineLevel="0" collapsed="false">
      <c r="A1139" s="8" t="n">
        <v>935</v>
      </c>
      <c r="B1139" s="8" t="s">
        <v>39</v>
      </c>
      <c r="C1139" s="8" t="s">
        <v>5206</v>
      </c>
      <c r="D1139" s="8" t="n">
        <v>2022</v>
      </c>
      <c r="E1139" s="8" t="s">
        <v>5207</v>
      </c>
      <c r="F1139" s="8" t="s">
        <v>143</v>
      </c>
      <c r="G1139" s="8" t="s">
        <v>5208</v>
      </c>
      <c r="H1139" s="8" t="s">
        <v>5209</v>
      </c>
      <c r="I1139" s="8" t="s">
        <v>208</v>
      </c>
      <c r="J1139" s="8" t="s">
        <v>5210</v>
      </c>
      <c r="K1139" s="8"/>
      <c r="L1139" s="8" t="s">
        <v>5211</v>
      </c>
    </row>
    <row r="1140" customFormat="false" ht="45.75" hidden="false" customHeight="true" outlineLevel="0" collapsed="false">
      <c r="A1140" s="8" t="n">
        <v>936</v>
      </c>
      <c r="B1140" s="8" t="s">
        <v>39</v>
      </c>
      <c r="C1140" s="8" t="s">
        <v>5212</v>
      </c>
      <c r="D1140" s="8" t="n">
        <v>2025</v>
      </c>
      <c r="E1140" s="8" t="s">
        <v>5213</v>
      </c>
      <c r="F1140" s="8" t="s">
        <v>153</v>
      </c>
      <c r="G1140" s="8" t="s">
        <v>500</v>
      </c>
      <c r="H1140" s="8" t="s">
        <v>187</v>
      </c>
      <c r="I1140" s="8" t="s">
        <v>146</v>
      </c>
      <c r="J1140" s="8" t="s">
        <v>5214</v>
      </c>
      <c r="K1140" s="8"/>
      <c r="L1140" s="8" t="s">
        <v>5215</v>
      </c>
    </row>
    <row r="1141" customFormat="false" ht="34.5" hidden="false" customHeight="true" outlineLevel="0" collapsed="false">
      <c r="A1141" s="8" t="n">
        <v>937</v>
      </c>
      <c r="B1141" s="8" t="s">
        <v>39</v>
      </c>
      <c r="C1141" s="8" t="s">
        <v>5216</v>
      </c>
      <c r="D1141" s="8" t="n">
        <v>2025</v>
      </c>
      <c r="E1141" s="8" t="s">
        <v>5217</v>
      </c>
      <c r="F1141" s="8" t="s">
        <v>143</v>
      </c>
      <c r="G1141" s="8" t="s">
        <v>5218</v>
      </c>
      <c r="H1141" s="8" t="s">
        <v>817</v>
      </c>
      <c r="I1141" s="8" t="s">
        <v>146</v>
      </c>
      <c r="J1141" s="8" t="s">
        <v>3770</v>
      </c>
      <c r="K1141" s="8" t="s">
        <v>116</v>
      </c>
      <c r="L1141" s="8" t="s">
        <v>5219</v>
      </c>
    </row>
    <row r="1142" customFormat="false" ht="34.5" hidden="false" customHeight="true" outlineLevel="0" collapsed="false">
      <c r="A1142" s="8" t="n">
        <v>938</v>
      </c>
      <c r="B1142" s="8" t="s">
        <v>39</v>
      </c>
      <c r="C1142" s="8" t="s">
        <v>5220</v>
      </c>
      <c r="D1142" s="8" t="n">
        <v>2015</v>
      </c>
      <c r="E1142" s="8" t="s">
        <v>5221</v>
      </c>
      <c r="F1142" s="8" t="s">
        <v>143</v>
      </c>
      <c r="G1142" s="8" t="s">
        <v>5222</v>
      </c>
      <c r="H1142" s="8" t="s">
        <v>914</v>
      </c>
      <c r="I1142" s="8" t="s">
        <v>146</v>
      </c>
      <c r="J1142" s="8" t="s">
        <v>5043</v>
      </c>
      <c r="K1142" s="8"/>
      <c r="L1142" s="8" t="s">
        <v>5223</v>
      </c>
    </row>
    <row r="1143" customFormat="false" ht="45.75" hidden="false" customHeight="true" outlineLevel="0" collapsed="false">
      <c r="A1143" s="8" t="n">
        <v>939</v>
      </c>
      <c r="B1143" s="8" t="s">
        <v>39</v>
      </c>
      <c r="C1143" s="8" t="s">
        <v>5224</v>
      </c>
      <c r="D1143" s="8" t="n">
        <v>2024</v>
      </c>
      <c r="E1143" s="8" t="s">
        <v>5225</v>
      </c>
      <c r="F1143" s="8" t="s">
        <v>143</v>
      </c>
      <c r="G1143" s="8" t="s">
        <v>5192</v>
      </c>
      <c r="H1143" s="8" t="s">
        <v>145</v>
      </c>
      <c r="I1143" s="8" t="s">
        <v>522</v>
      </c>
      <c r="J1143" s="8" t="s">
        <v>1609</v>
      </c>
      <c r="K1143" s="8" t="s">
        <v>110</v>
      </c>
      <c r="L1143" s="8" t="s">
        <v>5226</v>
      </c>
    </row>
    <row r="1144" customFormat="false" ht="34.5" hidden="false" customHeight="true" outlineLevel="0" collapsed="false">
      <c r="A1144" s="8" t="n">
        <v>940</v>
      </c>
      <c r="B1144" s="8" t="s">
        <v>39</v>
      </c>
      <c r="C1144" s="8" t="s">
        <v>5227</v>
      </c>
      <c r="D1144" s="8" t="n">
        <v>2019</v>
      </c>
      <c r="E1144" s="8" t="s">
        <v>5228</v>
      </c>
      <c r="F1144" s="8" t="s">
        <v>143</v>
      </c>
      <c r="G1144" s="8" t="s">
        <v>906</v>
      </c>
      <c r="H1144" s="8" t="s">
        <v>145</v>
      </c>
      <c r="I1144" s="8" t="s">
        <v>146</v>
      </c>
      <c r="J1144" s="8" t="s">
        <v>5081</v>
      </c>
      <c r="K1144" s="8" t="s">
        <v>110</v>
      </c>
      <c r="L1144" s="8" t="s">
        <v>5229</v>
      </c>
    </row>
    <row r="1145" customFormat="false" ht="23.25" hidden="false" customHeight="true" outlineLevel="0" collapsed="false">
      <c r="A1145" s="8" t="n">
        <v>941</v>
      </c>
      <c r="B1145" s="8" t="s">
        <v>39</v>
      </c>
      <c r="C1145" s="8" t="s">
        <v>5230</v>
      </c>
      <c r="D1145" s="8" t="n">
        <v>2024</v>
      </c>
      <c r="E1145" s="8" t="s">
        <v>5231</v>
      </c>
      <c r="F1145" s="8" t="s">
        <v>143</v>
      </c>
      <c r="G1145" s="8" t="s">
        <v>5232</v>
      </c>
      <c r="H1145" s="8" t="s">
        <v>145</v>
      </c>
      <c r="I1145" s="8" t="s">
        <v>208</v>
      </c>
      <c r="J1145" s="8" t="s">
        <v>5233</v>
      </c>
      <c r="K1145" s="8" t="s">
        <v>110</v>
      </c>
      <c r="L1145" s="8" t="s">
        <v>5234</v>
      </c>
    </row>
    <row r="1146" customFormat="false" ht="45.75" hidden="false" customHeight="true" outlineLevel="0" collapsed="false">
      <c r="A1146" s="8" t="n">
        <v>942</v>
      </c>
      <c r="B1146" s="8" t="s">
        <v>39</v>
      </c>
      <c r="C1146" s="8" t="s">
        <v>5235</v>
      </c>
      <c r="D1146" s="8" t="n">
        <v>2023</v>
      </c>
      <c r="E1146" s="8" t="s">
        <v>5236</v>
      </c>
      <c r="F1146" s="8" t="s">
        <v>143</v>
      </c>
      <c r="G1146" s="8" t="s">
        <v>5237</v>
      </c>
      <c r="H1146" s="8" t="s">
        <v>5238</v>
      </c>
      <c r="I1146" s="8" t="s">
        <v>146</v>
      </c>
      <c r="J1146" s="8" t="s">
        <v>1227</v>
      </c>
      <c r="K1146" s="8" t="s">
        <v>112</v>
      </c>
      <c r="L1146" s="8" t="s">
        <v>5239</v>
      </c>
    </row>
    <row r="1147" customFormat="false" ht="34.5" hidden="false" customHeight="true" outlineLevel="0" collapsed="false">
      <c r="A1147" s="8" t="n">
        <v>943</v>
      </c>
      <c r="B1147" s="8" t="s">
        <v>39</v>
      </c>
      <c r="C1147" s="8" t="s">
        <v>5240</v>
      </c>
      <c r="D1147" s="8" t="n">
        <v>2025</v>
      </c>
      <c r="E1147" s="8" t="s">
        <v>5241</v>
      </c>
      <c r="F1147" s="8" t="s">
        <v>151</v>
      </c>
      <c r="G1147" s="8" t="s">
        <v>5242</v>
      </c>
      <c r="H1147" s="8" t="s">
        <v>145</v>
      </c>
      <c r="I1147" s="8" t="s">
        <v>387</v>
      </c>
      <c r="J1147" s="8" t="s">
        <v>5243</v>
      </c>
      <c r="K1147" s="8" t="s">
        <v>110</v>
      </c>
      <c r="L1147" s="8" t="s">
        <v>5244</v>
      </c>
    </row>
    <row r="1148" customFormat="false" ht="34.5" hidden="false" customHeight="true" outlineLevel="0" collapsed="false">
      <c r="A1148" s="8" t="n">
        <v>944</v>
      </c>
      <c r="B1148" s="8" t="s">
        <v>39</v>
      </c>
      <c r="C1148" s="8" t="s">
        <v>5245</v>
      </c>
      <c r="D1148" s="8" t="n">
        <v>2023</v>
      </c>
      <c r="E1148" s="8" t="s">
        <v>5246</v>
      </c>
      <c r="F1148" s="8" t="s">
        <v>151</v>
      </c>
      <c r="G1148" s="8" t="s">
        <v>5247</v>
      </c>
      <c r="H1148" s="8" t="s">
        <v>5248</v>
      </c>
      <c r="I1148" s="8" t="s">
        <v>146</v>
      </c>
      <c r="J1148" s="8" t="s">
        <v>5043</v>
      </c>
      <c r="K1148" s="8" t="s">
        <v>116</v>
      </c>
      <c r="L1148" s="8" t="s">
        <v>5249</v>
      </c>
    </row>
    <row r="1149" customFormat="false" ht="23.25" hidden="false" customHeight="true" outlineLevel="0" collapsed="false">
      <c r="A1149" s="8" t="n">
        <v>945</v>
      </c>
      <c r="B1149" s="8" t="s">
        <v>39</v>
      </c>
      <c r="C1149" s="8" t="s">
        <v>5250</v>
      </c>
      <c r="D1149" s="8" t="n">
        <v>2025</v>
      </c>
      <c r="E1149" s="8" t="s">
        <v>5251</v>
      </c>
      <c r="F1149" s="8" t="s">
        <v>143</v>
      </c>
      <c r="G1149" s="8" t="s">
        <v>621</v>
      </c>
      <c r="H1149" s="8" t="s">
        <v>145</v>
      </c>
      <c r="I1149" s="8" t="s">
        <v>522</v>
      </c>
      <c r="J1149" s="8" t="s">
        <v>1609</v>
      </c>
      <c r="K1149" s="8" t="s">
        <v>110</v>
      </c>
      <c r="L1149" s="8" t="s">
        <v>5252</v>
      </c>
    </row>
    <row r="1150" customFormat="false" ht="23.25" hidden="false" customHeight="true" outlineLevel="0" collapsed="false">
      <c r="A1150" s="8" t="n">
        <v>946</v>
      </c>
      <c r="B1150" s="8" t="s">
        <v>39</v>
      </c>
      <c r="C1150" s="8" t="s">
        <v>5253</v>
      </c>
      <c r="D1150" s="8" t="n">
        <v>2025</v>
      </c>
      <c r="E1150" s="8" t="s">
        <v>5254</v>
      </c>
      <c r="F1150" s="8" t="s">
        <v>143</v>
      </c>
      <c r="G1150" s="8" t="s">
        <v>5192</v>
      </c>
      <c r="H1150" s="8" t="s">
        <v>145</v>
      </c>
      <c r="I1150" s="8" t="s">
        <v>522</v>
      </c>
      <c r="J1150" s="8" t="s">
        <v>1609</v>
      </c>
      <c r="K1150" s="8" t="s">
        <v>112</v>
      </c>
      <c r="L1150" s="8" t="s">
        <v>5255</v>
      </c>
    </row>
    <row r="1151" customFormat="false" ht="23.25" hidden="false" customHeight="true" outlineLevel="0" collapsed="false">
      <c r="A1151" s="8" t="n">
        <v>947</v>
      </c>
      <c r="B1151" s="8" t="s">
        <v>39</v>
      </c>
      <c r="C1151" s="8" t="s">
        <v>5256</v>
      </c>
      <c r="D1151" s="8" t="n">
        <v>2006</v>
      </c>
      <c r="E1151" s="8" t="s">
        <v>5257</v>
      </c>
      <c r="F1151" s="8" t="s">
        <v>153</v>
      </c>
      <c r="G1151" s="8" t="s">
        <v>5258</v>
      </c>
      <c r="H1151" s="8" t="s">
        <v>5259</v>
      </c>
      <c r="I1151" s="8" t="s">
        <v>146</v>
      </c>
      <c r="J1151" s="8" t="s">
        <v>5260</v>
      </c>
      <c r="K1151" s="8" t="s">
        <v>116</v>
      </c>
      <c r="L1151" s="8" t="s">
        <v>5261</v>
      </c>
    </row>
    <row r="1152" customFormat="false" ht="23.25" hidden="false" customHeight="true" outlineLevel="0" collapsed="false">
      <c r="A1152" s="8" t="n">
        <v>948</v>
      </c>
      <c r="B1152" s="8" t="s">
        <v>39</v>
      </c>
      <c r="C1152" s="8" t="s">
        <v>5262</v>
      </c>
      <c r="D1152" s="8" t="n">
        <v>2015</v>
      </c>
      <c r="E1152" s="8" t="s">
        <v>5263</v>
      </c>
      <c r="F1152" s="8" t="s">
        <v>153</v>
      </c>
      <c r="G1152" s="8" t="s">
        <v>3878</v>
      </c>
      <c r="H1152" s="8" t="s">
        <v>255</v>
      </c>
      <c r="I1152" s="8" t="s">
        <v>522</v>
      </c>
      <c r="J1152" s="8" t="s">
        <v>1609</v>
      </c>
      <c r="K1152" s="8" t="s">
        <v>112</v>
      </c>
      <c r="L1152" s="8" t="s">
        <v>5264</v>
      </c>
    </row>
    <row r="1153" customFormat="false" ht="34.5" hidden="false" customHeight="true" outlineLevel="0" collapsed="false">
      <c r="A1153" s="8" t="n">
        <v>949</v>
      </c>
      <c r="B1153" s="8" t="s">
        <v>39</v>
      </c>
      <c r="C1153" s="8" t="s">
        <v>5265</v>
      </c>
      <c r="D1153" s="8" t="n">
        <v>2015</v>
      </c>
      <c r="E1153" s="8" t="s">
        <v>5266</v>
      </c>
      <c r="F1153" s="8" t="s">
        <v>151</v>
      </c>
      <c r="G1153" s="8" t="s">
        <v>5267</v>
      </c>
      <c r="H1153" s="8" t="s">
        <v>255</v>
      </c>
      <c r="I1153" s="8" t="s">
        <v>146</v>
      </c>
      <c r="J1153" s="8" t="s">
        <v>3770</v>
      </c>
      <c r="K1153" s="8" t="s">
        <v>116</v>
      </c>
      <c r="L1153" s="8" t="s">
        <v>5268</v>
      </c>
    </row>
    <row r="1154" customFormat="false" ht="34.5" hidden="false" customHeight="true" outlineLevel="0" collapsed="false">
      <c r="A1154" s="8" t="n">
        <v>950</v>
      </c>
      <c r="B1154" s="8" t="s">
        <v>39</v>
      </c>
      <c r="C1154" s="8" t="s">
        <v>3409</v>
      </c>
      <c r="D1154" s="8" t="n">
        <v>2019</v>
      </c>
      <c r="E1154" s="8" t="s">
        <v>5269</v>
      </c>
      <c r="F1154" s="8" t="s">
        <v>151</v>
      </c>
      <c r="G1154" s="8" t="s">
        <v>5270</v>
      </c>
      <c r="H1154" s="8" t="s">
        <v>5271</v>
      </c>
      <c r="I1154" s="8" t="s">
        <v>146</v>
      </c>
      <c r="J1154" s="8" t="s">
        <v>5214</v>
      </c>
      <c r="K1154" s="8" t="s">
        <v>112</v>
      </c>
      <c r="L1154" s="8" t="s">
        <v>5272</v>
      </c>
    </row>
    <row r="1155" customFormat="false" ht="34.5" hidden="false" customHeight="true" outlineLevel="0" collapsed="false">
      <c r="A1155" s="8" t="n">
        <v>951</v>
      </c>
      <c r="B1155" s="8" t="s">
        <v>39</v>
      </c>
      <c r="C1155" s="8" t="s">
        <v>5273</v>
      </c>
      <c r="D1155" s="8" t="n">
        <v>2020</v>
      </c>
      <c r="E1155" s="8" t="s">
        <v>5274</v>
      </c>
      <c r="F1155" s="8" t="s">
        <v>143</v>
      </c>
      <c r="G1155" s="8" t="s">
        <v>5275</v>
      </c>
      <c r="H1155" s="8" t="s">
        <v>5276</v>
      </c>
      <c r="I1155" s="8" t="s">
        <v>146</v>
      </c>
      <c r="J1155" s="8" t="s">
        <v>5277</v>
      </c>
      <c r="K1155" s="8" t="s">
        <v>112</v>
      </c>
      <c r="L1155" s="8" t="s">
        <v>5278</v>
      </c>
    </row>
    <row r="1156" customFormat="false" ht="23.25" hidden="false" customHeight="true" outlineLevel="0" collapsed="false">
      <c r="A1156" s="8" t="n">
        <v>952</v>
      </c>
      <c r="B1156" s="8" t="s">
        <v>39</v>
      </c>
      <c r="C1156" s="8" t="s">
        <v>5279</v>
      </c>
      <c r="D1156" s="8" t="n">
        <v>2017</v>
      </c>
      <c r="E1156" s="8" t="s">
        <v>5280</v>
      </c>
      <c r="F1156" s="8" t="s">
        <v>153</v>
      </c>
      <c r="G1156" s="8" t="s">
        <v>5281</v>
      </c>
      <c r="H1156" s="8" t="s">
        <v>255</v>
      </c>
      <c r="I1156" s="8" t="s">
        <v>387</v>
      </c>
      <c r="J1156" s="8" t="s">
        <v>5277</v>
      </c>
      <c r="K1156" s="8" t="s">
        <v>116</v>
      </c>
      <c r="L1156" s="8" t="s">
        <v>5282</v>
      </c>
    </row>
    <row r="1157" customFormat="false" ht="34.5" hidden="false" customHeight="true" outlineLevel="0" collapsed="false">
      <c r="A1157" s="8" t="n">
        <v>953</v>
      </c>
      <c r="B1157" s="8" t="s">
        <v>39</v>
      </c>
      <c r="C1157" s="8" t="s">
        <v>5283</v>
      </c>
      <c r="D1157" s="8" t="n">
        <v>2025</v>
      </c>
      <c r="E1157" s="8" t="s">
        <v>5284</v>
      </c>
      <c r="F1157" s="8" t="s">
        <v>143</v>
      </c>
      <c r="G1157" s="8" t="s">
        <v>5285</v>
      </c>
      <c r="H1157" s="8" t="s">
        <v>382</v>
      </c>
      <c r="I1157" s="8" t="s">
        <v>146</v>
      </c>
      <c r="J1157" s="8" t="s">
        <v>383</v>
      </c>
      <c r="K1157" s="8" t="s">
        <v>116</v>
      </c>
      <c r="L1157" s="8" t="s">
        <v>5286</v>
      </c>
    </row>
    <row r="1158" customFormat="false" ht="23.25" hidden="false" customHeight="true" outlineLevel="0" collapsed="false">
      <c r="A1158" s="8" t="n">
        <v>954</v>
      </c>
      <c r="B1158" s="8" t="s">
        <v>39</v>
      </c>
      <c r="C1158" s="8" t="s">
        <v>5287</v>
      </c>
      <c r="D1158" s="8" t="n">
        <v>2024</v>
      </c>
      <c r="E1158" s="8" t="s">
        <v>5288</v>
      </c>
      <c r="F1158" s="8" t="s">
        <v>143</v>
      </c>
      <c r="G1158" s="8" t="s">
        <v>500</v>
      </c>
      <c r="H1158" s="8" t="s">
        <v>255</v>
      </c>
      <c r="I1158" s="8" t="s">
        <v>146</v>
      </c>
      <c r="J1158" s="8" t="s">
        <v>1609</v>
      </c>
      <c r="K1158" s="8" t="s">
        <v>112</v>
      </c>
      <c r="L1158" s="8" t="s">
        <v>5289</v>
      </c>
    </row>
    <row r="1159" customFormat="false" ht="34.5" hidden="false" customHeight="true" outlineLevel="0" collapsed="false">
      <c r="A1159" s="8" t="n">
        <v>955</v>
      </c>
      <c r="B1159" s="8" t="s">
        <v>39</v>
      </c>
      <c r="C1159" s="8" t="s">
        <v>5290</v>
      </c>
      <c r="D1159" s="8" t="n">
        <v>2025</v>
      </c>
      <c r="E1159" s="8" t="s">
        <v>5291</v>
      </c>
      <c r="F1159" s="8" t="s">
        <v>143</v>
      </c>
      <c r="G1159" s="8" t="s">
        <v>5292</v>
      </c>
      <c r="H1159" s="8" t="s">
        <v>1042</v>
      </c>
      <c r="I1159" s="8" t="s">
        <v>208</v>
      </c>
      <c r="J1159" s="8" t="s">
        <v>5293</v>
      </c>
      <c r="K1159" s="8" t="s">
        <v>112</v>
      </c>
      <c r="L1159" s="8" t="s">
        <v>5294</v>
      </c>
    </row>
    <row r="1160" customFormat="false" ht="45.75" hidden="false" customHeight="true" outlineLevel="0" collapsed="false">
      <c r="A1160" s="8" t="n">
        <v>956</v>
      </c>
      <c r="B1160" s="8" t="s">
        <v>39</v>
      </c>
      <c r="C1160" s="8" t="s">
        <v>5295</v>
      </c>
      <c r="D1160" s="8" t="n">
        <v>2023</v>
      </c>
      <c r="E1160" s="8" t="s">
        <v>5296</v>
      </c>
      <c r="F1160" s="8" t="s">
        <v>151</v>
      </c>
      <c r="G1160" s="8" t="s">
        <v>3878</v>
      </c>
      <c r="H1160" s="8" t="s">
        <v>5297</v>
      </c>
      <c r="I1160" s="8" t="s">
        <v>522</v>
      </c>
      <c r="J1160" s="8" t="s">
        <v>1609</v>
      </c>
      <c r="K1160" s="8" t="s">
        <v>112</v>
      </c>
      <c r="L1160" s="8" t="s">
        <v>5298</v>
      </c>
    </row>
    <row r="1161" customFormat="false" ht="23.25" hidden="false" customHeight="true" outlineLevel="0" collapsed="false">
      <c r="A1161" s="8" t="n">
        <v>957</v>
      </c>
      <c r="B1161" s="8" t="s">
        <v>39</v>
      </c>
      <c r="C1161" s="8" t="s">
        <v>5299</v>
      </c>
      <c r="D1161" s="8" t="n">
        <v>2023</v>
      </c>
      <c r="E1161" s="8" t="s">
        <v>5300</v>
      </c>
      <c r="F1161" s="8" t="s">
        <v>143</v>
      </c>
      <c r="G1161" s="8" t="s">
        <v>5301</v>
      </c>
      <c r="H1161" s="8" t="s">
        <v>2841</v>
      </c>
      <c r="I1161" s="8" t="s">
        <v>522</v>
      </c>
      <c r="J1161" s="8" t="s">
        <v>1609</v>
      </c>
      <c r="K1161" s="8" t="s">
        <v>110</v>
      </c>
      <c r="L1161" s="8" t="s">
        <v>5302</v>
      </c>
    </row>
    <row r="1162" customFormat="false" ht="23.25" hidden="false" customHeight="true" outlineLevel="0" collapsed="false">
      <c r="A1162" s="8" t="n">
        <v>958</v>
      </c>
      <c r="B1162" s="8" t="s">
        <v>39</v>
      </c>
      <c r="C1162" s="8" t="s">
        <v>5303</v>
      </c>
      <c r="D1162" s="8" t="n">
        <v>2017</v>
      </c>
      <c r="E1162" s="8" t="s">
        <v>5304</v>
      </c>
      <c r="F1162" s="8" t="s">
        <v>143</v>
      </c>
      <c r="G1162" s="8" t="s">
        <v>5305</v>
      </c>
      <c r="H1162" s="8" t="s">
        <v>5306</v>
      </c>
      <c r="I1162" s="8" t="s">
        <v>146</v>
      </c>
      <c r="J1162" s="8" t="s">
        <v>5307</v>
      </c>
      <c r="K1162" s="8"/>
      <c r="L1162" s="8" t="s">
        <v>5308</v>
      </c>
    </row>
    <row r="1163" customFormat="false" ht="23.25" hidden="false" customHeight="true" outlineLevel="0" collapsed="false">
      <c r="A1163" s="8" t="n">
        <v>959</v>
      </c>
      <c r="B1163" s="8" t="s">
        <v>39</v>
      </c>
      <c r="C1163" s="8" t="s">
        <v>5309</v>
      </c>
      <c r="D1163" s="8" t="n">
        <v>2024</v>
      </c>
      <c r="E1163" s="8" t="s">
        <v>5310</v>
      </c>
      <c r="F1163" s="8" t="s">
        <v>143</v>
      </c>
      <c r="G1163" s="8" t="s">
        <v>5311</v>
      </c>
      <c r="H1163" s="8" t="s">
        <v>817</v>
      </c>
      <c r="I1163" s="8" t="s">
        <v>387</v>
      </c>
      <c r="J1163" s="8" t="s">
        <v>5312</v>
      </c>
      <c r="K1163" s="8" t="s">
        <v>110</v>
      </c>
      <c r="L1163" s="8" t="s">
        <v>5313</v>
      </c>
    </row>
    <row r="1164" customFormat="false" ht="34.5" hidden="false" customHeight="true" outlineLevel="0" collapsed="false">
      <c r="A1164" s="8" t="n">
        <v>960</v>
      </c>
      <c r="B1164" s="8" t="s">
        <v>39</v>
      </c>
      <c r="C1164" s="8" t="s">
        <v>5314</v>
      </c>
      <c r="D1164" s="8" t="n">
        <v>2024</v>
      </c>
      <c r="E1164" s="8" t="s">
        <v>5315</v>
      </c>
      <c r="F1164" s="8" t="s">
        <v>153</v>
      </c>
      <c r="G1164" s="8" t="s">
        <v>5316</v>
      </c>
      <c r="H1164" s="8" t="s">
        <v>914</v>
      </c>
      <c r="I1164" s="8" t="s">
        <v>146</v>
      </c>
      <c r="J1164" s="8" t="s">
        <v>5043</v>
      </c>
      <c r="K1164" s="8" t="s">
        <v>116</v>
      </c>
      <c r="L1164" s="8" t="s">
        <v>5317</v>
      </c>
    </row>
    <row r="1165" customFormat="false" ht="23.25" hidden="false" customHeight="true" outlineLevel="0" collapsed="false">
      <c r="A1165" s="8" t="n">
        <v>961</v>
      </c>
      <c r="B1165" s="8" t="s">
        <v>39</v>
      </c>
      <c r="C1165" s="8" t="s">
        <v>5318</v>
      </c>
      <c r="D1165" s="8" t="n">
        <v>2019</v>
      </c>
      <c r="E1165" s="8" t="s">
        <v>5319</v>
      </c>
      <c r="F1165" s="8" t="s">
        <v>143</v>
      </c>
      <c r="G1165" s="8" t="s">
        <v>5320</v>
      </c>
      <c r="H1165" s="8" t="s">
        <v>255</v>
      </c>
      <c r="I1165" s="8" t="s">
        <v>146</v>
      </c>
      <c r="J1165" s="8" t="s">
        <v>3506</v>
      </c>
      <c r="K1165" s="8" t="s">
        <v>116</v>
      </c>
      <c r="L1165" s="8" t="s">
        <v>5321</v>
      </c>
    </row>
    <row r="1166" customFormat="false" ht="34.5" hidden="false" customHeight="true" outlineLevel="0" collapsed="false">
      <c r="A1166" s="8" t="n">
        <v>962</v>
      </c>
      <c r="B1166" s="8" t="s">
        <v>39</v>
      </c>
      <c r="C1166" s="8" t="s">
        <v>3430</v>
      </c>
      <c r="D1166" s="8" t="n">
        <v>2020</v>
      </c>
      <c r="E1166" s="8" t="s">
        <v>5322</v>
      </c>
      <c r="F1166" s="8" t="s">
        <v>143</v>
      </c>
      <c r="G1166" s="8" t="s">
        <v>5323</v>
      </c>
      <c r="H1166" s="8" t="s">
        <v>4341</v>
      </c>
      <c r="I1166" s="8" t="s">
        <v>522</v>
      </c>
      <c r="J1166" s="8" t="s">
        <v>5214</v>
      </c>
      <c r="K1166" s="8" t="s">
        <v>116</v>
      </c>
      <c r="L1166" s="8" t="s">
        <v>5324</v>
      </c>
    </row>
    <row r="1167" customFormat="false" ht="45.75" hidden="false" customHeight="true" outlineLevel="0" collapsed="false">
      <c r="A1167" s="8" t="n">
        <v>963</v>
      </c>
      <c r="B1167" s="8" t="s">
        <v>39</v>
      </c>
      <c r="C1167" s="8" t="s">
        <v>5325</v>
      </c>
      <c r="D1167" s="8" t="n">
        <v>2025</v>
      </c>
      <c r="E1167" s="8" t="s">
        <v>5326</v>
      </c>
      <c r="F1167" s="8" t="s">
        <v>143</v>
      </c>
      <c r="G1167" s="8" t="s">
        <v>5327</v>
      </c>
      <c r="H1167" s="8" t="s">
        <v>5179</v>
      </c>
      <c r="I1167" s="8" t="s">
        <v>146</v>
      </c>
      <c r="J1167" s="8" t="s">
        <v>5328</v>
      </c>
      <c r="K1167" s="8" t="s">
        <v>116</v>
      </c>
      <c r="L1167" s="8" t="s">
        <v>5329</v>
      </c>
    </row>
    <row r="1168" customFormat="false" ht="23.25" hidden="false" customHeight="true" outlineLevel="0" collapsed="false">
      <c r="A1168" s="8" t="n">
        <v>964</v>
      </c>
      <c r="B1168" s="8" t="s">
        <v>39</v>
      </c>
      <c r="C1168" s="8" t="s">
        <v>5330</v>
      </c>
      <c r="D1168" s="8" t="n">
        <v>2023</v>
      </c>
      <c r="E1168" s="8" t="s">
        <v>5331</v>
      </c>
      <c r="F1168" s="8" t="s">
        <v>151</v>
      </c>
      <c r="G1168" s="8" t="s">
        <v>5332</v>
      </c>
      <c r="H1168" s="8" t="s">
        <v>936</v>
      </c>
      <c r="I1168" s="8" t="s">
        <v>146</v>
      </c>
      <c r="J1168" s="8" t="s">
        <v>1609</v>
      </c>
      <c r="K1168" s="8" t="s">
        <v>112</v>
      </c>
      <c r="L1168" s="8" t="s">
        <v>5333</v>
      </c>
    </row>
    <row r="1169" customFormat="false" ht="34.5" hidden="false" customHeight="true" outlineLevel="0" collapsed="false">
      <c r="A1169" s="8" t="n">
        <v>965</v>
      </c>
      <c r="B1169" s="8" t="s">
        <v>39</v>
      </c>
      <c r="C1169" s="8" t="s">
        <v>5334</v>
      </c>
      <c r="D1169" s="8" t="n">
        <v>2023</v>
      </c>
      <c r="E1169" s="8" t="s">
        <v>5335</v>
      </c>
      <c r="F1169" s="8" t="s">
        <v>143</v>
      </c>
      <c r="G1169" s="8" t="s">
        <v>5093</v>
      </c>
      <c r="H1169" s="8" t="s">
        <v>936</v>
      </c>
      <c r="I1169" s="8" t="s">
        <v>522</v>
      </c>
      <c r="J1169" s="8" t="s">
        <v>1609</v>
      </c>
      <c r="K1169" s="8"/>
      <c r="L1169" s="8" t="s">
        <v>5336</v>
      </c>
    </row>
    <row r="1170" customFormat="false" ht="34.5" hidden="false" customHeight="true" outlineLevel="0" collapsed="false">
      <c r="A1170" s="8" t="n">
        <v>966</v>
      </c>
      <c r="B1170" s="8" t="s">
        <v>39</v>
      </c>
      <c r="C1170" s="8" t="s">
        <v>5337</v>
      </c>
      <c r="D1170" s="8" t="n">
        <v>2022</v>
      </c>
      <c r="E1170" s="8" t="s">
        <v>5338</v>
      </c>
      <c r="F1170" s="8" t="s">
        <v>143</v>
      </c>
      <c r="G1170" s="8" t="s">
        <v>5339</v>
      </c>
      <c r="H1170" s="8" t="s">
        <v>327</v>
      </c>
      <c r="I1170" s="8" t="s">
        <v>522</v>
      </c>
      <c r="J1170" s="8" t="s">
        <v>1609</v>
      </c>
      <c r="K1170" s="8" t="s">
        <v>112</v>
      </c>
      <c r="L1170" s="8" t="s">
        <v>5340</v>
      </c>
    </row>
    <row r="1171" customFormat="false" ht="34.5" hidden="false" customHeight="true" outlineLevel="0" collapsed="false">
      <c r="A1171" s="8" t="n">
        <v>967</v>
      </c>
      <c r="B1171" s="8" t="s">
        <v>39</v>
      </c>
      <c r="C1171" s="8" t="s">
        <v>5341</v>
      </c>
      <c r="D1171" s="8" t="n">
        <v>2024</v>
      </c>
      <c r="E1171" s="8" t="s">
        <v>5342</v>
      </c>
      <c r="F1171" s="8" t="s">
        <v>143</v>
      </c>
      <c r="G1171" s="8" t="s">
        <v>5343</v>
      </c>
      <c r="H1171" s="8" t="s">
        <v>936</v>
      </c>
      <c r="I1171" s="8" t="s">
        <v>522</v>
      </c>
      <c r="J1171" s="8" t="s">
        <v>1609</v>
      </c>
      <c r="K1171" s="8" t="s">
        <v>112</v>
      </c>
      <c r="L1171" s="8" t="s">
        <v>5344</v>
      </c>
    </row>
    <row r="1172" customFormat="false" ht="34.5" hidden="false" customHeight="true" outlineLevel="0" collapsed="false">
      <c r="A1172" s="8" t="n">
        <v>968</v>
      </c>
      <c r="B1172" s="8" t="s">
        <v>39</v>
      </c>
      <c r="C1172" s="8" t="s">
        <v>5345</v>
      </c>
      <c r="D1172" s="8" t="n">
        <v>2022</v>
      </c>
      <c r="E1172" s="8" t="s">
        <v>5346</v>
      </c>
      <c r="F1172" s="8" t="s">
        <v>143</v>
      </c>
      <c r="G1172" s="8" t="s">
        <v>5347</v>
      </c>
      <c r="H1172" s="8" t="s">
        <v>5271</v>
      </c>
      <c r="I1172" s="8" t="s">
        <v>146</v>
      </c>
      <c r="J1172" s="8" t="s">
        <v>5043</v>
      </c>
      <c r="K1172" s="8" t="s">
        <v>112</v>
      </c>
      <c r="L1172" s="8" t="s">
        <v>5348</v>
      </c>
    </row>
    <row r="1173" customFormat="false" ht="34.5" hidden="false" customHeight="true" outlineLevel="0" collapsed="false">
      <c r="A1173" s="8" t="n">
        <v>969</v>
      </c>
      <c r="B1173" s="8" t="s">
        <v>39</v>
      </c>
      <c r="C1173" s="8" t="s">
        <v>5349</v>
      </c>
      <c r="D1173" s="8" t="n">
        <v>2025</v>
      </c>
      <c r="E1173" s="8" t="s">
        <v>5350</v>
      </c>
      <c r="F1173" s="8" t="s">
        <v>143</v>
      </c>
      <c r="G1173" s="8" t="s">
        <v>5351</v>
      </c>
      <c r="H1173" s="8" t="s">
        <v>145</v>
      </c>
      <c r="I1173" s="8" t="s">
        <v>522</v>
      </c>
      <c r="J1173" s="8" t="s">
        <v>5352</v>
      </c>
      <c r="K1173" s="8"/>
      <c r="L1173" s="8" t="s">
        <v>5353</v>
      </c>
    </row>
    <row r="1174" customFormat="false" ht="34.5" hidden="false" customHeight="true" outlineLevel="0" collapsed="false">
      <c r="A1174" s="8" t="n">
        <v>970</v>
      </c>
      <c r="B1174" s="8" t="s">
        <v>39</v>
      </c>
      <c r="C1174" s="8" t="s">
        <v>5354</v>
      </c>
      <c r="D1174" s="8" t="n">
        <v>2024</v>
      </c>
      <c r="E1174" s="8" t="s">
        <v>5355</v>
      </c>
      <c r="F1174" s="8" t="s">
        <v>151</v>
      </c>
      <c r="G1174" s="8" t="s">
        <v>5356</v>
      </c>
      <c r="H1174" s="8" t="s">
        <v>5297</v>
      </c>
      <c r="I1174" s="8" t="s">
        <v>522</v>
      </c>
      <c r="J1174" s="8" t="s">
        <v>1609</v>
      </c>
      <c r="K1174" s="8"/>
      <c r="L1174" s="8" t="s">
        <v>5357</v>
      </c>
    </row>
    <row r="1175" customFormat="false" ht="23.25" hidden="false" customHeight="true" outlineLevel="0" collapsed="false">
      <c r="A1175" s="8" t="n">
        <v>971</v>
      </c>
      <c r="B1175" s="8" t="s">
        <v>39</v>
      </c>
      <c r="C1175" s="8" t="s">
        <v>5358</v>
      </c>
      <c r="D1175" s="8" t="n">
        <v>2019</v>
      </c>
      <c r="E1175" s="8" t="s">
        <v>5359</v>
      </c>
      <c r="F1175" s="8" t="s">
        <v>151</v>
      </c>
      <c r="G1175" s="8" t="s">
        <v>5360</v>
      </c>
      <c r="H1175" s="8" t="s">
        <v>5094</v>
      </c>
      <c r="I1175" s="8" t="s">
        <v>522</v>
      </c>
      <c r="J1175" s="8" t="s">
        <v>1609</v>
      </c>
      <c r="K1175" s="8"/>
      <c r="L1175" s="8" t="s">
        <v>5361</v>
      </c>
    </row>
    <row r="1176" customFormat="false" ht="34.5" hidden="false" customHeight="true" outlineLevel="0" collapsed="false">
      <c r="A1176" s="8" t="n">
        <v>972</v>
      </c>
      <c r="B1176" s="8" t="s">
        <v>39</v>
      </c>
      <c r="C1176" s="8" t="s">
        <v>5362</v>
      </c>
      <c r="D1176" s="8" t="n">
        <v>2011</v>
      </c>
      <c r="E1176" s="8" t="s">
        <v>5363</v>
      </c>
      <c r="F1176" s="8" t="s">
        <v>143</v>
      </c>
      <c r="G1176" s="8" t="s">
        <v>5364</v>
      </c>
      <c r="H1176" s="8" t="s">
        <v>145</v>
      </c>
      <c r="I1176" s="8" t="s">
        <v>522</v>
      </c>
      <c r="J1176" s="8" t="s">
        <v>1609</v>
      </c>
      <c r="K1176" s="8" t="s">
        <v>110</v>
      </c>
      <c r="L1176" s="8" t="s">
        <v>5365</v>
      </c>
    </row>
    <row r="1177" customFormat="false" ht="34.5" hidden="false" customHeight="true" outlineLevel="0" collapsed="false">
      <c r="A1177" s="8" t="n">
        <v>973</v>
      </c>
      <c r="B1177" s="8" t="s">
        <v>39</v>
      </c>
      <c r="C1177" s="8" t="s">
        <v>5366</v>
      </c>
      <c r="D1177" s="8" t="n">
        <v>2019</v>
      </c>
      <c r="E1177" s="8" t="s">
        <v>5367</v>
      </c>
      <c r="F1177" s="8" t="s">
        <v>143</v>
      </c>
      <c r="G1177" s="8" t="s">
        <v>5368</v>
      </c>
      <c r="H1177" s="8" t="s">
        <v>5369</v>
      </c>
      <c r="I1177" s="8" t="s">
        <v>522</v>
      </c>
      <c r="J1177" s="8" t="s">
        <v>1609</v>
      </c>
      <c r="K1177" s="8"/>
      <c r="L1177" s="8" t="s">
        <v>5370</v>
      </c>
    </row>
    <row r="1178" customFormat="false" ht="34.5" hidden="false" customHeight="true" outlineLevel="0" collapsed="false">
      <c r="A1178" s="8" t="n">
        <v>974</v>
      </c>
      <c r="B1178" s="8" t="s">
        <v>39</v>
      </c>
      <c r="C1178" s="8" t="s">
        <v>5371</v>
      </c>
      <c r="D1178" s="8" t="n">
        <v>2017</v>
      </c>
      <c r="E1178" s="8" t="s">
        <v>5372</v>
      </c>
      <c r="F1178" s="8" t="s">
        <v>151</v>
      </c>
      <c r="G1178" s="8" t="s">
        <v>765</v>
      </c>
      <c r="H1178" s="8" t="s">
        <v>871</v>
      </c>
      <c r="I1178" s="8" t="s">
        <v>146</v>
      </c>
      <c r="J1178" s="8" t="s">
        <v>3770</v>
      </c>
      <c r="K1178" s="8" t="s">
        <v>112</v>
      </c>
      <c r="L1178" s="8" t="s">
        <v>5373</v>
      </c>
    </row>
    <row r="1179" customFormat="false" ht="23.25" hidden="false" customHeight="true" outlineLevel="0" collapsed="false">
      <c r="A1179" s="8" t="n">
        <v>975</v>
      </c>
      <c r="B1179" s="8" t="s">
        <v>39</v>
      </c>
      <c r="C1179" s="8" t="s">
        <v>5374</v>
      </c>
      <c r="D1179" s="8" t="n">
        <v>2024</v>
      </c>
      <c r="E1179" s="8" t="s">
        <v>5375</v>
      </c>
      <c r="F1179" s="8" t="s">
        <v>143</v>
      </c>
      <c r="G1179" s="8" t="s">
        <v>5376</v>
      </c>
      <c r="H1179" s="8" t="s">
        <v>145</v>
      </c>
      <c r="I1179" s="8" t="s">
        <v>153</v>
      </c>
      <c r="J1179" s="8" t="s">
        <v>1609</v>
      </c>
      <c r="K1179" s="8"/>
      <c r="L1179" s="8" t="s">
        <v>5377</v>
      </c>
    </row>
    <row r="1180" customFormat="false" ht="23.25" hidden="false" customHeight="true" outlineLevel="0" collapsed="false">
      <c r="A1180" s="8" t="n">
        <v>976</v>
      </c>
      <c r="B1180" s="8" t="s">
        <v>39</v>
      </c>
      <c r="C1180" s="8" t="s">
        <v>5378</v>
      </c>
      <c r="D1180" s="8" t="n">
        <v>2018</v>
      </c>
      <c r="E1180" s="8" t="s">
        <v>5379</v>
      </c>
      <c r="F1180" s="8" t="s">
        <v>151</v>
      </c>
      <c r="G1180" s="8" t="s">
        <v>5380</v>
      </c>
      <c r="H1180" s="8" t="s">
        <v>145</v>
      </c>
      <c r="I1180" s="8" t="s">
        <v>146</v>
      </c>
      <c r="J1180" s="8" t="s">
        <v>5043</v>
      </c>
      <c r="K1180" s="8"/>
      <c r="L1180" s="8" t="s">
        <v>5381</v>
      </c>
    </row>
    <row r="1181" customFormat="false" ht="23.25" hidden="false" customHeight="true" outlineLevel="0" collapsed="false">
      <c r="A1181" s="8" t="n">
        <v>977</v>
      </c>
      <c r="B1181" s="8" t="s">
        <v>39</v>
      </c>
      <c r="C1181" s="8" t="s">
        <v>5382</v>
      </c>
      <c r="D1181" s="8" t="n">
        <v>2025</v>
      </c>
      <c r="E1181" s="8" t="s">
        <v>5383</v>
      </c>
      <c r="F1181" s="8" t="s">
        <v>143</v>
      </c>
      <c r="G1181" s="8" t="s">
        <v>5384</v>
      </c>
      <c r="H1181" s="8" t="s">
        <v>936</v>
      </c>
      <c r="I1181" s="8" t="s">
        <v>522</v>
      </c>
      <c r="J1181" s="8" t="s">
        <v>1609</v>
      </c>
      <c r="K1181" s="8"/>
      <c r="L1181" s="8" t="s">
        <v>5385</v>
      </c>
    </row>
    <row r="1182" customFormat="false" ht="45.75" hidden="false" customHeight="true" outlineLevel="0" collapsed="false">
      <c r="A1182" s="8" t="n">
        <v>978</v>
      </c>
      <c r="B1182" s="8" t="s">
        <v>39</v>
      </c>
      <c r="C1182" s="8" t="s">
        <v>5386</v>
      </c>
      <c r="D1182" s="8" t="n">
        <v>2023</v>
      </c>
      <c r="E1182" s="8" t="s">
        <v>5387</v>
      </c>
      <c r="F1182" s="8" t="s">
        <v>143</v>
      </c>
      <c r="G1182" s="8" t="s">
        <v>5388</v>
      </c>
      <c r="H1182" s="8" t="s">
        <v>936</v>
      </c>
      <c r="I1182" s="8" t="s">
        <v>522</v>
      </c>
      <c r="J1182" s="8" t="s">
        <v>5389</v>
      </c>
      <c r="K1182" s="8" t="s">
        <v>112</v>
      </c>
      <c r="L1182" s="8" t="s">
        <v>5390</v>
      </c>
    </row>
    <row r="1183" customFormat="false" ht="34.5" hidden="false" customHeight="true" outlineLevel="0" collapsed="false">
      <c r="A1183" s="8" t="n">
        <v>979</v>
      </c>
      <c r="B1183" s="8" t="s">
        <v>39</v>
      </c>
      <c r="C1183" s="8" t="s">
        <v>5391</v>
      </c>
      <c r="D1183" s="8" t="n">
        <v>2025</v>
      </c>
      <c r="E1183" s="8" t="s">
        <v>5392</v>
      </c>
      <c r="F1183" s="8" t="s">
        <v>151</v>
      </c>
      <c r="G1183" s="8" t="s">
        <v>5393</v>
      </c>
      <c r="H1183" s="8" t="s">
        <v>684</v>
      </c>
      <c r="I1183" s="8" t="s">
        <v>522</v>
      </c>
      <c r="J1183" s="8" t="s">
        <v>1609</v>
      </c>
      <c r="K1183" s="8"/>
      <c r="L1183" s="8" t="s">
        <v>5394</v>
      </c>
    </row>
    <row r="1184" customFormat="false" ht="45.75" hidden="false" customHeight="true" outlineLevel="0" collapsed="false">
      <c r="A1184" s="8" t="n">
        <v>980</v>
      </c>
      <c r="B1184" s="8" t="s">
        <v>39</v>
      </c>
      <c r="C1184" s="8" t="s">
        <v>5395</v>
      </c>
      <c r="D1184" s="8" t="n">
        <v>2026</v>
      </c>
      <c r="E1184" s="8" t="s">
        <v>5396</v>
      </c>
      <c r="F1184" s="8" t="s">
        <v>151</v>
      </c>
      <c r="G1184" s="8" t="s">
        <v>5397</v>
      </c>
      <c r="H1184" s="8" t="s">
        <v>678</v>
      </c>
      <c r="I1184" s="8" t="s">
        <v>522</v>
      </c>
      <c r="J1184" s="8" t="s">
        <v>1609</v>
      </c>
      <c r="K1184" s="8" t="s">
        <v>110</v>
      </c>
      <c r="L1184" s="8" t="s">
        <v>5398</v>
      </c>
    </row>
    <row r="1185" customFormat="false" ht="23.25" hidden="false" customHeight="true" outlineLevel="0" collapsed="false">
      <c r="A1185" s="8" t="n">
        <v>981</v>
      </c>
      <c r="B1185" s="8" t="s">
        <v>39</v>
      </c>
      <c r="C1185" s="8" t="s">
        <v>5399</v>
      </c>
      <c r="D1185" s="8" t="n">
        <v>2017</v>
      </c>
      <c r="E1185" s="8" t="s">
        <v>5400</v>
      </c>
      <c r="F1185" s="8" t="s">
        <v>143</v>
      </c>
      <c r="G1185" s="8" t="s">
        <v>5401</v>
      </c>
      <c r="H1185" s="8" t="s">
        <v>3558</v>
      </c>
      <c r="I1185" s="8" t="s">
        <v>146</v>
      </c>
      <c r="J1185" s="8" t="s">
        <v>5051</v>
      </c>
      <c r="K1185" s="8" t="s">
        <v>112</v>
      </c>
      <c r="L1185" s="8" t="s">
        <v>5402</v>
      </c>
    </row>
    <row r="1186" customFormat="false" ht="34.5" hidden="false" customHeight="true" outlineLevel="0" collapsed="false">
      <c r="A1186" s="8" t="n">
        <v>982</v>
      </c>
      <c r="B1186" s="8" t="s">
        <v>39</v>
      </c>
      <c r="C1186" s="8" t="s">
        <v>5403</v>
      </c>
      <c r="D1186" s="8" t="n">
        <v>2020</v>
      </c>
      <c r="E1186" s="8" t="s">
        <v>5404</v>
      </c>
      <c r="F1186" s="8" t="s">
        <v>143</v>
      </c>
      <c r="G1186" s="8" t="s">
        <v>5405</v>
      </c>
      <c r="H1186" s="8" t="s">
        <v>2117</v>
      </c>
      <c r="I1186" s="8" t="s">
        <v>146</v>
      </c>
      <c r="J1186" s="8" t="s">
        <v>5406</v>
      </c>
      <c r="K1186" s="8" t="s">
        <v>112</v>
      </c>
      <c r="L1186" s="8" t="s">
        <v>5407</v>
      </c>
    </row>
    <row r="1187" customFormat="false" ht="34.5" hidden="false" customHeight="true" outlineLevel="0" collapsed="false">
      <c r="A1187" s="8" t="n">
        <v>983</v>
      </c>
      <c r="B1187" s="8" t="s">
        <v>39</v>
      </c>
      <c r="C1187" s="8" t="s">
        <v>5408</v>
      </c>
      <c r="D1187" s="8" t="n">
        <v>2015</v>
      </c>
      <c r="E1187" s="8" t="s">
        <v>5409</v>
      </c>
      <c r="F1187" s="8" t="s">
        <v>143</v>
      </c>
      <c r="G1187" s="8" t="s">
        <v>956</v>
      </c>
      <c r="H1187" s="8" t="s">
        <v>5410</v>
      </c>
      <c r="I1187" s="8" t="s">
        <v>146</v>
      </c>
      <c r="J1187" s="8" t="s">
        <v>1609</v>
      </c>
      <c r="K1187" s="8" t="s">
        <v>112</v>
      </c>
      <c r="L1187" s="8" t="s">
        <v>5411</v>
      </c>
    </row>
    <row r="1188" customFormat="false" ht="23.25" hidden="false" customHeight="true" outlineLevel="0" collapsed="false">
      <c r="A1188" s="8" t="n">
        <v>984</v>
      </c>
      <c r="B1188" s="8" t="s">
        <v>39</v>
      </c>
      <c r="C1188" s="8" t="s">
        <v>5412</v>
      </c>
      <c r="D1188" s="8" t="n">
        <v>2025</v>
      </c>
      <c r="E1188" s="8" t="s">
        <v>5413</v>
      </c>
      <c r="F1188" s="8" t="s">
        <v>143</v>
      </c>
      <c r="G1188" s="8" t="s">
        <v>5414</v>
      </c>
      <c r="H1188" s="8" t="s">
        <v>145</v>
      </c>
      <c r="I1188" s="8" t="s">
        <v>146</v>
      </c>
      <c r="J1188" s="8" t="s">
        <v>5415</v>
      </c>
      <c r="K1188" s="8" t="s">
        <v>116</v>
      </c>
      <c r="L1188" s="8" t="s">
        <v>5416</v>
      </c>
    </row>
    <row r="1189" customFormat="false" ht="34.5" hidden="false" customHeight="true" outlineLevel="0" collapsed="false">
      <c r="A1189" s="8" t="n">
        <v>985</v>
      </c>
      <c r="B1189" s="8" t="s">
        <v>39</v>
      </c>
      <c r="C1189" s="8" t="s">
        <v>5417</v>
      </c>
      <c r="D1189" s="8" t="n">
        <v>2013</v>
      </c>
      <c r="E1189" s="8" t="s">
        <v>5418</v>
      </c>
      <c r="F1189" s="8" t="s">
        <v>153</v>
      </c>
      <c r="G1189" s="8" t="s">
        <v>5192</v>
      </c>
      <c r="H1189" s="8" t="s">
        <v>145</v>
      </c>
      <c r="I1189" s="8" t="s">
        <v>146</v>
      </c>
      <c r="J1189" s="8" t="s">
        <v>1227</v>
      </c>
      <c r="K1189" s="8" t="s">
        <v>110</v>
      </c>
      <c r="L1189" s="8" t="s">
        <v>5419</v>
      </c>
    </row>
    <row r="1190" customFormat="false" ht="45.75" hidden="false" customHeight="true" outlineLevel="0" collapsed="false">
      <c r="A1190" s="8" t="n">
        <v>986</v>
      </c>
      <c r="B1190" s="8" t="s">
        <v>39</v>
      </c>
      <c r="C1190" s="8" t="s">
        <v>5420</v>
      </c>
      <c r="D1190" s="8" t="n">
        <v>2017</v>
      </c>
      <c r="E1190" s="8" t="s">
        <v>5421</v>
      </c>
      <c r="F1190" s="8" t="s">
        <v>143</v>
      </c>
      <c r="G1190" s="8" t="s">
        <v>5422</v>
      </c>
      <c r="H1190" s="8" t="s">
        <v>423</v>
      </c>
      <c r="I1190" s="8" t="s">
        <v>146</v>
      </c>
      <c r="J1190" s="8" t="s">
        <v>1227</v>
      </c>
      <c r="K1190" s="8" t="s">
        <v>110</v>
      </c>
      <c r="L1190" s="8" t="s">
        <v>5423</v>
      </c>
    </row>
    <row r="1191" customFormat="false" ht="23.25" hidden="false" customHeight="true" outlineLevel="0" collapsed="false">
      <c r="A1191" s="8" t="n">
        <v>987</v>
      </c>
      <c r="B1191" s="8" t="s">
        <v>39</v>
      </c>
      <c r="C1191" s="8" t="s">
        <v>5424</v>
      </c>
      <c r="D1191" s="8" t="n">
        <v>2019</v>
      </c>
      <c r="E1191" s="8" t="s">
        <v>5425</v>
      </c>
      <c r="F1191" s="8" t="s">
        <v>153</v>
      </c>
      <c r="G1191" s="8" t="s">
        <v>5192</v>
      </c>
      <c r="H1191" s="8" t="s">
        <v>5426</v>
      </c>
      <c r="I1191" s="8" t="s">
        <v>146</v>
      </c>
      <c r="J1191" s="8" t="s">
        <v>1227</v>
      </c>
      <c r="K1191" s="8" t="s">
        <v>110</v>
      </c>
      <c r="L1191" s="8" t="s">
        <v>5427</v>
      </c>
    </row>
    <row r="1192" customFormat="false" ht="34.5" hidden="false" customHeight="true" outlineLevel="0" collapsed="false">
      <c r="A1192" s="8" t="n">
        <v>988</v>
      </c>
      <c r="B1192" s="8" t="s">
        <v>39</v>
      </c>
      <c r="C1192" s="8" t="s">
        <v>5428</v>
      </c>
      <c r="D1192" s="8" t="n">
        <v>2023</v>
      </c>
      <c r="E1192" s="8" t="s">
        <v>5429</v>
      </c>
      <c r="F1192" s="8" t="s">
        <v>143</v>
      </c>
      <c r="G1192" s="8" t="s">
        <v>5430</v>
      </c>
      <c r="H1192" s="8" t="s">
        <v>5431</v>
      </c>
      <c r="I1192" s="8" t="s">
        <v>146</v>
      </c>
      <c r="J1192" s="8" t="s">
        <v>5043</v>
      </c>
      <c r="K1192" s="8"/>
      <c r="L1192" s="8" t="s">
        <v>5432</v>
      </c>
    </row>
    <row r="1193" customFormat="false" ht="34.5" hidden="false" customHeight="true" outlineLevel="0" collapsed="false">
      <c r="A1193" s="8" t="n">
        <v>989</v>
      </c>
      <c r="B1193" s="8" t="s">
        <v>39</v>
      </c>
      <c r="C1193" s="8" t="s">
        <v>5433</v>
      </c>
      <c r="D1193" s="8" t="n">
        <v>2012</v>
      </c>
      <c r="E1193" s="8" t="s">
        <v>5434</v>
      </c>
      <c r="F1193" s="8" t="s">
        <v>153</v>
      </c>
      <c r="G1193" s="8" t="s">
        <v>5435</v>
      </c>
      <c r="H1193" s="8" t="s">
        <v>5436</v>
      </c>
      <c r="I1193" s="8" t="s">
        <v>146</v>
      </c>
      <c r="J1193" s="8" t="s">
        <v>5043</v>
      </c>
      <c r="K1193" s="8"/>
      <c r="L1193" s="8" t="s">
        <v>5437</v>
      </c>
    </row>
    <row r="1194" customFormat="false" ht="34.5" hidden="false" customHeight="true" outlineLevel="0" collapsed="false">
      <c r="A1194" s="8" t="n">
        <v>990</v>
      </c>
      <c r="B1194" s="8" t="s">
        <v>39</v>
      </c>
      <c r="C1194" s="8" t="s">
        <v>5433</v>
      </c>
      <c r="D1194" s="8" t="n">
        <v>2014</v>
      </c>
      <c r="E1194" s="8" t="s">
        <v>5438</v>
      </c>
      <c r="F1194" s="8" t="s">
        <v>143</v>
      </c>
      <c r="G1194" s="8" t="s">
        <v>5439</v>
      </c>
      <c r="H1194" s="8" t="s">
        <v>187</v>
      </c>
      <c r="I1194" s="8" t="s">
        <v>146</v>
      </c>
      <c r="J1194" s="8" t="s">
        <v>5043</v>
      </c>
      <c r="K1194" s="8"/>
      <c r="L1194" s="8" t="s">
        <v>5440</v>
      </c>
    </row>
    <row r="1195" customFormat="false" ht="34.5" hidden="false" customHeight="true" outlineLevel="0" collapsed="false">
      <c r="A1195" s="8" t="n">
        <v>991</v>
      </c>
      <c r="B1195" s="8" t="s">
        <v>39</v>
      </c>
      <c r="C1195" s="8" t="s">
        <v>5441</v>
      </c>
      <c r="D1195" s="8" t="n">
        <v>2023</v>
      </c>
      <c r="E1195" s="8" t="s">
        <v>5442</v>
      </c>
      <c r="F1195" s="8" t="s">
        <v>143</v>
      </c>
      <c r="G1195" s="8" t="s">
        <v>5443</v>
      </c>
      <c r="H1195" s="8" t="s">
        <v>690</v>
      </c>
      <c r="I1195" s="8" t="s">
        <v>146</v>
      </c>
      <c r="J1195" s="8" t="s">
        <v>2046</v>
      </c>
      <c r="K1195" s="8" t="s">
        <v>116</v>
      </c>
      <c r="L1195" s="8" t="s">
        <v>5444</v>
      </c>
    </row>
    <row r="1196" customFormat="false" ht="23.25" hidden="false" customHeight="true" outlineLevel="0" collapsed="false">
      <c r="A1196" s="8" t="n">
        <v>992</v>
      </c>
      <c r="B1196" s="8" t="s">
        <v>39</v>
      </c>
      <c r="C1196" s="8" t="s">
        <v>5445</v>
      </c>
      <c r="D1196" s="8" t="n">
        <v>2023</v>
      </c>
      <c r="E1196" s="8" t="s">
        <v>5446</v>
      </c>
      <c r="F1196" s="8" t="s">
        <v>143</v>
      </c>
      <c r="G1196" s="8" t="s">
        <v>5447</v>
      </c>
      <c r="H1196" s="8" t="s">
        <v>145</v>
      </c>
      <c r="I1196" s="8" t="s">
        <v>146</v>
      </c>
      <c r="J1196" s="8" t="s">
        <v>5043</v>
      </c>
      <c r="K1196" s="8"/>
      <c r="L1196" s="8" t="s">
        <v>5448</v>
      </c>
    </row>
    <row r="1197" customFormat="false" ht="23.25" hidden="false" customHeight="true" outlineLevel="0" collapsed="false">
      <c r="A1197" s="8" t="n">
        <v>993</v>
      </c>
      <c r="B1197" s="8" t="s">
        <v>39</v>
      </c>
      <c r="C1197" s="8" t="s">
        <v>5449</v>
      </c>
      <c r="D1197" s="8" t="n">
        <v>2023</v>
      </c>
      <c r="E1197" s="8" t="s">
        <v>5450</v>
      </c>
      <c r="F1197" s="8" t="s">
        <v>151</v>
      </c>
      <c r="G1197" s="8" t="s">
        <v>5451</v>
      </c>
      <c r="H1197" s="8" t="s">
        <v>145</v>
      </c>
      <c r="I1197" s="8" t="s">
        <v>522</v>
      </c>
      <c r="J1197" s="8" t="s">
        <v>1609</v>
      </c>
      <c r="K1197" s="8"/>
      <c r="L1197" s="8" t="s">
        <v>5452</v>
      </c>
    </row>
    <row r="1198" customFormat="false" ht="34.5" hidden="false" customHeight="true" outlineLevel="0" collapsed="false">
      <c r="A1198" s="8" t="n">
        <v>994</v>
      </c>
      <c r="B1198" s="8" t="s">
        <v>39</v>
      </c>
      <c r="C1198" s="8" t="s">
        <v>5453</v>
      </c>
      <c r="D1198" s="8" t="n">
        <v>2013</v>
      </c>
      <c r="E1198" s="8" t="s">
        <v>5454</v>
      </c>
      <c r="F1198" s="8" t="s">
        <v>151</v>
      </c>
      <c r="G1198" s="8" t="s">
        <v>5093</v>
      </c>
      <c r="H1198" s="8" t="s">
        <v>5455</v>
      </c>
      <c r="I1198" s="8" t="s">
        <v>522</v>
      </c>
      <c r="J1198" s="8" t="s">
        <v>1609</v>
      </c>
      <c r="K1198" s="8"/>
      <c r="L1198" s="8" t="s">
        <v>5456</v>
      </c>
    </row>
    <row r="1199" customFormat="false" ht="34.5" hidden="false" customHeight="true" outlineLevel="0" collapsed="false">
      <c r="A1199" s="8" t="n">
        <v>995</v>
      </c>
      <c r="B1199" s="8" t="s">
        <v>39</v>
      </c>
      <c r="C1199" s="8" t="s">
        <v>5457</v>
      </c>
      <c r="D1199" s="8" t="n">
        <v>2017</v>
      </c>
      <c r="E1199" s="8" t="s">
        <v>5458</v>
      </c>
      <c r="F1199" s="8" t="s">
        <v>143</v>
      </c>
      <c r="G1199" s="8" t="s">
        <v>5459</v>
      </c>
      <c r="H1199" s="8" t="s">
        <v>1198</v>
      </c>
      <c r="I1199" s="8" t="s">
        <v>146</v>
      </c>
      <c r="J1199" s="8" t="s">
        <v>3553</v>
      </c>
      <c r="K1199" s="8" t="s">
        <v>116</v>
      </c>
      <c r="L1199" s="8" t="s">
        <v>5460</v>
      </c>
    </row>
    <row r="1200" customFormat="false" ht="23.25" hidden="false" customHeight="true" outlineLevel="0" collapsed="false">
      <c r="A1200" s="8" t="n">
        <v>996</v>
      </c>
      <c r="B1200" s="8" t="s">
        <v>39</v>
      </c>
      <c r="C1200" s="8" t="s">
        <v>5461</v>
      </c>
      <c r="D1200" s="8" t="n">
        <v>2025</v>
      </c>
      <c r="E1200" s="8" t="s">
        <v>5462</v>
      </c>
      <c r="F1200" s="8" t="s">
        <v>143</v>
      </c>
      <c r="G1200" s="8" t="s">
        <v>5463</v>
      </c>
      <c r="H1200" s="8" t="s">
        <v>187</v>
      </c>
      <c r="I1200" s="8" t="s">
        <v>146</v>
      </c>
      <c r="J1200" s="8" t="s">
        <v>5464</v>
      </c>
      <c r="K1200" s="8"/>
      <c r="L1200" s="8" t="s">
        <v>5465</v>
      </c>
    </row>
    <row r="1201" customFormat="false" ht="34.5" hidden="false" customHeight="true" outlineLevel="0" collapsed="false">
      <c r="A1201" s="8" t="n">
        <v>997</v>
      </c>
      <c r="B1201" s="8" t="s">
        <v>39</v>
      </c>
      <c r="C1201" s="8" t="s">
        <v>5466</v>
      </c>
      <c r="D1201" s="8" t="n">
        <v>2017</v>
      </c>
      <c r="E1201" s="8" t="s">
        <v>5467</v>
      </c>
      <c r="F1201" s="8" t="s">
        <v>143</v>
      </c>
      <c r="G1201" s="8" t="s">
        <v>5468</v>
      </c>
      <c r="H1201" s="8" t="s">
        <v>145</v>
      </c>
      <c r="I1201" s="8" t="s">
        <v>208</v>
      </c>
      <c r="J1201" s="8" t="s">
        <v>5469</v>
      </c>
      <c r="K1201" s="8" t="s">
        <v>112</v>
      </c>
      <c r="L1201" s="8" t="s">
        <v>5470</v>
      </c>
    </row>
    <row r="1202" customFormat="false" ht="34.5" hidden="false" customHeight="true" outlineLevel="0" collapsed="false">
      <c r="A1202" s="8" t="n">
        <v>998</v>
      </c>
      <c r="B1202" s="8" t="s">
        <v>39</v>
      </c>
      <c r="C1202" s="8" t="s">
        <v>5466</v>
      </c>
      <c r="D1202" s="8" t="n">
        <v>2021</v>
      </c>
      <c r="E1202" s="8" t="s">
        <v>5471</v>
      </c>
      <c r="F1202" s="8" t="s">
        <v>143</v>
      </c>
      <c r="G1202" s="8" t="s">
        <v>5472</v>
      </c>
      <c r="H1202" s="8" t="s">
        <v>255</v>
      </c>
      <c r="I1202" s="8" t="s">
        <v>208</v>
      </c>
      <c r="J1202" s="8" t="s">
        <v>5473</v>
      </c>
      <c r="K1202" s="8" t="s">
        <v>112</v>
      </c>
      <c r="L1202" s="8" t="s">
        <v>5474</v>
      </c>
    </row>
    <row r="1203" customFormat="false" ht="34.5" hidden="false" customHeight="true" outlineLevel="0" collapsed="false">
      <c r="A1203" s="8" t="n">
        <v>999</v>
      </c>
      <c r="B1203" s="8" t="s">
        <v>39</v>
      </c>
      <c r="C1203" s="8" t="s">
        <v>5475</v>
      </c>
      <c r="D1203" s="8" t="n">
        <v>2021</v>
      </c>
      <c r="E1203" s="8" t="s">
        <v>5476</v>
      </c>
      <c r="F1203" s="8" t="s">
        <v>143</v>
      </c>
      <c r="G1203" s="8" t="s">
        <v>5477</v>
      </c>
      <c r="H1203" s="8" t="s">
        <v>255</v>
      </c>
      <c r="I1203" s="8" t="s">
        <v>208</v>
      </c>
      <c r="J1203" s="8" t="s">
        <v>5478</v>
      </c>
      <c r="K1203" s="8" t="s">
        <v>112</v>
      </c>
      <c r="L1203" s="8" t="s">
        <v>5479</v>
      </c>
    </row>
    <row r="1204" customFormat="false" ht="34.5" hidden="false" customHeight="true" outlineLevel="0" collapsed="false">
      <c r="A1204" s="8" t="n">
        <v>1000</v>
      </c>
      <c r="B1204" s="8" t="s">
        <v>39</v>
      </c>
      <c r="C1204" s="8" t="s">
        <v>5480</v>
      </c>
      <c r="D1204" s="8" t="n">
        <v>2025</v>
      </c>
      <c r="E1204" s="8" t="s">
        <v>5481</v>
      </c>
      <c r="F1204" s="8" t="s">
        <v>153</v>
      </c>
      <c r="G1204" s="8" t="s">
        <v>5482</v>
      </c>
      <c r="H1204" s="8" t="s">
        <v>936</v>
      </c>
      <c r="I1204" s="8" t="s">
        <v>522</v>
      </c>
      <c r="J1204" s="8" t="s">
        <v>1609</v>
      </c>
      <c r="K1204" s="8" t="s">
        <v>112</v>
      </c>
      <c r="L1204" s="8" t="s">
        <v>5483</v>
      </c>
    </row>
    <row r="1205" customFormat="false" ht="34.5" hidden="false" customHeight="true" outlineLevel="0" collapsed="false">
      <c r="A1205" s="8" t="n">
        <v>1001</v>
      </c>
      <c r="B1205" s="8" t="s">
        <v>39</v>
      </c>
      <c r="C1205" s="8" t="s">
        <v>5484</v>
      </c>
      <c r="D1205" s="8" t="n">
        <v>2016</v>
      </c>
      <c r="E1205" s="8" t="s">
        <v>5485</v>
      </c>
      <c r="F1205" s="8" t="s">
        <v>143</v>
      </c>
      <c r="G1205" s="8" t="s">
        <v>5486</v>
      </c>
      <c r="H1205" s="8" t="s">
        <v>145</v>
      </c>
      <c r="I1205" s="8" t="s">
        <v>146</v>
      </c>
      <c r="J1205" s="8" t="s">
        <v>3553</v>
      </c>
      <c r="K1205" s="8"/>
      <c r="L1205" s="8" t="s">
        <v>5487</v>
      </c>
    </row>
    <row r="1206" customFormat="false" ht="34.5" hidden="false" customHeight="true" outlineLevel="0" collapsed="false">
      <c r="A1206" s="8" t="n">
        <v>1002</v>
      </c>
      <c r="B1206" s="8" t="s">
        <v>39</v>
      </c>
      <c r="C1206" s="8" t="s">
        <v>5488</v>
      </c>
      <c r="D1206" s="8" t="n">
        <v>2024</v>
      </c>
      <c r="E1206" s="8" t="s">
        <v>5489</v>
      </c>
      <c r="F1206" s="8" t="s">
        <v>143</v>
      </c>
      <c r="G1206" s="8" t="s">
        <v>5490</v>
      </c>
      <c r="H1206" s="8" t="s">
        <v>145</v>
      </c>
      <c r="I1206" s="8" t="s">
        <v>146</v>
      </c>
      <c r="J1206" s="8" t="s">
        <v>5491</v>
      </c>
      <c r="K1206" s="8"/>
      <c r="L1206" s="8" t="s">
        <v>5492</v>
      </c>
    </row>
    <row r="1207" customFormat="false" ht="34.5" hidden="false" customHeight="true" outlineLevel="0" collapsed="false">
      <c r="A1207" s="8" t="n">
        <v>1003</v>
      </c>
      <c r="B1207" s="8" t="s">
        <v>39</v>
      </c>
      <c r="C1207" s="8" t="s">
        <v>5493</v>
      </c>
      <c r="D1207" s="8" t="n">
        <v>2024</v>
      </c>
      <c r="E1207" s="8" t="s">
        <v>5494</v>
      </c>
      <c r="F1207" s="8" t="s">
        <v>143</v>
      </c>
      <c r="G1207" s="8" t="s">
        <v>5495</v>
      </c>
      <c r="H1207" s="8" t="s">
        <v>5496</v>
      </c>
      <c r="I1207" s="8" t="s">
        <v>146</v>
      </c>
      <c r="J1207" s="8" t="s">
        <v>5497</v>
      </c>
      <c r="K1207" s="8" t="s">
        <v>112</v>
      </c>
      <c r="L1207" s="8" t="s">
        <v>5498</v>
      </c>
    </row>
    <row r="1208" customFormat="false" ht="34.5" hidden="false" customHeight="true" outlineLevel="0" collapsed="false">
      <c r="A1208" s="8" t="n">
        <v>1004</v>
      </c>
      <c r="B1208" s="8" t="s">
        <v>39</v>
      </c>
      <c r="C1208" s="8" t="s">
        <v>5499</v>
      </c>
      <c r="D1208" s="8" t="n">
        <v>2017</v>
      </c>
      <c r="E1208" s="8" t="s">
        <v>5500</v>
      </c>
      <c r="F1208" s="8" t="s">
        <v>143</v>
      </c>
      <c r="G1208" s="8" t="s">
        <v>5501</v>
      </c>
      <c r="H1208" s="8" t="s">
        <v>1020</v>
      </c>
      <c r="I1208" s="8" t="s">
        <v>146</v>
      </c>
      <c r="J1208" s="8" t="s">
        <v>5043</v>
      </c>
      <c r="K1208" s="8"/>
      <c r="L1208" s="8" t="s">
        <v>5502</v>
      </c>
    </row>
    <row r="1209" customFormat="false" ht="34.5" hidden="false" customHeight="true" outlineLevel="0" collapsed="false">
      <c r="A1209" s="8" t="n">
        <v>1005</v>
      </c>
      <c r="B1209" s="8" t="s">
        <v>39</v>
      </c>
      <c r="C1209" s="8" t="s">
        <v>5503</v>
      </c>
      <c r="D1209" s="8" t="n">
        <v>2023</v>
      </c>
      <c r="E1209" s="8" t="s">
        <v>5504</v>
      </c>
      <c r="F1209" s="8" t="s">
        <v>143</v>
      </c>
      <c r="G1209" s="8" t="s">
        <v>5505</v>
      </c>
      <c r="H1209" s="8" t="s">
        <v>2899</v>
      </c>
      <c r="I1209" s="8" t="s">
        <v>146</v>
      </c>
      <c r="J1209" s="8" t="s">
        <v>5071</v>
      </c>
      <c r="K1209" s="8" t="s">
        <v>112</v>
      </c>
      <c r="L1209" s="8" t="s">
        <v>5506</v>
      </c>
    </row>
    <row r="1210" customFormat="false" ht="45.75" hidden="false" customHeight="true" outlineLevel="0" collapsed="false">
      <c r="A1210" s="8" t="n">
        <v>1006</v>
      </c>
      <c r="B1210" s="8" t="s">
        <v>39</v>
      </c>
      <c r="C1210" s="8" t="s">
        <v>5507</v>
      </c>
      <c r="D1210" s="8" t="n">
        <v>2024</v>
      </c>
      <c r="E1210" s="8" t="s">
        <v>5508</v>
      </c>
      <c r="F1210" s="8" t="s">
        <v>143</v>
      </c>
      <c r="G1210" s="8" t="s">
        <v>5509</v>
      </c>
      <c r="H1210" s="8" t="s">
        <v>5510</v>
      </c>
      <c r="I1210" s="8" t="s">
        <v>153</v>
      </c>
      <c r="J1210" s="8" t="s">
        <v>5511</v>
      </c>
      <c r="K1210" s="8" t="s">
        <v>116</v>
      </c>
      <c r="L1210" s="8" t="s">
        <v>5512</v>
      </c>
    </row>
    <row r="1211" customFormat="false" ht="23.25" hidden="false" customHeight="true" outlineLevel="0" collapsed="false">
      <c r="A1211" s="8" t="n">
        <v>1007</v>
      </c>
      <c r="B1211" s="8" t="s">
        <v>39</v>
      </c>
      <c r="C1211" s="8" t="s">
        <v>5513</v>
      </c>
      <c r="D1211" s="8" t="n">
        <v>2022</v>
      </c>
      <c r="E1211" s="8" t="s">
        <v>5514</v>
      </c>
      <c r="F1211" s="8" t="s">
        <v>143</v>
      </c>
      <c r="G1211" s="8" t="s">
        <v>5515</v>
      </c>
      <c r="H1211" s="8" t="s">
        <v>936</v>
      </c>
      <c r="I1211" s="8" t="s">
        <v>146</v>
      </c>
      <c r="J1211" s="8" t="s">
        <v>3770</v>
      </c>
      <c r="K1211" s="8" t="s">
        <v>116</v>
      </c>
      <c r="L1211" s="8" t="s">
        <v>5516</v>
      </c>
    </row>
    <row r="1212" customFormat="false" ht="34.5" hidden="false" customHeight="true" outlineLevel="0" collapsed="false">
      <c r="A1212" s="8" t="n">
        <v>1008</v>
      </c>
      <c r="B1212" s="8" t="s">
        <v>39</v>
      </c>
      <c r="C1212" s="8" t="s">
        <v>5517</v>
      </c>
      <c r="D1212" s="8" t="n">
        <v>2024</v>
      </c>
      <c r="E1212" s="8" t="s">
        <v>5518</v>
      </c>
      <c r="F1212" s="8" t="s">
        <v>151</v>
      </c>
      <c r="G1212" s="8" t="s">
        <v>5519</v>
      </c>
      <c r="H1212" s="8" t="s">
        <v>684</v>
      </c>
      <c r="I1212" s="8" t="s">
        <v>146</v>
      </c>
      <c r="J1212" s="8" t="s">
        <v>5043</v>
      </c>
      <c r="K1212" s="8"/>
      <c r="L1212" s="8" t="s">
        <v>5520</v>
      </c>
    </row>
    <row r="1213" customFormat="false" ht="23.25" hidden="false" customHeight="true" outlineLevel="0" collapsed="false">
      <c r="A1213" s="8" t="n">
        <v>1009</v>
      </c>
      <c r="B1213" s="8" t="s">
        <v>39</v>
      </c>
      <c r="C1213" s="8" t="s">
        <v>5521</v>
      </c>
      <c r="D1213" s="8" t="n">
        <v>2024</v>
      </c>
      <c r="E1213" s="8" t="s">
        <v>5522</v>
      </c>
      <c r="F1213" s="8" t="s">
        <v>143</v>
      </c>
      <c r="G1213" s="8" t="s">
        <v>5523</v>
      </c>
      <c r="H1213" s="8" t="s">
        <v>145</v>
      </c>
      <c r="I1213" s="8" t="s">
        <v>146</v>
      </c>
      <c r="J1213" s="8" t="s">
        <v>5524</v>
      </c>
      <c r="K1213" s="8"/>
      <c r="L1213" s="8" t="s">
        <v>5525</v>
      </c>
    </row>
    <row r="1214" customFormat="false" ht="45.75" hidden="false" customHeight="true" outlineLevel="0" collapsed="false">
      <c r="A1214" s="8" t="n">
        <v>1010</v>
      </c>
      <c r="B1214" s="8" t="s">
        <v>39</v>
      </c>
      <c r="C1214" s="8" t="s">
        <v>5526</v>
      </c>
      <c r="D1214" s="8" t="n">
        <v>2016</v>
      </c>
      <c r="E1214" s="8" t="s">
        <v>5527</v>
      </c>
      <c r="F1214" s="8" t="s">
        <v>143</v>
      </c>
      <c r="G1214" s="8" t="s">
        <v>5528</v>
      </c>
      <c r="H1214" s="8" t="s">
        <v>690</v>
      </c>
      <c r="I1214" s="8" t="s">
        <v>146</v>
      </c>
      <c r="J1214" s="8" t="s">
        <v>2046</v>
      </c>
      <c r="K1214" s="8"/>
      <c r="L1214" s="8" t="s">
        <v>5529</v>
      </c>
    </row>
    <row r="1215" customFormat="false" ht="34.5" hidden="false" customHeight="true" outlineLevel="0" collapsed="false">
      <c r="A1215" s="8" t="n">
        <v>1011</v>
      </c>
      <c r="B1215" s="8" t="s">
        <v>39</v>
      </c>
      <c r="C1215" s="8" t="s">
        <v>5530</v>
      </c>
      <c r="D1215" s="8" t="n">
        <v>2024</v>
      </c>
      <c r="E1215" s="8" t="s">
        <v>5531</v>
      </c>
      <c r="F1215" s="8" t="s">
        <v>151</v>
      </c>
      <c r="G1215" s="8" t="s">
        <v>5192</v>
      </c>
      <c r="H1215" s="8" t="s">
        <v>5532</v>
      </c>
      <c r="I1215" s="8" t="s">
        <v>146</v>
      </c>
      <c r="J1215" s="8" t="s">
        <v>5043</v>
      </c>
      <c r="K1215" s="8"/>
      <c r="L1215" s="8" t="s">
        <v>5533</v>
      </c>
    </row>
    <row r="1216" customFormat="false" ht="34.5" hidden="false" customHeight="true" outlineLevel="0" collapsed="false">
      <c r="A1216" s="8" t="n">
        <v>1012</v>
      </c>
      <c r="B1216" s="8" t="s">
        <v>39</v>
      </c>
      <c r="C1216" s="8" t="s">
        <v>5534</v>
      </c>
      <c r="D1216" s="8" t="n">
        <v>2022</v>
      </c>
      <c r="E1216" s="8" t="s">
        <v>5535</v>
      </c>
      <c r="F1216" s="8" t="s">
        <v>143</v>
      </c>
      <c r="G1216" s="8" t="s">
        <v>5536</v>
      </c>
      <c r="H1216" s="8" t="s">
        <v>244</v>
      </c>
      <c r="I1216" s="8" t="s">
        <v>522</v>
      </c>
      <c r="J1216" s="8" t="s">
        <v>5537</v>
      </c>
      <c r="K1216" s="8" t="s">
        <v>5174</v>
      </c>
      <c r="L1216" s="8" t="s">
        <v>5538</v>
      </c>
    </row>
    <row r="1217" customFormat="false" ht="34.5" hidden="false" customHeight="true" outlineLevel="0" collapsed="false">
      <c r="A1217" s="8" t="n">
        <v>1013</v>
      </c>
      <c r="B1217" s="8" t="s">
        <v>39</v>
      </c>
      <c r="C1217" s="8" t="s">
        <v>5539</v>
      </c>
      <c r="D1217" s="8" t="n">
        <v>2021</v>
      </c>
      <c r="E1217" s="8" t="s">
        <v>5540</v>
      </c>
      <c r="F1217" s="8" t="s">
        <v>151</v>
      </c>
      <c r="G1217" s="8" t="s">
        <v>5541</v>
      </c>
      <c r="H1217" s="8" t="s">
        <v>678</v>
      </c>
      <c r="I1217" s="8" t="s">
        <v>153</v>
      </c>
      <c r="J1217" s="8" t="s">
        <v>1609</v>
      </c>
      <c r="K1217" s="8"/>
      <c r="L1217" s="8" t="s">
        <v>5542</v>
      </c>
    </row>
    <row r="1218" customFormat="false" ht="34.5" hidden="false" customHeight="true" outlineLevel="0" collapsed="false">
      <c r="A1218" s="8" t="n">
        <v>1014</v>
      </c>
      <c r="B1218" s="8" t="s">
        <v>39</v>
      </c>
      <c r="C1218" s="8" t="s">
        <v>5543</v>
      </c>
      <c r="D1218" s="8" t="n">
        <v>2010</v>
      </c>
      <c r="E1218" s="8" t="s">
        <v>5544</v>
      </c>
      <c r="F1218" s="8" t="s">
        <v>143</v>
      </c>
      <c r="G1218" s="8" t="s">
        <v>5545</v>
      </c>
      <c r="H1218" s="8" t="s">
        <v>187</v>
      </c>
      <c r="I1218" s="8" t="s">
        <v>146</v>
      </c>
      <c r="J1218" s="8" t="s">
        <v>3770</v>
      </c>
      <c r="K1218" s="8" t="s">
        <v>116</v>
      </c>
      <c r="L1218" s="8" t="s">
        <v>5546</v>
      </c>
    </row>
    <row r="1219" customFormat="false" ht="45.75" hidden="false" customHeight="true" outlineLevel="0" collapsed="false">
      <c r="A1219" s="8" t="n">
        <v>1015</v>
      </c>
      <c r="B1219" s="8" t="s">
        <v>39</v>
      </c>
      <c r="C1219" s="8" t="s">
        <v>5547</v>
      </c>
      <c r="D1219" s="8" t="n">
        <v>2015</v>
      </c>
      <c r="E1219" s="8" t="s">
        <v>5548</v>
      </c>
      <c r="F1219" s="8" t="s">
        <v>151</v>
      </c>
      <c r="G1219" s="8" t="s">
        <v>5549</v>
      </c>
      <c r="H1219" s="8" t="s">
        <v>255</v>
      </c>
      <c r="I1219" s="8" t="s">
        <v>208</v>
      </c>
      <c r="J1219" s="8" t="s">
        <v>5550</v>
      </c>
      <c r="K1219" s="8" t="s">
        <v>112</v>
      </c>
      <c r="L1219" s="8" t="s">
        <v>5551</v>
      </c>
    </row>
    <row r="1220" customFormat="false" ht="34.5" hidden="false" customHeight="true" outlineLevel="0" collapsed="false">
      <c r="A1220" s="8" t="n">
        <v>1016</v>
      </c>
      <c r="B1220" s="8" t="s">
        <v>39</v>
      </c>
      <c r="C1220" s="8" t="s">
        <v>5552</v>
      </c>
      <c r="D1220" s="8" t="n">
        <v>2015</v>
      </c>
      <c r="E1220" s="8" t="s">
        <v>5553</v>
      </c>
      <c r="F1220" s="8" t="s">
        <v>143</v>
      </c>
      <c r="G1220" s="8" t="s">
        <v>5554</v>
      </c>
      <c r="H1220" s="8" t="s">
        <v>145</v>
      </c>
      <c r="I1220" s="8" t="s">
        <v>522</v>
      </c>
      <c r="J1220" s="8" t="s">
        <v>1609</v>
      </c>
      <c r="K1220" s="8" t="s">
        <v>116</v>
      </c>
      <c r="L1220" s="8" t="s">
        <v>5555</v>
      </c>
    </row>
    <row r="1221" customFormat="false" ht="34.5" hidden="false" customHeight="true" outlineLevel="0" collapsed="false">
      <c r="A1221" s="8" t="n">
        <v>1017</v>
      </c>
      <c r="B1221" s="8" t="s">
        <v>39</v>
      </c>
      <c r="C1221" s="8" t="s">
        <v>5556</v>
      </c>
      <c r="D1221" s="8" t="n">
        <v>2017</v>
      </c>
      <c r="E1221" s="8" t="s">
        <v>5557</v>
      </c>
      <c r="F1221" s="8" t="s">
        <v>151</v>
      </c>
      <c r="G1221" s="8" t="s">
        <v>5558</v>
      </c>
      <c r="H1221" s="8" t="s">
        <v>255</v>
      </c>
      <c r="I1221" s="8" t="s">
        <v>748</v>
      </c>
      <c r="J1221" s="8" t="s">
        <v>5559</v>
      </c>
      <c r="K1221" s="8" t="s">
        <v>112</v>
      </c>
      <c r="L1221" s="8" t="s">
        <v>5560</v>
      </c>
    </row>
    <row r="1222" customFormat="false" ht="45.75" hidden="false" customHeight="true" outlineLevel="0" collapsed="false">
      <c r="A1222" s="8" t="n">
        <v>1018</v>
      </c>
      <c r="B1222" s="8" t="s">
        <v>39</v>
      </c>
      <c r="C1222" s="8" t="s">
        <v>5561</v>
      </c>
      <c r="D1222" s="8" t="n">
        <v>2022</v>
      </c>
      <c r="E1222" s="8" t="s">
        <v>5562</v>
      </c>
      <c r="F1222" s="8" t="s">
        <v>151</v>
      </c>
      <c r="G1222" s="8" t="s">
        <v>495</v>
      </c>
      <c r="H1222" s="8" t="s">
        <v>684</v>
      </c>
      <c r="I1222" s="8" t="s">
        <v>146</v>
      </c>
      <c r="J1222" s="8" t="s">
        <v>5563</v>
      </c>
      <c r="K1222" s="8"/>
      <c r="L1222" s="8" t="s">
        <v>5564</v>
      </c>
    </row>
    <row r="1223" customFormat="false" ht="34.5" hidden="false" customHeight="true" outlineLevel="0" collapsed="false">
      <c r="A1223" s="8" t="n">
        <v>1019</v>
      </c>
      <c r="B1223" s="8" t="s">
        <v>39</v>
      </c>
      <c r="C1223" s="8" t="s">
        <v>5565</v>
      </c>
      <c r="D1223" s="8" t="n">
        <v>2025</v>
      </c>
      <c r="E1223" s="8" t="s">
        <v>5566</v>
      </c>
      <c r="F1223" s="8" t="s">
        <v>143</v>
      </c>
      <c r="G1223" s="8" t="s">
        <v>5405</v>
      </c>
      <c r="H1223" s="8" t="s">
        <v>255</v>
      </c>
      <c r="I1223" s="8" t="s">
        <v>146</v>
      </c>
      <c r="J1223" s="8" t="s">
        <v>5567</v>
      </c>
      <c r="K1223" s="8" t="s">
        <v>112</v>
      </c>
      <c r="L1223" s="8" t="s">
        <v>5568</v>
      </c>
    </row>
    <row r="1224" customFormat="false" ht="45.75" hidden="false" customHeight="true" outlineLevel="0" collapsed="false">
      <c r="A1224" s="8" t="n">
        <v>1020</v>
      </c>
      <c r="B1224" s="8" t="s">
        <v>39</v>
      </c>
      <c r="C1224" s="8" t="s">
        <v>5569</v>
      </c>
      <c r="D1224" s="8" t="n">
        <v>2021</v>
      </c>
      <c r="E1224" s="8" t="s">
        <v>5570</v>
      </c>
      <c r="F1224" s="8" t="s">
        <v>143</v>
      </c>
      <c r="G1224" s="8" t="s">
        <v>5571</v>
      </c>
      <c r="H1224" s="8" t="s">
        <v>2899</v>
      </c>
      <c r="I1224" s="8" t="s">
        <v>146</v>
      </c>
      <c r="J1224" s="8" t="s">
        <v>3770</v>
      </c>
      <c r="K1224" s="8" t="s">
        <v>112</v>
      </c>
      <c r="L1224" s="8" t="s">
        <v>5572</v>
      </c>
    </row>
    <row r="1225" customFormat="false" ht="34.5" hidden="false" customHeight="true" outlineLevel="0" collapsed="false">
      <c r="A1225" s="8" t="n">
        <v>1021</v>
      </c>
      <c r="B1225" s="8" t="s">
        <v>39</v>
      </c>
      <c r="C1225" s="8" t="s">
        <v>5573</v>
      </c>
      <c r="D1225" s="8" t="n">
        <v>2024</v>
      </c>
      <c r="E1225" s="8" t="s">
        <v>5574</v>
      </c>
      <c r="F1225" s="8" t="s">
        <v>143</v>
      </c>
      <c r="G1225" s="8" t="s">
        <v>5575</v>
      </c>
      <c r="H1225" s="8" t="s">
        <v>255</v>
      </c>
      <c r="I1225" s="8" t="s">
        <v>522</v>
      </c>
      <c r="J1225" s="8" t="s">
        <v>5576</v>
      </c>
      <c r="K1225" s="8" t="s">
        <v>5174</v>
      </c>
      <c r="L1225" s="8" t="s">
        <v>5577</v>
      </c>
    </row>
    <row r="1226" customFormat="false" ht="34.5" hidden="false" customHeight="true" outlineLevel="0" collapsed="false">
      <c r="A1226" s="8" t="n">
        <v>1022</v>
      </c>
      <c r="B1226" s="8" t="s">
        <v>39</v>
      </c>
      <c r="C1226" s="8" t="s">
        <v>5578</v>
      </c>
      <c r="D1226" s="8" t="n">
        <v>2024</v>
      </c>
      <c r="E1226" s="8" t="s">
        <v>5579</v>
      </c>
      <c r="F1226" s="8" t="s">
        <v>151</v>
      </c>
      <c r="G1226" s="8" t="s">
        <v>5088</v>
      </c>
      <c r="H1226" s="8" t="s">
        <v>5094</v>
      </c>
      <c r="I1226" s="8" t="s">
        <v>522</v>
      </c>
      <c r="J1226" s="8" t="s">
        <v>1609</v>
      </c>
      <c r="K1226" s="8"/>
      <c r="L1226" s="8" t="s">
        <v>5580</v>
      </c>
    </row>
    <row r="1227" customFormat="false" ht="34.5" hidden="false" customHeight="true" outlineLevel="0" collapsed="false">
      <c r="A1227" s="8" t="n">
        <v>1023</v>
      </c>
      <c r="B1227" s="8" t="s">
        <v>39</v>
      </c>
      <c r="C1227" s="8" t="s">
        <v>5581</v>
      </c>
      <c r="D1227" s="8" t="n">
        <v>2024</v>
      </c>
      <c r="E1227" s="8" t="s">
        <v>5582</v>
      </c>
      <c r="F1227" s="8" t="s">
        <v>151</v>
      </c>
      <c r="G1227" s="8" t="s">
        <v>5583</v>
      </c>
      <c r="H1227" s="8" t="s">
        <v>936</v>
      </c>
      <c r="I1227" s="8" t="s">
        <v>146</v>
      </c>
      <c r="J1227" s="8" t="s">
        <v>5584</v>
      </c>
      <c r="K1227" s="8" t="s">
        <v>112</v>
      </c>
      <c r="L1227" s="8" t="s">
        <v>5585</v>
      </c>
    </row>
    <row r="1228" customFormat="false" ht="34.5" hidden="false" customHeight="true" outlineLevel="0" collapsed="false">
      <c r="A1228" s="8" t="n">
        <v>1024</v>
      </c>
      <c r="B1228" s="8" t="s">
        <v>39</v>
      </c>
      <c r="C1228" s="8" t="s">
        <v>5586</v>
      </c>
      <c r="D1228" s="8" t="n">
        <v>2022</v>
      </c>
      <c r="E1228" s="8" t="s">
        <v>5587</v>
      </c>
      <c r="F1228" s="8" t="s">
        <v>143</v>
      </c>
      <c r="G1228" s="8" t="s">
        <v>5588</v>
      </c>
      <c r="H1228" s="8" t="s">
        <v>255</v>
      </c>
      <c r="I1228" s="8" t="s">
        <v>146</v>
      </c>
      <c r="J1228" s="8" t="s">
        <v>1227</v>
      </c>
      <c r="K1228" s="8" t="s">
        <v>116</v>
      </c>
      <c r="L1228" s="8" t="s">
        <v>5589</v>
      </c>
    </row>
    <row r="1229" customFormat="false" ht="23.25" hidden="false" customHeight="true" outlineLevel="0" collapsed="false">
      <c r="A1229" s="8" t="n">
        <v>1025</v>
      </c>
      <c r="B1229" s="8" t="s">
        <v>39</v>
      </c>
      <c r="C1229" s="8" t="s">
        <v>5590</v>
      </c>
      <c r="D1229" s="8" t="n">
        <v>2023</v>
      </c>
      <c r="E1229" s="8" t="s">
        <v>5591</v>
      </c>
      <c r="F1229" s="8" t="s">
        <v>143</v>
      </c>
      <c r="G1229" s="8" t="s">
        <v>5592</v>
      </c>
      <c r="H1229" s="8" t="s">
        <v>382</v>
      </c>
      <c r="I1229" s="8" t="s">
        <v>146</v>
      </c>
      <c r="J1229" s="8" t="s">
        <v>5593</v>
      </c>
      <c r="K1229" s="8" t="s">
        <v>116</v>
      </c>
      <c r="L1229" s="8" t="s">
        <v>5594</v>
      </c>
    </row>
    <row r="1230" customFormat="false" ht="57" hidden="false" customHeight="true" outlineLevel="0" collapsed="false">
      <c r="A1230" s="8" t="n">
        <v>1026</v>
      </c>
      <c r="B1230" s="8" t="s">
        <v>39</v>
      </c>
      <c r="C1230" s="8" t="s">
        <v>5595</v>
      </c>
      <c r="D1230" s="8" t="n">
        <v>2025</v>
      </c>
      <c r="E1230" s="8" t="s">
        <v>5596</v>
      </c>
      <c r="F1230" s="8" t="s">
        <v>143</v>
      </c>
      <c r="G1230" s="8" t="s">
        <v>5597</v>
      </c>
      <c r="H1230" s="8" t="s">
        <v>255</v>
      </c>
      <c r="I1230" s="8" t="s">
        <v>146</v>
      </c>
      <c r="J1230" s="8" t="s">
        <v>3770</v>
      </c>
      <c r="K1230" s="8" t="s">
        <v>112</v>
      </c>
      <c r="L1230" s="8" t="s">
        <v>5598</v>
      </c>
    </row>
    <row r="1231" customFormat="false" ht="34.5" hidden="false" customHeight="true" outlineLevel="0" collapsed="false">
      <c r="A1231" s="8" t="n">
        <v>1027</v>
      </c>
      <c r="B1231" s="8" t="s">
        <v>39</v>
      </c>
      <c r="C1231" s="8" t="s">
        <v>1591</v>
      </c>
      <c r="D1231" s="8" t="n">
        <v>2022</v>
      </c>
      <c r="E1231" s="8" t="s">
        <v>5599</v>
      </c>
      <c r="F1231" s="8" t="s">
        <v>143</v>
      </c>
      <c r="G1231" s="8" t="s">
        <v>5600</v>
      </c>
      <c r="H1231" s="8" t="s">
        <v>5601</v>
      </c>
      <c r="I1231" s="8" t="s">
        <v>146</v>
      </c>
      <c r="J1231" s="8" t="s">
        <v>5602</v>
      </c>
      <c r="K1231" s="8" t="s">
        <v>110</v>
      </c>
      <c r="L1231" s="8" t="s">
        <v>5603</v>
      </c>
    </row>
    <row r="1232" customFormat="false" ht="45.75" hidden="false" customHeight="true" outlineLevel="0" collapsed="false">
      <c r="A1232" s="8" t="n">
        <v>1028</v>
      </c>
      <c r="B1232" s="8" t="s">
        <v>39</v>
      </c>
      <c r="C1232" s="8" t="s">
        <v>5604</v>
      </c>
      <c r="D1232" s="8" t="n">
        <v>2021</v>
      </c>
      <c r="E1232" s="8" t="s">
        <v>5605</v>
      </c>
      <c r="F1232" s="8" t="s">
        <v>151</v>
      </c>
      <c r="G1232" s="8" t="s">
        <v>495</v>
      </c>
      <c r="H1232" s="8" t="s">
        <v>423</v>
      </c>
      <c r="I1232" s="8" t="s">
        <v>146</v>
      </c>
      <c r="J1232" s="8" t="s">
        <v>5606</v>
      </c>
      <c r="K1232" s="8" t="s">
        <v>112</v>
      </c>
      <c r="L1232" s="8" t="s">
        <v>5607</v>
      </c>
    </row>
    <row r="1233" customFormat="false" ht="34.5" hidden="false" customHeight="true" outlineLevel="0" collapsed="false">
      <c r="A1233" s="8" t="n">
        <v>1029</v>
      </c>
      <c r="B1233" s="8" t="s">
        <v>39</v>
      </c>
      <c r="C1233" s="8" t="s">
        <v>5608</v>
      </c>
      <c r="D1233" s="8" t="n">
        <v>2018</v>
      </c>
      <c r="E1233" s="8" t="s">
        <v>5609</v>
      </c>
      <c r="F1233" s="8" t="s">
        <v>143</v>
      </c>
      <c r="G1233" s="8" t="s">
        <v>5610</v>
      </c>
      <c r="H1233" s="8" t="s">
        <v>1213</v>
      </c>
      <c r="I1233" s="8" t="s">
        <v>146</v>
      </c>
      <c r="J1233" s="8" t="s">
        <v>5611</v>
      </c>
      <c r="K1233" s="8" t="s">
        <v>112</v>
      </c>
      <c r="L1233" s="8" t="s">
        <v>5612</v>
      </c>
    </row>
    <row r="1234" customFormat="false" ht="34.5" hidden="false" customHeight="true" outlineLevel="0" collapsed="false">
      <c r="A1234" s="8" t="n">
        <v>1030</v>
      </c>
      <c r="B1234" s="8" t="s">
        <v>39</v>
      </c>
      <c r="C1234" s="8" t="s">
        <v>5613</v>
      </c>
      <c r="D1234" s="8" t="n">
        <v>2025</v>
      </c>
      <c r="E1234" s="8" t="s">
        <v>5614</v>
      </c>
      <c r="F1234" s="8" t="s">
        <v>151</v>
      </c>
      <c r="G1234" s="8" t="s">
        <v>765</v>
      </c>
      <c r="H1234" s="8" t="s">
        <v>826</v>
      </c>
      <c r="I1234" s="8" t="s">
        <v>146</v>
      </c>
      <c r="J1234" s="8" t="s">
        <v>3770</v>
      </c>
      <c r="K1234" s="8" t="s">
        <v>116</v>
      </c>
      <c r="L1234" s="8" t="s">
        <v>5615</v>
      </c>
    </row>
    <row r="1235" customFormat="false" ht="34.5" hidden="false" customHeight="true" outlineLevel="0" collapsed="false">
      <c r="A1235" s="8" t="n">
        <v>1031</v>
      </c>
      <c r="B1235" s="8" t="s">
        <v>39</v>
      </c>
      <c r="C1235" s="8" t="s">
        <v>5616</v>
      </c>
      <c r="D1235" s="8" t="n">
        <v>2023</v>
      </c>
      <c r="E1235" s="8" t="s">
        <v>5617</v>
      </c>
      <c r="F1235" s="8" t="s">
        <v>153</v>
      </c>
      <c r="G1235" s="8" t="s">
        <v>900</v>
      </c>
      <c r="H1235" s="8" t="s">
        <v>145</v>
      </c>
      <c r="I1235" s="8" t="s">
        <v>146</v>
      </c>
      <c r="J1235" s="8" t="s">
        <v>5043</v>
      </c>
      <c r="K1235" s="8" t="s">
        <v>116</v>
      </c>
      <c r="L1235" s="8" t="s">
        <v>5618</v>
      </c>
    </row>
    <row r="1236" customFormat="false" ht="23.25" hidden="false" customHeight="true" outlineLevel="0" collapsed="false">
      <c r="A1236" s="8" t="n">
        <v>1032</v>
      </c>
      <c r="B1236" s="8" t="s">
        <v>39</v>
      </c>
      <c r="C1236" s="8" t="s">
        <v>5619</v>
      </c>
      <c r="D1236" s="8" t="n">
        <v>2024</v>
      </c>
      <c r="E1236" s="8" t="s">
        <v>5620</v>
      </c>
      <c r="F1236" s="8" t="s">
        <v>153</v>
      </c>
      <c r="G1236" s="8" t="s">
        <v>5621</v>
      </c>
      <c r="H1236" s="8" t="s">
        <v>5094</v>
      </c>
      <c r="I1236" s="8" t="s">
        <v>522</v>
      </c>
      <c r="J1236" s="8" t="s">
        <v>1609</v>
      </c>
      <c r="K1236" s="8" t="s">
        <v>1452</v>
      </c>
      <c r="L1236" s="8" t="s">
        <v>5622</v>
      </c>
    </row>
    <row r="1237" customFormat="false" ht="34.5" hidden="false" customHeight="true" outlineLevel="0" collapsed="false">
      <c r="A1237" s="8" t="n">
        <v>1033</v>
      </c>
      <c r="B1237" s="8" t="s">
        <v>39</v>
      </c>
      <c r="C1237" s="8" t="s">
        <v>5623</v>
      </c>
      <c r="D1237" s="8" t="n">
        <v>2012</v>
      </c>
      <c r="E1237" s="8" t="s">
        <v>5624</v>
      </c>
      <c r="F1237" s="8" t="s">
        <v>153</v>
      </c>
      <c r="G1237" s="8" t="s">
        <v>5583</v>
      </c>
      <c r="H1237" s="8" t="s">
        <v>187</v>
      </c>
      <c r="I1237" s="8" t="s">
        <v>146</v>
      </c>
      <c r="J1237" s="8" t="s">
        <v>5043</v>
      </c>
      <c r="K1237" s="8"/>
      <c r="L1237" s="8" t="s">
        <v>5625</v>
      </c>
    </row>
    <row r="1238" customFormat="false" ht="23.25" hidden="false" customHeight="true" outlineLevel="0" collapsed="false">
      <c r="A1238" s="8" t="n">
        <v>1034</v>
      </c>
      <c r="B1238" s="8" t="s">
        <v>39</v>
      </c>
      <c r="C1238" s="8" t="s">
        <v>5626</v>
      </c>
      <c r="D1238" s="8" t="n">
        <v>2021</v>
      </c>
      <c r="E1238" s="8" t="s">
        <v>5627</v>
      </c>
      <c r="F1238" s="8" t="s">
        <v>143</v>
      </c>
      <c r="G1238" s="8" t="s">
        <v>5628</v>
      </c>
      <c r="H1238" s="8" t="s">
        <v>145</v>
      </c>
      <c r="I1238" s="8" t="s">
        <v>146</v>
      </c>
      <c r="J1238" s="8" t="s">
        <v>5081</v>
      </c>
      <c r="K1238" s="8" t="s">
        <v>110</v>
      </c>
      <c r="L1238" s="8" t="s">
        <v>5629</v>
      </c>
    </row>
    <row r="1239" customFormat="false" ht="23.25" hidden="false" customHeight="true" outlineLevel="0" collapsed="false">
      <c r="A1239" s="8" t="n">
        <v>1035</v>
      </c>
      <c r="B1239" s="8" t="s">
        <v>39</v>
      </c>
      <c r="C1239" s="8" t="s">
        <v>5630</v>
      </c>
      <c r="D1239" s="8" t="n">
        <v>2013</v>
      </c>
      <c r="E1239" s="8" t="s">
        <v>5631</v>
      </c>
      <c r="F1239" s="8" t="s">
        <v>143</v>
      </c>
      <c r="G1239" s="8" t="s">
        <v>5632</v>
      </c>
      <c r="H1239" s="8" t="s">
        <v>285</v>
      </c>
      <c r="I1239" s="8" t="s">
        <v>146</v>
      </c>
      <c r="J1239" s="8" t="s">
        <v>1609</v>
      </c>
      <c r="K1239" s="8" t="s">
        <v>112</v>
      </c>
      <c r="L1239" s="8" t="s">
        <v>5633</v>
      </c>
    </row>
    <row r="1240" customFormat="false" ht="34.5" hidden="false" customHeight="true" outlineLevel="0" collapsed="false">
      <c r="A1240" s="8" t="n">
        <v>1036</v>
      </c>
      <c r="B1240" s="8" t="s">
        <v>39</v>
      </c>
      <c r="C1240" s="8" t="s">
        <v>5634</v>
      </c>
      <c r="D1240" s="8" t="n">
        <v>2023</v>
      </c>
      <c r="E1240" s="8" t="s">
        <v>5635</v>
      </c>
      <c r="F1240" s="8" t="s">
        <v>143</v>
      </c>
      <c r="G1240" s="8" t="s">
        <v>5192</v>
      </c>
      <c r="H1240" s="8" t="s">
        <v>145</v>
      </c>
      <c r="I1240" s="8" t="s">
        <v>522</v>
      </c>
      <c r="J1240" s="8" t="s">
        <v>1609</v>
      </c>
      <c r="K1240" s="8"/>
      <c r="L1240" s="8" t="s">
        <v>5636</v>
      </c>
    </row>
    <row r="1241" customFormat="false" ht="34.5" hidden="false" customHeight="true" outlineLevel="0" collapsed="false">
      <c r="A1241" s="8" t="n">
        <v>1037</v>
      </c>
      <c r="B1241" s="8" t="s">
        <v>39</v>
      </c>
      <c r="C1241" s="8" t="s">
        <v>5637</v>
      </c>
      <c r="D1241" s="8" t="n">
        <v>2017</v>
      </c>
      <c r="E1241" s="8" t="s">
        <v>5638</v>
      </c>
      <c r="F1241" s="8" t="s">
        <v>143</v>
      </c>
      <c r="G1241" s="8" t="s">
        <v>5639</v>
      </c>
      <c r="H1241" s="8" t="s">
        <v>145</v>
      </c>
      <c r="I1241" s="8" t="s">
        <v>522</v>
      </c>
      <c r="J1241" s="8" t="s">
        <v>1609</v>
      </c>
      <c r="K1241" s="8" t="s">
        <v>1452</v>
      </c>
      <c r="L1241" s="8" t="s">
        <v>5640</v>
      </c>
    </row>
    <row r="1242" customFormat="false" ht="34.5" hidden="false" customHeight="true" outlineLevel="0" collapsed="false">
      <c r="A1242" s="8" t="n">
        <v>1038</v>
      </c>
      <c r="B1242" s="8" t="s">
        <v>39</v>
      </c>
      <c r="C1242" s="8" t="s">
        <v>5641</v>
      </c>
      <c r="D1242" s="8" t="n">
        <v>2023</v>
      </c>
      <c r="E1242" s="8" t="s">
        <v>5642</v>
      </c>
      <c r="F1242" s="8" t="s">
        <v>143</v>
      </c>
      <c r="G1242" s="8" t="s">
        <v>5643</v>
      </c>
      <c r="H1242" s="8" t="s">
        <v>936</v>
      </c>
      <c r="I1242" s="8" t="s">
        <v>522</v>
      </c>
      <c r="J1242" s="8" t="s">
        <v>5644</v>
      </c>
      <c r="K1242" s="8" t="s">
        <v>112</v>
      </c>
      <c r="L1242" s="8" t="s">
        <v>5645</v>
      </c>
    </row>
    <row r="1243" customFormat="false" ht="34.5" hidden="false" customHeight="true" outlineLevel="0" collapsed="false">
      <c r="A1243" s="8" t="n">
        <v>1039</v>
      </c>
      <c r="B1243" s="8" t="s">
        <v>39</v>
      </c>
      <c r="C1243" s="8" t="s">
        <v>5646</v>
      </c>
      <c r="D1243" s="8" t="n">
        <v>2023</v>
      </c>
      <c r="E1243" s="8" t="s">
        <v>5647</v>
      </c>
      <c r="F1243" s="8" t="s">
        <v>151</v>
      </c>
      <c r="G1243" s="8" t="s">
        <v>5041</v>
      </c>
      <c r="H1243" s="8" t="s">
        <v>5271</v>
      </c>
      <c r="I1243" s="8" t="s">
        <v>146</v>
      </c>
      <c r="J1243" s="8" t="s">
        <v>5043</v>
      </c>
      <c r="K1243" s="8" t="s">
        <v>116</v>
      </c>
      <c r="L1243" s="8" t="s">
        <v>5648</v>
      </c>
    </row>
    <row r="1244" customFormat="false" ht="34.5" hidden="false" customHeight="true" outlineLevel="0" collapsed="false">
      <c r="A1244" s="8" t="n">
        <v>1040</v>
      </c>
      <c r="B1244" s="8" t="s">
        <v>39</v>
      </c>
      <c r="C1244" s="8" t="s">
        <v>5646</v>
      </c>
      <c r="D1244" s="8" t="n">
        <v>2025</v>
      </c>
      <c r="E1244" s="8" t="s">
        <v>5649</v>
      </c>
      <c r="F1244" s="8" t="s">
        <v>151</v>
      </c>
      <c r="G1244" s="8" t="s">
        <v>5650</v>
      </c>
      <c r="H1244" s="8" t="s">
        <v>5651</v>
      </c>
      <c r="I1244" s="8" t="s">
        <v>522</v>
      </c>
      <c r="J1244" s="8" t="s">
        <v>1609</v>
      </c>
      <c r="K1244" s="8" t="s">
        <v>116</v>
      </c>
      <c r="L1244" s="8" t="s">
        <v>5652</v>
      </c>
    </row>
    <row r="1245" customFormat="false" ht="23.25" hidden="false" customHeight="true" outlineLevel="0" collapsed="false">
      <c r="A1245" s="8" t="n">
        <v>1041</v>
      </c>
      <c r="B1245" s="8" t="s">
        <v>39</v>
      </c>
      <c r="C1245" s="8" t="s">
        <v>5653</v>
      </c>
      <c r="D1245" s="8" t="n">
        <v>2024</v>
      </c>
      <c r="E1245" s="8" t="s">
        <v>5654</v>
      </c>
      <c r="F1245" s="8" t="s">
        <v>143</v>
      </c>
      <c r="G1245" s="8" t="s">
        <v>5242</v>
      </c>
      <c r="H1245" s="8" t="s">
        <v>145</v>
      </c>
      <c r="I1245" s="8" t="s">
        <v>522</v>
      </c>
      <c r="J1245" s="8" t="s">
        <v>1609</v>
      </c>
      <c r="K1245" s="8"/>
      <c r="L1245" s="8" t="s">
        <v>5655</v>
      </c>
    </row>
    <row r="1246" customFormat="false" ht="34.5" hidden="false" customHeight="true" outlineLevel="0" collapsed="false">
      <c r="A1246" s="8" t="n">
        <v>1042</v>
      </c>
      <c r="B1246" s="8" t="s">
        <v>39</v>
      </c>
      <c r="C1246" s="8" t="s">
        <v>5656</v>
      </c>
      <c r="D1246" s="8" t="n">
        <v>2012</v>
      </c>
      <c r="E1246" s="8" t="s">
        <v>5657</v>
      </c>
      <c r="F1246" s="8" t="s">
        <v>153</v>
      </c>
      <c r="G1246" s="8" t="s">
        <v>5658</v>
      </c>
      <c r="H1246" s="8" t="s">
        <v>5659</v>
      </c>
      <c r="I1246" s="8" t="s">
        <v>146</v>
      </c>
      <c r="J1246" s="8" t="s">
        <v>5660</v>
      </c>
      <c r="K1246" s="8" t="s">
        <v>110</v>
      </c>
      <c r="L1246" s="8" t="s">
        <v>5661</v>
      </c>
    </row>
    <row r="1247" customFormat="false" ht="23.25" hidden="false" customHeight="true" outlineLevel="0" collapsed="false">
      <c r="A1247" s="8" t="n">
        <v>1043</v>
      </c>
      <c r="B1247" s="8" t="s">
        <v>39</v>
      </c>
      <c r="C1247" s="8" t="s">
        <v>3850</v>
      </c>
      <c r="D1247" s="8" t="n">
        <v>2005</v>
      </c>
      <c r="E1247" s="8" t="s">
        <v>5662</v>
      </c>
      <c r="F1247" s="8" t="s">
        <v>143</v>
      </c>
      <c r="G1247" s="8" t="s">
        <v>798</v>
      </c>
      <c r="H1247" s="8" t="s">
        <v>145</v>
      </c>
      <c r="I1247" s="8" t="s">
        <v>522</v>
      </c>
      <c r="J1247" s="8" t="s">
        <v>1609</v>
      </c>
      <c r="K1247" s="8" t="s">
        <v>116</v>
      </c>
      <c r="L1247" s="8" t="s">
        <v>5663</v>
      </c>
    </row>
    <row r="1248" customFormat="false" ht="23.25" hidden="false" customHeight="true" outlineLevel="0" collapsed="false">
      <c r="A1248" s="8" t="n">
        <v>1044</v>
      </c>
      <c r="B1248" s="8" t="s">
        <v>39</v>
      </c>
      <c r="C1248" s="8" t="s">
        <v>3850</v>
      </c>
      <c r="D1248" s="8" t="n">
        <v>2015</v>
      </c>
      <c r="E1248" s="8" t="s">
        <v>5664</v>
      </c>
      <c r="F1248" s="8" t="s">
        <v>143</v>
      </c>
      <c r="G1248" s="8" t="s">
        <v>798</v>
      </c>
      <c r="H1248" s="8" t="s">
        <v>145</v>
      </c>
      <c r="I1248" s="8" t="s">
        <v>522</v>
      </c>
      <c r="J1248" s="8" t="s">
        <v>1609</v>
      </c>
      <c r="K1248" s="8" t="s">
        <v>116</v>
      </c>
      <c r="L1248" s="8" t="s">
        <v>5665</v>
      </c>
    </row>
    <row r="1249" customFormat="false" ht="34.5" hidden="false" customHeight="true" outlineLevel="0" collapsed="false">
      <c r="A1249" s="8" t="n">
        <v>1045</v>
      </c>
      <c r="B1249" s="8" t="s">
        <v>39</v>
      </c>
      <c r="C1249" s="8" t="s">
        <v>5666</v>
      </c>
      <c r="D1249" s="8" t="n">
        <v>2025</v>
      </c>
      <c r="E1249" s="8" t="s">
        <v>5667</v>
      </c>
      <c r="F1249" s="8" t="s">
        <v>151</v>
      </c>
      <c r="G1249" s="8" t="s">
        <v>5668</v>
      </c>
      <c r="H1249" s="8" t="s">
        <v>145</v>
      </c>
      <c r="I1249" s="8" t="s">
        <v>522</v>
      </c>
      <c r="J1249" s="8" t="s">
        <v>1609</v>
      </c>
      <c r="K1249" s="8"/>
      <c r="L1249" s="8" t="s">
        <v>5669</v>
      </c>
    </row>
    <row r="1250" customFormat="false" ht="34.5" hidden="false" customHeight="true" outlineLevel="0" collapsed="false">
      <c r="A1250" s="8" t="n">
        <v>1046</v>
      </c>
      <c r="B1250" s="8" t="s">
        <v>39</v>
      </c>
      <c r="C1250" s="8" t="s">
        <v>5670</v>
      </c>
      <c r="D1250" s="8" t="n">
        <v>2019</v>
      </c>
      <c r="E1250" s="8" t="s">
        <v>5671</v>
      </c>
      <c r="F1250" s="8" t="s">
        <v>143</v>
      </c>
      <c r="G1250" s="8" t="s">
        <v>5672</v>
      </c>
      <c r="H1250" s="8" t="s">
        <v>5673</v>
      </c>
      <c r="I1250" s="8" t="s">
        <v>146</v>
      </c>
      <c r="J1250" s="8" t="s">
        <v>5674</v>
      </c>
      <c r="K1250" s="8" t="s">
        <v>116</v>
      </c>
      <c r="L1250" s="8" t="s">
        <v>5675</v>
      </c>
    </row>
    <row r="1251" customFormat="false" ht="34.5" hidden="false" customHeight="true" outlineLevel="0" collapsed="false">
      <c r="A1251" s="8" t="n">
        <v>1047</v>
      </c>
      <c r="B1251" s="8" t="s">
        <v>39</v>
      </c>
      <c r="C1251" s="8" t="s">
        <v>5676</v>
      </c>
      <c r="D1251" s="8" t="n">
        <v>2025</v>
      </c>
      <c r="E1251" s="8" t="s">
        <v>5677</v>
      </c>
      <c r="F1251" s="8" t="s">
        <v>151</v>
      </c>
      <c r="G1251" s="8" t="s">
        <v>5678</v>
      </c>
      <c r="H1251" s="8" t="s">
        <v>684</v>
      </c>
      <c r="I1251" s="8" t="s">
        <v>153</v>
      </c>
      <c r="J1251" s="8" t="s">
        <v>5144</v>
      </c>
      <c r="K1251" s="8"/>
      <c r="L1251" s="8" t="s">
        <v>5679</v>
      </c>
    </row>
    <row r="1252" customFormat="false" ht="23.25" hidden="false" customHeight="true" outlineLevel="0" collapsed="false">
      <c r="A1252" s="8" t="n">
        <v>1048</v>
      </c>
      <c r="B1252" s="8" t="s">
        <v>39</v>
      </c>
      <c r="C1252" s="8" t="s">
        <v>5680</v>
      </c>
      <c r="D1252" s="8" t="n">
        <v>2024</v>
      </c>
      <c r="E1252" s="8" t="s">
        <v>5681</v>
      </c>
      <c r="F1252" s="8" t="s">
        <v>143</v>
      </c>
      <c r="G1252" s="8" t="s">
        <v>5682</v>
      </c>
      <c r="H1252" s="8" t="s">
        <v>2846</v>
      </c>
      <c r="I1252" s="8" t="s">
        <v>522</v>
      </c>
      <c r="J1252" s="8" t="s">
        <v>1609</v>
      </c>
      <c r="K1252" s="8" t="s">
        <v>110</v>
      </c>
      <c r="L1252" s="8" t="s">
        <v>5683</v>
      </c>
    </row>
    <row r="1253" customFormat="false" ht="34.5" hidden="false" customHeight="true" outlineLevel="0" collapsed="false">
      <c r="A1253" s="8" t="n">
        <v>1049</v>
      </c>
      <c r="B1253" s="8" t="s">
        <v>39</v>
      </c>
      <c r="C1253" s="8" t="s">
        <v>1363</v>
      </c>
      <c r="D1253" s="8" t="n">
        <v>2026</v>
      </c>
      <c r="E1253" s="8" t="s">
        <v>5684</v>
      </c>
      <c r="F1253" s="8" t="s">
        <v>143</v>
      </c>
      <c r="G1253" s="8" t="s">
        <v>621</v>
      </c>
      <c r="H1253" s="8" t="s">
        <v>145</v>
      </c>
      <c r="I1253" s="8" t="s">
        <v>522</v>
      </c>
      <c r="J1253" s="8" t="s">
        <v>1609</v>
      </c>
      <c r="K1253" s="8" t="s">
        <v>1452</v>
      </c>
      <c r="L1253" s="8" t="s">
        <v>5685</v>
      </c>
    </row>
    <row r="1254" customFormat="false" ht="34.5" hidden="false" customHeight="true" outlineLevel="0" collapsed="false">
      <c r="A1254" s="8" t="n">
        <v>1050</v>
      </c>
      <c r="B1254" s="8" t="s">
        <v>41</v>
      </c>
      <c r="C1254" s="8" t="s">
        <v>5686</v>
      </c>
      <c r="D1254" s="8" t="n">
        <v>2022</v>
      </c>
      <c r="E1254" s="8" t="s">
        <v>5687</v>
      </c>
      <c r="F1254" s="8" t="s">
        <v>151</v>
      </c>
      <c r="G1254" s="8" t="s">
        <v>152</v>
      </c>
      <c r="H1254" s="8" t="s">
        <v>145</v>
      </c>
      <c r="I1254" s="8" t="s">
        <v>522</v>
      </c>
      <c r="J1254" s="8" t="s">
        <v>5688</v>
      </c>
      <c r="K1254" s="8"/>
      <c r="L1254" s="8" t="s">
        <v>5689</v>
      </c>
    </row>
    <row r="1255" customFormat="false" ht="34.5" hidden="false" customHeight="true" outlineLevel="0" collapsed="false">
      <c r="A1255" s="8" t="n">
        <v>1051</v>
      </c>
      <c r="B1255" s="8" t="s">
        <v>41</v>
      </c>
      <c r="C1255" s="8" t="s">
        <v>5690</v>
      </c>
      <c r="D1255" s="8" t="n">
        <v>2021</v>
      </c>
      <c r="E1255" s="8" t="s">
        <v>5691</v>
      </c>
      <c r="F1255" s="8" t="s">
        <v>143</v>
      </c>
      <c r="G1255" s="8" t="s">
        <v>5692</v>
      </c>
      <c r="H1255" s="8" t="s">
        <v>145</v>
      </c>
      <c r="I1255" s="8" t="s">
        <v>153</v>
      </c>
      <c r="J1255" s="8" t="s">
        <v>5693</v>
      </c>
      <c r="K1255" s="8" t="s">
        <v>116</v>
      </c>
      <c r="L1255" s="8" t="s">
        <v>5694</v>
      </c>
    </row>
    <row r="1256" customFormat="false" ht="34.5" hidden="false" customHeight="true" outlineLevel="0" collapsed="false">
      <c r="A1256" s="8" t="n">
        <v>1052</v>
      </c>
      <c r="B1256" s="8" t="s">
        <v>41</v>
      </c>
      <c r="C1256" s="8" t="s">
        <v>4556</v>
      </c>
      <c r="D1256" s="8" t="n">
        <v>2012</v>
      </c>
      <c r="E1256" s="8" t="s">
        <v>5695</v>
      </c>
      <c r="F1256" s="8" t="s">
        <v>151</v>
      </c>
      <c r="G1256" s="8" t="s">
        <v>5696</v>
      </c>
      <c r="H1256" s="8" t="s">
        <v>1319</v>
      </c>
      <c r="I1256" s="8" t="s">
        <v>522</v>
      </c>
      <c r="J1256" s="8" t="s">
        <v>5697</v>
      </c>
      <c r="K1256" s="8" t="s">
        <v>114</v>
      </c>
      <c r="L1256" s="8" t="s">
        <v>5698</v>
      </c>
    </row>
    <row r="1257" customFormat="false" ht="34.5" hidden="false" customHeight="true" outlineLevel="0" collapsed="false">
      <c r="A1257" s="8" t="n">
        <v>1053</v>
      </c>
      <c r="B1257" s="8" t="s">
        <v>41</v>
      </c>
      <c r="C1257" s="8" t="s">
        <v>4556</v>
      </c>
      <c r="D1257" s="8" t="n">
        <v>2020</v>
      </c>
      <c r="E1257" s="8" t="s">
        <v>5699</v>
      </c>
      <c r="F1257" s="8" t="s">
        <v>151</v>
      </c>
      <c r="G1257" s="8" t="s">
        <v>5700</v>
      </c>
      <c r="H1257" s="8" t="s">
        <v>187</v>
      </c>
      <c r="I1257" s="8" t="s">
        <v>146</v>
      </c>
      <c r="J1257" s="8" t="s">
        <v>5701</v>
      </c>
      <c r="K1257" s="8"/>
      <c r="L1257" s="8" t="s">
        <v>5702</v>
      </c>
    </row>
    <row r="1258" customFormat="false" ht="23.25" hidden="false" customHeight="true" outlineLevel="0" collapsed="false">
      <c r="A1258" s="8" t="n">
        <v>1054</v>
      </c>
      <c r="B1258" s="8" t="s">
        <v>41</v>
      </c>
      <c r="C1258" s="8" t="s">
        <v>5703</v>
      </c>
      <c r="D1258" s="8" t="n">
        <v>2019</v>
      </c>
      <c r="E1258" s="8" t="s">
        <v>5704</v>
      </c>
      <c r="F1258" s="8" t="s">
        <v>143</v>
      </c>
      <c r="G1258" s="8" t="s">
        <v>5705</v>
      </c>
      <c r="H1258" s="8" t="s">
        <v>145</v>
      </c>
      <c r="I1258" s="8" t="s">
        <v>153</v>
      </c>
      <c r="J1258" s="8" t="s">
        <v>5706</v>
      </c>
      <c r="K1258" s="8" t="s">
        <v>116</v>
      </c>
      <c r="L1258" s="8" t="s">
        <v>5707</v>
      </c>
    </row>
    <row r="1259" customFormat="false" ht="23.25" hidden="false" customHeight="true" outlineLevel="0" collapsed="false">
      <c r="A1259" s="8" t="n">
        <v>1055</v>
      </c>
      <c r="B1259" s="8" t="s">
        <v>41</v>
      </c>
      <c r="C1259" s="8" t="s">
        <v>5708</v>
      </c>
      <c r="D1259" s="8" t="n">
        <v>1983</v>
      </c>
      <c r="E1259" s="8" t="s">
        <v>5709</v>
      </c>
      <c r="F1259" s="8" t="s">
        <v>151</v>
      </c>
      <c r="G1259" s="8" t="s">
        <v>348</v>
      </c>
      <c r="H1259" s="8" t="s">
        <v>145</v>
      </c>
      <c r="I1259" s="8" t="s">
        <v>153</v>
      </c>
      <c r="J1259" s="8" t="s">
        <v>5710</v>
      </c>
      <c r="K1259" s="8"/>
      <c r="L1259" s="8" t="s">
        <v>5711</v>
      </c>
    </row>
    <row r="1260" customFormat="false" ht="23.25" hidden="false" customHeight="true" outlineLevel="0" collapsed="false">
      <c r="A1260" s="8" t="n">
        <v>1056</v>
      </c>
      <c r="B1260" s="8" t="s">
        <v>41</v>
      </c>
      <c r="C1260" s="8" t="s">
        <v>5712</v>
      </c>
      <c r="D1260" s="8" t="n">
        <v>2022</v>
      </c>
      <c r="E1260" s="8" t="s">
        <v>5713</v>
      </c>
      <c r="F1260" s="8" t="s">
        <v>151</v>
      </c>
      <c r="G1260" s="8" t="s">
        <v>348</v>
      </c>
      <c r="H1260" s="8" t="s">
        <v>145</v>
      </c>
      <c r="I1260" s="8" t="s">
        <v>153</v>
      </c>
      <c r="J1260" s="8" t="s">
        <v>5714</v>
      </c>
      <c r="K1260" s="8"/>
      <c r="L1260" s="8" t="s">
        <v>5715</v>
      </c>
    </row>
    <row r="1261" customFormat="false" ht="23.25" hidden="false" customHeight="true" outlineLevel="0" collapsed="false">
      <c r="A1261" s="8" t="n">
        <v>1057</v>
      </c>
      <c r="B1261" s="8" t="s">
        <v>41</v>
      </c>
      <c r="C1261" s="8" t="s">
        <v>5716</v>
      </c>
      <c r="D1261" s="8" t="n">
        <v>2019</v>
      </c>
      <c r="E1261" s="8" t="s">
        <v>5717</v>
      </c>
      <c r="F1261" s="8" t="s">
        <v>151</v>
      </c>
      <c r="G1261" s="8" t="s">
        <v>348</v>
      </c>
      <c r="H1261" s="8" t="s">
        <v>145</v>
      </c>
      <c r="I1261" s="8" t="s">
        <v>153</v>
      </c>
      <c r="J1261" s="8" t="s">
        <v>5718</v>
      </c>
      <c r="K1261" s="8"/>
      <c r="L1261" s="8" t="s">
        <v>5719</v>
      </c>
    </row>
    <row r="1262" customFormat="false" ht="23.25" hidden="false" customHeight="true" outlineLevel="0" collapsed="false">
      <c r="A1262" s="8" t="n">
        <v>1058</v>
      </c>
      <c r="B1262" s="8" t="s">
        <v>41</v>
      </c>
      <c r="C1262" s="8" t="s">
        <v>5716</v>
      </c>
      <c r="D1262" s="8" t="n">
        <v>2021</v>
      </c>
      <c r="E1262" s="8" t="s">
        <v>5720</v>
      </c>
      <c r="F1262" s="8" t="s">
        <v>151</v>
      </c>
      <c r="G1262" s="8" t="s">
        <v>5721</v>
      </c>
      <c r="H1262" s="8" t="s">
        <v>145</v>
      </c>
      <c r="I1262" s="8" t="s">
        <v>153</v>
      </c>
      <c r="J1262" s="8" t="s">
        <v>5718</v>
      </c>
      <c r="K1262" s="8"/>
      <c r="L1262" s="8" t="s">
        <v>5722</v>
      </c>
    </row>
    <row r="1263" customFormat="false" ht="34.5" hidden="false" customHeight="true" outlineLevel="0" collapsed="false">
      <c r="A1263" s="8" t="n">
        <v>1059</v>
      </c>
      <c r="B1263" s="8" t="s">
        <v>41</v>
      </c>
      <c r="C1263" s="8" t="s">
        <v>1672</v>
      </c>
      <c r="D1263" s="8" t="n">
        <v>2000</v>
      </c>
      <c r="E1263" s="8" t="s">
        <v>5723</v>
      </c>
      <c r="F1263" s="8" t="s">
        <v>143</v>
      </c>
      <c r="G1263" s="8" t="s">
        <v>5724</v>
      </c>
      <c r="H1263" s="8" t="s">
        <v>145</v>
      </c>
      <c r="I1263" s="8" t="s">
        <v>153</v>
      </c>
      <c r="J1263" s="8" t="s">
        <v>5725</v>
      </c>
      <c r="K1263" s="8"/>
      <c r="L1263" s="8" t="s">
        <v>5726</v>
      </c>
    </row>
    <row r="1264" customFormat="false" ht="34.5" hidden="false" customHeight="true" outlineLevel="0" collapsed="false">
      <c r="A1264" s="8" t="n">
        <v>1060</v>
      </c>
      <c r="B1264" s="8" t="s">
        <v>41</v>
      </c>
      <c r="C1264" s="8" t="s">
        <v>1672</v>
      </c>
      <c r="D1264" s="8" t="n">
        <v>2021</v>
      </c>
      <c r="E1264" s="8" t="s">
        <v>5727</v>
      </c>
      <c r="F1264" s="8" t="s">
        <v>143</v>
      </c>
      <c r="G1264" s="8" t="s">
        <v>5728</v>
      </c>
      <c r="H1264" s="8" t="s">
        <v>145</v>
      </c>
      <c r="I1264" s="8" t="s">
        <v>153</v>
      </c>
      <c r="J1264" s="8" t="s">
        <v>2675</v>
      </c>
      <c r="K1264" s="8" t="s">
        <v>110</v>
      </c>
      <c r="L1264" s="8" t="s">
        <v>5729</v>
      </c>
    </row>
    <row r="1265" customFormat="false" ht="34.5" hidden="false" customHeight="true" outlineLevel="0" collapsed="false">
      <c r="A1265" s="9" t="n">
        <v>1061</v>
      </c>
      <c r="B1265" s="10" t="s">
        <v>41</v>
      </c>
      <c r="C1265" s="10" t="s">
        <v>5730</v>
      </c>
      <c r="D1265" s="10" t="n">
        <v>2020</v>
      </c>
      <c r="E1265" s="10" t="s">
        <v>5731</v>
      </c>
      <c r="F1265" s="10" t="s">
        <v>143</v>
      </c>
      <c r="G1265" s="10" t="s">
        <v>5732</v>
      </c>
      <c r="H1265" s="10" t="s">
        <v>145</v>
      </c>
      <c r="I1265" s="10" t="s">
        <v>153</v>
      </c>
      <c r="J1265" s="10" t="s">
        <v>5733</v>
      </c>
      <c r="K1265" s="10" t="s">
        <v>114</v>
      </c>
      <c r="L1265" s="10" t="s">
        <v>5734</v>
      </c>
    </row>
    <row r="1266" customFormat="false" ht="34.5" hidden="false" customHeight="true" outlineLevel="0" collapsed="false">
      <c r="A1266" s="11" t="n">
        <v>1061</v>
      </c>
      <c r="B1266" s="12" t="s">
        <v>43</v>
      </c>
      <c r="C1266" s="12" t="s">
        <v>5735</v>
      </c>
      <c r="D1266" s="12" t="n">
        <v>2020</v>
      </c>
      <c r="E1266" s="12" t="s">
        <v>5731</v>
      </c>
      <c r="F1266" s="12" t="s">
        <v>143</v>
      </c>
      <c r="G1266" s="12" t="s">
        <v>3084</v>
      </c>
      <c r="H1266" s="12" t="s">
        <v>145</v>
      </c>
      <c r="I1266" s="12" t="s">
        <v>153</v>
      </c>
      <c r="J1266" s="12" t="s">
        <v>5736</v>
      </c>
      <c r="K1266" s="12" t="s">
        <v>114</v>
      </c>
      <c r="L1266" s="12" t="s">
        <v>5737</v>
      </c>
    </row>
    <row r="1267" customFormat="false" ht="34.5" hidden="false" customHeight="true" outlineLevel="0" collapsed="false">
      <c r="A1267" s="11" t="n">
        <v>1061</v>
      </c>
      <c r="B1267" s="12" t="s">
        <v>55</v>
      </c>
      <c r="C1267" s="12" t="s">
        <v>5738</v>
      </c>
      <c r="D1267" s="12" t="n">
        <v>2020</v>
      </c>
      <c r="E1267" s="12" t="s">
        <v>5739</v>
      </c>
      <c r="F1267" s="12" t="s">
        <v>143</v>
      </c>
      <c r="G1267" s="12" t="s">
        <v>5740</v>
      </c>
      <c r="H1267" s="12" t="s">
        <v>145</v>
      </c>
      <c r="I1267" s="12" t="s">
        <v>153</v>
      </c>
      <c r="J1267" s="12" t="s">
        <v>5741</v>
      </c>
      <c r="K1267" s="12" t="s">
        <v>114</v>
      </c>
      <c r="L1267" s="12" t="s">
        <v>5742</v>
      </c>
    </row>
    <row r="1268" customFormat="false" ht="23.25" hidden="false" customHeight="true" outlineLevel="0" collapsed="false">
      <c r="A1268" s="8" t="n">
        <v>1062</v>
      </c>
      <c r="B1268" s="8" t="s">
        <v>41</v>
      </c>
      <c r="C1268" s="8" t="s">
        <v>5743</v>
      </c>
      <c r="D1268" s="8" t="n">
        <v>2003</v>
      </c>
      <c r="E1268" s="8" t="s">
        <v>5744</v>
      </c>
      <c r="F1268" s="8" t="s">
        <v>151</v>
      </c>
      <c r="G1268" s="8" t="s">
        <v>1619</v>
      </c>
      <c r="H1268" s="8" t="s">
        <v>145</v>
      </c>
      <c r="I1268" s="8" t="s">
        <v>153</v>
      </c>
      <c r="J1268" s="8" t="s">
        <v>5745</v>
      </c>
      <c r="K1268" s="8"/>
      <c r="L1268" s="8" t="s">
        <v>5746</v>
      </c>
    </row>
    <row r="1269" customFormat="false" ht="34.5" hidden="false" customHeight="true" outlineLevel="0" collapsed="false">
      <c r="A1269" s="8" t="n">
        <v>1063</v>
      </c>
      <c r="B1269" s="8" t="s">
        <v>41</v>
      </c>
      <c r="C1269" s="8" t="s">
        <v>5747</v>
      </c>
      <c r="D1269" s="8" t="n">
        <v>2007</v>
      </c>
      <c r="E1269" s="8" t="s">
        <v>5748</v>
      </c>
      <c r="F1269" s="8" t="s">
        <v>143</v>
      </c>
      <c r="G1269" s="8" t="s">
        <v>5749</v>
      </c>
      <c r="H1269" s="8" t="s">
        <v>1319</v>
      </c>
      <c r="I1269" s="8" t="s">
        <v>146</v>
      </c>
      <c r="J1269" s="8" t="s">
        <v>5750</v>
      </c>
      <c r="K1269" s="8" t="s">
        <v>114</v>
      </c>
      <c r="L1269" s="8" t="s">
        <v>5751</v>
      </c>
    </row>
    <row r="1270" customFormat="false" ht="34.5" hidden="false" customHeight="true" outlineLevel="0" collapsed="false">
      <c r="A1270" s="8" t="n">
        <v>1064</v>
      </c>
      <c r="B1270" s="8" t="s">
        <v>41</v>
      </c>
      <c r="C1270" s="8" t="s">
        <v>3321</v>
      </c>
      <c r="D1270" s="8" t="n">
        <v>2021</v>
      </c>
      <c r="E1270" s="8" t="s">
        <v>5752</v>
      </c>
      <c r="F1270" s="8" t="s">
        <v>143</v>
      </c>
      <c r="G1270" s="8" t="s">
        <v>5753</v>
      </c>
      <c r="H1270" s="8" t="s">
        <v>145</v>
      </c>
      <c r="I1270" s="8" t="s">
        <v>153</v>
      </c>
      <c r="J1270" s="8" t="s">
        <v>5754</v>
      </c>
      <c r="K1270" s="8" t="s">
        <v>114</v>
      </c>
      <c r="L1270" s="8" t="s">
        <v>5755</v>
      </c>
    </row>
    <row r="1271" customFormat="false" ht="34.5" hidden="false" customHeight="true" outlineLevel="0" collapsed="false">
      <c r="A1271" s="8" t="n">
        <v>1065</v>
      </c>
      <c r="B1271" s="8" t="s">
        <v>41</v>
      </c>
      <c r="C1271" s="8" t="s">
        <v>5756</v>
      </c>
      <c r="D1271" s="8" t="n">
        <v>2020</v>
      </c>
      <c r="E1271" s="8" t="s">
        <v>5757</v>
      </c>
      <c r="F1271" s="8" t="s">
        <v>143</v>
      </c>
      <c r="G1271" s="8" t="s">
        <v>5758</v>
      </c>
      <c r="H1271" s="8" t="s">
        <v>1319</v>
      </c>
      <c r="I1271" s="8" t="s">
        <v>153</v>
      </c>
      <c r="J1271" s="8" t="s">
        <v>5759</v>
      </c>
      <c r="K1271" s="8" t="s">
        <v>114</v>
      </c>
      <c r="L1271" s="8" t="s">
        <v>5760</v>
      </c>
    </row>
    <row r="1272" customFormat="false" ht="23.25" hidden="false" customHeight="true" outlineLevel="0" collapsed="false">
      <c r="A1272" s="8" t="n">
        <v>1066</v>
      </c>
      <c r="B1272" s="8" t="s">
        <v>41</v>
      </c>
      <c r="C1272" s="8" t="s">
        <v>5761</v>
      </c>
      <c r="D1272" s="8" t="n">
        <v>2022</v>
      </c>
      <c r="E1272" s="8" t="s">
        <v>5762</v>
      </c>
      <c r="F1272" s="8" t="s">
        <v>143</v>
      </c>
      <c r="G1272" s="8" t="s">
        <v>1678</v>
      </c>
      <c r="H1272" s="8" t="s">
        <v>327</v>
      </c>
      <c r="I1272" s="8" t="s">
        <v>153</v>
      </c>
      <c r="J1272" s="8" t="s">
        <v>5763</v>
      </c>
      <c r="K1272" s="8"/>
      <c r="L1272" s="8" t="s">
        <v>5764</v>
      </c>
    </row>
    <row r="1273" customFormat="false" ht="23.25" hidden="false" customHeight="true" outlineLevel="0" collapsed="false">
      <c r="A1273" s="8" t="n">
        <v>1067</v>
      </c>
      <c r="B1273" s="8" t="s">
        <v>41</v>
      </c>
      <c r="C1273" s="8" t="s">
        <v>5765</v>
      </c>
      <c r="D1273" s="8" t="n">
        <v>2020</v>
      </c>
      <c r="E1273" s="8" t="s">
        <v>5766</v>
      </c>
      <c r="F1273" s="8" t="s">
        <v>151</v>
      </c>
      <c r="G1273" s="8" t="s">
        <v>5721</v>
      </c>
      <c r="H1273" s="8" t="s">
        <v>145</v>
      </c>
      <c r="I1273" s="8" t="s">
        <v>153</v>
      </c>
      <c r="J1273" s="8" t="s">
        <v>5767</v>
      </c>
      <c r="K1273" s="8"/>
      <c r="L1273" s="8" t="s">
        <v>5768</v>
      </c>
    </row>
    <row r="1274" customFormat="false" ht="34.5" hidden="false" customHeight="true" outlineLevel="0" collapsed="false">
      <c r="A1274" s="8" t="n">
        <v>1068</v>
      </c>
      <c r="B1274" s="8" t="s">
        <v>41</v>
      </c>
      <c r="C1274" s="8" t="s">
        <v>5769</v>
      </c>
      <c r="D1274" s="8" t="n">
        <v>2005</v>
      </c>
      <c r="E1274" s="8" t="s">
        <v>5770</v>
      </c>
      <c r="F1274" s="8" t="s">
        <v>143</v>
      </c>
      <c r="G1274" s="8" t="s">
        <v>348</v>
      </c>
      <c r="H1274" s="8" t="s">
        <v>5771</v>
      </c>
      <c r="I1274" s="8" t="s">
        <v>153</v>
      </c>
      <c r="J1274" s="8" t="s">
        <v>5772</v>
      </c>
      <c r="K1274" s="8"/>
      <c r="L1274" s="8" t="s">
        <v>5773</v>
      </c>
    </row>
    <row r="1275" customFormat="false" ht="34.5" hidden="false" customHeight="true" outlineLevel="0" collapsed="false">
      <c r="A1275" s="9" t="n">
        <v>1069</v>
      </c>
      <c r="B1275" s="10" t="s">
        <v>41</v>
      </c>
      <c r="C1275" s="10" t="s">
        <v>5774</v>
      </c>
      <c r="D1275" s="10" t="n">
        <v>2016</v>
      </c>
      <c r="E1275" s="10" t="s">
        <v>5775</v>
      </c>
      <c r="F1275" s="10" t="s">
        <v>143</v>
      </c>
      <c r="G1275" s="10" t="s">
        <v>5776</v>
      </c>
      <c r="H1275" s="10" t="s">
        <v>145</v>
      </c>
      <c r="I1275" s="10" t="s">
        <v>153</v>
      </c>
      <c r="J1275" s="10" t="s">
        <v>5777</v>
      </c>
      <c r="K1275" s="10" t="s">
        <v>112</v>
      </c>
      <c r="L1275" s="10" t="s">
        <v>5778</v>
      </c>
    </row>
    <row r="1276" customFormat="false" ht="34.5" hidden="false" customHeight="true" outlineLevel="0" collapsed="false">
      <c r="A1276" s="11" t="n">
        <v>1069</v>
      </c>
      <c r="B1276" s="12" t="s">
        <v>49</v>
      </c>
      <c r="C1276" s="12" t="s">
        <v>5774</v>
      </c>
      <c r="D1276" s="12" t="n">
        <v>2016</v>
      </c>
      <c r="E1276" s="12" t="s">
        <v>5775</v>
      </c>
      <c r="F1276" s="12" t="s">
        <v>143</v>
      </c>
      <c r="G1276" s="12" t="s">
        <v>5779</v>
      </c>
      <c r="H1276" s="12" t="s">
        <v>145</v>
      </c>
      <c r="I1276" s="12" t="s">
        <v>153</v>
      </c>
      <c r="J1276" s="12" t="s">
        <v>5780</v>
      </c>
      <c r="K1276" s="12" t="s">
        <v>116</v>
      </c>
      <c r="L1276" s="12" t="s">
        <v>5781</v>
      </c>
    </row>
    <row r="1277" customFormat="false" ht="34.5" hidden="false" customHeight="true" outlineLevel="0" collapsed="false">
      <c r="A1277" s="11" t="n">
        <v>1069</v>
      </c>
      <c r="B1277" s="12" t="s">
        <v>81</v>
      </c>
      <c r="C1277" s="12" t="s">
        <v>5774</v>
      </c>
      <c r="D1277" s="12" t="n">
        <v>2016</v>
      </c>
      <c r="E1277" s="12" t="s">
        <v>5775</v>
      </c>
      <c r="F1277" s="12" t="s">
        <v>5782</v>
      </c>
      <c r="G1277" s="12" t="s">
        <v>3919</v>
      </c>
      <c r="H1277" s="12" t="s">
        <v>145</v>
      </c>
      <c r="I1277" s="12" t="s">
        <v>153</v>
      </c>
      <c r="J1277" s="12" t="s">
        <v>5783</v>
      </c>
      <c r="K1277" s="12" t="s">
        <v>116</v>
      </c>
      <c r="L1277" s="12" t="s">
        <v>5784</v>
      </c>
    </row>
    <row r="1278" customFormat="false" ht="34.5" hidden="false" customHeight="true" outlineLevel="0" collapsed="false">
      <c r="A1278" s="8" t="n">
        <v>1070</v>
      </c>
      <c r="B1278" s="8" t="s">
        <v>41</v>
      </c>
      <c r="C1278" s="8" t="s">
        <v>5785</v>
      </c>
      <c r="D1278" s="8" t="n">
        <v>1989</v>
      </c>
      <c r="E1278" s="8" t="s">
        <v>5786</v>
      </c>
      <c r="F1278" s="8" t="s">
        <v>143</v>
      </c>
      <c r="G1278" s="8" t="s">
        <v>5787</v>
      </c>
      <c r="H1278" s="8" t="s">
        <v>2248</v>
      </c>
      <c r="I1278" s="8" t="s">
        <v>146</v>
      </c>
      <c r="J1278" s="8" t="s">
        <v>5788</v>
      </c>
      <c r="K1278" s="8"/>
      <c r="L1278" s="8" t="s">
        <v>5789</v>
      </c>
    </row>
    <row r="1279" customFormat="false" ht="34.5" hidden="false" customHeight="true" outlineLevel="0" collapsed="false">
      <c r="A1279" s="8" t="n">
        <v>1071</v>
      </c>
      <c r="B1279" s="8" t="s">
        <v>41</v>
      </c>
      <c r="C1279" s="8" t="s">
        <v>5790</v>
      </c>
      <c r="D1279" s="8" t="n">
        <v>2018</v>
      </c>
      <c r="E1279" s="8" t="s">
        <v>5791</v>
      </c>
      <c r="F1279" s="8" t="s">
        <v>151</v>
      </c>
      <c r="G1279" s="8" t="s">
        <v>5792</v>
      </c>
      <c r="H1279" s="8" t="s">
        <v>145</v>
      </c>
      <c r="I1279" s="8" t="s">
        <v>153</v>
      </c>
      <c r="J1279" s="8" t="s">
        <v>5793</v>
      </c>
      <c r="K1279" s="8" t="s">
        <v>114</v>
      </c>
      <c r="L1279" s="8" t="s">
        <v>5794</v>
      </c>
    </row>
    <row r="1280" customFormat="false" ht="34.5" hidden="false" customHeight="true" outlineLevel="0" collapsed="false">
      <c r="A1280" s="8" t="n">
        <v>1072</v>
      </c>
      <c r="B1280" s="8" t="s">
        <v>41</v>
      </c>
      <c r="C1280" s="8" t="s">
        <v>5795</v>
      </c>
      <c r="D1280" s="8" t="n">
        <v>2012</v>
      </c>
      <c r="E1280" s="8" t="s">
        <v>5796</v>
      </c>
      <c r="F1280" s="8" t="s">
        <v>143</v>
      </c>
      <c r="G1280" s="8" t="s">
        <v>5732</v>
      </c>
      <c r="H1280" s="8" t="s">
        <v>145</v>
      </c>
      <c r="I1280" s="8" t="s">
        <v>153</v>
      </c>
      <c r="J1280" s="8" t="s">
        <v>5797</v>
      </c>
      <c r="K1280" s="8" t="s">
        <v>114</v>
      </c>
      <c r="L1280" s="8" t="s">
        <v>5798</v>
      </c>
    </row>
    <row r="1281" customFormat="false" ht="34.5" hidden="false" customHeight="true" outlineLevel="0" collapsed="false">
      <c r="A1281" s="8" t="n">
        <v>1073</v>
      </c>
      <c r="B1281" s="8" t="s">
        <v>41</v>
      </c>
      <c r="C1281" s="8" t="s">
        <v>5799</v>
      </c>
      <c r="D1281" s="8" t="n">
        <v>2018</v>
      </c>
      <c r="E1281" s="8" t="s">
        <v>5800</v>
      </c>
      <c r="F1281" s="8" t="s">
        <v>143</v>
      </c>
      <c r="G1281" s="8" t="s">
        <v>197</v>
      </c>
      <c r="H1281" s="8" t="s">
        <v>145</v>
      </c>
      <c r="I1281" s="8" t="s">
        <v>153</v>
      </c>
      <c r="J1281" s="8" t="s">
        <v>5801</v>
      </c>
      <c r="K1281" s="8"/>
      <c r="L1281" s="8" t="s">
        <v>5802</v>
      </c>
    </row>
    <row r="1282" customFormat="false" ht="34.5" hidden="false" customHeight="true" outlineLevel="0" collapsed="false">
      <c r="A1282" s="8" t="n">
        <v>1074</v>
      </c>
      <c r="B1282" s="8" t="s">
        <v>41</v>
      </c>
      <c r="C1282" s="8" t="s">
        <v>5803</v>
      </c>
      <c r="D1282" s="8" t="n">
        <v>2020</v>
      </c>
      <c r="E1282" s="8" t="s">
        <v>5804</v>
      </c>
      <c r="F1282" s="8" t="s">
        <v>151</v>
      </c>
      <c r="G1282" s="8" t="s">
        <v>5805</v>
      </c>
      <c r="H1282" s="8" t="s">
        <v>5806</v>
      </c>
      <c r="I1282" s="8" t="s">
        <v>153</v>
      </c>
      <c r="J1282" s="8" t="s">
        <v>5807</v>
      </c>
      <c r="K1282" s="8"/>
      <c r="L1282" s="8" t="s">
        <v>5808</v>
      </c>
    </row>
    <row r="1283" customFormat="false" ht="23.25" hidden="false" customHeight="true" outlineLevel="0" collapsed="false">
      <c r="A1283" s="8" t="n">
        <v>1075</v>
      </c>
      <c r="B1283" s="8" t="s">
        <v>41</v>
      </c>
      <c r="C1283" s="8" t="s">
        <v>5809</v>
      </c>
      <c r="D1283" s="8" t="n">
        <v>1963</v>
      </c>
      <c r="E1283" s="8" t="s">
        <v>5810</v>
      </c>
      <c r="F1283" s="8" t="s">
        <v>151</v>
      </c>
      <c r="G1283" s="8" t="s">
        <v>348</v>
      </c>
      <c r="H1283" s="8" t="s">
        <v>145</v>
      </c>
      <c r="I1283" s="8" t="s">
        <v>153</v>
      </c>
      <c r="J1283" s="8" t="s">
        <v>5811</v>
      </c>
      <c r="K1283" s="8"/>
      <c r="L1283" s="8" t="s">
        <v>5812</v>
      </c>
    </row>
    <row r="1284" customFormat="false" ht="23.25" hidden="false" customHeight="true" outlineLevel="0" collapsed="false">
      <c r="A1284" s="8" t="n">
        <v>1076</v>
      </c>
      <c r="B1284" s="8" t="s">
        <v>41</v>
      </c>
      <c r="C1284" s="8" t="s">
        <v>5813</v>
      </c>
      <c r="D1284" s="8" t="n">
        <v>2020</v>
      </c>
      <c r="E1284" s="8" t="s">
        <v>5814</v>
      </c>
      <c r="F1284" s="8" t="s">
        <v>151</v>
      </c>
      <c r="G1284" s="8" t="s">
        <v>5815</v>
      </c>
      <c r="H1284" s="8" t="s">
        <v>145</v>
      </c>
      <c r="I1284" s="8" t="s">
        <v>153</v>
      </c>
      <c r="J1284" s="8" t="s">
        <v>5816</v>
      </c>
      <c r="K1284" s="8"/>
      <c r="L1284" s="8" t="s">
        <v>5817</v>
      </c>
    </row>
    <row r="1285" customFormat="false" ht="34.5" hidden="false" customHeight="true" outlineLevel="0" collapsed="false">
      <c r="A1285" s="8" t="n">
        <v>1077</v>
      </c>
      <c r="B1285" s="8" t="s">
        <v>41</v>
      </c>
      <c r="C1285" s="8" t="s">
        <v>5818</v>
      </c>
      <c r="D1285" s="8" t="n">
        <v>2005</v>
      </c>
      <c r="E1285" s="8" t="s">
        <v>5819</v>
      </c>
      <c r="F1285" s="8" t="s">
        <v>143</v>
      </c>
      <c r="G1285" s="8" t="s">
        <v>5820</v>
      </c>
      <c r="H1285" s="8" t="s">
        <v>187</v>
      </c>
      <c r="I1285" s="8" t="s">
        <v>146</v>
      </c>
      <c r="J1285" s="8" t="s">
        <v>5821</v>
      </c>
      <c r="K1285" s="8" t="s">
        <v>114</v>
      </c>
      <c r="L1285" s="8" t="s">
        <v>5822</v>
      </c>
    </row>
    <row r="1286" customFormat="false" ht="34.5" hidden="false" customHeight="true" outlineLevel="0" collapsed="false">
      <c r="A1286" s="8" t="n">
        <v>1078</v>
      </c>
      <c r="B1286" s="8" t="s">
        <v>41</v>
      </c>
      <c r="C1286" s="8" t="s">
        <v>5823</v>
      </c>
      <c r="D1286" s="8" t="n">
        <v>2011</v>
      </c>
      <c r="E1286" s="8" t="s">
        <v>5824</v>
      </c>
      <c r="F1286" s="8" t="s">
        <v>143</v>
      </c>
      <c r="G1286" s="8" t="s">
        <v>5825</v>
      </c>
      <c r="H1286" s="8" t="s">
        <v>145</v>
      </c>
      <c r="I1286" s="8" t="s">
        <v>153</v>
      </c>
      <c r="J1286" s="8" t="s">
        <v>5826</v>
      </c>
      <c r="K1286" s="8" t="s">
        <v>114</v>
      </c>
      <c r="L1286" s="8" t="s">
        <v>5827</v>
      </c>
    </row>
    <row r="1287" customFormat="false" ht="23.25" hidden="false" customHeight="true" outlineLevel="0" collapsed="false">
      <c r="A1287" s="9" t="n">
        <v>1079</v>
      </c>
      <c r="B1287" s="10" t="s">
        <v>41</v>
      </c>
      <c r="C1287" s="10" t="s">
        <v>5828</v>
      </c>
      <c r="D1287" s="10" t="n">
        <v>2000</v>
      </c>
      <c r="E1287" s="10" t="s">
        <v>5829</v>
      </c>
      <c r="F1287" s="10" t="s">
        <v>143</v>
      </c>
      <c r="G1287" s="10" t="s">
        <v>152</v>
      </c>
      <c r="H1287" s="10" t="s">
        <v>145</v>
      </c>
      <c r="I1287" s="10" t="s">
        <v>387</v>
      </c>
      <c r="J1287" s="10" t="s">
        <v>5830</v>
      </c>
      <c r="K1287" s="10"/>
      <c r="L1287" s="10" t="s">
        <v>5831</v>
      </c>
    </row>
    <row r="1288" customFormat="false" ht="34.5" hidden="false" customHeight="true" outlineLevel="0" collapsed="false">
      <c r="A1288" s="11" t="n">
        <v>1079</v>
      </c>
      <c r="B1288" s="12" t="s">
        <v>49</v>
      </c>
      <c r="C1288" s="12" t="s">
        <v>5828</v>
      </c>
      <c r="D1288" s="12" t="n">
        <v>2000</v>
      </c>
      <c r="E1288" s="12" t="s">
        <v>5829</v>
      </c>
      <c r="F1288" s="12" t="s">
        <v>201</v>
      </c>
      <c r="G1288" s="12" t="s">
        <v>152</v>
      </c>
      <c r="H1288" s="12" t="s">
        <v>145</v>
      </c>
      <c r="I1288" s="12" t="s">
        <v>387</v>
      </c>
      <c r="J1288" s="12" t="s">
        <v>5832</v>
      </c>
      <c r="K1288" s="12"/>
      <c r="L1288" s="12" t="s">
        <v>5833</v>
      </c>
    </row>
    <row r="1289" customFormat="false" ht="34.5" hidden="false" customHeight="true" outlineLevel="0" collapsed="false">
      <c r="A1289" s="13" t="n">
        <v>1080</v>
      </c>
      <c r="B1289" s="14" t="s">
        <v>41</v>
      </c>
      <c r="C1289" s="14" t="s">
        <v>1883</v>
      </c>
      <c r="D1289" s="14" t="n">
        <v>2012</v>
      </c>
      <c r="E1289" s="14" t="s">
        <v>5834</v>
      </c>
      <c r="F1289" s="14" t="s">
        <v>151</v>
      </c>
      <c r="G1289" s="14" t="s">
        <v>5835</v>
      </c>
      <c r="H1289" s="14" t="s">
        <v>145</v>
      </c>
      <c r="I1289" s="14" t="s">
        <v>146</v>
      </c>
      <c r="J1289" s="14" t="s">
        <v>5836</v>
      </c>
      <c r="K1289" s="14"/>
      <c r="L1289" s="14" t="s">
        <v>5837</v>
      </c>
    </row>
    <row r="1290" customFormat="false" ht="34.5" hidden="false" customHeight="true" outlineLevel="0" collapsed="false">
      <c r="A1290" s="15" t="n">
        <v>1080</v>
      </c>
      <c r="B1290" s="16" t="s">
        <v>55</v>
      </c>
      <c r="C1290" s="16" t="s">
        <v>1883</v>
      </c>
      <c r="D1290" s="16" t="n">
        <v>2012</v>
      </c>
      <c r="E1290" s="16" t="s">
        <v>5834</v>
      </c>
      <c r="F1290" s="16" t="s">
        <v>151</v>
      </c>
      <c r="G1290" s="16" t="s">
        <v>5838</v>
      </c>
      <c r="H1290" s="16" t="s">
        <v>145</v>
      </c>
      <c r="I1290" s="16" t="s">
        <v>153</v>
      </c>
      <c r="J1290" s="16" t="s">
        <v>5839</v>
      </c>
      <c r="K1290" s="16"/>
      <c r="L1290" s="16" t="s">
        <v>5840</v>
      </c>
    </row>
    <row r="1291" customFormat="false" ht="34.5" hidden="false" customHeight="true" outlineLevel="0" collapsed="false">
      <c r="A1291" s="8" t="n">
        <v>1081</v>
      </c>
      <c r="B1291" s="8" t="s">
        <v>41</v>
      </c>
      <c r="C1291" s="8" t="s">
        <v>5841</v>
      </c>
      <c r="D1291" s="8" t="n">
        <v>2015</v>
      </c>
      <c r="E1291" s="8" t="s">
        <v>5842</v>
      </c>
      <c r="F1291" s="8" t="s">
        <v>143</v>
      </c>
      <c r="G1291" s="8" t="s">
        <v>5843</v>
      </c>
      <c r="H1291" s="8" t="s">
        <v>2248</v>
      </c>
      <c r="I1291" s="8" t="s">
        <v>146</v>
      </c>
      <c r="J1291" s="8" t="s">
        <v>5844</v>
      </c>
      <c r="K1291" s="8" t="s">
        <v>116</v>
      </c>
      <c r="L1291" s="8" t="s">
        <v>5845</v>
      </c>
    </row>
    <row r="1292" customFormat="false" ht="23.25" hidden="false" customHeight="true" outlineLevel="0" collapsed="false">
      <c r="A1292" s="8" t="n">
        <v>1082</v>
      </c>
      <c r="B1292" s="8" t="s">
        <v>41</v>
      </c>
      <c r="C1292" s="8" t="s">
        <v>5841</v>
      </c>
      <c r="D1292" s="8" t="n">
        <v>2018</v>
      </c>
      <c r="E1292" s="8" t="s">
        <v>5846</v>
      </c>
      <c r="F1292" s="8" t="s">
        <v>143</v>
      </c>
      <c r="G1292" s="8" t="s">
        <v>5847</v>
      </c>
      <c r="H1292" s="8" t="s">
        <v>145</v>
      </c>
      <c r="I1292" s="8" t="s">
        <v>153</v>
      </c>
      <c r="J1292" s="8" t="s">
        <v>5848</v>
      </c>
      <c r="K1292" s="8" t="s">
        <v>114</v>
      </c>
      <c r="L1292" s="8" t="s">
        <v>5849</v>
      </c>
    </row>
    <row r="1293" customFormat="false" ht="34.5" hidden="false" customHeight="true" outlineLevel="0" collapsed="false">
      <c r="A1293" s="8" t="n">
        <v>1083</v>
      </c>
      <c r="B1293" s="8" t="s">
        <v>41</v>
      </c>
      <c r="C1293" s="8" t="s">
        <v>5850</v>
      </c>
      <c r="D1293" s="8" t="n">
        <v>2020</v>
      </c>
      <c r="E1293" s="8" t="s">
        <v>5851</v>
      </c>
      <c r="F1293" s="8" t="s">
        <v>151</v>
      </c>
      <c r="G1293" s="8" t="s">
        <v>5852</v>
      </c>
      <c r="H1293" s="8" t="s">
        <v>5853</v>
      </c>
      <c r="I1293" s="8" t="s">
        <v>208</v>
      </c>
      <c r="J1293" s="8" t="s">
        <v>5854</v>
      </c>
      <c r="K1293" s="8"/>
      <c r="L1293" s="8" t="s">
        <v>5855</v>
      </c>
    </row>
    <row r="1294" customFormat="false" ht="34.5" hidden="false" customHeight="true" outlineLevel="0" collapsed="false">
      <c r="A1294" s="8" t="n">
        <v>1084</v>
      </c>
      <c r="B1294" s="8" t="s">
        <v>41</v>
      </c>
      <c r="C1294" s="8" t="s">
        <v>5856</v>
      </c>
      <c r="D1294" s="8" t="n">
        <v>2014</v>
      </c>
      <c r="E1294" s="8" t="s">
        <v>5857</v>
      </c>
      <c r="F1294" s="8" t="s">
        <v>151</v>
      </c>
      <c r="G1294" s="8" t="s">
        <v>5858</v>
      </c>
      <c r="H1294" s="8" t="s">
        <v>145</v>
      </c>
      <c r="I1294" s="8" t="s">
        <v>522</v>
      </c>
      <c r="J1294" s="8" t="s">
        <v>5859</v>
      </c>
      <c r="K1294" s="8"/>
      <c r="L1294" s="8" t="s">
        <v>5860</v>
      </c>
    </row>
    <row r="1295" customFormat="false" ht="23.25" hidden="false" customHeight="true" outlineLevel="0" collapsed="false">
      <c r="A1295" s="8" t="n">
        <v>1085</v>
      </c>
      <c r="B1295" s="8" t="s">
        <v>41</v>
      </c>
      <c r="C1295" s="8" t="s">
        <v>5861</v>
      </c>
      <c r="D1295" s="8" t="n">
        <v>2015</v>
      </c>
      <c r="E1295" s="8" t="s">
        <v>5862</v>
      </c>
      <c r="F1295" s="8" t="s">
        <v>143</v>
      </c>
      <c r="G1295" s="8" t="s">
        <v>348</v>
      </c>
      <c r="H1295" s="8" t="s">
        <v>145</v>
      </c>
      <c r="I1295" s="8" t="s">
        <v>153</v>
      </c>
      <c r="J1295" s="8" t="s">
        <v>5863</v>
      </c>
      <c r="K1295" s="8"/>
      <c r="L1295" s="8" t="s">
        <v>5864</v>
      </c>
    </row>
    <row r="1296" customFormat="false" ht="34.5" hidden="false" customHeight="true" outlineLevel="0" collapsed="false">
      <c r="A1296" s="8" t="n">
        <v>1086</v>
      </c>
      <c r="B1296" s="8" t="s">
        <v>41</v>
      </c>
      <c r="C1296" s="8" t="s">
        <v>5865</v>
      </c>
      <c r="D1296" s="8" t="n">
        <v>2015</v>
      </c>
      <c r="E1296" s="8" t="s">
        <v>5866</v>
      </c>
      <c r="F1296" s="8" t="s">
        <v>143</v>
      </c>
      <c r="G1296" s="8" t="s">
        <v>5867</v>
      </c>
      <c r="H1296" s="8" t="s">
        <v>5868</v>
      </c>
      <c r="I1296" s="8" t="s">
        <v>146</v>
      </c>
      <c r="J1296" s="8" t="s">
        <v>5869</v>
      </c>
      <c r="K1296" s="8"/>
      <c r="L1296" s="8" t="s">
        <v>5870</v>
      </c>
    </row>
    <row r="1297" customFormat="false" ht="34.5" hidden="false" customHeight="true" outlineLevel="0" collapsed="false">
      <c r="A1297" s="9" t="n">
        <v>1087</v>
      </c>
      <c r="B1297" s="10" t="s">
        <v>41</v>
      </c>
      <c r="C1297" s="10" t="s">
        <v>635</v>
      </c>
      <c r="D1297" s="10" t="n">
        <v>2019</v>
      </c>
      <c r="E1297" s="10" t="s">
        <v>5871</v>
      </c>
      <c r="F1297" s="10" t="s">
        <v>143</v>
      </c>
      <c r="G1297" s="10" t="s">
        <v>5872</v>
      </c>
      <c r="H1297" s="10" t="s">
        <v>5873</v>
      </c>
      <c r="I1297" s="10" t="s">
        <v>153</v>
      </c>
      <c r="J1297" s="10" t="s">
        <v>5874</v>
      </c>
      <c r="K1297" s="10" t="s">
        <v>114</v>
      </c>
      <c r="L1297" s="10" t="s">
        <v>5875</v>
      </c>
    </row>
    <row r="1298" customFormat="false" ht="34.5" hidden="false" customHeight="true" outlineLevel="0" collapsed="false">
      <c r="A1298" s="11" t="n">
        <v>1087</v>
      </c>
      <c r="B1298" s="12" t="s">
        <v>47</v>
      </c>
      <c r="C1298" s="12" t="s">
        <v>635</v>
      </c>
      <c r="D1298" s="12" t="n">
        <v>2019</v>
      </c>
      <c r="E1298" s="12" t="s">
        <v>5871</v>
      </c>
      <c r="F1298" s="12" t="s">
        <v>143</v>
      </c>
      <c r="G1298" s="12" t="s">
        <v>2053</v>
      </c>
      <c r="H1298" s="12" t="s">
        <v>145</v>
      </c>
      <c r="I1298" s="12" t="s">
        <v>153</v>
      </c>
      <c r="J1298" s="12" t="s">
        <v>5876</v>
      </c>
      <c r="K1298" s="12" t="s">
        <v>114</v>
      </c>
      <c r="L1298" s="12" t="s">
        <v>5877</v>
      </c>
    </row>
    <row r="1299" customFormat="false" ht="34.5" hidden="false" customHeight="true" outlineLevel="0" collapsed="false">
      <c r="A1299" s="8" t="n">
        <v>1088</v>
      </c>
      <c r="B1299" s="8" t="s">
        <v>41</v>
      </c>
      <c r="C1299" s="8" t="s">
        <v>5878</v>
      </c>
      <c r="D1299" s="8" t="n">
        <v>2021</v>
      </c>
      <c r="E1299" s="8" t="s">
        <v>5879</v>
      </c>
      <c r="F1299" s="8" t="s">
        <v>143</v>
      </c>
      <c r="G1299" s="8" t="s">
        <v>5880</v>
      </c>
      <c r="H1299" s="8" t="s">
        <v>5881</v>
      </c>
      <c r="I1299" s="8" t="s">
        <v>208</v>
      </c>
      <c r="J1299" s="8" t="s">
        <v>5882</v>
      </c>
      <c r="K1299" s="8" t="s">
        <v>110</v>
      </c>
      <c r="L1299" s="8" t="s">
        <v>5883</v>
      </c>
    </row>
    <row r="1300" customFormat="false" ht="34.5" hidden="false" customHeight="true" outlineLevel="0" collapsed="false">
      <c r="A1300" s="8" t="n">
        <v>1089</v>
      </c>
      <c r="B1300" s="8" t="s">
        <v>41</v>
      </c>
      <c r="C1300" s="8" t="s">
        <v>5884</v>
      </c>
      <c r="D1300" s="8" t="n">
        <v>2011</v>
      </c>
      <c r="E1300" s="8" t="s">
        <v>5885</v>
      </c>
      <c r="F1300" s="8" t="s">
        <v>143</v>
      </c>
      <c r="G1300" s="8" t="s">
        <v>5886</v>
      </c>
      <c r="H1300" s="8" t="s">
        <v>5887</v>
      </c>
      <c r="I1300" s="8" t="s">
        <v>146</v>
      </c>
      <c r="J1300" s="8" t="s">
        <v>5888</v>
      </c>
      <c r="K1300" s="8" t="s">
        <v>116</v>
      </c>
      <c r="L1300" s="8" t="s">
        <v>5889</v>
      </c>
    </row>
    <row r="1301" customFormat="false" ht="34.5" hidden="false" customHeight="true" outlineLevel="0" collapsed="false">
      <c r="A1301" s="8" t="n">
        <v>1090</v>
      </c>
      <c r="B1301" s="8" t="s">
        <v>41</v>
      </c>
      <c r="C1301" s="8" t="s">
        <v>5890</v>
      </c>
      <c r="D1301" s="8" t="n">
        <v>2014</v>
      </c>
      <c r="E1301" s="8" t="s">
        <v>5891</v>
      </c>
      <c r="F1301" s="8" t="s">
        <v>143</v>
      </c>
      <c r="G1301" s="8" t="s">
        <v>5892</v>
      </c>
      <c r="H1301" s="8" t="s">
        <v>145</v>
      </c>
      <c r="I1301" s="8" t="s">
        <v>387</v>
      </c>
      <c r="J1301" s="8" t="s">
        <v>5893</v>
      </c>
      <c r="K1301" s="8" t="s">
        <v>112</v>
      </c>
      <c r="L1301" s="8" t="s">
        <v>5894</v>
      </c>
    </row>
    <row r="1302" customFormat="false" ht="23.25" hidden="false" customHeight="true" outlineLevel="0" collapsed="false">
      <c r="A1302" s="8" t="n">
        <v>1091</v>
      </c>
      <c r="B1302" s="8" t="s">
        <v>41</v>
      </c>
      <c r="C1302" s="8" t="s">
        <v>5895</v>
      </c>
      <c r="D1302" s="8" t="n">
        <v>2021</v>
      </c>
      <c r="E1302" s="8" t="s">
        <v>5896</v>
      </c>
      <c r="F1302" s="8" t="s">
        <v>151</v>
      </c>
      <c r="G1302" s="8" t="s">
        <v>5721</v>
      </c>
      <c r="H1302" s="8" t="s">
        <v>145</v>
      </c>
      <c r="I1302" s="8" t="s">
        <v>153</v>
      </c>
      <c r="J1302" s="8" t="s">
        <v>5897</v>
      </c>
      <c r="K1302" s="8"/>
      <c r="L1302" s="8" t="s">
        <v>5898</v>
      </c>
    </row>
    <row r="1303" customFormat="false" ht="23.25" hidden="false" customHeight="true" outlineLevel="0" collapsed="false">
      <c r="A1303" s="8" t="n">
        <v>1092</v>
      </c>
      <c r="B1303" s="8" t="s">
        <v>41</v>
      </c>
      <c r="C1303" s="8" t="s">
        <v>5899</v>
      </c>
      <c r="D1303" s="8" t="n">
        <v>2022</v>
      </c>
      <c r="E1303" s="8" t="s">
        <v>5900</v>
      </c>
      <c r="F1303" s="8" t="s">
        <v>151</v>
      </c>
      <c r="G1303" s="8" t="s">
        <v>348</v>
      </c>
      <c r="H1303" s="8" t="s">
        <v>145</v>
      </c>
      <c r="I1303" s="8" t="s">
        <v>208</v>
      </c>
      <c r="J1303" s="8" t="s">
        <v>5901</v>
      </c>
      <c r="K1303" s="8"/>
      <c r="L1303" s="8" t="s">
        <v>5902</v>
      </c>
    </row>
    <row r="1304" customFormat="false" ht="34.5" hidden="false" customHeight="true" outlineLevel="0" collapsed="false">
      <c r="A1304" s="8" t="n">
        <v>1093</v>
      </c>
      <c r="B1304" s="8" t="s">
        <v>41</v>
      </c>
      <c r="C1304" s="8" t="s">
        <v>5903</v>
      </c>
      <c r="D1304" s="8" t="n">
        <v>2017</v>
      </c>
      <c r="E1304" s="8" t="s">
        <v>5904</v>
      </c>
      <c r="F1304" s="8" t="s">
        <v>151</v>
      </c>
      <c r="G1304" s="8" t="s">
        <v>5905</v>
      </c>
      <c r="H1304" s="8" t="s">
        <v>5601</v>
      </c>
      <c r="I1304" s="8" t="s">
        <v>146</v>
      </c>
      <c r="J1304" s="8" t="s">
        <v>5906</v>
      </c>
      <c r="K1304" s="8"/>
      <c r="L1304" s="8" t="s">
        <v>5907</v>
      </c>
    </row>
    <row r="1305" customFormat="false" ht="34.5" hidden="false" customHeight="true" outlineLevel="0" collapsed="false">
      <c r="A1305" s="8" t="n">
        <v>1094</v>
      </c>
      <c r="B1305" s="8" t="s">
        <v>41</v>
      </c>
      <c r="C1305" s="8" t="s">
        <v>5908</v>
      </c>
      <c r="D1305" s="8" t="n">
        <v>2020</v>
      </c>
      <c r="E1305" s="8" t="s">
        <v>5909</v>
      </c>
      <c r="F1305" s="8" t="s">
        <v>143</v>
      </c>
      <c r="G1305" s="8" t="s">
        <v>5910</v>
      </c>
      <c r="H1305" s="8" t="s">
        <v>5510</v>
      </c>
      <c r="I1305" s="8" t="s">
        <v>208</v>
      </c>
      <c r="J1305" s="8" t="s">
        <v>5911</v>
      </c>
      <c r="K1305" s="8" t="s">
        <v>110</v>
      </c>
      <c r="L1305" s="8" t="s">
        <v>5912</v>
      </c>
    </row>
    <row r="1306" customFormat="false" ht="34.5" hidden="false" customHeight="true" outlineLevel="0" collapsed="false">
      <c r="A1306" s="8" t="n">
        <v>1095</v>
      </c>
      <c r="B1306" s="8" t="s">
        <v>41</v>
      </c>
      <c r="C1306" s="8" t="s">
        <v>4180</v>
      </c>
      <c r="D1306" s="8" t="n">
        <v>2020</v>
      </c>
      <c r="E1306" s="8" t="s">
        <v>5913</v>
      </c>
      <c r="F1306" s="8" t="s">
        <v>151</v>
      </c>
      <c r="G1306" s="8" t="s">
        <v>1619</v>
      </c>
      <c r="H1306" s="8" t="s">
        <v>145</v>
      </c>
      <c r="I1306" s="8" t="s">
        <v>153</v>
      </c>
      <c r="J1306" s="8" t="s">
        <v>5914</v>
      </c>
      <c r="K1306" s="8"/>
      <c r="L1306" s="8" t="s">
        <v>5915</v>
      </c>
    </row>
    <row r="1307" customFormat="false" ht="34.5" hidden="false" customHeight="true" outlineLevel="0" collapsed="false">
      <c r="A1307" s="8" t="n">
        <v>1096</v>
      </c>
      <c r="B1307" s="8" t="s">
        <v>41</v>
      </c>
      <c r="C1307" s="8" t="s">
        <v>5916</v>
      </c>
      <c r="D1307" s="8" t="n">
        <v>2021</v>
      </c>
      <c r="E1307" s="8" t="s">
        <v>5917</v>
      </c>
      <c r="F1307" s="8" t="s">
        <v>143</v>
      </c>
      <c r="G1307" s="8" t="s">
        <v>5918</v>
      </c>
      <c r="H1307" s="8" t="s">
        <v>145</v>
      </c>
      <c r="I1307" s="8" t="s">
        <v>387</v>
      </c>
      <c r="J1307" s="8" t="s">
        <v>5919</v>
      </c>
      <c r="K1307" s="8"/>
      <c r="L1307" s="8" t="s">
        <v>5920</v>
      </c>
    </row>
    <row r="1308" customFormat="false" ht="23.25" hidden="false" customHeight="true" outlineLevel="0" collapsed="false">
      <c r="A1308" s="8" t="n">
        <v>1097</v>
      </c>
      <c r="B1308" s="8" t="s">
        <v>41</v>
      </c>
      <c r="C1308" s="8" t="s">
        <v>5921</v>
      </c>
      <c r="D1308" s="8" t="n">
        <v>2017</v>
      </c>
      <c r="E1308" s="8" t="s">
        <v>5922</v>
      </c>
      <c r="F1308" s="8" t="s">
        <v>143</v>
      </c>
      <c r="G1308" s="8" t="s">
        <v>5923</v>
      </c>
      <c r="H1308" s="8" t="s">
        <v>5924</v>
      </c>
      <c r="I1308" s="8" t="s">
        <v>153</v>
      </c>
      <c r="J1308" s="8" t="s">
        <v>5925</v>
      </c>
      <c r="K1308" s="8" t="s">
        <v>114</v>
      </c>
      <c r="L1308" s="8" t="s">
        <v>5926</v>
      </c>
    </row>
    <row r="1309" customFormat="false" ht="34.5" hidden="false" customHeight="true" outlineLevel="0" collapsed="false">
      <c r="A1309" s="8" t="n">
        <v>1098</v>
      </c>
      <c r="B1309" s="8" t="s">
        <v>41</v>
      </c>
      <c r="C1309" s="8" t="s">
        <v>5927</v>
      </c>
      <c r="D1309" s="8" t="n">
        <v>2015</v>
      </c>
      <c r="E1309" s="8" t="s">
        <v>5928</v>
      </c>
      <c r="F1309" s="8" t="s">
        <v>143</v>
      </c>
      <c r="G1309" s="8" t="s">
        <v>5929</v>
      </c>
      <c r="H1309" s="8" t="s">
        <v>1213</v>
      </c>
      <c r="I1309" s="8" t="s">
        <v>146</v>
      </c>
      <c r="J1309" s="8" t="s">
        <v>5930</v>
      </c>
      <c r="K1309" s="8" t="s">
        <v>112</v>
      </c>
      <c r="L1309" s="8" t="s">
        <v>5931</v>
      </c>
    </row>
    <row r="1310" customFormat="false" ht="34.5" hidden="false" customHeight="true" outlineLevel="0" collapsed="false">
      <c r="A1310" s="8" t="n">
        <v>1099</v>
      </c>
      <c r="B1310" s="8" t="s">
        <v>41</v>
      </c>
      <c r="C1310" s="8" t="s">
        <v>5932</v>
      </c>
      <c r="D1310" s="8" t="n">
        <v>2021</v>
      </c>
      <c r="E1310" s="8" t="s">
        <v>5933</v>
      </c>
      <c r="F1310" s="8" t="s">
        <v>151</v>
      </c>
      <c r="G1310" s="8" t="s">
        <v>348</v>
      </c>
      <c r="H1310" s="8" t="s">
        <v>145</v>
      </c>
      <c r="I1310" s="8" t="s">
        <v>153</v>
      </c>
      <c r="J1310" s="8" t="s">
        <v>5816</v>
      </c>
      <c r="K1310" s="8"/>
      <c r="L1310" s="8" t="s">
        <v>5934</v>
      </c>
    </row>
    <row r="1311" customFormat="false" ht="34.5" hidden="false" customHeight="true" outlineLevel="0" collapsed="false">
      <c r="A1311" s="13" t="n">
        <v>1100</v>
      </c>
      <c r="B1311" s="14" t="s">
        <v>41</v>
      </c>
      <c r="C1311" s="14" t="s">
        <v>5935</v>
      </c>
      <c r="D1311" s="14" t="n">
        <v>2020</v>
      </c>
      <c r="E1311" s="14" t="s">
        <v>5936</v>
      </c>
      <c r="F1311" s="14" t="s">
        <v>143</v>
      </c>
      <c r="G1311" s="14" t="s">
        <v>5937</v>
      </c>
      <c r="H1311" s="14" t="s">
        <v>4341</v>
      </c>
      <c r="I1311" s="14" t="s">
        <v>146</v>
      </c>
      <c r="J1311" s="14" t="s">
        <v>5938</v>
      </c>
      <c r="K1311" s="14"/>
      <c r="L1311" s="14" t="s">
        <v>5939</v>
      </c>
    </row>
    <row r="1312" customFormat="false" ht="34.5" hidden="false" customHeight="true" outlineLevel="0" collapsed="false">
      <c r="A1312" s="15" t="n">
        <v>1100</v>
      </c>
      <c r="B1312" s="16" t="s">
        <v>49</v>
      </c>
      <c r="C1312" s="16" t="s">
        <v>5935</v>
      </c>
      <c r="D1312" s="16" t="n">
        <v>2020</v>
      </c>
      <c r="E1312" s="16" t="s">
        <v>5940</v>
      </c>
      <c r="F1312" s="16" t="s">
        <v>201</v>
      </c>
      <c r="G1312" s="16" t="s">
        <v>5941</v>
      </c>
      <c r="H1312" s="16" t="s">
        <v>145</v>
      </c>
      <c r="I1312" s="16" t="s">
        <v>146</v>
      </c>
      <c r="J1312" s="16" t="s">
        <v>5942</v>
      </c>
      <c r="K1312" s="16"/>
      <c r="L1312" s="16" t="s">
        <v>5943</v>
      </c>
    </row>
    <row r="1313" customFormat="false" ht="34.5" hidden="false" customHeight="true" outlineLevel="0" collapsed="false">
      <c r="A1313" s="8" t="n">
        <v>1101</v>
      </c>
      <c r="B1313" s="8" t="s">
        <v>41</v>
      </c>
      <c r="C1313" s="8" t="s">
        <v>5944</v>
      </c>
      <c r="D1313" s="8" t="n">
        <v>2001</v>
      </c>
      <c r="E1313" s="8" t="s">
        <v>5945</v>
      </c>
      <c r="F1313" s="8" t="s">
        <v>151</v>
      </c>
      <c r="G1313" s="8" t="s">
        <v>5946</v>
      </c>
      <c r="H1313" s="8" t="s">
        <v>5947</v>
      </c>
      <c r="I1313" s="8" t="s">
        <v>748</v>
      </c>
      <c r="J1313" s="8" t="s">
        <v>5948</v>
      </c>
      <c r="K1313" s="8"/>
      <c r="L1313" s="8" t="s">
        <v>5949</v>
      </c>
    </row>
    <row r="1314" customFormat="false" ht="34.5" hidden="false" customHeight="true" outlineLevel="0" collapsed="false">
      <c r="A1314" s="8" t="n">
        <v>1102</v>
      </c>
      <c r="B1314" s="8" t="s">
        <v>41</v>
      </c>
      <c r="C1314" s="8" t="s">
        <v>5950</v>
      </c>
      <c r="D1314" s="8" t="n">
        <v>2003</v>
      </c>
      <c r="E1314" s="8" t="s">
        <v>5951</v>
      </c>
      <c r="F1314" s="8" t="s">
        <v>143</v>
      </c>
      <c r="G1314" s="8" t="s">
        <v>348</v>
      </c>
      <c r="H1314" s="8" t="s">
        <v>145</v>
      </c>
      <c r="I1314" s="8" t="s">
        <v>153</v>
      </c>
      <c r="J1314" s="8" t="s">
        <v>5767</v>
      </c>
      <c r="K1314" s="8"/>
      <c r="L1314" s="8" t="s">
        <v>5952</v>
      </c>
    </row>
    <row r="1315" customFormat="false" ht="34.5" hidden="false" customHeight="true" outlineLevel="0" collapsed="false">
      <c r="A1315" s="8" t="n">
        <v>1103</v>
      </c>
      <c r="B1315" s="8" t="s">
        <v>41</v>
      </c>
      <c r="C1315" s="8" t="s">
        <v>5953</v>
      </c>
      <c r="D1315" s="8" t="n">
        <v>2018</v>
      </c>
      <c r="E1315" s="8" t="s">
        <v>5954</v>
      </c>
      <c r="F1315" s="8" t="s">
        <v>143</v>
      </c>
      <c r="G1315" s="8" t="s">
        <v>5955</v>
      </c>
      <c r="H1315" s="8" t="s">
        <v>5956</v>
      </c>
      <c r="I1315" s="8" t="s">
        <v>153</v>
      </c>
      <c r="J1315" s="8" t="s">
        <v>5957</v>
      </c>
      <c r="K1315" s="8" t="s">
        <v>114</v>
      </c>
      <c r="L1315" s="8" t="s">
        <v>5958</v>
      </c>
    </row>
    <row r="1316" customFormat="false" ht="34.5" hidden="false" customHeight="true" outlineLevel="0" collapsed="false">
      <c r="A1316" s="8" t="n">
        <v>1104</v>
      </c>
      <c r="B1316" s="8" t="s">
        <v>41</v>
      </c>
      <c r="C1316" s="8" t="s">
        <v>5959</v>
      </c>
      <c r="D1316" s="8" t="n">
        <v>2010</v>
      </c>
      <c r="E1316" s="8" t="s">
        <v>5960</v>
      </c>
      <c r="F1316" s="8" t="s">
        <v>143</v>
      </c>
      <c r="G1316" s="8" t="s">
        <v>1678</v>
      </c>
      <c r="H1316" s="8" t="s">
        <v>145</v>
      </c>
      <c r="I1316" s="8" t="s">
        <v>153</v>
      </c>
      <c r="J1316" s="8" t="s">
        <v>5961</v>
      </c>
      <c r="K1316" s="8"/>
      <c r="L1316" s="8" t="s">
        <v>5962</v>
      </c>
    </row>
    <row r="1317" customFormat="false" ht="34.5" hidden="false" customHeight="true" outlineLevel="0" collapsed="false">
      <c r="A1317" s="8" t="n">
        <v>1105</v>
      </c>
      <c r="B1317" s="8" t="s">
        <v>41</v>
      </c>
      <c r="C1317" s="8" t="s">
        <v>5963</v>
      </c>
      <c r="D1317" s="8" t="n">
        <v>2021</v>
      </c>
      <c r="E1317" s="8" t="s">
        <v>5964</v>
      </c>
      <c r="F1317" s="8" t="s">
        <v>143</v>
      </c>
      <c r="G1317" s="8" t="s">
        <v>798</v>
      </c>
      <c r="H1317" s="8" t="s">
        <v>145</v>
      </c>
      <c r="I1317" s="8" t="s">
        <v>748</v>
      </c>
      <c r="J1317" s="8" t="s">
        <v>5965</v>
      </c>
      <c r="K1317" s="8"/>
      <c r="L1317" s="8" t="s">
        <v>5966</v>
      </c>
    </row>
    <row r="1318" customFormat="false" ht="34.5" hidden="false" customHeight="true" outlineLevel="0" collapsed="false">
      <c r="A1318" s="13" t="n">
        <v>1106</v>
      </c>
      <c r="B1318" s="14" t="s">
        <v>41</v>
      </c>
      <c r="C1318" s="14" t="s">
        <v>5967</v>
      </c>
      <c r="D1318" s="14" t="n">
        <v>2013</v>
      </c>
      <c r="E1318" s="14" t="s">
        <v>5968</v>
      </c>
      <c r="F1318" s="14" t="s">
        <v>151</v>
      </c>
      <c r="G1318" s="14" t="s">
        <v>5835</v>
      </c>
      <c r="H1318" s="14" t="s">
        <v>5969</v>
      </c>
      <c r="I1318" s="14" t="s">
        <v>146</v>
      </c>
      <c r="J1318" s="14" t="s">
        <v>5970</v>
      </c>
      <c r="K1318" s="14"/>
      <c r="L1318" s="14" t="s">
        <v>5971</v>
      </c>
    </row>
    <row r="1319" customFormat="false" ht="34.5" hidden="false" customHeight="true" outlineLevel="0" collapsed="false">
      <c r="A1319" s="15" t="n">
        <v>1106</v>
      </c>
      <c r="B1319" s="16" t="s">
        <v>55</v>
      </c>
      <c r="C1319" s="16" t="s">
        <v>5967</v>
      </c>
      <c r="D1319" s="16" t="n">
        <v>2013</v>
      </c>
      <c r="E1319" s="16" t="s">
        <v>5968</v>
      </c>
      <c r="F1319" s="16" t="s">
        <v>151</v>
      </c>
      <c r="G1319" s="16" t="s">
        <v>5972</v>
      </c>
      <c r="H1319" s="16" t="s">
        <v>145</v>
      </c>
      <c r="I1319" s="16" t="s">
        <v>153</v>
      </c>
      <c r="J1319" s="16" t="s">
        <v>5973</v>
      </c>
      <c r="K1319" s="16" t="s">
        <v>114</v>
      </c>
      <c r="L1319" s="16" t="s">
        <v>5974</v>
      </c>
    </row>
    <row r="1320" customFormat="false" ht="34.5" hidden="false" customHeight="true" outlineLevel="0" collapsed="false">
      <c r="A1320" s="9" t="n">
        <v>1107</v>
      </c>
      <c r="B1320" s="10" t="s">
        <v>41</v>
      </c>
      <c r="C1320" s="10" t="s">
        <v>5967</v>
      </c>
      <c r="D1320" s="10" t="n">
        <v>2017</v>
      </c>
      <c r="E1320" s="10" t="s">
        <v>5975</v>
      </c>
      <c r="F1320" s="10" t="s">
        <v>151</v>
      </c>
      <c r="G1320" s="10" t="s">
        <v>5976</v>
      </c>
      <c r="H1320" s="10" t="s">
        <v>5969</v>
      </c>
      <c r="I1320" s="10" t="s">
        <v>146</v>
      </c>
      <c r="J1320" s="10" t="s">
        <v>5977</v>
      </c>
      <c r="K1320" s="10"/>
      <c r="L1320" s="10" t="s">
        <v>5978</v>
      </c>
    </row>
    <row r="1321" customFormat="false" ht="34.5" hidden="false" customHeight="true" outlineLevel="0" collapsed="false">
      <c r="A1321" s="11" t="n">
        <v>1107</v>
      </c>
      <c r="B1321" s="12" t="s">
        <v>47</v>
      </c>
      <c r="C1321" s="12" t="s">
        <v>5979</v>
      </c>
      <c r="D1321" s="12" t="n">
        <v>2017</v>
      </c>
      <c r="E1321" s="12" t="s">
        <v>5975</v>
      </c>
      <c r="F1321" s="12" t="s">
        <v>151</v>
      </c>
      <c r="G1321" s="12" t="s">
        <v>1264</v>
      </c>
      <c r="H1321" s="12" t="s">
        <v>145</v>
      </c>
      <c r="I1321" s="12" t="s">
        <v>153</v>
      </c>
      <c r="J1321" s="12" t="s">
        <v>5980</v>
      </c>
      <c r="K1321" s="12" t="s">
        <v>114</v>
      </c>
      <c r="L1321" s="12" t="s">
        <v>5981</v>
      </c>
    </row>
    <row r="1322" customFormat="false" ht="34.5" hidden="false" customHeight="true" outlineLevel="0" collapsed="false">
      <c r="A1322" s="11" t="n">
        <v>1107</v>
      </c>
      <c r="B1322" s="12" t="s">
        <v>55</v>
      </c>
      <c r="C1322" s="12" t="s">
        <v>5967</v>
      </c>
      <c r="D1322" s="12" t="n">
        <v>2017</v>
      </c>
      <c r="E1322" s="12" t="s">
        <v>5975</v>
      </c>
      <c r="F1322" s="12" t="s">
        <v>151</v>
      </c>
      <c r="G1322" s="12" t="s">
        <v>5838</v>
      </c>
      <c r="H1322" s="12" t="s">
        <v>5969</v>
      </c>
      <c r="I1322" s="12" t="s">
        <v>153</v>
      </c>
      <c r="J1322" s="12" t="s">
        <v>5982</v>
      </c>
      <c r="K1322" s="12" t="s">
        <v>114</v>
      </c>
      <c r="L1322" s="12" t="s">
        <v>5983</v>
      </c>
    </row>
    <row r="1323" customFormat="false" ht="45.75" hidden="false" customHeight="true" outlineLevel="0" collapsed="false">
      <c r="A1323" s="8" t="n">
        <v>1108</v>
      </c>
      <c r="B1323" s="8" t="s">
        <v>41</v>
      </c>
      <c r="C1323" s="8" t="s">
        <v>5984</v>
      </c>
      <c r="D1323" s="8" t="n">
        <v>2020</v>
      </c>
      <c r="E1323" s="8" t="s">
        <v>5985</v>
      </c>
      <c r="F1323" s="8" t="s">
        <v>143</v>
      </c>
      <c r="G1323" s="8" t="s">
        <v>5986</v>
      </c>
      <c r="H1323" s="8" t="s">
        <v>145</v>
      </c>
      <c r="I1323" s="8" t="s">
        <v>153</v>
      </c>
      <c r="J1323" s="8" t="s">
        <v>5987</v>
      </c>
      <c r="K1323" s="8" t="s">
        <v>114</v>
      </c>
      <c r="L1323" s="8" t="s">
        <v>5988</v>
      </c>
    </row>
    <row r="1324" customFormat="false" ht="34.5" hidden="false" customHeight="true" outlineLevel="0" collapsed="false">
      <c r="A1324" s="8" t="n">
        <v>1109</v>
      </c>
      <c r="B1324" s="8" t="s">
        <v>41</v>
      </c>
      <c r="C1324" s="8" t="s">
        <v>5989</v>
      </c>
      <c r="D1324" s="8" t="n">
        <v>2021</v>
      </c>
      <c r="E1324" s="8" t="s">
        <v>5990</v>
      </c>
      <c r="F1324" s="8" t="s">
        <v>143</v>
      </c>
      <c r="G1324" s="8" t="s">
        <v>5991</v>
      </c>
      <c r="H1324" s="8" t="s">
        <v>145</v>
      </c>
      <c r="I1324" s="8" t="s">
        <v>153</v>
      </c>
      <c r="J1324" s="8" t="s">
        <v>5992</v>
      </c>
      <c r="K1324" s="8" t="s">
        <v>110</v>
      </c>
      <c r="L1324" s="8" t="s">
        <v>5993</v>
      </c>
    </row>
    <row r="1325" customFormat="false" ht="34.5" hidden="false" customHeight="true" outlineLevel="0" collapsed="false">
      <c r="A1325" s="8" t="n">
        <v>1110</v>
      </c>
      <c r="B1325" s="8" t="s">
        <v>41</v>
      </c>
      <c r="C1325" s="8" t="s">
        <v>5989</v>
      </c>
      <c r="D1325" s="8" t="n">
        <v>2022</v>
      </c>
      <c r="E1325" s="8" t="s">
        <v>5994</v>
      </c>
      <c r="F1325" s="8" t="s">
        <v>143</v>
      </c>
      <c r="G1325" s="8" t="s">
        <v>5995</v>
      </c>
      <c r="H1325" s="8" t="s">
        <v>145</v>
      </c>
      <c r="I1325" s="8" t="s">
        <v>153</v>
      </c>
      <c r="J1325" s="8" t="s">
        <v>5996</v>
      </c>
      <c r="K1325" s="8" t="s">
        <v>110</v>
      </c>
      <c r="L1325" s="8" t="s">
        <v>5997</v>
      </c>
    </row>
    <row r="1326" customFormat="false" ht="23.25" hidden="false" customHeight="true" outlineLevel="0" collapsed="false">
      <c r="A1326" s="8" t="n">
        <v>1111</v>
      </c>
      <c r="B1326" s="8" t="s">
        <v>41</v>
      </c>
      <c r="C1326" s="8" t="s">
        <v>5998</v>
      </c>
      <c r="D1326" s="8" t="n">
        <v>2015</v>
      </c>
      <c r="E1326" s="8" t="s">
        <v>5999</v>
      </c>
      <c r="F1326" s="8" t="s">
        <v>143</v>
      </c>
      <c r="G1326" s="8" t="s">
        <v>348</v>
      </c>
      <c r="H1326" s="8" t="s">
        <v>145</v>
      </c>
      <c r="I1326" s="8" t="s">
        <v>153</v>
      </c>
      <c r="J1326" s="8" t="s">
        <v>6000</v>
      </c>
      <c r="K1326" s="8"/>
      <c r="L1326" s="8" t="s">
        <v>6001</v>
      </c>
    </row>
    <row r="1327" customFormat="false" ht="34.5" hidden="false" customHeight="true" outlineLevel="0" collapsed="false">
      <c r="A1327" s="8" t="n">
        <v>1112</v>
      </c>
      <c r="B1327" s="8" t="s">
        <v>43</v>
      </c>
      <c r="C1327" s="8" t="s">
        <v>6002</v>
      </c>
      <c r="D1327" s="8" t="n">
        <v>2024</v>
      </c>
      <c r="E1327" s="8" t="s">
        <v>6003</v>
      </c>
      <c r="F1327" s="8" t="s">
        <v>143</v>
      </c>
      <c r="G1327" s="8" t="s">
        <v>364</v>
      </c>
      <c r="H1327" s="8" t="s">
        <v>145</v>
      </c>
      <c r="I1327" s="8" t="s">
        <v>153</v>
      </c>
      <c r="J1327" s="8" t="s">
        <v>6004</v>
      </c>
      <c r="K1327" s="8"/>
      <c r="L1327" s="8" t="s">
        <v>6005</v>
      </c>
    </row>
    <row r="1328" customFormat="false" ht="34.5" hidden="false" customHeight="true" outlineLevel="0" collapsed="false">
      <c r="A1328" s="8" t="n">
        <v>1113</v>
      </c>
      <c r="B1328" s="8" t="s">
        <v>43</v>
      </c>
      <c r="C1328" s="8" t="s">
        <v>2633</v>
      </c>
      <c r="D1328" s="8" t="n">
        <v>2024</v>
      </c>
      <c r="E1328" s="8" t="s">
        <v>6006</v>
      </c>
      <c r="F1328" s="8" t="s">
        <v>151</v>
      </c>
      <c r="G1328" s="8" t="s">
        <v>197</v>
      </c>
      <c r="H1328" s="8" t="s">
        <v>145</v>
      </c>
      <c r="I1328" s="8" t="s">
        <v>153</v>
      </c>
      <c r="J1328" s="8" t="s">
        <v>6007</v>
      </c>
      <c r="K1328" s="8"/>
      <c r="L1328" s="8" t="s">
        <v>6008</v>
      </c>
    </row>
    <row r="1329" customFormat="false" ht="34.5" hidden="false" customHeight="true" outlineLevel="0" collapsed="false">
      <c r="A1329" s="13" t="n">
        <v>1114</v>
      </c>
      <c r="B1329" s="14" t="s">
        <v>43</v>
      </c>
      <c r="C1329" s="14" t="s">
        <v>591</v>
      </c>
      <c r="D1329" s="14" t="n">
        <v>2019</v>
      </c>
      <c r="E1329" s="14" t="s">
        <v>6009</v>
      </c>
      <c r="F1329" s="14" t="s">
        <v>201</v>
      </c>
      <c r="G1329" s="14" t="s">
        <v>364</v>
      </c>
      <c r="H1329" s="14" t="s">
        <v>145</v>
      </c>
      <c r="I1329" s="14" t="s">
        <v>153</v>
      </c>
      <c r="J1329" s="14" t="s">
        <v>6010</v>
      </c>
      <c r="K1329" s="14"/>
      <c r="L1329" s="14" t="s">
        <v>6011</v>
      </c>
    </row>
    <row r="1330" customFormat="false" ht="34.5" hidden="false" customHeight="true" outlineLevel="0" collapsed="false">
      <c r="A1330" s="15" t="n">
        <v>1114</v>
      </c>
      <c r="B1330" s="16" t="s">
        <v>59</v>
      </c>
      <c r="C1330" s="16" t="s">
        <v>591</v>
      </c>
      <c r="D1330" s="16" t="n">
        <v>2019</v>
      </c>
      <c r="E1330" s="16" t="s">
        <v>6009</v>
      </c>
      <c r="F1330" s="16" t="s">
        <v>201</v>
      </c>
      <c r="G1330" s="16" t="s">
        <v>364</v>
      </c>
      <c r="H1330" s="16" t="s">
        <v>145</v>
      </c>
      <c r="I1330" s="16" t="s">
        <v>153</v>
      </c>
      <c r="J1330" s="16" t="s">
        <v>2675</v>
      </c>
      <c r="K1330" s="16" t="s">
        <v>114</v>
      </c>
      <c r="L1330" s="16" t="s">
        <v>6012</v>
      </c>
    </row>
    <row r="1331" customFormat="false" ht="34.5" hidden="false" customHeight="true" outlineLevel="0" collapsed="false">
      <c r="A1331" s="15" t="n">
        <v>1114</v>
      </c>
      <c r="B1331" s="16" t="s">
        <v>81</v>
      </c>
      <c r="C1331" s="16" t="s">
        <v>6013</v>
      </c>
      <c r="D1331" s="16" t="n">
        <v>2019</v>
      </c>
      <c r="E1331" s="16" t="s">
        <v>6009</v>
      </c>
      <c r="F1331" s="16" t="s">
        <v>201</v>
      </c>
      <c r="G1331" s="16" t="s">
        <v>364</v>
      </c>
      <c r="H1331" s="16" t="s">
        <v>145</v>
      </c>
      <c r="I1331" s="16" t="s">
        <v>153</v>
      </c>
      <c r="J1331" s="16" t="s">
        <v>2675</v>
      </c>
      <c r="K1331" s="16"/>
      <c r="L1331" s="16" t="s">
        <v>6014</v>
      </c>
    </row>
    <row r="1332" customFormat="false" ht="34.5" hidden="false" customHeight="true" outlineLevel="0" collapsed="false">
      <c r="A1332" s="8" t="n">
        <v>1115</v>
      </c>
      <c r="B1332" s="8" t="s">
        <v>43</v>
      </c>
      <c r="C1332" s="8" t="s">
        <v>6015</v>
      </c>
      <c r="D1332" s="8" t="n">
        <v>2022</v>
      </c>
      <c r="E1332" s="8" t="s">
        <v>6016</v>
      </c>
      <c r="F1332" s="8" t="s">
        <v>201</v>
      </c>
      <c r="G1332" s="8" t="s">
        <v>364</v>
      </c>
      <c r="H1332" s="8" t="s">
        <v>145</v>
      </c>
      <c r="I1332" s="8" t="s">
        <v>153</v>
      </c>
      <c r="J1332" s="8" t="s">
        <v>6017</v>
      </c>
      <c r="K1332" s="8"/>
      <c r="L1332" s="8" t="s">
        <v>6018</v>
      </c>
    </row>
    <row r="1333" customFormat="false" ht="34.5" hidden="false" customHeight="true" outlineLevel="0" collapsed="false">
      <c r="A1333" s="8" t="n">
        <v>1116</v>
      </c>
      <c r="B1333" s="8" t="s">
        <v>43</v>
      </c>
      <c r="C1333" s="8" t="s">
        <v>6019</v>
      </c>
      <c r="D1333" s="8" t="n">
        <v>2022</v>
      </c>
      <c r="E1333" s="8" t="s">
        <v>6020</v>
      </c>
      <c r="F1333" s="8" t="s">
        <v>143</v>
      </c>
      <c r="G1333" s="8" t="s">
        <v>2053</v>
      </c>
      <c r="H1333" s="8" t="s">
        <v>145</v>
      </c>
      <c r="I1333" s="8" t="s">
        <v>153</v>
      </c>
      <c r="J1333" s="8" t="s">
        <v>6021</v>
      </c>
      <c r="K1333" s="8" t="s">
        <v>114</v>
      </c>
      <c r="L1333" s="8" t="s">
        <v>6022</v>
      </c>
    </row>
    <row r="1334" customFormat="false" ht="34.5" hidden="false" customHeight="true" outlineLevel="0" collapsed="false">
      <c r="A1334" s="8" t="n">
        <v>1117</v>
      </c>
      <c r="B1334" s="8" t="s">
        <v>43</v>
      </c>
      <c r="C1334" s="8" t="s">
        <v>6023</v>
      </c>
      <c r="D1334" s="8" t="n">
        <v>2024</v>
      </c>
      <c r="E1334" s="8" t="s">
        <v>6024</v>
      </c>
      <c r="F1334" s="8" t="s">
        <v>151</v>
      </c>
      <c r="G1334" s="8" t="s">
        <v>6025</v>
      </c>
      <c r="H1334" s="8" t="s">
        <v>145</v>
      </c>
      <c r="I1334" s="8" t="s">
        <v>153</v>
      </c>
      <c r="J1334" s="8" t="s">
        <v>6026</v>
      </c>
      <c r="K1334" s="8" t="s">
        <v>114</v>
      </c>
      <c r="L1334" s="8" t="s">
        <v>6027</v>
      </c>
    </row>
    <row r="1335" customFormat="false" ht="34.5" hidden="false" customHeight="true" outlineLevel="0" collapsed="false">
      <c r="A1335" s="13" t="n">
        <v>1118</v>
      </c>
      <c r="B1335" s="14" t="s">
        <v>43</v>
      </c>
      <c r="C1335" s="14" t="s">
        <v>6028</v>
      </c>
      <c r="D1335" s="14" t="n">
        <v>2021</v>
      </c>
      <c r="E1335" s="14" t="s">
        <v>6029</v>
      </c>
      <c r="F1335" s="14" t="s">
        <v>151</v>
      </c>
      <c r="G1335" s="14" t="s">
        <v>538</v>
      </c>
      <c r="H1335" s="14" t="s">
        <v>145</v>
      </c>
      <c r="I1335" s="14" t="s">
        <v>153</v>
      </c>
      <c r="J1335" s="14" t="s">
        <v>6030</v>
      </c>
      <c r="K1335" s="14"/>
      <c r="L1335" s="14" t="s">
        <v>6031</v>
      </c>
    </row>
    <row r="1336" customFormat="false" ht="34.5" hidden="false" customHeight="true" outlineLevel="0" collapsed="false">
      <c r="A1336" s="15" t="n">
        <v>1118</v>
      </c>
      <c r="B1336" s="16" t="s">
        <v>69</v>
      </c>
      <c r="C1336" s="16" t="s">
        <v>2051</v>
      </c>
      <c r="D1336" s="16" t="n">
        <v>2021</v>
      </c>
      <c r="E1336" s="16" t="s">
        <v>6029</v>
      </c>
      <c r="F1336" s="16" t="s">
        <v>151</v>
      </c>
      <c r="G1336" s="16" t="s">
        <v>364</v>
      </c>
      <c r="H1336" s="16" t="s">
        <v>6032</v>
      </c>
      <c r="I1336" s="16" t="s">
        <v>387</v>
      </c>
      <c r="J1336" s="16" t="s">
        <v>6033</v>
      </c>
      <c r="K1336" s="16"/>
      <c r="L1336" s="16" t="s">
        <v>6034</v>
      </c>
    </row>
    <row r="1337" customFormat="false" ht="45.75" hidden="false" customHeight="true" outlineLevel="0" collapsed="false">
      <c r="A1337" s="15" t="n">
        <v>1118</v>
      </c>
      <c r="B1337" s="16" t="s">
        <v>83</v>
      </c>
      <c r="C1337" s="16" t="s">
        <v>6035</v>
      </c>
      <c r="D1337" s="16" t="n">
        <v>2021</v>
      </c>
      <c r="E1337" s="16" t="s">
        <v>6036</v>
      </c>
      <c r="F1337" s="16" t="s">
        <v>6037</v>
      </c>
      <c r="G1337" s="16" t="s">
        <v>588</v>
      </c>
      <c r="H1337" s="16" t="s">
        <v>145</v>
      </c>
      <c r="I1337" s="16" t="s">
        <v>153</v>
      </c>
      <c r="J1337" s="16" t="s">
        <v>6038</v>
      </c>
      <c r="K1337" s="16"/>
      <c r="L1337" s="16" t="s">
        <v>6039</v>
      </c>
    </row>
    <row r="1338" customFormat="false" ht="34.5" hidden="false" customHeight="true" outlineLevel="0" collapsed="false">
      <c r="A1338" s="8" t="n">
        <v>1119</v>
      </c>
      <c r="B1338" s="8" t="s">
        <v>43</v>
      </c>
      <c r="C1338" s="8" t="s">
        <v>6040</v>
      </c>
      <c r="D1338" s="8" t="n">
        <v>2016</v>
      </c>
      <c r="E1338" s="8" t="s">
        <v>6041</v>
      </c>
      <c r="F1338" s="8" t="s">
        <v>143</v>
      </c>
      <c r="G1338" s="8" t="s">
        <v>3079</v>
      </c>
      <c r="H1338" s="8" t="s">
        <v>145</v>
      </c>
      <c r="I1338" s="8" t="s">
        <v>153</v>
      </c>
      <c r="J1338" s="8" t="s">
        <v>6042</v>
      </c>
      <c r="K1338" s="8"/>
      <c r="L1338" s="8" t="s">
        <v>6043</v>
      </c>
    </row>
    <row r="1339" customFormat="false" ht="34.5" hidden="false" customHeight="true" outlineLevel="0" collapsed="false">
      <c r="A1339" s="8" t="n">
        <v>1120</v>
      </c>
      <c r="B1339" s="8" t="s">
        <v>43</v>
      </c>
      <c r="C1339" s="8" t="s">
        <v>6044</v>
      </c>
      <c r="D1339" s="8" t="n">
        <v>2023</v>
      </c>
      <c r="E1339" s="8" t="s">
        <v>6045</v>
      </c>
      <c r="F1339" s="8" t="s">
        <v>143</v>
      </c>
      <c r="G1339" s="8" t="s">
        <v>6046</v>
      </c>
      <c r="H1339" s="8" t="s">
        <v>145</v>
      </c>
      <c r="I1339" s="8" t="s">
        <v>153</v>
      </c>
      <c r="J1339" s="8" t="s">
        <v>6047</v>
      </c>
      <c r="K1339" s="8" t="s">
        <v>114</v>
      </c>
      <c r="L1339" s="8" t="s">
        <v>6048</v>
      </c>
    </row>
    <row r="1340" customFormat="false" ht="34.5" hidden="false" customHeight="true" outlineLevel="0" collapsed="false">
      <c r="A1340" s="8" t="n">
        <v>1121</v>
      </c>
      <c r="B1340" s="8" t="s">
        <v>43</v>
      </c>
      <c r="C1340" s="8" t="s">
        <v>6049</v>
      </c>
      <c r="D1340" s="8" t="n">
        <v>2020</v>
      </c>
      <c r="E1340" s="8" t="s">
        <v>6050</v>
      </c>
      <c r="F1340" s="8" t="s">
        <v>151</v>
      </c>
      <c r="G1340" s="8" t="s">
        <v>6051</v>
      </c>
      <c r="H1340" s="8" t="s">
        <v>6052</v>
      </c>
      <c r="I1340" s="8" t="s">
        <v>387</v>
      </c>
      <c r="J1340" s="8" t="s">
        <v>6053</v>
      </c>
      <c r="K1340" s="8" t="s">
        <v>114</v>
      </c>
      <c r="L1340" s="8" t="s">
        <v>6054</v>
      </c>
    </row>
    <row r="1341" customFormat="false" ht="34.5" hidden="false" customHeight="true" outlineLevel="0" collapsed="false">
      <c r="A1341" s="8" t="n">
        <v>1122</v>
      </c>
      <c r="B1341" s="8" t="s">
        <v>43</v>
      </c>
      <c r="C1341" s="8" t="s">
        <v>6055</v>
      </c>
      <c r="D1341" s="8" t="n">
        <v>2021</v>
      </c>
      <c r="E1341" s="8" t="s">
        <v>6056</v>
      </c>
      <c r="F1341" s="8" t="s">
        <v>151</v>
      </c>
      <c r="G1341" s="8" t="s">
        <v>6057</v>
      </c>
      <c r="H1341" s="8" t="s">
        <v>3295</v>
      </c>
      <c r="I1341" s="8" t="s">
        <v>387</v>
      </c>
      <c r="J1341" s="8" t="s">
        <v>6058</v>
      </c>
      <c r="K1341" s="8" t="s">
        <v>114</v>
      </c>
      <c r="L1341" s="8" t="s">
        <v>6059</v>
      </c>
    </row>
    <row r="1342" customFormat="false" ht="34.5" hidden="false" customHeight="true" outlineLevel="0" collapsed="false">
      <c r="A1342" s="8" t="n">
        <v>1123</v>
      </c>
      <c r="B1342" s="8" t="s">
        <v>43</v>
      </c>
      <c r="C1342" s="8" t="s">
        <v>6060</v>
      </c>
      <c r="D1342" s="8" t="n">
        <v>2023</v>
      </c>
      <c r="E1342" s="8" t="s">
        <v>6061</v>
      </c>
      <c r="F1342" s="8" t="s">
        <v>151</v>
      </c>
      <c r="G1342" s="8" t="s">
        <v>6062</v>
      </c>
      <c r="H1342" s="8" t="s">
        <v>6063</v>
      </c>
      <c r="I1342" s="8" t="s">
        <v>153</v>
      </c>
      <c r="J1342" s="8" t="s">
        <v>6064</v>
      </c>
      <c r="K1342" s="8" t="s">
        <v>114</v>
      </c>
      <c r="L1342" s="8" t="s">
        <v>6065</v>
      </c>
    </row>
    <row r="1343" customFormat="false" ht="34.5" hidden="false" customHeight="true" outlineLevel="0" collapsed="false">
      <c r="A1343" s="8" t="n">
        <v>1124</v>
      </c>
      <c r="B1343" s="8" t="s">
        <v>43</v>
      </c>
      <c r="C1343" s="8" t="s">
        <v>1511</v>
      </c>
      <c r="D1343" s="8" t="n">
        <v>2024</v>
      </c>
      <c r="E1343" s="8" t="s">
        <v>6066</v>
      </c>
      <c r="F1343" s="8" t="s">
        <v>143</v>
      </c>
      <c r="G1343" s="8" t="s">
        <v>1513</v>
      </c>
      <c r="H1343" s="8" t="s">
        <v>145</v>
      </c>
      <c r="I1343" s="8" t="s">
        <v>153</v>
      </c>
      <c r="J1343" s="8" t="s">
        <v>6067</v>
      </c>
      <c r="K1343" s="8" t="s">
        <v>114</v>
      </c>
      <c r="L1343" s="8" t="s">
        <v>6068</v>
      </c>
    </row>
    <row r="1344" customFormat="false" ht="34.5" hidden="false" customHeight="true" outlineLevel="0" collapsed="false">
      <c r="A1344" s="8" t="n">
        <v>1125</v>
      </c>
      <c r="B1344" s="8" t="s">
        <v>43</v>
      </c>
      <c r="C1344" s="8" t="s">
        <v>2658</v>
      </c>
      <c r="D1344" s="8" t="n">
        <v>2023</v>
      </c>
      <c r="E1344" s="8" t="s">
        <v>6069</v>
      </c>
      <c r="F1344" s="8" t="s">
        <v>151</v>
      </c>
      <c r="G1344" s="8" t="s">
        <v>3084</v>
      </c>
      <c r="H1344" s="8" t="s">
        <v>145</v>
      </c>
      <c r="I1344" s="8" t="s">
        <v>153</v>
      </c>
      <c r="J1344" s="8" t="s">
        <v>6070</v>
      </c>
      <c r="K1344" s="8" t="s">
        <v>116</v>
      </c>
      <c r="L1344" s="8" t="s">
        <v>6071</v>
      </c>
    </row>
    <row r="1345" customFormat="false" ht="34.5" hidden="false" customHeight="true" outlineLevel="0" collapsed="false">
      <c r="A1345" s="8" t="n">
        <v>1126</v>
      </c>
      <c r="B1345" s="8" t="s">
        <v>43</v>
      </c>
      <c r="C1345" s="8" t="s">
        <v>6072</v>
      </c>
      <c r="D1345" s="8" t="n">
        <v>2024</v>
      </c>
      <c r="E1345" s="8" t="s">
        <v>6073</v>
      </c>
      <c r="F1345" s="8" t="s">
        <v>579</v>
      </c>
      <c r="G1345" s="8" t="s">
        <v>6074</v>
      </c>
      <c r="H1345" s="8" t="s">
        <v>145</v>
      </c>
      <c r="I1345" s="8" t="s">
        <v>387</v>
      </c>
      <c r="J1345" s="8" t="s">
        <v>6075</v>
      </c>
      <c r="K1345" s="8"/>
      <c r="L1345" s="8" t="s">
        <v>6076</v>
      </c>
    </row>
    <row r="1346" customFormat="false" ht="34.5" hidden="false" customHeight="true" outlineLevel="0" collapsed="false">
      <c r="A1346" s="8" t="n">
        <v>1127</v>
      </c>
      <c r="B1346" s="8" t="s">
        <v>43</v>
      </c>
      <c r="C1346" s="8" t="s">
        <v>6077</v>
      </c>
      <c r="D1346" s="8" t="n">
        <v>2023</v>
      </c>
      <c r="E1346" s="8" t="s">
        <v>6078</v>
      </c>
      <c r="F1346" s="8" t="s">
        <v>143</v>
      </c>
      <c r="G1346" s="8" t="s">
        <v>6079</v>
      </c>
      <c r="H1346" s="8" t="s">
        <v>145</v>
      </c>
      <c r="I1346" s="8" t="s">
        <v>153</v>
      </c>
      <c r="J1346" s="8" t="s">
        <v>6080</v>
      </c>
      <c r="K1346" s="8" t="s">
        <v>114</v>
      </c>
      <c r="L1346" s="8" t="s">
        <v>6081</v>
      </c>
    </row>
    <row r="1347" customFormat="false" ht="34.5" hidden="false" customHeight="true" outlineLevel="0" collapsed="false">
      <c r="A1347" s="13" t="n">
        <v>1128</v>
      </c>
      <c r="B1347" s="14" t="s">
        <v>43</v>
      </c>
      <c r="C1347" s="14" t="s">
        <v>6082</v>
      </c>
      <c r="D1347" s="14" t="n">
        <v>2023</v>
      </c>
      <c r="E1347" s="14" t="s">
        <v>6083</v>
      </c>
      <c r="F1347" s="14" t="s">
        <v>201</v>
      </c>
      <c r="G1347" s="14" t="s">
        <v>6084</v>
      </c>
      <c r="H1347" s="14" t="s">
        <v>145</v>
      </c>
      <c r="I1347" s="14" t="s">
        <v>153</v>
      </c>
      <c r="J1347" s="14" t="s">
        <v>6085</v>
      </c>
      <c r="K1347" s="14"/>
      <c r="L1347" s="14" t="s">
        <v>6086</v>
      </c>
    </row>
    <row r="1348" customFormat="false" ht="23.25" hidden="false" customHeight="true" outlineLevel="0" collapsed="false">
      <c r="A1348" s="15" t="n">
        <v>1128</v>
      </c>
      <c r="B1348" s="16" t="s">
        <v>81</v>
      </c>
      <c r="C1348" s="16" t="s">
        <v>6082</v>
      </c>
      <c r="D1348" s="16" t="n">
        <v>2023</v>
      </c>
      <c r="E1348" s="16" t="s">
        <v>6083</v>
      </c>
      <c r="F1348" s="16" t="s">
        <v>143</v>
      </c>
      <c r="G1348" s="16" t="s">
        <v>1403</v>
      </c>
      <c r="H1348" s="16" t="s">
        <v>145</v>
      </c>
      <c r="I1348" s="16" t="s">
        <v>153</v>
      </c>
      <c r="J1348" s="16" t="s">
        <v>6087</v>
      </c>
      <c r="K1348" s="16"/>
      <c r="L1348" s="16" t="s">
        <v>6088</v>
      </c>
    </row>
    <row r="1349" customFormat="false" ht="34.5" hidden="false" customHeight="true" outlineLevel="0" collapsed="false">
      <c r="A1349" s="8" t="n">
        <v>1129</v>
      </c>
      <c r="B1349" s="8" t="s">
        <v>43</v>
      </c>
      <c r="C1349" s="8" t="s">
        <v>6089</v>
      </c>
      <c r="D1349" s="8" t="n">
        <v>2022</v>
      </c>
      <c r="E1349" s="8" t="s">
        <v>6090</v>
      </c>
      <c r="F1349" s="8" t="s">
        <v>143</v>
      </c>
      <c r="G1349" s="8" t="s">
        <v>6091</v>
      </c>
      <c r="H1349" s="8" t="s">
        <v>244</v>
      </c>
      <c r="I1349" s="8" t="s">
        <v>146</v>
      </c>
      <c r="J1349" s="8" t="s">
        <v>6092</v>
      </c>
      <c r="K1349" s="8" t="s">
        <v>112</v>
      </c>
      <c r="L1349" s="8" t="s">
        <v>6093</v>
      </c>
    </row>
    <row r="1350" customFormat="false" ht="34.5" hidden="false" customHeight="true" outlineLevel="0" collapsed="false">
      <c r="A1350" s="8" t="n">
        <v>1130</v>
      </c>
      <c r="B1350" s="8" t="s">
        <v>43</v>
      </c>
      <c r="C1350" s="8" t="s">
        <v>6094</v>
      </c>
      <c r="D1350" s="8" t="n">
        <v>2024</v>
      </c>
      <c r="E1350" s="8" t="s">
        <v>6095</v>
      </c>
      <c r="F1350" s="8" t="s">
        <v>143</v>
      </c>
      <c r="G1350" s="8" t="s">
        <v>152</v>
      </c>
      <c r="H1350" s="8" t="s">
        <v>145</v>
      </c>
      <c r="I1350" s="8" t="s">
        <v>387</v>
      </c>
      <c r="J1350" s="8" t="s">
        <v>6096</v>
      </c>
      <c r="K1350" s="8"/>
      <c r="L1350" s="8" t="s">
        <v>6097</v>
      </c>
    </row>
    <row r="1351" customFormat="false" ht="45.75" hidden="false" customHeight="true" outlineLevel="0" collapsed="false">
      <c r="A1351" s="8" t="n">
        <v>1131</v>
      </c>
      <c r="B1351" s="8" t="s">
        <v>43</v>
      </c>
      <c r="C1351" s="8" t="s">
        <v>1831</v>
      </c>
      <c r="D1351" s="8" t="n">
        <v>2024</v>
      </c>
      <c r="E1351" s="8" t="s">
        <v>6098</v>
      </c>
      <c r="F1351" s="8" t="s">
        <v>151</v>
      </c>
      <c r="G1351" s="8" t="s">
        <v>6099</v>
      </c>
      <c r="H1351" s="8" t="s">
        <v>145</v>
      </c>
      <c r="I1351" s="8" t="s">
        <v>387</v>
      </c>
      <c r="J1351" s="8" t="s">
        <v>6100</v>
      </c>
      <c r="K1351" s="8" t="s">
        <v>112</v>
      </c>
      <c r="L1351" s="8" t="s">
        <v>6101</v>
      </c>
    </row>
    <row r="1352" customFormat="false" ht="34.5" hidden="false" customHeight="true" outlineLevel="0" collapsed="false">
      <c r="A1352" s="8" t="n">
        <v>1132</v>
      </c>
      <c r="B1352" s="8" t="s">
        <v>43</v>
      </c>
      <c r="C1352" s="8" t="s">
        <v>6102</v>
      </c>
      <c r="D1352" s="8" t="n">
        <v>2023</v>
      </c>
      <c r="E1352" s="8" t="s">
        <v>6103</v>
      </c>
      <c r="F1352" s="8" t="s">
        <v>143</v>
      </c>
      <c r="G1352" s="8" t="s">
        <v>6104</v>
      </c>
      <c r="H1352" s="8" t="s">
        <v>145</v>
      </c>
      <c r="I1352" s="8" t="s">
        <v>153</v>
      </c>
      <c r="J1352" s="8" t="s">
        <v>6105</v>
      </c>
      <c r="K1352" s="8" t="s">
        <v>112</v>
      </c>
      <c r="L1352" s="8" t="s">
        <v>6106</v>
      </c>
    </row>
    <row r="1353" customFormat="false" ht="34.5" hidden="false" customHeight="true" outlineLevel="0" collapsed="false">
      <c r="A1353" s="8" t="n">
        <v>1133</v>
      </c>
      <c r="B1353" s="8" t="s">
        <v>43</v>
      </c>
      <c r="C1353" s="8" t="s">
        <v>6107</v>
      </c>
      <c r="D1353" s="8" t="n">
        <v>2023</v>
      </c>
      <c r="E1353" s="8" t="s">
        <v>6108</v>
      </c>
      <c r="F1353" s="8" t="s">
        <v>143</v>
      </c>
      <c r="G1353" s="8" t="s">
        <v>6109</v>
      </c>
      <c r="H1353" s="8" t="s">
        <v>678</v>
      </c>
      <c r="I1353" s="8" t="s">
        <v>387</v>
      </c>
      <c r="J1353" s="8" t="s">
        <v>6110</v>
      </c>
      <c r="K1353" s="8" t="s">
        <v>116</v>
      </c>
      <c r="L1353" s="8" t="s">
        <v>6111</v>
      </c>
    </row>
    <row r="1354" customFormat="false" ht="34.5" hidden="false" customHeight="true" outlineLevel="0" collapsed="false">
      <c r="A1354" s="8" t="n">
        <v>1134</v>
      </c>
      <c r="B1354" s="8" t="s">
        <v>43</v>
      </c>
      <c r="C1354" s="8" t="s">
        <v>6112</v>
      </c>
      <c r="D1354" s="8" t="n">
        <v>2020</v>
      </c>
      <c r="E1354" s="8" t="s">
        <v>6113</v>
      </c>
      <c r="F1354" s="8" t="s">
        <v>143</v>
      </c>
      <c r="G1354" s="8" t="s">
        <v>626</v>
      </c>
      <c r="H1354" s="8" t="s">
        <v>145</v>
      </c>
      <c r="I1354" s="8" t="s">
        <v>153</v>
      </c>
      <c r="J1354" s="8" t="s">
        <v>6114</v>
      </c>
      <c r="K1354" s="8" t="s">
        <v>112</v>
      </c>
      <c r="L1354" s="8" t="s">
        <v>6115</v>
      </c>
    </row>
    <row r="1355" customFormat="false" ht="34.5" hidden="false" customHeight="true" outlineLevel="0" collapsed="false">
      <c r="A1355" s="8" t="n">
        <v>1135</v>
      </c>
      <c r="B1355" s="8" t="s">
        <v>43</v>
      </c>
      <c r="C1355" s="8" t="s">
        <v>6116</v>
      </c>
      <c r="D1355" s="8" t="n">
        <v>2015</v>
      </c>
      <c r="E1355" s="8" t="s">
        <v>6117</v>
      </c>
      <c r="F1355" s="8" t="s">
        <v>143</v>
      </c>
      <c r="G1355" s="8" t="s">
        <v>6118</v>
      </c>
      <c r="H1355" s="8" t="s">
        <v>145</v>
      </c>
      <c r="I1355" s="8" t="s">
        <v>387</v>
      </c>
      <c r="J1355" s="8" t="s">
        <v>6119</v>
      </c>
      <c r="K1355" s="8" t="s">
        <v>112</v>
      </c>
      <c r="L1355" s="8" t="s">
        <v>6120</v>
      </c>
    </row>
    <row r="1356" customFormat="false" ht="34.5" hidden="false" customHeight="true" outlineLevel="0" collapsed="false">
      <c r="A1356" s="8" t="n">
        <v>1136</v>
      </c>
      <c r="B1356" s="8" t="s">
        <v>43</v>
      </c>
      <c r="C1356" s="8" t="s">
        <v>2436</v>
      </c>
      <c r="D1356" s="8" t="n">
        <v>2016</v>
      </c>
      <c r="E1356" s="8" t="s">
        <v>6121</v>
      </c>
      <c r="F1356" s="8" t="s">
        <v>143</v>
      </c>
      <c r="G1356" s="8" t="s">
        <v>1163</v>
      </c>
      <c r="H1356" s="8" t="s">
        <v>145</v>
      </c>
      <c r="I1356" s="8" t="s">
        <v>153</v>
      </c>
      <c r="J1356" s="8" t="s">
        <v>6122</v>
      </c>
      <c r="K1356" s="8" t="s">
        <v>112</v>
      </c>
      <c r="L1356" s="8" t="s">
        <v>6123</v>
      </c>
    </row>
    <row r="1357" customFormat="false" ht="34.5" hidden="false" customHeight="true" outlineLevel="0" collapsed="false">
      <c r="A1357" s="8" t="n">
        <v>1137</v>
      </c>
      <c r="B1357" s="8" t="s">
        <v>43</v>
      </c>
      <c r="C1357" s="8" t="s">
        <v>6124</v>
      </c>
      <c r="D1357" s="8" t="n">
        <v>2022</v>
      </c>
      <c r="E1357" s="8" t="s">
        <v>6125</v>
      </c>
      <c r="F1357" s="8" t="s">
        <v>579</v>
      </c>
      <c r="G1357" s="8" t="s">
        <v>1264</v>
      </c>
      <c r="H1357" s="8" t="s">
        <v>1159</v>
      </c>
      <c r="I1357" s="8" t="s">
        <v>387</v>
      </c>
      <c r="J1357" s="8" t="s">
        <v>6126</v>
      </c>
      <c r="K1357" s="8" t="s">
        <v>112</v>
      </c>
      <c r="L1357" s="8" t="s">
        <v>6127</v>
      </c>
    </row>
    <row r="1358" customFormat="false" ht="34.5" hidden="false" customHeight="true" outlineLevel="0" collapsed="false">
      <c r="A1358" s="8" t="n">
        <v>1138</v>
      </c>
      <c r="B1358" s="8" t="s">
        <v>43</v>
      </c>
      <c r="C1358" s="8" t="s">
        <v>3177</v>
      </c>
      <c r="D1358" s="8" t="n">
        <v>2024</v>
      </c>
      <c r="E1358" s="8" t="s">
        <v>6128</v>
      </c>
      <c r="F1358" s="8" t="s">
        <v>143</v>
      </c>
      <c r="G1358" s="8" t="s">
        <v>6129</v>
      </c>
      <c r="H1358" s="8" t="s">
        <v>145</v>
      </c>
      <c r="I1358" s="8" t="s">
        <v>153</v>
      </c>
      <c r="J1358" s="8" t="s">
        <v>6130</v>
      </c>
      <c r="K1358" s="8" t="s">
        <v>110</v>
      </c>
      <c r="L1358" s="8" t="s">
        <v>6131</v>
      </c>
    </row>
    <row r="1359" customFormat="false" ht="34.5" hidden="false" customHeight="true" outlineLevel="0" collapsed="false">
      <c r="A1359" s="8" t="n">
        <v>1139</v>
      </c>
      <c r="B1359" s="8" t="s">
        <v>43</v>
      </c>
      <c r="C1359" s="8" t="s">
        <v>6132</v>
      </c>
      <c r="D1359" s="8" t="n">
        <v>2022</v>
      </c>
      <c r="E1359" s="8" t="s">
        <v>6133</v>
      </c>
      <c r="F1359" s="8" t="s">
        <v>143</v>
      </c>
      <c r="G1359" s="8" t="s">
        <v>1264</v>
      </c>
      <c r="H1359" s="8" t="s">
        <v>145</v>
      </c>
      <c r="I1359" s="8" t="s">
        <v>387</v>
      </c>
      <c r="J1359" s="8" t="s">
        <v>6134</v>
      </c>
      <c r="K1359" s="8" t="s">
        <v>116</v>
      </c>
      <c r="L1359" s="8" t="s">
        <v>6135</v>
      </c>
    </row>
    <row r="1360" customFormat="false" ht="34.5" hidden="false" customHeight="true" outlineLevel="0" collapsed="false">
      <c r="A1360" s="8" t="n">
        <v>1140</v>
      </c>
      <c r="B1360" s="8" t="s">
        <v>43</v>
      </c>
      <c r="C1360" s="8" t="s">
        <v>6136</v>
      </c>
      <c r="D1360" s="8" t="n">
        <v>2022</v>
      </c>
      <c r="E1360" s="8" t="s">
        <v>6137</v>
      </c>
      <c r="F1360" s="8" t="s">
        <v>143</v>
      </c>
      <c r="G1360" s="8" t="s">
        <v>364</v>
      </c>
      <c r="H1360" s="8" t="s">
        <v>145</v>
      </c>
      <c r="I1360" s="8" t="s">
        <v>153</v>
      </c>
      <c r="J1360" s="8" t="s">
        <v>6138</v>
      </c>
      <c r="K1360" s="8"/>
      <c r="L1360" s="8" t="s">
        <v>6139</v>
      </c>
    </row>
    <row r="1361" customFormat="false" ht="34.5" hidden="false" customHeight="true" outlineLevel="0" collapsed="false">
      <c r="A1361" s="8" t="n">
        <v>1141</v>
      </c>
      <c r="B1361" s="8" t="s">
        <v>43</v>
      </c>
      <c r="C1361" s="8" t="s">
        <v>6140</v>
      </c>
      <c r="D1361" s="8" t="n">
        <v>2021</v>
      </c>
      <c r="E1361" s="8" t="s">
        <v>6141</v>
      </c>
      <c r="F1361" s="8" t="s">
        <v>151</v>
      </c>
      <c r="G1361" s="8" t="s">
        <v>6142</v>
      </c>
      <c r="H1361" s="8" t="s">
        <v>145</v>
      </c>
      <c r="I1361" s="8" t="s">
        <v>153</v>
      </c>
      <c r="J1361" s="8" t="s">
        <v>6143</v>
      </c>
      <c r="K1361" s="8" t="s">
        <v>116</v>
      </c>
      <c r="L1361" s="8" t="s">
        <v>6144</v>
      </c>
    </row>
    <row r="1362" customFormat="false" ht="34.5" hidden="false" customHeight="true" outlineLevel="0" collapsed="false">
      <c r="A1362" s="8" t="n">
        <v>1142</v>
      </c>
      <c r="B1362" s="8" t="s">
        <v>43</v>
      </c>
      <c r="C1362" s="8" t="s">
        <v>3396</v>
      </c>
      <c r="D1362" s="8" t="n">
        <v>2023</v>
      </c>
      <c r="E1362" s="8" t="s">
        <v>6145</v>
      </c>
      <c r="F1362" s="8" t="s">
        <v>143</v>
      </c>
      <c r="G1362" s="8" t="s">
        <v>1790</v>
      </c>
      <c r="H1362" s="8" t="s">
        <v>145</v>
      </c>
      <c r="I1362" s="8" t="s">
        <v>153</v>
      </c>
      <c r="J1362" s="8" t="s">
        <v>6146</v>
      </c>
      <c r="K1362" s="8" t="s">
        <v>110</v>
      </c>
      <c r="L1362" s="8" t="s">
        <v>6147</v>
      </c>
    </row>
    <row r="1363" customFormat="false" ht="34.5" hidden="false" customHeight="true" outlineLevel="0" collapsed="false">
      <c r="A1363" s="8" t="n">
        <v>1143</v>
      </c>
      <c r="B1363" s="8" t="s">
        <v>43</v>
      </c>
      <c r="C1363" s="8" t="s">
        <v>6148</v>
      </c>
      <c r="D1363" s="8" t="n">
        <v>2023</v>
      </c>
      <c r="E1363" s="8" t="s">
        <v>6149</v>
      </c>
      <c r="F1363" s="8" t="s">
        <v>143</v>
      </c>
      <c r="G1363" s="8" t="s">
        <v>6150</v>
      </c>
      <c r="H1363" s="8" t="s">
        <v>6151</v>
      </c>
      <c r="I1363" s="8" t="s">
        <v>146</v>
      </c>
      <c r="J1363" s="8" t="s">
        <v>6152</v>
      </c>
      <c r="K1363" s="8" t="s">
        <v>110</v>
      </c>
      <c r="L1363" s="8" t="s">
        <v>6153</v>
      </c>
    </row>
    <row r="1364" customFormat="false" ht="45.75" hidden="false" customHeight="true" outlineLevel="0" collapsed="false">
      <c r="A1364" s="13" t="n">
        <v>1144</v>
      </c>
      <c r="B1364" s="14" t="s">
        <v>43</v>
      </c>
      <c r="C1364" s="14" t="s">
        <v>6154</v>
      </c>
      <c r="D1364" s="14" t="n">
        <v>2024</v>
      </c>
      <c r="E1364" s="14" t="s">
        <v>6155</v>
      </c>
      <c r="F1364" s="14" t="s">
        <v>143</v>
      </c>
      <c r="G1364" s="14" t="s">
        <v>6156</v>
      </c>
      <c r="H1364" s="14" t="s">
        <v>145</v>
      </c>
      <c r="I1364" s="14" t="s">
        <v>153</v>
      </c>
      <c r="J1364" s="14" t="s">
        <v>6157</v>
      </c>
      <c r="K1364" s="14"/>
      <c r="L1364" s="14" t="s">
        <v>6158</v>
      </c>
    </row>
    <row r="1365" customFormat="false" ht="34.5" hidden="false" customHeight="true" outlineLevel="0" collapsed="false">
      <c r="A1365" s="15" t="n">
        <v>1144</v>
      </c>
      <c r="B1365" s="16" t="s">
        <v>73</v>
      </c>
      <c r="C1365" s="16" t="s">
        <v>6154</v>
      </c>
      <c r="D1365" s="16" t="n">
        <v>2024</v>
      </c>
      <c r="E1365" s="16" t="s">
        <v>6159</v>
      </c>
      <c r="F1365" s="16" t="s">
        <v>143</v>
      </c>
      <c r="G1365" s="16" t="s">
        <v>364</v>
      </c>
      <c r="H1365" s="16" t="s">
        <v>145</v>
      </c>
      <c r="I1365" s="16" t="s">
        <v>153</v>
      </c>
      <c r="J1365" s="16" t="s">
        <v>6160</v>
      </c>
      <c r="K1365" s="16" t="s">
        <v>110</v>
      </c>
      <c r="L1365" s="16" t="s">
        <v>6161</v>
      </c>
    </row>
    <row r="1366" customFormat="false" ht="34.5" hidden="false" customHeight="true" outlineLevel="0" collapsed="false">
      <c r="A1366" s="8" t="n">
        <v>1145</v>
      </c>
      <c r="B1366" s="8" t="s">
        <v>43</v>
      </c>
      <c r="C1366" s="8" t="s">
        <v>6162</v>
      </c>
      <c r="D1366" s="8" t="n">
        <v>2021</v>
      </c>
      <c r="E1366" s="8" t="s">
        <v>6163</v>
      </c>
      <c r="F1366" s="8" t="s">
        <v>151</v>
      </c>
      <c r="G1366" s="8" t="s">
        <v>6164</v>
      </c>
      <c r="H1366" s="8" t="s">
        <v>6165</v>
      </c>
      <c r="I1366" s="8" t="s">
        <v>387</v>
      </c>
      <c r="J1366" s="8" t="s">
        <v>6166</v>
      </c>
      <c r="K1366" s="8"/>
      <c r="L1366" s="8" t="s">
        <v>6167</v>
      </c>
    </row>
    <row r="1367" customFormat="false" ht="34.5" hidden="false" customHeight="true" outlineLevel="0" collapsed="false">
      <c r="A1367" s="8" t="n">
        <v>1146</v>
      </c>
      <c r="B1367" s="8" t="s">
        <v>43</v>
      </c>
      <c r="C1367" s="8" t="s">
        <v>6168</v>
      </c>
      <c r="D1367" s="8" t="n">
        <v>2020</v>
      </c>
      <c r="E1367" s="8" t="s">
        <v>6169</v>
      </c>
      <c r="F1367" s="8" t="s">
        <v>151</v>
      </c>
      <c r="G1367" s="8" t="s">
        <v>6170</v>
      </c>
      <c r="H1367" s="8" t="s">
        <v>6171</v>
      </c>
      <c r="I1367" s="8" t="s">
        <v>146</v>
      </c>
      <c r="J1367" s="8" t="s">
        <v>6172</v>
      </c>
      <c r="K1367" s="8"/>
      <c r="L1367" s="8" t="s">
        <v>6173</v>
      </c>
    </row>
    <row r="1368" customFormat="false" ht="45.75" hidden="false" customHeight="true" outlineLevel="0" collapsed="false">
      <c r="A1368" s="8" t="n">
        <v>1147</v>
      </c>
      <c r="B1368" s="8" t="s">
        <v>43</v>
      </c>
      <c r="C1368" s="8" t="s">
        <v>6174</v>
      </c>
      <c r="D1368" s="8" t="n">
        <v>2024</v>
      </c>
      <c r="E1368" s="8" t="s">
        <v>6175</v>
      </c>
      <c r="F1368" s="8" t="s">
        <v>143</v>
      </c>
      <c r="G1368" s="8" t="s">
        <v>6176</v>
      </c>
      <c r="H1368" s="8" t="s">
        <v>6177</v>
      </c>
      <c r="I1368" s="8" t="s">
        <v>146</v>
      </c>
      <c r="J1368" s="8" t="s">
        <v>6178</v>
      </c>
      <c r="K1368" s="8" t="s">
        <v>112</v>
      </c>
      <c r="L1368" s="8" t="s">
        <v>6179</v>
      </c>
    </row>
    <row r="1369" customFormat="false" ht="34.5" hidden="false" customHeight="true" outlineLevel="0" collapsed="false">
      <c r="A1369" s="13" t="n">
        <v>1148</v>
      </c>
      <c r="B1369" s="14" t="s">
        <v>43</v>
      </c>
      <c r="C1369" s="14" t="s">
        <v>6180</v>
      </c>
      <c r="D1369" s="14" t="n">
        <v>2023</v>
      </c>
      <c r="E1369" s="14" t="s">
        <v>6181</v>
      </c>
      <c r="F1369" s="14" t="s">
        <v>201</v>
      </c>
      <c r="G1369" s="14" t="s">
        <v>6182</v>
      </c>
      <c r="H1369" s="14" t="s">
        <v>6183</v>
      </c>
      <c r="I1369" s="14" t="s">
        <v>146</v>
      </c>
      <c r="J1369" s="14" t="s">
        <v>6184</v>
      </c>
      <c r="K1369" s="14" t="s">
        <v>112</v>
      </c>
      <c r="L1369" s="14" t="s">
        <v>6185</v>
      </c>
    </row>
    <row r="1370" customFormat="false" ht="34.5" hidden="false" customHeight="true" outlineLevel="0" collapsed="false">
      <c r="A1370" s="15" t="n">
        <v>1148</v>
      </c>
      <c r="B1370" s="16" t="s">
        <v>51</v>
      </c>
      <c r="C1370" s="16" t="s">
        <v>6186</v>
      </c>
      <c r="D1370" s="16" t="n">
        <v>2023</v>
      </c>
      <c r="E1370" s="16" t="s">
        <v>6187</v>
      </c>
      <c r="F1370" s="16" t="s">
        <v>579</v>
      </c>
      <c r="G1370" s="16" t="s">
        <v>6188</v>
      </c>
      <c r="H1370" s="16" t="s">
        <v>6189</v>
      </c>
      <c r="I1370" s="16" t="s">
        <v>146</v>
      </c>
      <c r="J1370" s="16" t="s">
        <v>3420</v>
      </c>
      <c r="K1370" s="16" t="s">
        <v>112</v>
      </c>
      <c r="L1370" s="16" t="s">
        <v>6190</v>
      </c>
    </row>
    <row r="1371" customFormat="false" ht="34.5" hidden="false" customHeight="true" outlineLevel="0" collapsed="false">
      <c r="A1371" s="8" t="n">
        <v>1149</v>
      </c>
      <c r="B1371" s="8" t="s">
        <v>43</v>
      </c>
      <c r="C1371" s="8" t="s">
        <v>3400</v>
      </c>
      <c r="D1371" s="8" t="n">
        <v>2024</v>
      </c>
      <c r="E1371" s="8" t="s">
        <v>6191</v>
      </c>
      <c r="F1371" s="8" t="s">
        <v>201</v>
      </c>
      <c r="G1371" s="8" t="s">
        <v>3183</v>
      </c>
      <c r="H1371" s="8" t="s">
        <v>145</v>
      </c>
      <c r="I1371" s="8" t="s">
        <v>153</v>
      </c>
      <c r="J1371" s="8" t="s">
        <v>6192</v>
      </c>
      <c r="K1371" s="8" t="s">
        <v>110</v>
      </c>
      <c r="L1371" s="8" t="s">
        <v>6193</v>
      </c>
    </row>
    <row r="1372" customFormat="false" ht="34.5" hidden="false" customHeight="true" outlineLevel="0" collapsed="false">
      <c r="A1372" s="8" t="n">
        <v>1150</v>
      </c>
      <c r="B1372" s="8" t="s">
        <v>43</v>
      </c>
      <c r="C1372" s="8" t="s">
        <v>6194</v>
      </c>
      <c r="D1372" s="8" t="n">
        <v>2024</v>
      </c>
      <c r="E1372" s="8" t="s">
        <v>6195</v>
      </c>
      <c r="F1372" s="8" t="s">
        <v>143</v>
      </c>
      <c r="G1372" s="8" t="s">
        <v>364</v>
      </c>
      <c r="H1372" s="8" t="s">
        <v>145</v>
      </c>
      <c r="I1372" s="8" t="s">
        <v>153</v>
      </c>
      <c r="J1372" s="8" t="s">
        <v>6196</v>
      </c>
      <c r="K1372" s="8" t="s">
        <v>110</v>
      </c>
      <c r="L1372" s="8" t="s">
        <v>6197</v>
      </c>
    </row>
    <row r="1373" customFormat="false" ht="34.5" hidden="false" customHeight="true" outlineLevel="0" collapsed="false">
      <c r="A1373" s="8" t="n">
        <v>1151</v>
      </c>
      <c r="B1373" s="8" t="s">
        <v>43</v>
      </c>
      <c r="C1373" s="8" t="s">
        <v>2924</v>
      </c>
      <c r="D1373" s="8" t="n">
        <v>2023</v>
      </c>
      <c r="E1373" s="8" t="s">
        <v>6198</v>
      </c>
      <c r="F1373" s="8" t="s">
        <v>143</v>
      </c>
      <c r="G1373" s="8" t="s">
        <v>4052</v>
      </c>
      <c r="H1373" s="8" t="s">
        <v>145</v>
      </c>
      <c r="I1373" s="8" t="s">
        <v>153</v>
      </c>
      <c r="J1373" s="8" t="s">
        <v>6199</v>
      </c>
      <c r="K1373" s="8" t="s">
        <v>114</v>
      </c>
      <c r="L1373" s="8" t="s">
        <v>6200</v>
      </c>
    </row>
    <row r="1374" customFormat="false" ht="34.5" hidden="false" customHeight="true" outlineLevel="0" collapsed="false">
      <c r="A1374" s="8" t="n">
        <v>1152</v>
      </c>
      <c r="B1374" s="8" t="s">
        <v>43</v>
      </c>
      <c r="C1374" s="8" t="s">
        <v>6201</v>
      </c>
      <c r="D1374" s="8" t="n">
        <v>2023</v>
      </c>
      <c r="E1374" s="8" t="s">
        <v>6202</v>
      </c>
      <c r="F1374" s="8" t="s">
        <v>151</v>
      </c>
      <c r="G1374" s="8" t="s">
        <v>6203</v>
      </c>
      <c r="H1374" s="8" t="s">
        <v>145</v>
      </c>
      <c r="I1374" s="8" t="s">
        <v>153</v>
      </c>
      <c r="J1374" s="8" t="s">
        <v>6204</v>
      </c>
      <c r="K1374" s="8" t="s">
        <v>114</v>
      </c>
      <c r="L1374" s="8" t="s">
        <v>6205</v>
      </c>
    </row>
    <row r="1375" customFormat="false" ht="34.5" hidden="false" customHeight="true" outlineLevel="0" collapsed="false">
      <c r="A1375" s="8" t="n">
        <v>1153</v>
      </c>
      <c r="B1375" s="8" t="s">
        <v>43</v>
      </c>
      <c r="C1375" s="8" t="s">
        <v>6206</v>
      </c>
      <c r="D1375" s="8" t="n">
        <v>2023</v>
      </c>
      <c r="E1375" s="8" t="s">
        <v>6207</v>
      </c>
      <c r="F1375" s="8" t="s">
        <v>143</v>
      </c>
      <c r="G1375" s="8" t="s">
        <v>6208</v>
      </c>
      <c r="H1375" s="8" t="s">
        <v>145</v>
      </c>
      <c r="I1375" s="8" t="s">
        <v>387</v>
      </c>
      <c r="J1375" s="8" t="s">
        <v>6209</v>
      </c>
      <c r="K1375" s="8" t="s">
        <v>114</v>
      </c>
      <c r="L1375" s="8" t="s">
        <v>6210</v>
      </c>
    </row>
    <row r="1376" customFormat="false" ht="45.75" hidden="false" customHeight="true" outlineLevel="0" collapsed="false">
      <c r="A1376" s="8" t="n">
        <v>1154</v>
      </c>
      <c r="B1376" s="8" t="s">
        <v>43</v>
      </c>
      <c r="C1376" s="8" t="s">
        <v>1622</v>
      </c>
      <c r="D1376" s="8" t="n">
        <v>2023</v>
      </c>
      <c r="E1376" s="8" t="s">
        <v>6211</v>
      </c>
      <c r="F1376" s="8" t="s">
        <v>143</v>
      </c>
      <c r="G1376" s="8" t="s">
        <v>6212</v>
      </c>
      <c r="H1376" s="8" t="s">
        <v>327</v>
      </c>
      <c r="I1376" s="8" t="s">
        <v>153</v>
      </c>
      <c r="J1376" s="8" t="s">
        <v>6213</v>
      </c>
      <c r="K1376" s="8" t="s">
        <v>114</v>
      </c>
      <c r="L1376" s="8" t="s">
        <v>6214</v>
      </c>
    </row>
    <row r="1377" customFormat="false" ht="34.5" hidden="false" customHeight="true" outlineLevel="0" collapsed="false">
      <c r="A1377" s="8" t="n">
        <v>1155</v>
      </c>
      <c r="B1377" s="8" t="s">
        <v>43</v>
      </c>
      <c r="C1377" s="8" t="s">
        <v>6215</v>
      </c>
      <c r="D1377" s="8" t="n">
        <v>2023</v>
      </c>
      <c r="E1377" s="8" t="s">
        <v>6216</v>
      </c>
      <c r="F1377" s="8" t="s">
        <v>201</v>
      </c>
      <c r="G1377" s="8" t="s">
        <v>6217</v>
      </c>
      <c r="H1377" s="8" t="s">
        <v>6218</v>
      </c>
      <c r="I1377" s="8" t="s">
        <v>146</v>
      </c>
      <c r="J1377" s="8" t="s">
        <v>6219</v>
      </c>
      <c r="K1377" s="8" t="s">
        <v>110</v>
      </c>
      <c r="L1377" s="8" t="s">
        <v>6220</v>
      </c>
    </row>
    <row r="1378" customFormat="false" ht="34.5" hidden="false" customHeight="true" outlineLevel="0" collapsed="false">
      <c r="A1378" s="8" t="n">
        <v>1156</v>
      </c>
      <c r="B1378" s="8" t="s">
        <v>43</v>
      </c>
      <c r="C1378" s="8" t="s">
        <v>6221</v>
      </c>
      <c r="D1378" s="8" t="n">
        <v>2022</v>
      </c>
      <c r="E1378" s="8" t="s">
        <v>6222</v>
      </c>
      <c r="F1378" s="8" t="s">
        <v>201</v>
      </c>
      <c r="G1378" s="8" t="s">
        <v>6223</v>
      </c>
      <c r="H1378" s="8" t="s">
        <v>5238</v>
      </c>
      <c r="I1378" s="8" t="s">
        <v>146</v>
      </c>
      <c r="J1378" s="8" t="s">
        <v>6224</v>
      </c>
      <c r="K1378" s="8" t="s">
        <v>110</v>
      </c>
      <c r="L1378" s="8" t="s">
        <v>6225</v>
      </c>
    </row>
    <row r="1379" customFormat="false" ht="34.5" hidden="false" customHeight="true" outlineLevel="0" collapsed="false">
      <c r="A1379" s="8" t="n">
        <v>1157</v>
      </c>
      <c r="B1379" s="8" t="s">
        <v>43</v>
      </c>
      <c r="C1379" s="8" t="s">
        <v>6226</v>
      </c>
      <c r="D1379" s="8" t="n">
        <v>2023</v>
      </c>
      <c r="E1379" s="8" t="s">
        <v>6227</v>
      </c>
      <c r="F1379" s="8" t="s">
        <v>201</v>
      </c>
      <c r="G1379" s="8" t="s">
        <v>6228</v>
      </c>
      <c r="H1379" s="8" t="s">
        <v>145</v>
      </c>
      <c r="I1379" s="8" t="s">
        <v>387</v>
      </c>
      <c r="J1379" s="8" t="s">
        <v>6229</v>
      </c>
      <c r="K1379" s="8" t="s">
        <v>110</v>
      </c>
      <c r="L1379" s="8" t="s">
        <v>6230</v>
      </c>
    </row>
    <row r="1380" customFormat="false" ht="34.5" hidden="false" customHeight="true" outlineLevel="0" collapsed="false">
      <c r="A1380" s="8" t="n">
        <v>1158</v>
      </c>
      <c r="B1380" s="8" t="s">
        <v>43</v>
      </c>
      <c r="C1380" s="8" t="s">
        <v>2099</v>
      </c>
      <c r="D1380" s="8" t="n">
        <v>2023</v>
      </c>
      <c r="E1380" s="8" t="s">
        <v>6231</v>
      </c>
      <c r="F1380" s="8" t="s">
        <v>151</v>
      </c>
      <c r="G1380" s="8" t="s">
        <v>6232</v>
      </c>
      <c r="H1380" s="8" t="s">
        <v>145</v>
      </c>
      <c r="I1380" s="8" t="s">
        <v>153</v>
      </c>
      <c r="J1380" s="8" t="s">
        <v>6233</v>
      </c>
      <c r="K1380" s="8" t="s">
        <v>110</v>
      </c>
      <c r="L1380" s="8" t="s">
        <v>6234</v>
      </c>
    </row>
    <row r="1381" customFormat="false" ht="34.5" hidden="false" customHeight="true" outlineLevel="0" collapsed="false">
      <c r="A1381" s="8" t="n">
        <v>1159</v>
      </c>
      <c r="B1381" s="8" t="s">
        <v>43</v>
      </c>
      <c r="C1381" s="8" t="s">
        <v>6235</v>
      </c>
      <c r="D1381" s="8" t="n">
        <v>2024</v>
      </c>
      <c r="E1381" s="8" t="s">
        <v>6236</v>
      </c>
      <c r="F1381" s="8" t="s">
        <v>143</v>
      </c>
      <c r="G1381" s="8" t="s">
        <v>6237</v>
      </c>
      <c r="H1381" s="8" t="s">
        <v>244</v>
      </c>
      <c r="I1381" s="8" t="s">
        <v>387</v>
      </c>
      <c r="J1381" s="8" t="s">
        <v>6238</v>
      </c>
      <c r="K1381" s="8" t="s">
        <v>114</v>
      </c>
      <c r="L1381" s="8" t="s">
        <v>6239</v>
      </c>
    </row>
    <row r="1382" customFormat="false" ht="34.5" hidden="false" customHeight="true" outlineLevel="0" collapsed="false">
      <c r="A1382" s="8" t="n">
        <v>1160</v>
      </c>
      <c r="B1382" s="8" t="s">
        <v>43</v>
      </c>
      <c r="C1382" s="8" t="s">
        <v>6240</v>
      </c>
      <c r="D1382" s="8" t="n">
        <v>2023</v>
      </c>
      <c r="E1382" s="8" t="s">
        <v>6241</v>
      </c>
      <c r="F1382" s="8" t="s">
        <v>143</v>
      </c>
      <c r="G1382" s="8" t="s">
        <v>6242</v>
      </c>
      <c r="H1382" s="8" t="s">
        <v>255</v>
      </c>
      <c r="I1382" s="8" t="s">
        <v>387</v>
      </c>
      <c r="J1382" s="8" t="s">
        <v>6243</v>
      </c>
      <c r="K1382" s="8" t="s">
        <v>110</v>
      </c>
      <c r="L1382" s="8" t="s">
        <v>6244</v>
      </c>
    </row>
    <row r="1383" customFormat="false" ht="34.5" hidden="false" customHeight="true" outlineLevel="0" collapsed="false">
      <c r="A1383" s="8" t="n">
        <v>1161</v>
      </c>
      <c r="B1383" s="8" t="s">
        <v>43</v>
      </c>
      <c r="C1383" s="8" t="s">
        <v>6245</v>
      </c>
      <c r="D1383" s="8" t="n">
        <v>2023</v>
      </c>
      <c r="E1383" s="8" t="s">
        <v>6246</v>
      </c>
      <c r="F1383" s="8" t="s">
        <v>143</v>
      </c>
      <c r="G1383" s="8" t="s">
        <v>1763</v>
      </c>
      <c r="H1383" s="8" t="s">
        <v>1213</v>
      </c>
      <c r="I1383" s="8" t="s">
        <v>387</v>
      </c>
      <c r="J1383" s="8" t="s">
        <v>6247</v>
      </c>
      <c r="K1383" s="8" t="s">
        <v>112</v>
      </c>
      <c r="L1383" s="8" t="s">
        <v>6248</v>
      </c>
    </row>
    <row r="1384" customFormat="false" ht="34.5" hidden="false" customHeight="true" outlineLevel="0" collapsed="false">
      <c r="A1384" s="8" t="n">
        <v>1162</v>
      </c>
      <c r="B1384" s="8" t="s">
        <v>43</v>
      </c>
      <c r="C1384" s="8" t="s">
        <v>6249</v>
      </c>
      <c r="D1384" s="8" t="n">
        <v>2023</v>
      </c>
      <c r="E1384" s="8" t="s">
        <v>6250</v>
      </c>
      <c r="F1384" s="8" t="s">
        <v>143</v>
      </c>
      <c r="G1384" s="8" t="s">
        <v>1813</v>
      </c>
      <c r="H1384" s="8" t="s">
        <v>871</v>
      </c>
      <c r="I1384" s="8" t="s">
        <v>387</v>
      </c>
      <c r="J1384" s="8" t="s">
        <v>6251</v>
      </c>
      <c r="K1384" s="8" t="s">
        <v>112</v>
      </c>
      <c r="L1384" s="8" t="s">
        <v>6252</v>
      </c>
    </row>
    <row r="1385" customFormat="false" ht="34.5" hidden="false" customHeight="true" outlineLevel="0" collapsed="false">
      <c r="A1385" s="8" t="n">
        <v>1163</v>
      </c>
      <c r="B1385" s="8" t="s">
        <v>43</v>
      </c>
      <c r="C1385" s="8" t="s">
        <v>1622</v>
      </c>
      <c r="D1385" s="8" t="n">
        <v>2024</v>
      </c>
      <c r="E1385" s="8" t="s">
        <v>6253</v>
      </c>
      <c r="F1385" s="8" t="s">
        <v>143</v>
      </c>
      <c r="G1385" s="8" t="s">
        <v>1767</v>
      </c>
      <c r="H1385" s="8" t="s">
        <v>327</v>
      </c>
      <c r="I1385" s="8" t="s">
        <v>146</v>
      </c>
      <c r="J1385" s="8" t="s">
        <v>6254</v>
      </c>
      <c r="K1385" s="8" t="s">
        <v>116</v>
      </c>
      <c r="L1385" s="8" t="s">
        <v>6255</v>
      </c>
    </row>
    <row r="1386" customFormat="false" ht="34.5" hidden="false" customHeight="true" outlineLevel="0" collapsed="false">
      <c r="A1386" s="8" t="n">
        <v>1164</v>
      </c>
      <c r="B1386" s="8" t="s">
        <v>43</v>
      </c>
      <c r="C1386" s="8" t="s">
        <v>2907</v>
      </c>
      <c r="D1386" s="8" t="n">
        <v>2022</v>
      </c>
      <c r="E1386" s="8" t="s">
        <v>6256</v>
      </c>
      <c r="F1386" s="8" t="s">
        <v>143</v>
      </c>
      <c r="G1386" s="8" t="s">
        <v>6257</v>
      </c>
      <c r="H1386" s="8" t="s">
        <v>2910</v>
      </c>
      <c r="I1386" s="8" t="s">
        <v>208</v>
      </c>
      <c r="J1386" s="8" t="s">
        <v>6258</v>
      </c>
      <c r="K1386" s="8" t="s">
        <v>110</v>
      </c>
      <c r="L1386" s="8" t="s">
        <v>6259</v>
      </c>
    </row>
    <row r="1387" customFormat="false" ht="34.5" hidden="false" customHeight="true" outlineLevel="0" collapsed="false">
      <c r="A1387" s="8" t="n">
        <v>1165</v>
      </c>
      <c r="B1387" s="8" t="s">
        <v>45</v>
      </c>
      <c r="C1387" s="8" t="s">
        <v>6260</v>
      </c>
      <c r="D1387" s="8" t="n">
        <v>2003</v>
      </c>
      <c r="E1387" s="8" t="s">
        <v>6261</v>
      </c>
      <c r="F1387" s="8" t="s">
        <v>151</v>
      </c>
      <c r="G1387" s="8" t="s">
        <v>1776</v>
      </c>
      <c r="H1387" s="8" t="s">
        <v>6262</v>
      </c>
      <c r="I1387" s="8" t="s">
        <v>146</v>
      </c>
      <c r="J1387" s="8" t="s">
        <v>6263</v>
      </c>
      <c r="K1387" s="8"/>
      <c r="L1387" s="8" t="s">
        <v>6264</v>
      </c>
    </row>
    <row r="1388" customFormat="false" ht="34.5" hidden="false" customHeight="true" outlineLevel="0" collapsed="false">
      <c r="A1388" s="8" t="n">
        <v>1166</v>
      </c>
      <c r="B1388" s="8" t="s">
        <v>45</v>
      </c>
      <c r="C1388" s="8" t="s">
        <v>6265</v>
      </c>
      <c r="D1388" s="8" t="n">
        <v>2008</v>
      </c>
      <c r="E1388" s="8" t="s">
        <v>6266</v>
      </c>
      <c r="F1388" s="8" t="s">
        <v>151</v>
      </c>
      <c r="G1388" s="8" t="s">
        <v>6267</v>
      </c>
      <c r="H1388" s="8" t="s">
        <v>6268</v>
      </c>
      <c r="I1388" s="8" t="s">
        <v>146</v>
      </c>
      <c r="J1388" s="8" t="s">
        <v>6269</v>
      </c>
      <c r="K1388" s="8"/>
      <c r="L1388" s="8" t="s">
        <v>6270</v>
      </c>
    </row>
    <row r="1389" customFormat="false" ht="34.5" hidden="false" customHeight="true" outlineLevel="0" collapsed="false">
      <c r="A1389" s="8" t="n">
        <v>1167</v>
      </c>
      <c r="B1389" s="8" t="s">
        <v>45</v>
      </c>
      <c r="C1389" s="8" t="s">
        <v>1126</v>
      </c>
      <c r="D1389" s="8" t="n">
        <v>2012</v>
      </c>
      <c r="E1389" s="8" t="s">
        <v>6271</v>
      </c>
      <c r="F1389" s="8" t="s">
        <v>143</v>
      </c>
      <c r="G1389" s="8" t="s">
        <v>6272</v>
      </c>
      <c r="H1389" s="8" t="s">
        <v>145</v>
      </c>
      <c r="I1389" s="8" t="s">
        <v>153</v>
      </c>
      <c r="J1389" s="8" t="s">
        <v>6273</v>
      </c>
      <c r="K1389" s="8" t="s">
        <v>112</v>
      </c>
      <c r="L1389" s="8" t="s">
        <v>6274</v>
      </c>
    </row>
    <row r="1390" customFormat="false" ht="34.5" hidden="false" customHeight="true" outlineLevel="0" collapsed="false">
      <c r="A1390" s="8" t="n">
        <v>1168</v>
      </c>
      <c r="B1390" s="8" t="s">
        <v>45</v>
      </c>
      <c r="C1390" s="8" t="s">
        <v>6275</v>
      </c>
      <c r="D1390" s="8" t="n">
        <v>2013</v>
      </c>
      <c r="E1390" s="8" t="s">
        <v>6276</v>
      </c>
      <c r="F1390" s="8" t="s">
        <v>151</v>
      </c>
      <c r="G1390" s="8" t="s">
        <v>348</v>
      </c>
      <c r="H1390" s="8" t="s">
        <v>145</v>
      </c>
      <c r="I1390" s="8" t="s">
        <v>146</v>
      </c>
      <c r="J1390" s="8" t="s">
        <v>6277</v>
      </c>
      <c r="K1390" s="8"/>
      <c r="L1390" s="8" t="s">
        <v>6278</v>
      </c>
    </row>
    <row r="1391" customFormat="false" ht="34.5" hidden="false" customHeight="true" outlineLevel="0" collapsed="false">
      <c r="A1391" s="8" t="n">
        <v>1169</v>
      </c>
      <c r="B1391" s="8" t="s">
        <v>45</v>
      </c>
      <c r="C1391" s="8" t="s">
        <v>6279</v>
      </c>
      <c r="D1391" s="8" t="n">
        <v>2010</v>
      </c>
      <c r="E1391" s="8" t="s">
        <v>6280</v>
      </c>
      <c r="F1391" s="8" t="s">
        <v>151</v>
      </c>
      <c r="G1391" s="8" t="s">
        <v>348</v>
      </c>
      <c r="H1391" s="8" t="s">
        <v>145</v>
      </c>
      <c r="I1391" s="8" t="s">
        <v>146</v>
      </c>
      <c r="J1391" s="8" t="s">
        <v>6281</v>
      </c>
      <c r="K1391" s="8"/>
      <c r="L1391" s="8" t="s">
        <v>6282</v>
      </c>
    </row>
    <row r="1392" customFormat="false" ht="34.5" hidden="false" customHeight="true" outlineLevel="0" collapsed="false">
      <c r="A1392" s="13" t="n">
        <v>1170</v>
      </c>
      <c r="B1392" s="14" t="s">
        <v>45</v>
      </c>
      <c r="C1392" s="14" t="s">
        <v>6283</v>
      </c>
      <c r="D1392" s="14" t="n">
        <v>2010</v>
      </c>
      <c r="E1392" s="14" t="s">
        <v>6284</v>
      </c>
      <c r="F1392" s="14" t="s">
        <v>201</v>
      </c>
      <c r="G1392" s="14" t="s">
        <v>6285</v>
      </c>
      <c r="H1392" s="14" t="s">
        <v>2886</v>
      </c>
      <c r="I1392" s="14" t="s">
        <v>146</v>
      </c>
      <c r="J1392" s="14" t="s">
        <v>6286</v>
      </c>
      <c r="K1392" s="14" t="s">
        <v>112</v>
      </c>
      <c r="L1392" s="14" t="s">
        <v>6287</v>
      </c>
    </row>
    <row r="1393" customFormat="false" ht="34.5" hidden="false" customHeight="true" outlineLevel="0" collapsed="false">
      <c r="A1393" s="15" t="n">
        <v>1170</v>
      </c>
      <c r="B1393" s="16" t="s">
        <v>61</v>
      </c>
      <c r="C1393" s="16" t="s">
        <v>6283</v>
      </c>
      <c r="D1393" s="16" t="n">
        <v>2010</v>
      </c>
      <c r="E1393" s="16" t="s">
        <v>6284</v>
      </c>
      <c r="F1393" s="16" t="s">
        <v>143</v>
      </c>
      <c r="G1393" s="16" t="s">
        <v>4903</v>
      </c>
      <c r="H1393" s="16" t="s">
        <v>2886</v>
      </c>
      <c r="I1393" s="16" t="s">
        <v>146</v>
      </c>
      <c r="J1393" s="16" t="s">
        <v>6286</v>
      </c>
      <c r="K1393" s="16" t="s">
        <v>112</v>
      </c>
      <c r="L1393" s="16" t="s">
        <v>6288</v>
      </c>
    </row>
    <row r="1394" customFormat="false" ht="34.5" hidden="false" customHeight="true" outlineLevel="0" collapsed="false">
      <c r="A1394" s="9" t="n">
        <v>1171</v>
      </c>
      <c r="B1394" s="10" t="s">
        <v>45</v>
      </c>
      <c r="C1394" s="10" t="s">
        <v>6289</v>
      </c>
      <c r="D1394" s="10" t="n">
        <v>2009</v>
      </c>
      <c r="E1394" s="10" t="s">
        <v>6290</v>
      </c>
      <c r="F1394" s="10" t="s">
        <v>151</v>
      </c>
      <c r="G1394" s="10" t="s">
        <v>3552</v>
      </c>
      <c r="H1394" s="10" t="s">
        <v>145</v>
      </c>
      <c r="I1394" s="10" t="s">
        <v>153</v>
      </c>
      <c r="J1394" s="10" t="s">
        <v>6291</v>
      </c>
      <c r="K1394" s="10" t="s">
        <v>116</v>
      </c>
      <c r="L1394" s="10" t="s">
        <v>6292</v>
      </c>
    </row>
    <row r="1395" customFormat="false" ht="34.5" hidden="false" customHeight="true" outlineLevel="0" collapsed="false">
      <c r="A1395" s="11" t="n">
        <v>1171</v>
      </c>
      <c r="B1395" s="12" t="s">
        <v>59</v>
      </c>
      <c r="C1395" s="12" t="s">
        <v>6293</v>
      </c>
      <c r="D1395" s="12" t="n">
        <v>2009</v>
      </c>
      <c r="E1395" s="12" t="s">
        <v>6290</v>
      </c>
      <c r="F1395" s="12" t="s">
        <v>151</v>
      </c>
      <c r="G1395" s="12" t="s">
        <v>3552</v>
      </c>
      <c r="H1395" s="12" t="s">
        <v>6294</v>
      </c>
      <c r="I1395" s="12" t="s">
        <v>153</v>
      </c>
      <c r="J1395" s="12" t="s">
        <v>6295</v>
      </c>
      <c r="K1395" s="12" t="s">
        <v>116</v>
      </c>
      <c r="L1395" s="12" t="s">
        <v>6296</v>
      </c>
    </row>
    <row r="1396" customFormat="false" ht="34.5" hidden="false" customHeight="true" outlineLevel="0" collapsed="false">
      <c r="A1396" s="8" t="n">
        <v>1172</v>
      </c>
      <c r="B1396" s="8" t="s">
        <v>45</v>
      </c>
      <c r="C1396" s="8" t="s">
        <v>6297</v>
      </c>
      <c r="D1396" s="8" t="n">
        <v>2008</v>
      </c>
      <c r="E1396" s="8" t="s">
        <v>6298</v>
      </c>
      <c r="F1396" s="8" t="s">
        <v>151</v>
      </c>
      <c r="G1396" s="8" t="s">
        <v>6299</v>
      </c>
      <c r="H1396" s="8" t="s">
        <v>6300</v>
      </c>
      <c r="I1396" s="8" t="s">
        <v>146</v>
      </c>
      <c r="J1396" s="8" t="s">
        <v>6301</v>
      </c>
      <c r="K1396" s="8"/>
      <c r="L1396" s="8" t="s">
        <v>6302</v>
      </c>
    </row>
    <row r="1397" customFormat="false" ht="23.25" hidden="false" customHeight="true" outlineLevel="0" collapsed="false">
      <c r="A1397" s="8" t="n">
        <v>1173</v>
      </c>
      <c r="B1397" s="8" t="s">
        <v>45</v>
      </c>
      <c r="C1397" s="8" t="s">
        <v>6303</v>
      </c>
      <c r="D1397" s="8" t="n">
        <v>2009</v>
      </c>
      <c r="E1397" s="8" t="s">
        <v>6304</v>
      </c>
      <c r="F1397" s="8" t="s">
        <v>151</v>
      </c>
      <c r="G1397" s="8" t="s">
        <v>348</v>
      </c>
      <c r="H1397" s="8" t="s">
        <v>145</v>
      </c>
      <c r="I1397" s="8" t="s">
        <v>153</v>
      </c>
      <c r="J1397" s="8" t="s">
        <v>6305</v>
      </c>
      <c r="K1397" s="8"/>
      <c r="L1397" s="8" t="s">
        <v>6306</v>
      </c>
    </row>
    <row r="1398" customFormat="false" ht="34.5" hidden="false" customHeight="true" outlineLevel="0" collapsed="false">
      <c r="A1398" s="8" t="n">
        <v>1174</v>
      </c>
      <c r="B1398" s="8" t="s">
        <v>45</v>
      </c>
      <c r="C1398" s="8" t="s">
        <v>6307</v>
      </c>
      <c r="D1398" s="8" t="n">
        <v>2007</v>
      </c>
      <c r="E1398" s="8" t="s">
        <v>6308</v>
      </c>
      <c r="F1398" s="8" t="s">
        <v>201</v>
      </c>
      <c r="G1398" s="8" t="s">
        <v>6309</v>
      </c>
      <c r="H1398" s="8" t="s">
        <v>2886</v>
      </c>
      <c r="I1398" s="8" t="s">
        <v>146</v>
      </c>
      <c r="J1398" s="8" t="s">
        <v>6310</v>
      </c>
      <c r="K1398" s="8"/>
      <c r="L1398" s="8" t="s">
        <v>6311</v>
      </c>
    </row>
    <row r="1399" customFormat="false" ht="34.5" hidden="false" customHeight="true" outlineLevel="0" collapsed="false">
      <c r="A1399" s="8" t="n">
        <v>1175</v>
      </c>
      <c r="B1399" s="8" t="s">
        <v>45</v>
      </c>
      <c r="C1399" s="8" t="s">
        <v>6307</v>
      </c>
      <c r="D1399" s="8" t="n">
        <v>2009</v>
      </c>
      <c r="E1399" s="8" t="s">
        <v>6312</v>
      </c>
      <c r="F1399" s="8" t="s">
        <v>151</v>
      </c>
      <c r="G1399" s="8" t="s">
        <v>6313</v>
      </c>
      <c r="H1399" s="8" t="s">
        <v>6314</v>
      </c>
      <c r="I1399" s="8" t="s">
        <v>146</v>
      </c>
      <c r="J1399" s="8" t="s">
        <v>6315</v>
      </c>
      <c r="K1399" s="8"/>
      <c r="L1399" s="8" t="s">
        <v>6316</v>
      </c>
    </row>
    <row r="1400" customFormat="false" ht="23.25" hidden="false" customHeight="true" outlineLevel="0" collapsed="false">
      <c r="A1400" s="8" t="n">
        <v>1176</v>
      </c>
      <c r="B1400" s="8" t="s">
        <v>45</v>
      </c>
      <c r="C1400" s="8" t="s">
        <v>6317</v>
      </c>
      <c r="D1400" s="8" t="n">
        <v>2004</v>
      </c>
      <c r="E1400" s="8" t="s">
        <v>6318</v>
      </c>
      <c r="F1400" s="8" t="s">
        <v>151</v>
      </c>
      <c r="G1400" s="8" t="s">
        <v>348</v>
      </c>
      <c r="H1400" s="8" t="s">
        <v>145</v>
      </c>
      <c r="I1400" s="8" t="s">
        <v>146</v>
      </c>
      <c r="J1400" s="8" t="s">
        <v>6319</v>
      </c>
      <c r="K1400" s="8"/>
      <c r="L1400" s="8" t="s">
        <v>6320</v>
      </c>
    </row>
    <row r="1401" customFormat="false" ht="34.5" hidden="false" customHeight="true" outlineLevel="0" collapsed="false">
      <c r="A1401" s="8" t="n">
        <v>1177</v>
      </c>
      <c r="B1401" s="8" t="s">
        <v>45</v>
      </c>
      <c r="C1401" s="8" t="s">
        <v>6321</v>
      </c>
      <c r="D1401" s="8" t="n">
        <v>1990</v>
      </c>
      <c r="E1401" s="8" t="s">
        <v>6322</v>
      </c>
      <c r="F1401" s="8" t="s">
        <v>201</v>
      </c>
      <c r="G1401" s="8" t="s">
        <v>1776</v>
      </c>
      <c r="H1401" s="8" t="s">
        <v>3279</v>
      </c>
      <c r="I1401" s="8" t="s">
        <v>146</v>
      </c>
      <c r="J1401" s="8" t="s">
        <v>6323</v>
      </c>
      <c r="K1401" s="8"/>
      <c r="L1401" s="8" t="s">
        <v>6324</v>
      </c>
    </row>
    <row r="1402" customFormat="false" ht="45.75" hidden="false" customHeight="true" outlineLevel="0" collapsed="false">
      <c r="A1402" s="8" t="n">
        <v>1178</v>
      </c>
      <c r="B1402" s="8" t="s">
        <v>45</v>
      </c>
      <c r="C1402" s="8" t="s">
        <v>1166</v>
      </c>
      <c r="D1402" s="8" t="n">
        <v>2012</v>
      </c>
      <c r="E1402" s="8" t="s">
        <v>3261</v>
      </c>
      <c r="F1402" s="8" t="s">
        <v>143</v>
      </c>
      <c r="G1402" s="8" t="s">
        <v>6325</v>
      </c>
      <c r="H1402" s="8" t="s">
        <v>145</v>
      </c>
      <c r="I1402" s="8" t="s">
        <v>153</v>
      </c>
      <c r="J1402" s="8" t="s">
        <v>6326</v>
      </c>
      <c r="K1402" s="8" t="s">
        <v>112</v>
      </c>
      <c r="L1402" s="8" t="s">
        <v>6327</v>
      </c>
    </row>
    <row r="1403" customFormat="false" ht="23.25" hidden="false" customHeight="true" outlineLevel="0" collapsed="false">
      <c r="A1403" s="8" t="n">
        <v>1179</v>
      </c>
      <c r="B1403" s="8" t="s">
        <v>45</v>
      </c>
      <c r="C1403" s="8" t="s">
        <v>6328</v>
      </c>
      <c r="D1403" s="8" t="n">
        <v>2002</v>
      </c>
      <c r="E1403" s="8" t="s">
        <v>6329</v>
      </c>
      <c r="F1403" s="8" t="s">
        <v>151</v>
      </c>
      <c r="G1403" s="8" t="s">
        <v>348</v>
      </c>
      <c r="H1403" s="8" t="s">
        <v>145</v>
      </c>
      <c r="I1403" s="8" t="s">
        <v>153</v>
      </c>
      <c r="J1403" s="8" t="s">
        <v>6330</v>
      </c>
      <c r="K1403" s="8"/>
      <c r="L1403" s="8" t="s">
        <v>6331</v>
      </c>
    </row>
    <row r="1404" customFormat="false" ht="34.5" hidden="false" customHeight="true" outlineLevel="0" collapsed="false">
      <c r="A1404" s="8" t="n">
        <v>1180</v>
      </c>
      <c r="B1404" s="8" t="s">
        <v>45</v>
      </c>
      <c r="C1404" s="8" t="s">
        <v>6332</v>
      </c>
      <c r="D1404" s="8" t="n">
        <v>2011</v>
      </c>
      <c r="E1404" s="8" t="s">
        <v>6333</v>
      </c>
      <c r="F1404" s="8" t="s">
        <v>151</v>
      </c>
      <c r="G1404" s="8" t="s">
        <v>348</v>
      </c>
      <c r="H1404" s="8" t="s">
        <v>145</v>
      </c>
      <c r="I1404" s="8" t="s">
        <v>146</v>
      </c>
      <c r="J1404" s="8" t="s">
        <v>6334</v>
      </c>
      <c r="K1404" s="8"/>
      <c r="L1404" s="8" t="s">
        <v>6335</v>
      </c>
    </row>
    <row r="1405" customFormat="false" ht="34.5" hidden="false" customHeight="true" outlineLevel="0" collapsed="false">
      <c r="A1405" s="8" t="n">
        <v>1181</v>
      </c>
      <c r="B1405" s="8" t="s">
        <v>45</v>
      </c>
      <c r="C1405" s="8" t="s">
        <v>6336</v>
      </c>
      <c r="D1405" s="8" t="n">
        <v>2010</v>
      </c>
      <c r="E1405" s="8" t="s">
        <v>6337</v>
      </c>
      <c r="F1405" s="8" t="s">
        <v>151</v>
      </c>
      <c r="G1405" s="8" t="s">
        <v>348</v>
      </c>
      <c r="H1405" s="8" t="s">
        <v>145</v>
      </c>
      <c r="I1405" s="8" t="s">
        <v>153</v>
      </c>
      <c r="J1405" s="8" t="s">
        <v>6338</v>
      </c>
      <c r="K1405" s="8"/>
      <c r="L1405" s="8" t="s">
        <v>6339</v>
      </c>
    </row>
    <row r="1406" customFormat="false" ht="34.5" hidden="false" customHeight="true" outlineLevel="0" collapsed="false">
      <c r="A1406" s="8" t="n">
        <v>1182</v>
      </c>
      <c r="B1406" s="8" t="s">
        <v>45</v>
      </c>
      <c r="C1406" s="8" t="s">
        <v>6340</v>
      </c>
      <c r="D1406" s="8" t="n">
        <v>2007</v>
      </c>
      <c r="E1406" s="8" t="s">
        <v>6341</v>
      </c>
      <c r="F1406" s="8" t="s">
        <v>151</v>
      </c>
      <c r="G1406" s="8" t="s">
        <v>6342</v>
      </c>
      <c r="H1406" s="8" t="s">
        <v>145</v>
      </c>
      <c r="I1406" s="8" t="s">
        <v>153</v>
      </c>
      <c r="J1406" s="8" t="s">
        <v>6343</v>
      </c>
      <c r="K1406" s="8"/>
      <c r="L1406" s="8" t="s">
        <v>6344</v>
      </c>
    </row>
    <row r="1407" customFormat="false" ht="34.5" hidden="false" customHeight="true" outlineLevel="0" collapsed="false">
      <c r="A1407" s="8" t="n">
        <v>1183</v>
      </c>
      <c r="B1407" s="8" t="s">
        <v>45</v>
      </c>
      <c r="C1407" s="8" t="s">
        <v>4392</v>
      </c>
      <c r="D1407" s="8" t="n">
        <v>2009</v>
      </c>
      <c r="E1407" s="8" t="s">
        <v>6345</v>
      </c>
      <c r="F1407" s="8" t="s">
        <v>201</v>
      </c>
      <c r="G1407" s="8" t="s">
        <v>6346</v>
      </c>
      <c r="H1407" s="8" t="s">
        <v>3279</v>
      </c>
      <c r="I1407" s="8" t="s">
        <v>146</v>
      </c>
      <c r="J1407" s="8" t="s">
        <v>6347</v>
      </c>
      <c r="K1407" s="8"/>
      <c r="L1407" s="8" t="s">
        <v>6348</v>
      </c>
    </row>
    <row r="1408" customFormat="false" ht="34.5" hidden="false" customHeight="true" outlineLevel="0" collapsed="false">
      <c r="A1408" s="8" t="n">
        <v>1184</v>
      </c>
      <c r="B1408" s="8" t="s">
        <v>45</v>
      </c>
      <c r="C1408" s="8" t="s">
        <v>6349</v>
      </c>
      <c r="D1408" s="8" t="n">
        <v>2010</v>
      </c>
      <c r="E1408" s="8" t="s">
        <v>6350</v>
      </c>
      <c r="F1408" s="8" t="s">
        <v>151</v>
      </c>
      <c r="G1408" s="8" t="s">
        <v>6351</v>
      </c>
      <c r="H1408" s="8" t="s">
        <v>6352</v>
      </c>
      <c r="I1408" s="8" t="s">
        <v>153</v>
      </c>
      <c r="J1408" s="8" t="s">
        <v>6353</v>
      </c>
      <c r="K1408" s="8"/>
      <c r="L1408" s="8" t="s">
        <v>6354</v>
      </c>
    </row>
    <row r="1409" customFormat="false" ht="45.75" hidden="false" customHeight="true" outlineLevel="0" collapsed="false">
      <c r="A1409" s="9" t="n">
        <v>1185</v>
      </c>
      <c r="B1409" s="10" t="s">
        <v>45</v>
      </c>
      <c r="C1409" s="10" t="s">
        <v>6355</v>
      </c>
      <c r="D1409" s="10" t="n">
        <v>2014</v>
      </c>
      <c r="E1409" s="10" t="s">
        <v>6356</v>
      </c>
      <c r="F1409" s="10" t="s">
        <v>151</v>
      </c>
      <c r="G1409" s="10" t="s">
        <v>6357</v>
      </c>
      <c r="H1409" s="10" t="s">
        <v>145</v>
      </c>
      <c r="I1409" s="10" t="s">
        <v>146</v>
      </c>
      <c r="J1409" s="10" t="s">
        <v>6358</v>
      </c>
      <c r="K1409" s="10" t="s">
        <v>112</v>
      </c>
      <c r="L1409" s="10" t="s">
        <v>6359</v>
      </c>
    </row>
    <row r="1410" customFormat="false" ht="34.5" hidden="false" customHeight="true" outlineLevel="0" collapsed="false">
      <c r="A1410" s="11" t="n">
        <v>1185</v>
      </c>
      <c r="B1410" s="12" t="s">
        <v>59</v>
      </c>
      <c r="C1410" s="12" t="s">
        <v>6360</v>
      </c>
      <c r="D1410" s="12" t="n">
        <v>2014</v>
      </c>
      <c r="E1410" s="12" t="s">
        <v>6356</v>
      </c>
      <c r="F1410" s="12" t="s">
        <v>151</v>
      </c>
      <c r="G1410" s="12" t="s">
        <v>3530</v>
      </c>
      <c r="H1410" s="12" t="s">
        <v>145</v>
      </c>
      <c r="I1410" s="12" t="s">
        <v>146</v>
      </c>
      <c r="J1410" s="12" t="s">
        <v>6361</v>
      </c>
      <c r="K1410" s="12" t="s">
        <v>112</v>
      </c>
      <c r="L1410" s="12" t="s">
        <v>6362</v>
      </c>
    </row>
    <row r="1411" customFormat="false" ht="34.5" hidden="false" customHeight="true" outlineLevel="0" collapsed="false">
      <c r="A1411" s="8" t="n">
        <v>1186</v>
      </c>
      <c r="B1411" s="8" t="s">
        <v>45</v>
      </c>
      <c r="C1411" s="8" t="s">
        <v>6363</v>
      </c>
      <c r="D1411" s="8" t="n">
        <v>2009</v>
      </c>
      <c r="E1411" s="8" t="s">
        <v>6364</v>
      </c>
      <c r="F1411" s="8" t="s">
        <v>151</v>
      </c>
      <c r="G1411" s="8" t="s">
        <v>152</v>
      </c>
      <c r="H1411" s="8" t="s">
        <v>3279</v>
      </c>
      <c r="I1411" s="8" t="s">
        <v>146</v>
      </c>
      <c r="J1411" s="8" t="s">
        <v>6365</v>
      </c>
      <c r="K1411" s="8"/>
      <c r="L1411" s="8" t="s">
        <v>6366</v>
      </c>
    </row>
    <row r="1412" customFormat="false" ht="34.5" hidden="false" customHeight="true" outlineLevel="0" collapsed="false">
      <c r="A1412" s="8" t="n">
        <v>1187</v>
      </c>
      <c r="B1412" s="8" t="s">
        <v>45</v>
      </c>
      <c r="C1412" s="8" t="s">
        <v>6367</v>
      </c>
      <c r="D1412" s="8" t="n">
        <v>2004</v>
      </c>
      <c r="E1412" s="8" t="s">
        <v>6368</v>
      </c>
      <c r="F1412" s="8" t="s">
        <v>151</v>
      </c>
      <c r="G1412" s="8" t="s">
        <v>152</v>
      </c>
      <c r="H1412" s="8" t="s">
        <v>3279</v>
      </c>
      <c r="I1412" s="8" t="s">
        <v>146</v>
      </c>
      <c r="J1412" s="8" t="s">
        <v>6369</v>
      </c>
      <c r="K1412" s="8"/>
      <c r="L1412" s="8" t="s">
        <v>6370</v>
      </c>
    </row>
    <row r="1413" customFormat="false" ht="34.5" hidden="false" customHeight="true" outlineLevel="0" collapsed="false">
      <c r="A1413" s="8" t="n">
        <v>1188</v>
      </c>
      <c r="B1413" s="8" t="s">
        <v>45</v>
      </c>
      <c r="C1413" s="8" t="s">
        <v>6371</v>
      </c>
      <c r="D1413" s="8" t="n">
        <v>1943</v>
      </c>
      <c r="E1413" s="8" t="s">
        <v>6372</v>
      </c>
      <c r="F1413" s="8" t="s">
        <v>151</v>
      </c>
      <c r="G1413" s="8" t="s">
        <v>348</v>
      </c>
      <c r="H1413" s="8" t="s">
        <v>145</v>
      </c>
      <c r="I1413" s="8" t="s">
        <v>146</v>
      </c>
      <c r="J1413" s="8" t="s">
        <v>6373</v>
      </c>
      <c r="K1413" s="8"/>
      <c r="L1413" s="8" t="s">
        <v>6374</v>
      </c>
    </row>
    <row r="1414" customFormat="false" ht="34.5" hidden="false" customHeight="true" outlineLevel="0" collapsed="false">
      <c r="A1414" s="8" t="n">
        <v>1189</v>
      </c>
      <c r="B1414" s="8" t="s">
        <v>45</v>
      </c>
      <c r="C1414" s="8" t="s">
        <v>4949</v>
      </c>
      <c r="D1414" s="8" t="n">
        <v>2007</v>
      </c>
      <c r="E1414" s="8" t="s">
        <v>6375</v>
      </c>
      <c r="F1414" s="8" t="s">
        <v>579</v>
      </c>
      <c r="G1414" s="8" t="s">
        <v>152</v>
      </c>
      <c r="H1414" s="8" t="s">
        <v>6376</v>
      </c>
      <c r="I1414" s="8" t="s">
        <v>146</v>
      </c>
      <c r="J1414" s="8" t="s">
        <v>6377</v>
      </c>
      <c r="K1414" s="8"/>
      <c r="L1414" s="8" t="s">
        <v>6378</v>
      </c>
    </row>
    <row r="1415" customFormat="false" ht="34.5" hidden="false" customHeight="true" outlineLevel="0" collapsed="false">
      <c r="A1415" s="8" t="n">
        <v>1190</v>
      </c>
      <c r="B1415" s="8" t="s">
        <v>45</v>
      </c>
      <c r="C1415" s="8" t="s">
        <v>6379</v>
      </c>
      <c r="D1415" s="8" t="n">
        <v>2007</v>
      </c>
      <c r="E1415" s="8" t="s">
        <v>6380</v>
      </c>
      <c r="F1415" s="8" t="s">
        <v>143</v>
      </c>
      <c r="G1415" s="8" t="s">
        <v>610</v>
      </c>
      <c r="H1415" s="8" t="s">
        <v>255</v>
      </c>
      <c r="I1415" s="8" t="s">
        <v>146</v>
      </c>
      <c r="J1415" s="8" t="s">
        <v>6381</v>
      </c>
      <c r="K1415" s="8" t="s">
        <v>112</v>
      </c>
      <c r="L1415" s="8" t="s">
        <v>6382</v>
      </c>
    </row>
    <row r="1416" customFormat="false" ht="34.5" hidden="false" customHeight="true" outlineLevel="0" collapsed="false">
      <c r="A1416" s="8" t="n">
        <v>1191</v>
      </c>
      <c r="B1416" s="8" t="s">
        <v>45</v>
      </c>
      <c r="C1416" s="8" t="s">
        <v>6383</v>
      </c>
      <c r="D1416" s="8" t="n">
        <v>2001</v>
      </c>
      <c r="E1416" s="8" t="s">
        <v>6384</v>
      </c>
      <c r="F1416" s="8" t="s">
        <v>151</v>
      </c>
      <c r="G1416" s="8" t="s">
        <v>348</v>
      </c>
      <c r="H1416" s="8" t="s">
        <v>145</v>
      </c>
      <c r="I1416" s="8" t="s">
        <v>153</v>
      </c>
      <c r="J1416" s="8" t="s">
        <v>6385</v>
      </c>
      <c r="K1416" s="8"/>
      <c r="L1416" s="8" t="s">
        <v>6386</v>
      </c>
    </row>
    <row r="1417" customFormat="false" ht="34.5" hidden="false" customHeight="true" outlineLevel="0" collapsed="false">
      <c r="A1417" s="8" t="n">
        <v>1192</v>
      </c>
      <c r="B1417" s="8" t="s">
        <v>45</v>
      </c>
      <c r="C1417" s="8" t="s">
        <v>6387</v>
      </c>
      <c r="D1417" s="8" t="n">
        <v>1997</v>
      </c>
      <c r="E1417" s="8" t="s">
        <v>6388</v>
      </c>
      <c r="F1417" s="8" t="s">
        <v>151</v>
      </c>
      <c r="G1417" s="8" t="s">
        <v>6389</v>
      </c>
      <c r="H1417" s="8" t="s">
        <v>6390</v>
      </c>
      <c r="I1417" s="8" t="s">
        <v>146</v>
      </c>
      <c r="J1417" s="8" t="s">
        <v>6391</v>
      </c>
      <c r="K1417" s="8"/>
      <c r="L1417" s="8" t="s">
        <v>6392</v>
      </c>
    </row>
    <row r="1418" customFormat="false" ht="34.5" hidden="false" customHeight="true" outlineLevel="0" collapsed="false">
      <c r="A1418" s="8" t="n">
        <v>1193</v>
      </c>
      <c r="B1418" s="8" t="s">
        <v>45</v>
      </c>
      <c r="C1418" s="8" t="s">
        <v>6393</v>
      </c>
      <c r="D1418" s="8" t="n">
        <v>1999</v>
      </c>
      <c r="E1418" s="8" t="s">
        <v>6394</v>
      </c>
      <c r="F1418" s="8" t="s">
        <v>151</v>
      </c>
      <c r="G1418" s="8" t="s">
        <v>348</v>
      </c>
      <c r="H1418" s="8" t="s">
        <v>145</v>
      </c>
      <c r="I1418" s="8" t="s">
        <v>153</v>
      </c>
      <c r="J1418" s="8" t="s">
        <v>6395</v>
      </c>
      <c r="K1418" s="8"/>
      <c r="L1418" s="8" t="s">
        <v>6396</v>
      </c>
    </row>
    <row r="1419" customFormat="false" ht="34.5" hidden="false" customHeight="true" outlineLevel="0" collapsed="false">
      <c r="A1419" s="8" t="n">
        <v>1194</v>
      </c>
      <c r="B1419" s="8" t="s">
        <v>45</v>
      </c>
      <c r="C1419" s="8" t="s">
        <v>6397</v>
      </c>
      <c r="D1419" s="8" t="n">
        <v>2005</v>
      </c>
      <c r="E1419" s="8" t="s">
        <v>6398</v>
      </c>
      <c r="F1419" s="8" t="s">
        <v>143</v>
      </c>
      <c r="G1419" s="8" t="s">
        <v>228</v>
      </c>
      <c r="H1419" s="8" t="s">
        <v>145</v>
      </c>
      <c r="I1419" s="8" t="s">
        <v>153</v>
      </c>
      <c r="J1419" s="8" t="s">
        <v>6399</v>
      </c>
      <c r="K1419" s="8"/>
      <c r="L1419" s="8" t="s">
        <v>6400</v>
      </c>
    </row>
    <row r="1420" customFormat="false" ht="34.5" hidden="false" customHeight="true" outlineLevel="0" collapsed="false">
      <c r="A1420" s="8" t="n">
        <v>1195</v>
      </c>
      <c r="B1420" s="8" t="s">
        <v>45</v>
      </c>
      <c r="C1420" s="8" t="s">
        <v>6401</v>
      </c>
      <c r="D1420" s="8" t="n">
        <v>2000</v>
      </c>
      <c r="E1420" s="8" t="s">
        <v>6402</v>
      </c>
      <c r="F1420" s="8" t="s">
        <v>201</v>
      </c>
      <c r="G1420" s="8" t="s">
        <v>6403</v>
      </c>
      <c r="H1420" s="8" t="s">
        <v>6404</v>
      </c>
      <c r="I1420" s="8" t="s">
        <v>146</v>
      </c>
      <c r="J1420" s="8" t="s">
        <v>6405</v>
      </c>
      <c r="K1420" s="8"/>
      <c r="L1420" s="8" t="s">
        <v>6406</v>
      </c>
    </row>
    <row r="1421" customFormat="false" ht="34.5" hidden="false" customHeight="true" outlineLevel="0" collapsed="false">
      <c r="A1421" s="8" t="n">
        <v>1196</v>
      </c>
      <c r="B1421" s="8" t="s">
        <v>45</v>
      </c>
      <c r="C1421" s="8" t="s">
        <v>6407</v>
      </c>
      <c r="D1421" s="8" t="n">
        <v>2009</v>
      </c>
      <c r="E1421" s="8" t="s">
        <v>6408</v>
      </c>
      <c r="F1421" s="8" t="s">
        <v>151</v>
      </c>
      <c r="G1421" s="8" t="s">
        <v>152</v>
      </c>
      <c r="H1421" s="8" t="s">
        <v>145</v>
      </c>
      <c r="I1421" s="8" t="s">
        <v>153</v>
      </c>
      <c r="J1421" s="8" t="s">
        <v>6409</v>
      </c>
      <c r="K1421" s="8"/>
      <c r="L1421" s="8" t="s">
        <v>6410</v>
      </c>
    </row>
    <row r="1422" customFormat="false" ht="45.75" hidden="false" customHeight="true" outlineLevel="0" collapsed="false">
      <c r="A1422" s="8" t="n">
        <v>1197</v>
      </c>
      <c r="B1422" s="8" t="s">
        <v>45</v>
      </c>
      <c r="C1422" s="8" t="s">
        <v>6411</v>
      </c>
      <c r="D1422" s="8" t="n">
        <v>2008</v>
      </c>
      <c r="E1422" s="8" t="s">
        <v>6412</v>
      </c>
      <c r="F1422" s="8" t="s">
        <v>151</v>
      </c>
      <c r="G1422" s="8" t="s">
        <v>6413</v>
      </c>
      <c r="H1422" s="8" t="s">
        <v>6300</v>
      </c>
      <c r="I1422" s="8" t="s">
        <v>146</v>
      </c>
      <c r="J1422" s="8" t="s">
        <v>6414</v>
      </c>
      <c r="K1422" s="8"/>
      <c r="L1422" s="8" t="s">
        <v>6415</v>
      </c>
    </row>
    <row r="1423" customFormat="false" ht="34.5" hidden="false" customHeight="true" outlineLevel="0" collapsed="false">
      <c r="A1423" s="8" t="n">
        <v>1198</v>
      </c>
      <c r="B1423" s="8" t="s">
        <v>45</v>
      </c>
      <c r="C1423" s="8" t="s">
        <v>6416</v>
      </c>
      <c r="D1423" s="8" t="n">
        <v>1999</v>
      </c>
      <c r="E1423" s="8" t="s">
        <v>6417</v>
      </c>
      <c r="F1423" s="8" t="s">
        <v>579</v>
      </c>
      <c r="G1423" s="8" t="s">
        <v>3552</v>
      </c>
      <c r="H1423" s="8" t="s">
        <v>145</v>
      </c>
      <c r="I1423" s="8" t="s">
        <v>153</v>
      </c>
      <c r="J1423" s="8" t="s">
        <v>6418</v>
      </c>
      <c r="K1423" s="8"/>
      <c r="L1423" s="8" t="s">
        <v>6419</v>
      </c>
    </row>
    <row r="1424" customFormat="false" ht="34.5" hidden="false" customHeight="true" outlineLevel="0" collapsed="false">
      <c r="A1424" s="8" t="n">
        <v>1199</v>
      </c>
      <c r="B1424" s="8" t="s">
        <v>45</v>
      </c>
      <c r="C1424" s="8" t="s">
        <v>6420</v>
      </c>
      <c r="D1424" s="8" t="n">
        <v>2010</v>
      </c>
      <c r="E1424" s="8" t="s">
        <v>6421</v>
      </c>
      <c r="F1424" s="8" t="s">
        <v>151</v>
      </c>
      <c r="G1424" s="8" t="s">
        <v>348</v>
      </c>
      <c r="H1424" s="8" t="s">
        <v>145</v>
      </c>
      <c r="I1424" s="8" t="s">
        <v>153</v>
      </c>
      <c r="J1424" s="8" t="s">
        <v>6422</v>
      </c>
      <c r="K1424" s="8"/>
      <c r="L1424" s="8" t="s">
        <v>6423</v>
      </c>
    </row>
    <row r="1425" customFormat="false" ht="34.5" hidden="false" customHeight="true" outlineLevel="0" collapsed="false">
      <c r="A1425" s="8" t="n">
        <v>1200</v>
      </c>
      <c r="B1425" s="8" t="s">
        <v>45</v>
      </c>
      <c r="C1425" s="8" t="s">
        <v>1261</v>
      </c>
      <c r="D1425" s="8" t="n">
        <v>2010</v>
      </c>
      <c r="E1425" s="8" t="s">
        <v>6424</v>
      </c>
      <c r="F1425" s="8" t="s">
        <v>151</v>
      </c>
      <c r="G1425" s="8" t="s">
        <v>610</v>
      </c>
      <c r="H1425" s="8" t="s">
        <v>6425</v>
      </c>
      <c r="I1425" s="8" t="s">
        <v>146</v>
      </c>
      <c r="J1425" s="8" t="s">
        <v>6426</v>
      </c>
      <c r="K1425" s="8" t="s">
        <v>112</v>
      </c>
      <c r="L1425" s="8" t="s">
        <v>6427</v>
      </c>
    </row>
    <row r="1426" customFormat="false" ht="34.5" hidden="false" customHeight="true" outlineLevel="0" collapsed="false">
      <c r="A1426" s="9" t="n">
        <v>1201</v>
      </c>
      <c r="B1426" s="10" t="s">
        <v>45</v>
      </c>
      <c r="C1426" s="10" t="s">
        <v>1281</v>
      </c>
      <c r="D1426" s="10" t="n">
        <v>2010</v>
      </c>
      <c r="E1426" s="10" t="s">
        <v>6428</v>
      </c>
      <c r="F1426" s="10" t="s">
        <v>143</v>
      </c>
      <c r="G1426" s="10" t="s">
        <v>6429</v>
      </c>
      <c r="H1426" s="10" t="s">
        <v>145</v>
      </c>
      <c r="I1426" s="10" t="s">
        <v>153</v>
      </c>
      <c r="J1426" s="10" t="s">
        <v>6430</v>
      </c>
      <c r="K1426" s="10" t="s">
        <v>112</v>
      </c>
      <c r="L1426" s="10" t="s">
        <v>6431</v>
      </c>
    </row>
    <row r="1427" customFormat="false" ht="34.5" hidden="false" customHeight="true" outlineLevel="0" collapsed="false">
      <c r="A1427" s="11" t="n">
        <v>1201</v>
      </c>
      <c r="B1427" s="12" t="s">
        <v>61</v>
      </c>
      <c r="C1427" s="12" t="s">
        <v>1281</v>
      </c>
      <c r="D1427" s="12" t="n">
        <v>2010</v>
      </c>
      <c r="E1427" s="12" t="s">
        <v>6432</v>
      </c>
      <c r="F1427" s="12" t="s">
        <v>143</v>
      </c>
      <c r="G1427" s="12" t="s">
        <v>6433</v>
      </c>
      <c r="H1427" s="12" t="s">
        <v>145</v>
      </c>
      <c r="I1427" s="12" t="s">
        <v>387</v>
      </c>
      <c r="J1427" s="12" t="s">
        <v>6430</v>
      </c>
      <c r="K1427" s="12" t="s">
        <v>112</v>
      </c>
      <c r="L1427" s="12" t="s">
        <v>6434</v>
      </c>
    </row>
    <row r="1428" customFormat="false" ht="34.5" hidden="false" customHeight="true" outlineLevel="0" collapsed="false">
      <c r="A1428" s="8" t="n">
        <v>1202</v>
      </c>
      <c r="B1428" s="8" t="s">
        <v>45</v>
      </c>
      <c r="C1428" s="8" t="s">
        <v>6435</v>
      </c>
      <c r="D1428" s="8" t="n">
        <v>2005</v>
      </c>
      <c r="E1428" s="8" t="s">
        <v>6436</v>
      </c>
      <c r="F1428" s="8" t="s">
        <v>201</v>
      </c>
      <c r="G1428" s="8" t="s">
        <v>6437</v>
      </c>
      <c r="H1428" s="8" t="s">
        <v>145</v>
      </c>
      <c r="I1428" s="8" t="s">
        <v>153</v>
      </c>
      <c r="J1428" s="8" t="s">
        <v>6438</v>
      </c>
      <c r="K1428" s="8" t="s">
        <v>116</v>
      </c>
      <c r="L1428" s="8" t="s">
        <v>6439</v>
      </c>
    </row>
    <row r="1429" customFormat="false" ht="34.5" hidden="false" customHeight="true" outlineLevel="0" collapsed="false">
      <c r="A1429" s="8" t="n">
        <v>1203</v>
      </c>
      <c r="B1429" s="8" t="s">
        <v>45</v>
      </c>
      <c r="C1429" s="8" t="s">
        <v>6440</v>
      </c>
      <c r="D1429" s="8" t="n">
        <v>2011</v>
      </c>
      <c r="E1429" s="8" t="s">
        <v>6441</v>
      </c>
      <c r="F1429" s="8" t="s">
        <v>151</v>
      </c>
      <c r="G1429" s="8" t="s">
        <v>6442</v>
      </c>
      <c r="H1429" s="8" t="s">
        <v>6443</v>
      </c>
      <c r="I1429" s="8" t="s">
        <v>146</v>
      </c>
      <c r="J1429" s="8" t="s">
        <v>6444</v>
      </c>
      <c r="K1429" s="8"/>
      <c r="L1429" s="8" t="s">
        <v>6445</v>
      </c>
    </row>
    <row r="1430" customFormat="false" ht="45.75" hidden="false" customHeight="true" outlineLevel="0" collapsed="false">
      <c r="A1430" s="8" t="n">
        <v>1204</v>
      </c>
      <c r="B1430" s="8" t="s">
        <v>45</v>
      </c>
      <c r="C1430" s="8" t="s">
        <v>1284</v>
      </c>
      <c r="D1430" s="8" t="n">
        <v>2009</v>
      </c>
      <c r="E1430" s="8" t="s">
        <v>6446</v>
      </c>
      <c r="F1430" s="8" t="s">
        <v>151</v>
      </c>
      <c r="G1430" s="8" t="s">
        <v>6447</v>
      </c>
      <c r="H1430" s="8" t="s">
        <v>611</v>
      </c>
      <c r="I1430" s="8" t="s">
        <v>146</v>
      </c>
      <c r="J1430" s="8" t="s">
        <v>6448</v>
      </c>
      <c r="K1430" s="8" t="s">
        <v>112</v>
      </c>
      <c r="L1430" s="8" t="s">
        <v>6449</v>
      </c>
    </row>
    <row r="1431" customFormat="false" ht="34.5" hidden="false" customHeight="true" outlineLevel="0" collapsed="false">
      <c r="A1431" s="8" t="n">
        <v>1205</v>
      </c>
      <c r="B1431" s="8" t="s">
        <v>45</v>
      </c>
      <c r="C1431" s="8" t="s">
        <v>6450</v>
      </c>
      <c r="D1431" s="8" t="n">
        <v>2011</v>
      </c>
      <c r="E1431" s="8" t="s">
        <v>6451</v>
      </c>
      <c r="F1431" s="8" t="s">
        <v>151</v>
      </c>
      <c r="G1431" s="8" t="s">
        <v>6452</v>
      </c>
      <c r="H1431" s="8" t="s">
        <v>6453</v>
      </c>
      <c r="I1431" s="8" t="s">
        <v>146</v>
      </c>
      <c r="J1431" s="8" t="s">
        <v>6454</v>
      </c>
      <c r="K1431" s="8"/>
      <c r="L1431" s="8" t="s">
        <v>6455</v>
      </c>
    </row>
    <row r="1432" customFormat="false" ht="34.5" hidden="false" customHeight="true" outlineLevel="0" collapsed="false">
      <c r="A1432" s="8" t="n">
        <v>1206</v>
      </c>
      <c r="B1432" s="8" t="s">
        <v>45</v>
      </c>
      <c r="C1432" s="8" t="s">
        <v>6450</v>
      </c>
      <c r="D1432" s="8" t="n">
        <v>2009</v>
      </c>
      <c r="E1432" s="8" t="s">
        <v>6456</v>
      </c>
      <c r="F1432" s="8" t="s">
        <v>151</v>
      </c>
      <c r="G1432" s="8" t="s">
        <v>4650</v>
      </c>
      <c r="H1432" s="8" t="s">
        <v>6453</v>
      </c>
      <c r="I1432" s="8" t="s">
        <v>146</v>
      </c>
      <c r="J1432" s="8" t="s">
        <v>6457</v>
      </c>
      <c r="K1432" s="8"/>
      <c r="L1432" s="8" t="s">
        <v>6458</v>
      </c>
    </row>
    <row r="1433" customFormat="false" ht="23.25" hidden="false" customHeight="true" outlineLevel="0" collapsed="false">
      <c r="A1433" s="8" t="n">
        <v>1207</v>
      </c>
      <c r="B1433" s="8" t="s">
        <v>45</v>
      </c>
      <c r="C1433" s="8" t="s">
        <v>6459</v>
      </c>
      <c r="D1433" s="8" t="n">
        <v>2007</v>
      </c>
      <c r="E1433" s="8" t="s">
        <v>6460</v>
      </c>
      <c r="F1433" s="8" t="s">
        <v>151</v>
      </c>
      <c r="G1433" s="8" t="s">
        <v>6461</v>
      </c>
      <c r="H1433" s="8" t="s">
        <v>6462</v>
      </c>
      <c r="I1433" s="8" t="s">
        <v>146</v>
      </c>
      <c r="J1433" s="8" t="s">
        <v>6463</v>
      </c>
      <c r="K1433" s="8"/>
      <c r="L1433" s="8" t="s">
        <v>6464</v>
      </c>
    </row>
    <row r="1434" customFormat="false" ht="34.5" hidden="false" customHeight="true" outlineLevel="0" collapsed="false">
      <c r="A1434" s="8" t="n">
        <v>1208</v>
      </c>
      <c r="B1434" s="8" t="s">
        <v>45</v>
      </c>
      <c r="C1434" s="8" t="s">
        <v>6465</v>
      </c>
      <c r="D1434" s="8" t="n">
        <v>2001</v>
      </c>
      <c r="E1434" s="8" t="s">
        <v>6466</v>
      </c>
      <c r="F1434" s="8" t="s">
        <v>201</v>
      </c>
      <c r="G1434" s="8" t="s">
        <v>197</v>
      </c>
      <c r="H1434" s="8" t="s">
        <v>145</v>
      </c>
      <c r="I1434" s="8" t="s">
        <v>146</v>
      </c>
      <c r="J1434" s="8" t="s">
        <v>6467</v>
      </c>
      <c r="K1434" s="8"/>
      <c r="L1434" s="8" t="s">
        <v>6468</v>
      </c>
    </row>
    <row r="1435" customFormat="false" ht="34.5" hidden="false" customHeight="true" outlineLevel="0" collapsed="false">
      <c r="A1435" s="8" t="n">
        <v>1209</v>
      </c>
      <c r="B1435" s="8" t="s">
        <v>45</v>
      </c>
      <c r="C1435" s="8" t="s">
        <v>6469</v>
      </c>
      <c r="D1435" s="8" t="n">
        <v>2013</v>
      </c>
      <c r="E1435" s="8" t="s">
        <v>6470</v>
      </c>
      <c r="F1435" s="8" t="s">
        <v>151</v>
      </c>
      <c r="G1435" s="8" t="s">
        <v>1278</v>
      </c>
      <c r="H1435" s="8" t="s">
        <v>1274</v>
      </c>
      <c r="I1435" s="8" t="s">
        <v>146</v>
      </c>
      <c r="J1435" s="8" t="s">
        <v>6471</v>
      </c>
      <c r="K1435" s="8" t="s">
        <v>112</v>
      </c>
      <c r="L1435" s="8" t="s">
        <v>6472</v>
      </c>
    </row>
    <row r="1436" customFormat="false" ht="34.5" hidden="false" customHeight="true" outlineLevel="0" collapsed="false">
      <c r="A1436" s="8" t="n">
        <v>1210</v>
      </c>
      <c r="B1436" s="8" t="s">
        <v>45</v>
      </c>
      <c r="C1436" s="8" t="s">
        <v>6473</v>
      </c>
      <c r="D1436" s="8" t="n">
        <v>2001</v>
      </c>
      <c r="E1436" s="8" t="s">
        <v>6474</v>
      </c>
      <c r="F1436" s="8" t="s">
        <v>151</v>
      </c>
      <c r="G1436" s="8" t="s">
        <v>6475</v>
      </c>
      <c r="H1436" s="8" t="s">
        <v>2037</v>
      </c>
      <c r="I1436" s="8" t="s">
        <v>146</v>
      </c>
      <c r="J1436" s="8" t="s">
        <v>6476</v>
      </c>
      <c r="K1436" s="8" t="s">
        <v>112</v>
      </c>
      <c r="L1436" s="8" t="s">
        <v>6477</v>
      </c>
    </row>
    <row r="1437" customFormat="false" ht="23.25" hidden="false" customHeight="true" outlineLevel="0" collapsed="false">
      <c r="A1437" s="8" t="n">
        <v>1211</v>
      </c>
      <c r="B1437" s="8" t="s">
        <v>45</v>
      </c>
      <c r="C1437" s="8" t="s">
        <v>4793</v>
      </c>
      <c r="D1437" s="8" t="n">
        <v>2012</v>
      </c>
      <c r="E1437" s="8" t="s">
        <v>6478</v>
      </c>
      <c r="F1437" s="8" t="s">
        <v>151</v>
      </c>
      <c r="G1437" s="8" t="s">
        <v>348</v>
      </c>
      <c r="H1437" s="8" t="s">
        <v>145</v>
      </c>
      <c r="I1437" s="8" t="s">
        <v>153</v>
      </c>
      <c r="J1437" s="8" t="s">
        <v>6479</v>
      </c>
      <c r="K1437" s="8"/>
      <c r="L1437" s="8" t="s">
        <v>6480</v>
      </c>
    </row>
    <row r="1438" customFormat="false" ht="34.5" hidden="false" customHeight="true" outlineLevel="0" collapsed="false">
      <c r="A1438" s="8" t="n">
        <v>1212</v>
      </c>
      <c r="B1438" s="8" t="s">
        <v>45</v>
      </c>
      <c r="C1438" s="8" t="s">
        <v>6481</v>
      </c>
      <c r="D1438" s="8" t="n">
        <v>2012</v>
      </c>
      <c r="E1438" s="8" t="s">
        <v>6482</v>
      </c>
      <c r="F1438" s="8" t="s">
        <v>579</v>
      </c>
      <c r="G1438" s="8" t="s">
        <v>348</v>
      </c>
      <c r="H1438" s="8" t="s">
        <v>3279</v>
      </c>
      <c r="I1438" s="8" t="s">
        <v>146</v>
      </c>
      <c r="J1438" s="8" t="s">
        <v>6483</v>
      </c>
      <c r="K1438" s="8"/>
      <c r="L1438" s="8" t="s">
        <v>6484</v>
      </c>
    </row>
    <row r="1439" customFormat="false" ht="23.25" hidden="false" customHeight="true" outlineLevel="0" collapsed="false">
      <c r="A1439" s="8" t="n">
        <v>1213</v>
      </c>
      <c r="B1439" s="8" t="s">
        <v>45</v>
      </c>
      <c r="C1439" s="8" t="s">
        <v>6485</v>
      </c>
      <c r="D1439" s="8" t="n">
        <v>2007</v>
      </c>
      <c r="E1439" s="8" t="s">
        <v>6486</v>
      </c>
      <c r="F1439" s="8" t="s">
        <v>151</v>
      </c>
      <c r="G1439" s="8" t="s">
        <v>348</v>
      </c>
      <c r="H1439" s="8" t="s">
        <v>145</v>
      </c>
      <c r="I1439" s="8" t="s">
        <v>153</v>
      </c>
      <c r="J1439" s="8" t="s">
        <v>6487</v>
      </c>
      <c r="K1439" s="8"/>
      <c r="L1439" s="8" t="s">
        <v>6488</v>
      </c>
    </row>
    <row r="1440" customFormat="false" ht="34.5" hidden="false" customHeight="true" outlineLevel="0" collapsed="false">
      <c r="A1440" s="8" t="n">
        <v>1214</v>
      </c>
      <c r="B1440" s="8" t="s">
        <v>45</v>
      </c>
      <c r="C1440" s="8" t="s">
        <v>6489</v>
      </c>
      <c r="D1440" s="8" t="n">
        <v>2002</v>
      </c>
      <c r="E1440" s="8" t="s">
        <v>6490</v>
      </c>
      <c r="F1440" s="8" t="s">
        <v>151</v>
      </c>
      <c r="G1440" s="8" t="s">
        <v>1278</v>
      </c>
      <c r="H1440" s="8" t="s">
        <v>4711</v>
      </c>
      <c r="I1440" s="8" t="s">
        <v>208</v>
      </c>
      <c r="J1440" s="8" t="s">
        <v>6491</v>
      </c>
      <c r="K1440" s="8" t="s">
        <v>112</v>
      </c>
      <c r="L1440" s="8" t="s">
        <v>6492</v>
      </c>
    </row>
    <row r="1441" customFormat="false" ht="34.5" hidden="false" customHeight="true" outlineLevel="0" collapsed="false">
      <c r="A1441" s="8" t="n">
        <v>1215</v>
      </c>
      <c r="B1441" s="8" t="s">
        <v>45</v>
      </c>
      <c r="C1441" s="8" t="s">
        <v>6493</v>
      </c>
      <c r="D1441" s="8" t="n">
        <v>2011</v>
      </c>
      <c r="E1441" s="8" t="s">
        <v>6494</v>
      </c>
      <c r="F1441" s="8" t="s">
        <v>201</v>
      </c>
      <c r="G1441" s="8" t="s">
        <v>3552</v>
      </c>
      <c r="H1441" s="8" t="s">
        <v>145</v>
      </c>
      <c r="I1441" s="8" t="s">
        <v>153</v>
      </c>
      <c r="J1441" s="8" t="s">
        <v>6495</v>
      </c>
      <c r="K1441" s="8"/>
      <c r="L1441" s="8" t="s">
        <v>6496</v>
      </c>
    </row>
    <row r="1442" customFormat="false" ht="34.5" hidden="false" customHeight="true" outlineLevel="0" collapsed="false">
      <c r="A1442" s="8" t="n">
        <v>1216</v>
      </c>
      <c r="B1442" s="8" t="s">
        <v>45</v>
      </c>
      <c r="C1442" s="8" t="s">
        <v>6497</v>
      </c>
      <c r="D1442" s="8" t="n">
        <v>2004</v>
      </c>
      <c r="E1442" s="8" t="s">
        <v>6498</v>
      </c>
      <c r="F1442" s="8" t="s">
        <v>201</v>
      </c>
      <c r="G1442" s="8" t="s">
        <v>6499</v>
      </c>
      <c r="H1442" s="8" t="s">
        <v>145</v>
      </c>
      <c r="I1442" s="8" t="s">
        <v>146</v>
      </c>
      <c r="J1442" s="8" t="s">
        <v>6500</v>
      </c>
      <c r="K1442" s="8"/>
      <c r="L1442" s="8" t="s">
        <v>6501</v>
      </c>
    </row>
    <row r="1443" customFormat="false" ht="34.5" hidden="false" customHeight="true" outlineLevel="0" collapsed="false">
      <c r="A1443" s="8" t="n">
        <v>1217</v>
      </c>
      <c r="B1443" s="8" t="s">
        <v>45</v>
      </c>
      <c r="C1443" s="8" t="s">
        <v>6502</v>
      </c>
      <c r="D1443" s="8" t="n">
        <v>2011</v>
      </c>
      <c r="E1443" s="8" t="s">
        <v>6503</v>
      </c>
      <c r="F1443" s="8" t="s">
        <v>151</v>
      </c>
      <c r="G1443" s="8" t="s">
        <v>348</v>
      </c>
      <c r="H1443" s="8" t="s">
        <v>145</v>
      </c>
      <c r="I1443" s="8" t="s">
        <v>153</v>
      </c>
      <c r="J1443" s="8" t="s">
        <v>6504</v>
      </c>
      <c r="K1443" s="8"/>
      <c r="L1443" s="8" t="s">
        <v>6505</v>
      </c>
    </row>
    <row r="1444" customFormat="false" ht="45.75" hidden="false" customHeight="true" outlineLevel="0" collapsed="false">
      <c r="A1444" s="13" t="n">
        <v>1218</v>
      </c>
      <c r="B1444" s="14" t="s">
        <v>45</v>
      </c>
      <c r="C1444" s="14" t="s">
        <v>6506</v>
      </c>
      <c r="D1444" s="14" t="n">
        <v>2004</v>
      </c>
      <c r="E1444" s="14" t="s">
        <v>6507</v>
      </c>
      <c r="F1444" s="14" t="s">
        <v>143</v>
      </c>
      <c r="G1444" s="14" t="s">
        <v>6508</v>
      </c>
      <c r="H1444" s="14" t="s">
        <v>145</v>
      </c>
      <c r="I1444" s="14" t="s">
        <v>153</v>
      </c>
      <c r="J1444" s="14" t="s">
        <v>6509</v>
      </c>
      <c r="K1444" s="14" t="s">
        <v>112</v>
      </c>
      <c r="L1444" s="14" t="s">
        <v>6510</v>
      </c>
    </row>
    <row r="1445" customFormat="false" ht="34.5" hidden="false" customHeight="true" outlineLevel="0" collapsed="false">
      <c r="A1445" s="15" t="n">
        <v>1218</v>
      </c>
      <c r="B1445" s="16" t="s">
        <v>61</v>
      </c>
      <c r="C1445" s="16" t="s">
        <v>6511</v>
      </c>
      <c r="D1445" s="16" t="n">
        <v>2004</v>
      </c>
      <c r="E1445" s="16" t="s">
        <v>6512</v>
      </c>
      <c r="F1445" s="16" t="s">
        <v>143</v>
      </c>
      <c r="G1445" s="16" t="s">
        <v>6513</v>
      </c>
      <c r="H1445" s="16" t="s">
        <v>145</v>
      </c>
      <c r="I1445" s="16" t="s">
        <v>387</v>
      </c>
      <c r="J1445" s="16" t="s">
        <v>6514</v>
      </c>
      <c r="K1445" s="16" t="s">
        <v>112</v>
      </c>
      <c r="L1445" s="16" t="s">
        <v>6515</v>
      </c>
    </row>
    <row r="1446" customFormat="false" ht="34.5" hidden="false" customHeight="true" outlineLevel="0" collapsed="false">
      <c r="A1446" s="8" t="n">
        <v>1219</v>
      </c>
      <c r="B1446" s="8" t="s">
        <v>45</v>
      </c>
      <c r="C1446" s="8" t="s">
        <v>6516</v>
      </c>
      <c r="D1446" s="8" t="n">
        <v>2011</v>
      </c>
      <c r="E1446" s="8" t="s">
        <v>6517</v>
      </c>
      <c r="F1446" s="8" t="s">
        <v>151</v>
      </c>
      <c r="G1446" s="8" t="s">
        <v>6518</v>
      </c>
      <c r="H1446" s="8" t="s">
        <v>6519</v>
      </c>
      <c r="I1446" s="8" t="s">
        <v>146</v>
      </c>
      <c r="J1446" s="8" t="s">
        <v>6520</v>
      </c>
      <c r="K1446" s="8" t="s">
        <v>112</v>
      </c>
      <c r="L1446" s="8" t="s">
        <v>6521</v>
      </c>
    </row>
    <row r="1447" customFormat="false" ht="34.5" hidden="false" customHeight="true" outlineLevel="0" collapsed="false">
      <c r="A1447" s="8" t="n">
        <v>1220</v>
      </c>
      <c r="B1447" s="8" t="s">
        <v>45</v>
      </c>
      <c r="C1447" s="8" t="s">
        <v>6522</v>
      </c>
      <c r="D1447" s="8" t="n">
        <v>2007</v>
      </c>
      <c r="E1447" s="8" t="s">
        <v>6523</v>
      </c>
      <c r="F1447" s="8" t="s">
        <v>143</v>
      </c>
      <c r="G1447" s="8" t="s">
        <v>6524</v>
      </c>
      <c r="H1447" s="8" t="s">
        <v>6525</v>
      </c>
      <c r="I1447" s="8" t="s">
        <v>146</v>
      </c>
      <c r="J1447" s="8" t="s">
        <v>6526</v>
      </c>
      <c r="K1447" s="8" t="s">
        <v>112</v>
      </c>
      <c r="L1447" s="8" t="s">
        <v>6527</v>
      </c>
    </row>
    <row r="1448" customFormat="false" ht="23.25" hidden="false" customHeight="true" outlineLevel="0" collapsed="false">
      <c r="A1448" s="8" t="n">
        <v>1221</v>
      </c>
      <c r="B1448" s="8" t="s">
        <v>45</v>
      </c>
      <c r="C1448" s="8" t="s">
        <v>6528</v>
      </c>
      <c r="D1448" s="8" t="n">
        <v>1972</v>
      </c>
      <c r="E1448" s="8" t="s">
        <v>6529</v>
      </c>
      <c r="F1448" s="8" t="s">
        <v>151</v>
      </c>
      <c r="G1448" s="8" t="s">
        <v>348</v>
      </c>
      <c r="H1448" s="8" t="s">
        <v>145</v>
      </c>
      <c r="I1448" s="8" t="s">
        <v>153</v>
      </c>
      <c r="J1448" s="8" t="s">
        <v>6530</v>
      </c>
      <c r="K1448" s="8"/>
      <c r="L1448" s="8" t="s">
        <v>6531</v>
      </c>
    </row>
    <row r="1449" customFormat="false" ht="34.5" hidden="false" customHeight="true" outlineLevel="0" collapsed="false">
      <c r="A1449" s="8" t="n">
        <v>1222</v>
      </c>
      <c r="B1449" s="8" t="s">
        <v>45</v>
      </c>
      <c r="C1449" s="8" t="s">
        <v>6532</v>
      </c>
      <c r="D1449" s="8" t="n">
        <v>2011</v>
      </c>
      <c r="E1449" s="8" t="s">
        <v>6533</v>
      </c>
      <c r="F1449" s="8" t="s">
        <v>151</v>
      </c>
      <c r="G1449" s="8" t="s">
        <v>4464</v>
      </c>
      <c r="H1449" s="8" t="s">
        <v>244</v>
      </c>
      <c r="I1449" s="8" t="s">
        <v>153</v>
      </c>
      <c r="J1449" s="8" t="s">
        <v>6534</v>
      </c>
      <c r="K1449" s="8"/>
      <c r="L1449" s="8" t="s">
        <v>6535</v>
      </c>
    </row>
    <row r="1450" customFormat="false" ht="34.5" hidden="false" customHeight="true" outlineLevel="0" collapsed="false">
      <c r="A1450" s="8" t="n">
        <v>1223</v>
      </c>
      <c r="B1450" s="8" t="s">
        <v>45</v>
      </c>
      <c r="C1450" s="8" t="s">
        <v>6536</v>
      </c>
      <c r="D1450" s="8" t="n">
        <v>1999</v>
      </c>
      <c r="E1450" s="8" t="s">
        <v>6537</v>
      </c>
      <c r="F1450" s="8" t="s">
        <v>579</v>
      </c>
      <c r="G1450" s="8" t="s">
        <v>6538</v>
      </c>
      <c r="H1450" s="8" t="s">
        <v>1904</v>
      </c>
      <c r="I1450" s="8" t="s">
        <v>208</v>
      </c>
      <c r="J1450" s="8" t="s">
        <v>6539</v>
      </c>
      <c r="K1450" s="8" t="s">
        <v>112</v>
      </c>
      <c r="L1450" s="8" t="s">
        <v>6540</v>
      </c>
    </row>
    <row r="1451" customFormat="false" ht="34.5" hidden="false" customHeight="true" outlineLevel="0" collapsed="false">
      <c r="A1451" s="8" t="n">
        <v>1224</v>
      </c>
      <c r="B1451" s="8" t="s">
        <v>47</v>
      </c>
      <c r="C1451" s="8" t="s">
        <v>6541</v>
      </c>
      <c r="D1451" s="8" t="n">
        <v>2023</v>
      </c>
      <c r="E1451" s="8" t="s">
        <v>6542</v>
      </c>
      <c r="F1451" s="8" t="s">
        <v>143</v>
      </c>
      <c r="G1451" s="8" t="s">
        <v>364</v>
      </c>
      <c r="H1451" s="8" t="s">
        <v>145</v>
      </c>
      <c r="I1451" s="8" t="s">
        <v>153</v>
      </c>
      <c r="J1451" s="8" t="s">
        <v>2675</v>
      </c>
      <c r="K1451" s="8"/>
      <c r="L1451" s="8" t="s">
        <v>6543</v>
      </c>
    </row>
    <row r="1452" customFormat="false" ht="34.5" hidden="false" customHeight="true" outlineLevel="0" collapsed="false">
      <c r="A1452" s="8" t="n">
        <v>1225</v>
      </c>
      <c r="B1452" s="8" t="s">
        <v>47</v>
      </c>
      <c r="C1452" s="8" t="s">
        <v>6544</v>
      </c>
      <c r="D1452" s="8" t="n">
        <v>2021</v>
      </c>
      <c r="E1452" s="8" t="s">
        <v>6545</v>
      </c>
      <c r="F1452" s="8" t="s">
        <v>143</v>
      </c>
      <c r="G1452" s="8" t="s">
        <v>1619</v>
      </c>
      <c r="H1452" s="8" t="s">
        <v>684</v>
      </c>
      <c r="I1452" s="8" t="s">
        <v>387</v>
      </c>
      <c r="J1452" s="8" t="s">
        <v>6546</v>
      </c>
      <c r="K1452" s="8" t="s">
        <v>114</v>
      </c>
      <c r="L1452" s="8" t="s">
        <v>6547</v>
      </c>
    </row>
    <row r="1453" customFormat="false" ht="34.5" hidden="false" customHeight="true" outlineLevel="0" collapsed="false">
      <c r="A1453" s="8" t="n">
        <v>1226</v>
      </c>
      <c r="B1453" s="8" t="s">
        <v>47</v>
      </c>
      <c r="C1453" s="8" t="s">
        <v>1617</v>
      </c>
      <c r="D1453" s="8" t="n">
        <v>2022</v>
      </c>
      <c r="E1453" s="8" t="s">
        <v>6548</v>
      </c>
      <c r="F1453" s="8" t="s">
        <v>143</v>
      </c>
      <c r="G1453" s="8" t="s">
        <v>3019</v>
      </c>
      <c r="H1453" s="8" t="s">
        <v>145</v>
      </c>
      <c r="I1453" s="8" t="s">
        <v>153</v>
      </c>
      <c r="J1453" s="8" t="s">
        <v>6549</v>
      </c>
      <c r="K1453" s="8" t="s">
        <v>110</v>
      </c>
      <c r="L1453" s="8" t="s">
        <v>6550</v>
      </c>
    </row>
    <row r="1454" customFormat="false" ht="34.5" hidden="false" customHeight="true" outlineLevel="0" collapsed="false">
      <c r="A1454" s="8" t="n">
        <v>1227</v>
      </c>
      <c r="B1454" s="8" t="s">
        <v>47</v>
      </c>
      <c r="C1454" s="8" t="s">
        <v>1617</v>
      </c>
      <c r="D1454" s="8" t="n">
        <v>2022</v>
      </c>
      <c r="E1454" s="8" t="s">
        <v>6551</v>
      </c>
      <c r="F1454" s="8" t="s">
        <v>143</v>
      </c>
      <c r="G1454" s="8" t="s">
        <v>6552</v>
      </c>
      <c r="H1454" s="8" t="s">
        <v>145</v>
      </c>
      <c r="I1454" s="8" t="s">
        <v>153</v>
      </c>
      <c r="J1454" s="8" t="s">
        <v>6553</v>
      </c>
      <c r="K1454" s="8" t="s">
        <v>116</v>
      </c>
      <c r="L1454" s="8" t="s">
        <v>6554</v>
      </c>
    </row>
    <row r="1455" customFormat="false" ht="34.5" hidden="false" customHeight="true" outlineLevel="0" collapsed="false">
      <c r="A1455" s="8" t="n">
        <v>1228</v>
      </c>
      <c r="B1455" s="8" t="s">
        <v>47</v>
      </c>
      <c r="C1455" s="8" t="s">
        <v>6555</v>
      </c>
      <c r="D1455" s="8" t="n">
        <v>2022</v>
      </c>
      <c r="E1455" s="8" t="s">
        <v>6556</v>
      </c>
      <c r="F1455" s="8" t="s">
        <v>143</v>
      </c>
      <c r="G1455" s="8" t="s">
        <v>1619</v>
      </c>
      <c r="H1455" s="8" t="s">
        <v>145</v>
      </c>
      <c r="I1455" s="8" t="s">
        <v>153</v>
      </c>
      <c r="J1455" s="8" t="s">
        <v>6557</v>
      </c>
      <c r="K1455" s="8"/>
      <c r="L1455" s="8" t="s">
        <v>6558</v>
      </c>
    </row>
    <row r="1456" customFormat="false" ht="34.5" hidden="false" customHeight="true" outlineLevel="0" collapsed="false">
      <c r="A1456" s="8" t="n">
        <v>1229</v>
      </c>
      <c r="B1456" s="8" t="s">
        <v>47</v>
      </c>
      <c r="C1456" s="8" t="s">
        <v>6559</v>
      </c>
      <c r="D1456" s="8" t="n">
        <v>2022</v>
      </c>
      <c r="E1456" s="8" t="s">
        <v>6560</v>
      </c>
      <c r="F1456" s="8" t="s">
        <v>143</v>
      </c>
      <c r="G1456" s="8" t="s">
        <v>1678</v>
      </c>
      <c r="H1456" s="8" t="s">
        <v>145</v>
      </c>
      <c r="I1456" s="8" t="s">
        <v>153</v>
      </c>
      <c r="J1456" s="8" t="s">
        <v>544</v>
      </c>
      <c r="K1456" s="8"/>
      <c r="L1456" s="8" t="s">
        <v>6561</v>
      </c>
    </row>
    <row r="1457" customFormat="false" ht="34.5" hidden="false" customHeight="true" outlineLevel="0" collapsed="false">
      <c r="A1457" s="8" t="n">
        <v>1230</v>
      </c>
      <c r="B1457" s="8" t="s">
        <v>47</v>
      </c>
      <c r="C1457" s="8" t="s">
        <v>1617</v>
      </c>
      <c r="D1457" s="8" t="n">
        <v>2022</v>
      </c>
      <c r="E1457" s="8" t="s">
        <v>6562</v>
      </c>
      <c r="F1457" s="8" t="s">
        <v>143</v>
      </c>
      <c r="G1457" s="8" t="s">
        <v>3084</v>
      </c>
      <c r="H1457" s="8" t="s">
        <v>145</v>
      </c>
      <c r="I1457" s="8" t="s">
        <v>153</v>
      </c>
      <c r="J1457" s="8" t="s">
        <v>6563</v>
      </c>
      <c r="K1457" s="8" t="s">
        <v>110</v>
      </c>
      <c r="L1457" s="8" t="s">
        <v>6564</v>
      </c>
    </row>
    <row r="1458" customFormat="false" ht="34.5" hidden="false" customHeight="true" outlineLevel="0" collapsed="false">
      <c r="A1458" s="8" t="n">
        <v>1231</v>
      </c>
      <c r="B1458" s="8" t="s">
        <v>47</v>
      </c>
      <c r="C1458" s="8" t="s">
        <v>6565</v>
      </c>
      <c r="D1458" s="8" t="n">
        <v>2022</v>
      </c>
      <c r="E1458" s="8" t="s">
        <v>6566</v>
      </c>
      <c r="F1458" s="8" t="s">
        <v>151</v>
      </c>
      <c r="G1458" s="8" t="s">
        <v>6567</v>
      </c>
      <c r="H1458" s="8" t="s">
        <v>145</v>
      </c>
      <c r="I1458" s="8" t="s">
        <v>146</v>
      </c>
      <c r="J1458" s="8" t="s">
        <v>6568</v>
      </c>
      <c r="K1458" s="8" t="s">
        <v>116</v>
      </c>
      <c r="L1458" s="8" t="s">
        <v>6569</v>
      </c>
    </row>
    <row r="1459" customFormat="false" ht="23.25" hidden="false" customHeight="true" outlineLevel="0" collapsed="false">
      <c r="A1459" s="8" t="n">
        <v>1232</v>
      </c>
      <c r="B1459" s="8" t="s">
        <v>47</v>
      </c>
      <c r="C1459" s="8" t="s">
        <v>2598</v>
      </c>
      <c r="D1459" s="8" t="n">
        <v>2021</v>
      </c>
      <c r="E1459" s="8" t="s">
        <v>6570</v>
      </c>
      <c r="F1459" s="8" t="s">
        <v>151</v>
      </c>
      <c r="G1459" s="8" t="s">
        <v>4507</v>
      </c>
      <c r="H1459" s="8" t="s">
        <v>145</v>
      </c>
      <c r="I1459" s="8" t="s">
        <v>153</v>
      </c>
      <c r="J1459" s="8" t="s">
        <v>6571</v>
      </c>
      <c r="K1459" s="8"/>
      <c r="L1459" s="8" t="s">
        <v>6572</v>
      </c>
    </row>
    <row r="1460" customFormat="false" ht="34.5" hidden="false" customHeight="true" outlineLevel="0" collapsed="false">
      <c r="A1460" s="8" t="n">
        <v>1233</v>
      </c>
      <c r="B1460" s="8" t="s">
        <v>47</v>
      </c>
      <c r="C1460" s="8" t="s">
        <v>6573</v>
      </c>
      <c r="D1460" s="8" t="n">
        <v>2010</v>
      </c>
      <c r="E1460" s="8" t="s">
        <v>6574</v>
      </c>
      <c r="F1460" s="8" t="s">
        <v>143</v>
      </c>
      <c r="G1460" s="8" t="s">
        <v>1264</v>
      </c>
      <c r="H1460" s="8" t="s">
        <v>145</v>
      </c>
      <c r="I1460" s="8" t="s">
        <v>153</v>
      </c>
      <c r="J1460" s="8" t="s">
        <v>6575</v>
      </c>
      <c r="K1460" s="8" t="s">
        <v>116</v>
      </c>
      <c r="L1460" s="8" t="s">
        <v>6576</v>
      </c>
    </row>
    <row r="1461" customFormat="false" ht="34.5" hidden="false" customHeight="true" outlineLevel="0" collapsed="false">
      <c r="A1461" s="8" t="n">
        <v>1234</v>
      </c>
      <c r="B1461" s="8" t="s">
        <v>47</v>
      </c>
      <c r="C1461" s="8" t="s">
        <v>6577</v>
      </c>
      <c r="D1461" s="8" t="n">
        <v>2011</v>
      </c>
      <c r="E1461" s="8" t="s">
        <v>6578</v>
      </c>
      <c r="F1461" s="8" t="s">
        <v>143</v>
      </c>
      <c r="G1461" s="8" t="s">
        <v>3552</v>
      </c>
      <c r="H1461" s="8" t="s">
        <v>145</v>
      </c>
      <c r="I1461" s="8" t="s">
        <v>387</v>
      </c>
      <c r="J1461" s="8" t="s">
        <v>6579</v>
      </c>
      <c r="K1461" s="8" t="s">
        <v>116</v>
      </c>
      <c r="L1461" s="8" t="s">
        <v>6580</v>
      </c>
    </row>
    <row r="1462" customFormat="false" ht="34.5" hidden="false" customHeight="true" outlineLevel="0" collapsed="false">
      <c r="A1462" s="9" t="n">
        <v>1235</v>
      </c>
      <c r="B1462" s="10" t="s">
        <v>47</v>
      </c>
      <c r="C1462" s="10" t="s">
        <v>6581</v>
      </c>
      <c r="D1462" s="10" t="n">
        <v>2023</v>
      </c>
      <c r="E1462" s="10" t="s">
        <v>6582</v>
      </c>
      <c r="F1462" s="10" t="s">
        <v>143</v>
      </c>
      <c r="G1462" s="10" t="s">
        <v>197</v>
      </c>
      <c r="H1462" s="10" t="s">
        <v>145</v>
      </c>
      <c r="I1462" s="10" t="s">
        <v>153</v>
      </c>
      <c r="J1462" s="10" t="s">
        <v>6583</v>
      </c>
      <c r="K1462" s="10"/>
      <c r="L1462" s="10" t="s">
        <v>6584</v>
      </c>
    </row>
    <row r="1463" customFormat="false" ht="34.5" hidden="false" customHeight="true" outlineLevel="0" collapsed="false">
      <c r="A1463" s="11" t="n">
        <v>1235</v>
      </c>
      <c r="B1463" s="12" t="s">
        <v>51</v>
      </c>
      <c r="C1463" s="12" t="s">
        <v>6585</v>
      </c>
      <c r="D1463" s="12" t="n">
        <v>2023</v>
      </c>
      <c r="E1463" s="12" t="s">
        <v>6582</v>
      </c>
      <c r="F1463" s="12" t="s">
        <v>143</v>
      </c>
      <c r="G1463" s="12" t="s">
        <v>6586</v>
      </c>
      <c r="H1463" s="12" t="s">
        <v>145</v>
      </c>
      <c r="I1463" s="12" t="s">
        <v>153</v>
      </c>
      <c r="J1463" s="12" t="s">
        <v>6587</v>
      </c>
      <c r="K1463" s="12" t="s">
        <v>114</v>
      </c>
      <c r="L1463" s="12" t="s">
        <v>6588</v>
      </c>
    </row>
    <row r="1464" customFormat="false" ht="34.5" hidden="false" customHeight="true" outlineLevel="0" collapsed="false">
      <c r="A1464" s="8" t="n">
        <v>1236</v>
      </c>
      <c r="B1464" s="8" t="s">
        <v>47</v>
      </c>
      <c r="C1464" s="8" t="s">
        <v>6589</v>
      </c>
      <c r="D1464" s="8" t="n">
        <v>2000</v>
      </c>
      <c r="E1464" s="8" t="s">
        <v>6590</v>
      </c>
      <c r="F1464" s="8" t="s">
        <v>143</v>
      </c>
      <c r="G1464" s="8" t="s">
        <v>152</v>
      </c>
      <c r="H1464" s="8" t="s">
        <v>145</v>
      </c>
      <c r="I1464" s="8" t="s">
        <v>153</v>
      </c>
      <c r="J1464" s="8" t="s">
        <v>6591</v>
      </c>
      <c r="K1464" s="8"/>
      <c r="L1464" s="8" t="s">
        <v>6592</v>
      </c>
    </row>
    <row r="1465" customFormat="false" ht="34.5" hidden="false" customHeight="true" outlineLevel="0" collapsed="false">
      <c r="A1465" s="8" t="n">
        <v>1237</v>
      </c>
      <c r="B1465" s="8" t="s">
        <v>47</v>
      </c>
      <c r="C1465" s="8" t="s">
        <v>6593</v>
      </c>
      <c r="D1465" s="8" t="n">
        <v>2024</v>
      </c>
      <c r="E1465" s="8" t="s">
        <v>6594</v>
      </c>
      <c r="F1465" s="8" t="s">
        <v>151</v>
      </c>
      <c r="G1465" s="8" t="s">
        <v>1619</v>
      </c>
      <c r="H1465" s="8" t="s">
        <v>145</v>
      </c>
      <c r="I1465" s="8" t="s">
        <v>146</v>
      </c>
      <c r="J1465" s="8" t="s">
        <v>6595</v>
      </c>
      <c r="K1465" s="8"/>
      <c r="L1465" s="8" t="s">
        <v>6596</v>
      </c>
    </row>
    <row r="1466" customFormat="false" ht="34.5" hidden="false" customHeight="true" outlineLevel="0" collapsed="false">
      <c r="A1466" s="8" t="n">
        <v>1238</v>
      </c>
      <c r="B1466" s="8" t="s">
        <v>47</v>
      </c>
      <c r="C1466" s="8" t="s">
        <v>6597</v>
      </c>
      <c r="D1466" s="8" t="n">
        <v>2023</v>
      </c>
      <c r="E1466" s="8" t="s">
        <v>6598</v>
      </c>
      <c r="F1466" s="8" t="s">
        <v>151</v>
      </c>
      <c r="G1466" s="8" t="s">
        <v>6599</v>
      </c>
      <c r="H1466" s="8" t="s">
        <v>3028</v>
      </c>
      <c r="I1466" s="8" t="s">
        <v>208</v>
      </c>
      <c r="J1466" s="8" t="s">
        <v>6600</v>
      </c>
      <c r="K1466" s="8" t="s">
        <v>116</v>
      </c>
      <c r="L1466" s="8" t="s">
        <v>6601</v>
      </c>
    </row>
    <row r="1467" customFormat="false" ht="34.5" hidden="false" customHeight="true" outlineLevel="0" collapsed="false">
      <c r="A1467" s="8" t="n">
        <v>1239</v>
      </c>
      <c r="B1467" s="8" t="s">
        <v>47</v>
      </c>
      <c r="C1467" s="8" t="s">
        <v>2051</v>
      </c>
      <c r="D1467" s="8" t="n">
        <v>2017</v>
      </c>
      <c r="E1467" s="8" t="s">
        <v>6602</v>
      </c>
      <c r="F1467" s="8" t="s">
        <v>143</v>
      </c>
      <c r="G1467" s="8" t="s">
        <v>6603</v>
      </c>
      <c r="H1467" s="8" t="s">
        <v>145</v>
      </c>
      <c r="I1467" s="8" t="s">
        <v>153</v>
      </c>
      <c r="J1467" s="8" t="s">
        <v>6604</v>
      </c>
      <c r="K1467" s="8" t="s">
        <v>112</v>
      </c>
      <c r="L1467" s="8" t="s">
        <v>6605</v>
      </c>
    </row>
    <row r="1468" customFormat="false" ht="34.5" hidden="false" customHeight="true" outlineLevel="0" collapsed="false">
      <c r="A1468" s="8" t="n">
        <v>1240</v>
      </c>
      <c r="B1468" s="8" t="s">
        <v>47</v>
      </c>
      <c r="C1468" s="8" t="s">
        <v>6606</v>
      </c>
      <c r="D1468" s="8" t="n">
        <v>2019</v>
      </c>
      <c r="E1468" s="8" t="s">
        <v>6607</v>
      </c>
      <c r="F1468" s="8" t="s">
        <v>143</v>
      </c>
      <c r="G1468" s="8" t="s">
        <v>6608</v>
      </c>
      <c r="H1468" s="8" t="s">
        <v>145</v>
      </c>
      <c r="I1468" s="8" t="s">
        <v>387</v>
      </c>
      <c r="J1468" s="8" t="s">
        <v>6609</v>
      </c>
      <c r="K1468" s="8" t="s">
        <v>112</v>
      </c>
      <c r="L1468" s="8" t="s">
        <v>6610</v>
      </c>
    </row>
    <row r="1469" customFormat="false" ht="34.5" hidden="false" customHeight="true" outlineLevel="0" collapsed="false">
      <c r="A1469" s="9" t="n">
        <v>1241</v>
      </c>
      <c r="B1469" s="10" t="s">
        <v>47</v>
      </c>
      <c r="C1469" s="10" t="s">
        <v>6611</v>
      </c>
      <c r="D1469" s="10" t="n">
        <v>2018</v>
      </c>
      <c r="E1469" s="10" t="s">
        <v>6612</v>
      </c>
      <c r="F1469" s="10" t="s">
        <v>143</v>
      </c>
      <c r="G1469" s="10" t="s">
        <v>152</v>
      </c>
      <c r="H1469" s="10" t="s">
        <v>145</v>
      </c>
      <c r="I1469" s="10" t="s">
        <v>153</v>
      </c>
      <c r="J1469" s="10" t="s">
        <v>6613</v>
      </c>
      <c r="K1469" s="10"/>
      <c r="L1469" s="10" t="s">
        <v>6614</v>
      </c>
    </row>
    <row r="1470" customFormat="false" ht="34.5" hidden="false" customHeight="true" outlineLevel="0" collapsed="false">
      <c r="A1470" s="11" t="n">
        <v>1241</v>
      </c>
      <c r="B1470" s="12" t="s">
        <v>81</v>
      </c>
      <c r="C1470" s="12" t="s">
        <v>6615</v>
      </c>
      <c r="D1470" s="12" t="n">
        <v>2018</v>
      </c>
      <c r="E1470" s="12" t="s">
        <v>6612</v>
      </c>
      <c r="F1470" s="12" t="s">
        <v>143</v>
      </c>
      <c r="G1470" s="12" t="s">
        <v>364</v>
      </c>
      <c r="H1470" s="12" t="s">
        <v>145</v>
      </c>
      <c r="I1470" s="12" t="s">
        <v>153</v>
      </c>
      <c r="J1470" s="12" t="s">
        <v>6616</v>
      </c>
      <c r="K1470" s="12"/>
      <c r="L1470" s="12" t="s">
        <v>6617</v>
      </c>
    </row>
    <row r="1471" customFormat="false" ht="34.5" hidden="false" customHeight="true" outlineLevel="0" collapsed="false">
      <c r="A1471" s="13" t="n">
        <v>1242</v>
      </c>
      <c r="B1471" s="14" t="s">
        <v>47</v>
      </c>
      <c r="C1471" s="14" t="s">
        <v>6618</v>
      </c>
      <c r="D1471" s="14" t="n">
        <v>2020</v>
      </c>
      <c r="E1471" s="14" t="s">
        <v>6619</v>
      </c>
      <c r="F1471" s="14" t="s">
        <v>151</v>
      </c>
      <c r="G1471" s="14" t="s">
        <v>152</v>
      </c>
      <c r="H1471" s="14" t="s">
        <v>145</v>
      </c>
      <c r="I1471" s="14" t="s">
        <v>146</v>
      </c>
      <c r="J1471" s="14" t="s">
        <v>6620</v>
      </c>
      <c r="K1471" s="14"/>
      <c r="L1471" s="14" t="s">
        <v>6621</v>
      </c>
    </row>
    <row r="1472" customFormat="false" ht="34.5" hidden="false" customHeight="true" outlineLevel="0" collapsed="false">
      <c r="A1472" s="15" t="n">
        <v>1242</v>
      </c>
      <c r="B1472" s="16" t="s">
        <v>59</v>
      </c>
      <c r="C1472" s="16" t="s">
        <v>6622</v>
      </c>
      <c r="D1472" s="16" t="n">
        <v>2020</v>
      </c>
      <c r="E1472" s="16" t="s">
        <v>6619</v>
      </c>
      <c r="F1472" s="16" t="s">
        <v>151</v>
      </c>
      <c r="G1472" s="16" t="s">
        <v>1264</v>
      </c>
      <c r="H1472" s="16" t="s">
        <v>145</v>
      </c>
      <c r="I1472" s="16" t="s">
        <v>146</v>
      </c>
      <c r="J1472" s="16" t="s">
        <v>6623</v>
      </c>
      <c r="K1472" s="16" t="s">
        <v>116</v>
      </c>
      <c r="L1472" s="16" t="s">
        <v>6624</v>
      </c>
    </row>
    <row r="1473" customFormat="false" ht="34.5" hidden="false" customHeight="true" outlineLevel="0" collapsed="false">
      <c r="A1473" s="9" t="n">
        <v>1243</v>
      </c>
      <c r="B1473" s="10" t="s">
        <v>47</v>
      </c>
      <c r="C1473" s="10" t="s">
        <v>6625</v>
      </c>
      <c r="D1473" s="10" t="n">
        <v>2020</v>
      </c>
      <c r="E1473" s="10" t="s">
        <v>6626</v>
      </c>
      <c r="F1473" s="10" t="s">
        <v>151</v>
      </c>
      <c r="G1473" s="10" t="s">
        <v>626</v>
      </c>
      <c r="H1473" s="10" t="s">
        <v>145</v>
      </c>
      <c r="I1473" s="10" t="s">
        <v>146</v>
      </c>
      <c r="J1473" s="10" t="s">
        <v>6627</v>
      </c>
      <c r="K1473" s="10"/>
      <c r="L1473" s="10" t="s">
        <v>6628</v>
      </c>
    </row>
    <row r="1474" customFormat="false" ht="34.5" hidden="false" customHeight="true" outlineLevel="0" collapsed="false">
      <c r="A1474" s="11" t="n">
        <v>1243</v>
      </c>
      <c r="B1474" s="12" t="s">
        <v>51</v>
      </c>
      <c r="C1474" s="12" t="s">
        <v>6629</v>
      </c>
      <c r="D1474" s="12" t="n">
        <v>2020</v>
      </c>
      <c r="E1474" s="12" t="s">
        <v>6626</v>
      </c>
      <c r="F1474" s="12" t="s">
        <v>151</v>
      </c>
      <c r="G1474" s="12" t="s">
        <v>832</v>
      </c>
      <c r="H1474" s="12" t="s">
        <v>145</v>
      </c>
      <c r="I1474" s="12" t="s">
        <v>146</v>
      </c>
      <c r="J1474" s="12" t="s">
        <v>6627</v>
      </c>
      <c r="K1474" s="12"/>
      <c r="L1474" s="12" t="s">
        <v>6630</v>
      </c>
    </row>
    <row r="1475" customFormat="false" ht="34.5" hidden="false" customHeight="true" outlineLevel="0" collapsed="false">
      <c r="A1475" s="11" t="n">
        <v>1243</v>
      </c>
      <c r="B1475" s="12" t="s">
        <v>59</v>
      </c>
      <c r="C1475" s="12" t="s">
        <v>6629</v>
      </c>
      <c r="D1475" s="12" t="n">
        <v>2020</v>
      </c>
      <c r="E1475" s="12" t="s">
        <v>6626</v>
      </c>
      <c r="F1475" s="12" t="s">
        <v>151</v>
      </c>
      <c r="G1475" s="12" t="s">
        <v>4615</v>
      </c>
      <c r="H1475" s="12" t="s">
        <v>145</v>
      </c>
      <c r="I1475" s="12" t="s">
        <v>146</v>
      </c>
      <c r="J1475" s="12" t="s">
        <v>6631</v>
      </c>
      <c r="K1475" s="12"/>
      <c r="L1475" s="12" t="s">
        <v>6632</v>
      </c>
    </row>
    <row r="1476" customFormat="false" ht="34.5" hidden="false" customHeight="true" outlineLevel="0" collapsed="false">
      <c r="A1476" s="11" t="n">
        <v>1243</v>
      </c>
      <c r="B1476" s="12" t="s">
        <v>81</v>
      </c>
      <c r="C1476" s="12" t="s">
        <v>6629</v>
      </c>
      <c r="D1476" s="12" t="n">
        <v>2020</v>
      </c>
      <c r="E1476" s="12" t="s">
        <v>6626</v>
      </c>
      <c r="F1476" s="12" t="s">
        <v>3817</v>
      </c>
      <c r="G1476" s="12" t="s">
        <v>6633</v>
      </c>
      <c r="H1476" s="12" t="s">
        <v>145</v>
      </c>
      <c r="I1476" s="12" t="s">
        <v>146</v>
      </c>
      <c r="J1476" s="12" t="s">
        <v>6634</v>
      </c>
      <c r="K1476" s="12"/>
      <c r="L1476" s="12" t="s">
        <v>6635</v>
      </c>
    </row>
    <row r="1477" customFormat="false" ht="34.5" hidden="false" customHeight="true" outlineLevel="0" collapsed="false">
      <c r="A1477" s="11" t="n">
        <v>1243</v>
      </c>
      <c r="B1477" s="12" t="s">
        <v>89</v>
      </c>
      <c r="C1477" s="12" t="s">
        <v>6636</v>
      </c>
      <c r="D1477" s="12" t="n">
        <v>2020</v>
      </c>
      <c r="E1477" s="12" t="s">
        <v>6626</v>
      </c>
      <c r="F1477" s="12" t="s">
        <v>3817</v>
      </c>
      <c r="G1477" s="12" t="s">
        <v>832</v>
      </c>
      <c r="H1477" s="12" t="s">
        <v>145</v>
      </c>
      <c r="I1477" s="12" t="s">
        <v>146</v>
      </c>
      <c r="J1477" s="12" t="s">
        <v>6627</v>
      </c>
      <c r="K1477" s="12"/>
      <c r="L1477" s="12" t="s">
        <v>6637</v>
      </c>
    </row>
    <row r="1478" customFormat="false" ht="34.5" hidden="false" customHeight="true" outlineLevel="0" collapsed="false">
      <c r="A1478" s="8" t="n">
        <v>1244</v>
      </c>
      <c r="B1478" s="8" t="s">
        <v>47</v>
      </c>
      <c r="C1478" s="8" t="s">
        <v>6638</v>
      </c>
      <c r="D1478" s="8" t="n">
        <v>2022</v>
      </c>
      <c r="E1478" s="8" t="s">
        <v>6639</v>
      </c>
      <c r="F1478" s="8" t="s">
        <v>151</v>
      </c>
      <c r="G1478" s="8" t="s">
        <v>6640</v>
      </c>
      <c r="H1478" s="8" t="s">
        <v>145</v>
      </c>
      <c r="I1478" s="8" t="s">
        <v>146</v>
      </c>
      <c r="J1478" s="8" t="s">
        <v>6641</v>
      </c>
      <c r="K1478" s="8"/>
      <c r="L1478" s="8" t="s">
        <v>6642</v>
      </c>
    </row>
    <row r="1479" customFormat="false" ht="34.5" hidden="false" customHeight="true" outlineLevel="0" collapsed="false">
      <c r="A1479" s="8" t="n">
        <v>1245</v>
      </c>
      <c r="B1479" s="8" t="s">
        <v>47</v>
      </c>
      <c r="C1479" s="8" t="s">
        <v>6643</v>
      </c>
      <c r="D1479" s="8" t="n">
        <v>2017</v>
      </c>
      <c r="E1479" s="8" t="s">
        <v>6644</v>
      </c>
      <c r="F1479" s="8" t="s">
        <v>143</v>
      </c>
      <c r="G1479" s="8" t="s">
        <v>6645</v>
      </c>
      <c r="H1479" s="8" t="s">
        <v>285</v>
      </c>
      <c r="I1479" s="8" t="s">
        <v>146</v>
      </c>
      <c r="J1479" s="8" t="s">
        <v>6646</v>
      </c>
      <c r="K1479" s="8" t="s">
        <v>112</v>
      </c>
      <c r="L1479" s="8" t="s">
        <v>6647</v>
      </c>
    </row>
    <row r="1480" customFormat="false" ht="34.5" hidden="false" customHeight="true" outlineLevel="0" collapsed="false">
      <c r="A1480" s="8" t="n">
        <v>1246</v>
      </c>
      <c r="B1480" s="8" t="s">
        <v>47</v>
      </c>
      <c r="C1480" s="8" t="s">
        <v>6648</v>
      </c>
      <c r="D1480" s="8" t="n">
        <v>2019</v>
      </c>
      <c r="E1480" s="8" t="s">
        <v>6649</v>
      </c>
      <c r="F1480" s="8" t="s">
        <v>151</v>
      </c>
      <c r="G1480" s="8" t="s">
        <v>6650</v>
      </c>
      <c r="H1480" s="8" t="s">
        <v>255</v>
      </c>
      <c r="I1480" s="8" t="s">
        <v>146</v>
      </c>
      <c r="J1480" s="8" t="s">
        <v>6651</v>
      </c>
      <c r="K1480" s="8"/>
      <c r="L1480" s="8" t="s">
        <v>6652</v>
      </c>
    </row>
    <row r="1481" customFormat="false" ht="23.25" hidden="false" customHeight="true" outlineLevel="0" collapsed="false">
      <c r="A1481" s="8" t="n">
        <v>1247</v>
      </c>
      <c r="B1481" s="8" t="s">
        <v>47</v>
      </c>
      <c r="C1481" s="8" t="s">
        <v>6653</v>
      </c>
      <c r="D1481" s="8" t="n">
        <v>2017</v>
      </c>
      <c r="E1481" s="8" t="s">
        <v>6654</v>
      </c>
      <c r="F1481" s="8" t="s">
        <v>151</v>
      </c>
      <c r="G1481" s="8" t="s">
        <v>152</v>
      </c>
      <c r="H1481" s="8" t="s">
        <v>145</v>
      </c>
      <c r="I1481" s="8" t="s">
        <v>208</v>
      </c>
      <c r="J1481" s="8" t="s">
        <v>6655</v>
      </c>
      <c r="K1481" s="8"/>
      <c r="L1481" s="8" t="s">
        <v>6656</v>
      </c>
    </row>
    <row r="1482" customFormat="false" ht="34.5" hidden="false" customHeight="true" outlineLevel="0" collapsed="false">
      <c r="A1482" s="8" t="n">
        <v>1248</v>
      </c>
      <c r="B1482" s="8" t="s">
        <v>47</v>
      </c>
      <c r="C1482" s="8" t="s">
        <v>6657</v>
      </c>
      <c r="D1482" s="8" t="n">
        <v>2019</v>
      </c>
      <c r="E1482" s="8" t="s">
        <v>6658</v>
      </c>
      <c r="F1482" s="8" t="s">
        <v>151</v>
      </c>
      <c r="G1482" s="8" t="s">
        <v>152</v>
      </c>
      <c r="H1482" s="8" t="s">
        <v>678</v>
      </c>
      <c r="I1482" s="8" t="s">
        <v>208</v>
      </c>
      <c r="J1482" s="8" t="s">
        <v>6659</v>
      </c>
      <c r="K1482" s="8"/>
      <c r="L1482" s="8" t="s">
        <v>6660</v>
      </c>
    </row>
    <row r="1483" customFormat="false" ht="34.5" hidden="false" customHeight="true" outlineLevel="0" collapsed="false">
      <c r="A1483" s="9" t="n">
        <v>1249</v>
      </c>
      <c r="B1483" s="10" t="s">
        <v>47</v>
      </c>
      <c r="C1483" s="10" t="s">
        <v>6661</v>
      </c>
      <c r="D1483" s="10" t="n">
        <v>2021</v>
      </c>
      <c r="E1483" s="10" t="s">
        <v>6662</v>
      </c>
      <c r="F1483" s="10" t="s">
        <v>151</v>
      </c>
      <c r="G1483" s="10" t="s">
        <v>626</v>
      </c>
      <c r="H1483" s="10" t="s">
        <v>2262</v>
      </c>
      <c r="I1483" s="10" t="s">
        <v>208</v>
      </c>
      <c r="J1483" s="10" t="s">
        <v>6663</v>
      </c>
      <c r="K1483" s="10" t="s">
        <v>112</v>
      </c>
      <c r="L1483" s="10" t="s">
        <v>6664</v>
      </c>
    </row>
    <row r="1484" customFormat="false" ht="34.5" hidden="false" customHeight="true" outlineLevel="0" collapsed="false">
      <c r="A1484" s="11" t="n">
        <v>1249</v>
      </c>
      <c r="B1484" s="12" t="s">
        <v>51</v>
      </c>
      <c r="C1484" s="12" t="s">
        <v>6665</v>
      </c>
      <c r="D1484" s="12" t="n">
        <v>2021</v>
      </c>
      <c r="E1484" s="12" t="s">
        <v>6662</v>
      </c>
      <c r="F1484" s="12" t="s">
        <v>151</v>
      </c>
      <c r="G1484" s="12" t="s">
        <v>626</v>
      </c>
      <c r="H1484" s="12" t="s">
        <v>2262</v>
      </c>
      <c r="I1484" s="12" t="s">
        <v>208</v>
      </c>
      <c r="J1484" s="12" t="s">
        <v>6666</v>
      </c>
      <c r="K1484" s="12" t="s">
        <v>112</v>
      </c>
      <c r="L1484" s="12" t="s">
        <v>6667</v>
      </c>
    </row>
    <row r="1485" customFormat="false" ht="23.25" hidden="false" customHeight="true" outlineLevel="0" collapsed="false">
      <c r="A1485" s="8" t="n">
        <v>1250</v>
      </c>
      <c r="B1485" s="8" t="s">
        <v>47</v>
      </c>
      <c r="C1485" s="8" t="s">
        <v>6668</v>
      </c>
      <c r="D1485" s="8" t="n">
        <v>2012</v>
      </c>
      <c r="E1485" s="8" t="s">
        <v>6669</v>
      </c>
      <c r="F1485" s="8" t="s">
        <v>143</v>
      </c>
      <c r="G1485" s="8" t="s">
        <v>152</v>
      </c>
      <c r="H1485" s="8" t="s">
        <v>145</v>
      </c>
      <c r="I1485" s="8" t="s">
        <v>153</v>
      </c>
      <c r="J1485" s="8" t="s">
        <v>6670</v>
      </c>
      <c r="K1485" s="8"/>
      <c r="L1485" s="8" t="s">
        <v>6671</v>
      </c>
    </row>
    <row r="1486" customFormat="false" ht="34.5" hidden="false" customHeight="true" outlineLevel="0" collapsed="false">
      <c r="A1486" s="8" t="n">
        <v>1251</v>
      </c>
      <c r="B1486" s="8" t="s">
        <v>47</v>
      </c>
      <c r="C1486" s="8" t="s">
        <v>6672</v>
      </c>
      <c r="D1486" s="8" t="n">
        <v>2003</v>
      </c>
      <c r="E1486" s="8" t="s">
        <v>6673</v>
      </c>
      <c r="F1486" s="8" t="s">
        <v>143</v>
      </c>
      <c r="G1486" s="8" t="s">
        <v>152</v>
      </c>
      <c r="H1486" s="8" t="s">
        <v>145</v>
      </c>
      <c r="I1486" s="8" t="s">
        <v>153</v>
      </c>
      <c r="J1486" s="8" t="s">
        <v>6674</v>
      </c>
      <c r="K1486" s="8"/>
      <c r="L1486" s="8" t="s">
        <v>6675</v>
      </c>
    </row>
    <row r="1487" customFormat="false" ht="34.5" hidden="false" customHeight="true" outlineLevel="0" collapsed="false">
      <c r="A1487" s="8" t="n">
        <v>1252</v>
      </c>
      <c r="B1487" s="8" t="s">
        <v>47</v>
      </c>
      <c r="C1487" s="8" t="s">
        <v>6676</v>
      </c>
      <c r="D1487" s="8" t="n">
        <v>2020</v>
      </c>
      <c r="E1487" s="8" t="s">
        <v>6677</v>
      </c>
      <c r="F1487" s="8" t="s">
        <v>201</v>
      </c>
      <c r="G1487" s="8" t="s">
        <v>152</v>
      </c>
      <c r="H1487" s="8" t="s">
        <v>3028</v>
      </c>
      <c r="I1487" s="8" t="s">
        <v>153</v>
      </c>
      <c r="J1487" s="8" t="s">
        <v>6678</v>
      </c>
      <c r="K1487" s="8"/>
      <c r="L1487" s="8" t="s">
        <v>6679</v>
      </c>
    </row>
    <row r="1488" customFormat="false" ht="34.5" hidden="false" customHeight="true" outlineLevel="0" collapsed="false">
      <c r="A1488" s="8" t="n">
        <v>1253</v>
      </c>
      <c r="B1488" s="8" t="s">
        <v>47</v>
      </c>
      <c r="C1488" s="8" t="s">
        <v>6680</v>
      </c>
      <c r="D1488" s="8" t="n">
        <v>2021</v>
      </c>
      <c r="E1488" s="8" t="s">
        <v>6681</v>
      </c>
      <c r="F1488" s="8" t="s">
        <v>151</v>
      </c>
      <c r="G1488" s="8" t="s">
        <v>152</v>
      </c>
      <c r="H1488" s="8" t="s">
        <v>6682</v>
      </c>
      <c r="I1488" s="8" t="s">
        <v>146</v>
      </c>
      <c r="J1488" s="8" t="s">
        <v>6683</v>
      </c>
      <c r="K1488" s="8"/>
      <c r="L1488" s="8" t="s">
        <v>6684</v>
      </c>
    </row>
    <row r="1489" customFormat="false" ht="34.5" hidden="false" customHeight="true" outlineLevel="0" collapsed="false">
      <c r="A1489" s="8" t="n">
        <v>1254</v>
      </c>
      <c r="B1489" s="8" t="s">
        <v>47</v>
      </c>
      <c r="C1489" s="8" t="s">
        <v>6685</v>
      </c>
      <c r="D1489" s="8" t="n">
        <v>2021</v>
      </c>
      <c r="E1489" s="8" t="s">
        <v>6686</v>
      </c>
      <c r="F1489" s="8" t="s">
        <v>143</v>
      </c>
      <c r="G1489" s="8" t="s">
        <v>1619</v>
      </c>
      <c r="H1489" s="8" t="s">
        <v>145</v>
      </c>
      <c r="I1489" s="8" t="s">
        <v>153</v>
      </c>
      <c r="J1489" s="8" t="s">
        <v>6687</v>
      </c>
      <c r="K1489" s="8"/>
      <c r="L1489" s="8" t="s">
        <v>6688</v>
      </c>
    </row>
    <row r="1490" customFormat="false" ht="34.5" hidden="false" customHeight="true" outlineLevel="0" collapsed="false">
      <c r="A1490" s="8" t="n">
        <v>1255</v>
      </c>
      <c r="B1490" s="8" t="s">
        <v>47</v>
      </c>
      <c r="C1490" s="8" t="s">
        <v>6689</v>
      </c>
      <c r="D1490" s="8" t="n">
        <v>2017</v>
      </c>
      <c r="E1490" s="8" t="s">
        <v>6690</v>
      </c>
      <c r="F1490" s="8" t="s">
        <v>143</v>
      </c>
      <c r="G1490" s="8" t="s">
        <v>1763</v>
      </c>
      <c r="H1490" s="8" t="s">
        <v>2899</v>
      </c>
      <c r="I1490" s="8" t="s">
        <v>146</v>
      </c>
      <c r="J1490" s="8" t="s">
        <v>6691</v>
      </c>
      <c r="K1490" s="8" t="s">
        <v>112</v>
      </c>
      <c r="L1490" s="8" t="s">
        <v>6692</v>
      </c>
    </row>
    <row r="1491" customFormat="false" ht="34.5" hidden="false" customHeight="true" outlineLevel="0" collapsed="false">
      <c r="A1491" s="8" t="n">
        <v>1256</v>
      </c>
      <c r="B1491" s="8" t="s">
        <v>47</v>
      </c>
      <c r="C1491" s="8" t="s">
        <v>6693</v>
      </c>
      <c r="D1491" s="8" t="n">
        <v>2016</v>
      </c>
      <c r="E1491" s="8" t="s">
        <v>6694</v>
      </c>
      <c r="F1491" s="8" t="s">
        <v>151</v>
      </c>
      <c r="G1491" s="8" t="s">
        <v>626</v>
      </c>
      <c r="H1491" s="8" t="s">
        <v>1274</v>
      </c>
      <c r="I1491" s="8" t="s">
        <v>146</v>
      </c>
      <c r="J1491" s="8" t="s">
        <v>6695</v>
      </c>
      <c r="K1491" s="8" t="s">
        <v>112</v>
      </c>
      <c r="L1491" s="8" t="s">
        <v>6696</v>
      </c>
    </row>
    <row r="1492" customFormat="false" ht="34.5" hidden="false" customHeight="true" outlineLevel="0" collapsed="false">
      <c r="A1492" s="9" t="n">
        <v>1257</v>
      </c>
      <c r="B1492" s="10" t="s">
        <v>47</v>
      </c>
      <c r="C1492" s="10" t="s">
        <v>6697</v>
      </c>
      <c r="D1492" s="10" t="n">
        <v>2006</v>
      </c>
      <c r="E1492" s="10" t="s">
        <v>6698</v>
      </c>
      <c r="F1492" s="10" t="s">
        <v>143</v>
      </c>
      <c r="G1492" s="10" t="s">
        <v>152</v>
      </c>
      <c r="H1492" s="10" t="s">
        <v>145</v>
      </c>
      <c r="I1492" s="10" t="s">
        <v>153</v>
      </c>
      <c r="J1492" s="10" t="s">
        <v>6699</v>
      </c>
      <c r="K1492" s="10"/>
      <c r="L1492" s="10" t="s">
        <v>6700</v>
      </c>
    </row>
    <row r="1493" customFormat="false" ht="23.25" hidden="false" customHeight="true" outlineLevel="0" collapsed="false">
      <c r="A1493" s="11" t="n">
        <v>1257</v>
      </c>
      <c r="B1493" s="12" t="s">
        <v>51</v>
      </c>
      <c r="C1493" s="12" t="s">
        <v>6701</v>
      </c>
      <c r="D1493" s="12" t="n">
        <v>2006</v>
      </c>
      <c r="E1493" s="12" t="s">
        <v>6698</v>
      </c>
      <c r="F1493" s="12" t="s">
        <v>143</v>
      </c>
      <c r="G1493" s="12" t="s">
        <v>152</v>
      </c>
      <c r="H1493" s="12" t="s">
        <v>145</v>
      </c>
      <c r="I1493" s="12" t="s">
        <v>153</v>
      </c>
      <c r="J1493" s="12" t="s">
        <v>6702</v>
      </c>
      <c r="K1493" s="12"/>
      <c r="L1493" s="12" t="s">
        <v>6703</v>
      </c>
    </row>
    <row r="1494" customFormat="false" ht="34.5" hidden="false" customHeight="true" outlineLevel="0" collapsed="false">
      <c r="A1494" s="8" t="n">
        <v>1258</v>
      </c>
      <c r="B1494" s="8" t="s">
        <v>47</v>
      </c>
      <c r="C1494" s="8" t="s">
        <v>6704</v>
      </c>
      <c r="D1494" s="8" t="n">
        <v>1996</v>
      </c>
      <c r="E1494" s="8" t="s">
        <v>6705</v>
      </c>
      <c r="F1494" s="8" t="s">
        <v>201</v>
      </c>
      <c r="G1494" s="8" t="s">
        <v>152</v>
      </c>
      <c r="H1494" s="8" t="s">
        <v>145</v>
      </c>
      <c r="I1494" s="8" t="s">
        <v>153</v>
      </c>
      <c r="J1494" s="8" t="s">
        <v>6706</v>
      </c>
      <c r="K1494" s="8"/>
      <c r="L1494" s="8" t="s">
        <v>6707</v>
      </c>
    </row>
    <row r="1495" customFormat="false" ht="23.25" hidden="false" customHeight="true" outlineLevel="0" collapsed="false">
      <c r="A1495" s="9" t="n">
        <v>1259</v>
      </c>
      <c r="B1495" s="10" t="s">
        <v>47</v>
      </c>
      <c r="C1495" s="10" t="s">
        <v>6708</v>
      </c>
      <c r="D1495" s="10" t="n">
        <v>2019</v>
      </c>
      <c r="E1495" s="10" t="s">
        <v>6709</v>
      </c>
      <c r="F1495" s="10" t="s">
        <v>143</v>
      </c>
      <c r="G1495" s="10" t="s">
        <v>152</v>
      </c>
      <c r="H1495" s="10" t="s">
        <v>145</v>
      </c>
      <c r="I1495" s="10" t="s">
        <v>153</v>
      </c>
      <c r="J1495" s="10" t="s">
        <v>6710</v>
      </c>
      <c r="K1495" s="10"/>
      <c r="L1495" s="10" t="s">
        <v>6711</v>
      </c>
    </row>
    <row r="1496" customFormat="false" ht="34.5" hidden="false" customHeight="true" outlineLevel="0" collapsed="false">
      <c r="A1496" s="11" t="n">
        <v>1259</v>
      </c>
      <c r="B1496" s="12" t="s">
        <v>51</v>
      </c>
      <c r="C1496" s="12" t="s">
        <v>6712</v>
      </c>
      <c r="D1496" s="12" t="n">
        <v>2019</v>
      </c>
      <c r="E1496" s="12" t="s">
        <v>6709</v>
      </c>
      <c r="F1496" s="12" t="s">
        <v>143</v>
      </c>
      <c r="G1496" s="12" t="s">
        <v>152</v>
      </c>
      <c r="H1496" s="12" t="s">
        <v>145</v>
      </c>
      <c r="I1496" s="12" t="s">
        <v>153</v>
      </c>
      <c r="J1496" s="12" t="s">
        <v>6713</v>
      </c>
      <c r="K1496" s="12"/>
      <c r="L1496" s="12" t="s">
        <v>6714</v>
      </c>
    </row>
    <row r="1497" customFormat="false" ht="34.5" hidden="false" customHeight="true" outlineLevel="0" collapsed="false">
      <c r="A1497" s="13" t="n">
        <v>1260</v>
      </c>
      <c r="B1497" s="14" t="s">
        <v>47</v>
      </c>
      <c r="C1497" s="14" t="s">
        <v>6715</v>
      </c>
      <c r="D1497" s="14" t="n">
        <v>2022</v>
      </c>
      <c r="E1497" s="14" t="s">
        <v>6716</v>
      </c>
      <c r="F1497" s="14" t="s">
        <v>143</v>
      </c>
      <c r="G1497" s="14" t="s">
        <v>6717</v>
      </c>
      <c r="H1497" s="14" t="s">
        <v>684</v>
      </c>
      <c r="I1497" s="14" t="s">
        <v>208</v>
      </c>
      <c r="J1497" s="14" t="s">
        <v>6718</v>
      </c>
      <c r="K1497" s="14"/>
      <c r="L1497" s="14" t="s">
        <v>6719</v>
      </c>
    </row>
    <row r="1498" customFormat="false" ht="23.25" hidden="false" customHeight="true" outlineLevel="0" collapsed="false">
      <c r="A1498" s="15" t="n">
        <v>1260</v>
      </c>
      <c r="B1498" s="16" t="s">
        <v>51</v>
      </c>
      <c r="C1498" s="16" t="s">
        <v>6720</v>
      </c>
      <c r="D1498" s="16" t="n">
        <v>2022</v>
      </c>
      <c r="E1498" s="16" t="s">
        <v>6716</v>
      </c>
      <c r="F1498" s="16" t="s">
        <v>143</v>
      </c>
      <c r="G1498" s="16" t="s">
        <v>6721</v>
      </c>
      <c r="H1498" s="16" t="s">
        <v>684</v>
      </c>
      <c r="I1498" s="16" t="s">
        <v>208</v>
      </c>
      <c r="J1498" s="16" t="s">
        <v>6722</v>
      </c>
      <c r="K1498" s="16" t="s">
        <v>116</v>
      </c>
      <c r="L1498" s="16" t="s">
        <v>6723</v>
      </c>
    </row>
    <row r="1499" customFormat="false" ht="34.5" hidden="false" customHeight="true" outlineLevel="0" collapsed="false">
      <c r="A1499" s="9" t="n">
        <v>1261</v>
      </c>
      <c r="B1499" s="10" t="s">
        <v>47</v>
      </c>
      <c r="C1499" s="10" t="s">
        <v>6724</v>
      </c>
      <c r="D1499" s="10" t="n">
        <v>2006</v>
      </c>
      <c r="E1499" s="10" t="s">
        <v>6725</v>
      </c>
      <c r="F1499" s="10" t="s">
        <v>151</v>
      </c>
      <c r="G1499" s="10" t="s">
        <v>152</v>
      </c>
      <c r="H1499" s="10" t="s">
        <v>6726</v>
      </c>
      <c r="I1499" s="10" t="s">
        <v>748</v>
      </c>
      <c r="J1499" s="10" t="s">
        <v>6727</v>
      </c>
      <c r="K1499" s="10"/>
      <c r="L1499" s="10" t="s">
        <v>6728</v>
      </c>
    </row>
    <row r="1500" customFormat="false" ht="23.25" hidden="false" customHeight="true" outlineLevel="0" collapsed="false">
      <c r="A1500" s="11" t="n">
        <v>1261</v>
      </c>
      <c r="B1500" s="12" t="s">
        <v>51</v>
      </c>
      <c r="C1500" s="12" t="s">
        <v>6729</v>
      </c>
      <c r="D1500" s="12" t="n">
        <v>2006</v>
      </c>
      <c r="E1500" s="12" t="s">
        <v>6730</v>
      </c>
      <c r="F1500" s="12" t="s">
        <v>151</v>
      </c>
      <c r="G1500" s="12" t="s">
        <v>152</v>
      </c>
      <c r="H1500" s="12" t="s">
        <v>6726</v>
      </c>
      <c r="I1500" s="12" t="s">
        <v>748</v>
      </c>
      <c r="J1500" s="12" t="s">
        <v>6731</v>
      </c>
      <c r="K1500" s="12" t="s">
        <v>114</v>
      </c>
      <c r="L1500" s="12" t="s">
        <v>6732</v>
      </c>
    </row>
    <row r="1501" customFormat="false" ht="34.5" hidden="false" customHeight="true" outlineLevel="0" collapsed="false">
      <c r="A1501" s="8" t="n">
        <v>1262</v>
      </c>
      <c r="B1501" s="8" t="s">
        <v>47</v>
      </c>
      <c r="C1501" s="8" t="s">
        <v>591</v>
      </c>
      <c r="D1501" s="8" t="n">
        <v>2012</v>
      </c>
      <c r="E1501" s="8" t="s">
        <v>6733</v>
      </c>
      <c r="F1501" s="8" t="s">
        <v>143</v>
      </c>
      <c r="G1501" s="8" t="s">
        <v>1619</v>
      </c>
      <c r="H1501" s="8" t="s">
        <v>145</v>
      </c>
      <c r="I1501" s="8" t="s">
        <v>153</v>
      </c>
      <c r="J1501" s="8" t="s">
        <v>6734</v>
      </c>
      <c r="K1501" s="8"/>
      <c r="L1501" s="8" t="s">
        <v>6735</v>
      </c>
    </row>
    <row r="1502" customFormat="false" ht="34.5" hidden="false" customHeight="true" outlineLevel="0" collapsed="false">
      <c r="A1502" s="8" t="n">
        <v>1263</v>
      </c>
      <c r="B1502" s="8" t="s">
        <v>47</v>
      </c>
      <c r="C1502" s="8" t="s">
        <v>6736</v>
      </c>
      <c r="D1502" s="8" t="n">
        <v>2022</v>
      </c>
      <c r="E1502" s="8" t="s">
        <v>6737</v>
      </c>
      <c r="F1502" s="8" t="s">
        <v>143</v>
      </c>
      <c r="G1502" s="8" t="s">
        <v>348</v>
      </c>
      <c r="H1502" s="8" t="s">
        <v>145</v>
      </c>
      <c r="I1502" s="8" t="s">
        <v>153</v>
      </c>
      <c r="J1502" s="8" t="s">
        <v>6738</v>
      </c>
      <c r="K1502" s="8"/>
      <c r="L1502" s="8" t="s">
        <v>6739</v>
      </c>
    </row>
    <row r="1503" customFormat="false" ht="34.5" hidden="false" customHeight="true" outlineLevel="0" collapsed="false">
      <c r="A1503" s="13" t="n">
        <v>1264</v>
      </c>
      <c r="B1503" s="14" t="s">
        <v>47</v>
      </c>
      <c r="C1503" s="14" t="s">
        <v>6740</v>
      </c>
      <c r="D1503" s="14" t="n">
        <v>2022</v>
      </c>
      <c r="E1503" s="14" t="s">
        <v>6741</v>
      </c>
      <c r="F1503" s="14" t="s">
        <v>143</v>
      </c>
      <c r="G1503" s="14" t="s">
        <v>152</v>
      </c>
      <c r="H1503" s="14" t="s">
        <v>145</v>
      </c>
      <c r="I1503" s="14" t="s">
        <v>153</v>
      </c>
      <c r="J1503" s="14" t="s">
        <v>6742</v>
      </c>
      <c r="K1503" s="14"/>
      <c r="L1503" s="14" t="s">
        <v>6743</v>
      </c>
    </row>
    <row r="1504" customFormat="false" ht="34.5" hidden="false" customHeight="true" outlineLevel="0" collapsed="false">
      <c r="A1504" s="15" t="n">
        <v>1264</v>
      </c>
      <c r="B1504" s="16" t="s">
        <v>51</v>
      </c>
      <c r="C1504" s="16" t="s">
        <v>6744</v>
      </c>
      <c r="D1504" s="16" t="n">
        <v>2022</v>
      </c>
      <c r="E1504" s="16" t="s">
        <v>6741</v>
      </c>
      <c r="F1504" s="16" t="s">
        <v>143</v>
      </c>
      <c r="G1504" s="16" t="s">
        <v>152</v>
      </c>
      <c r="H1504" s="16" t="s">
        <v>145</v>
      </c>
      <c r="I1504" s="16" t="s">
        <v>153</v>
      </c>
      <c r="J1504" s="16" t="s">
        <v>6742</v>
      </c>
      <c r="K1504" s="16"/>
      <c r="L1504" s="16" t="s">
        <v>6745</v>
      </c>
    </row>
    <row r="1505" customFormat="false" ht="34.5" hidden="false" customHeight="true" outlineLevel="0" collapsed="false">
      <c r="A1505" s="9" t="n">
        <v>1265</v>
      </c>
      <c r="B1505" s="10" t="s">
        <v>47</v>
      </c>
      <c r="C1505" s="10" t="s">
        <v>6746</v>
      </c>
      <c r="D1505" s="10" t="n">
        <v>2020</v>
      </c>
      <c r="E1505" s="10" t="s">
        <v>6747</v>
      </c>
      <c r="F1505" s="10" t="s">
        <v>151</v>
      </c>
      <c r="G1505" s="10" t="s">
        <v>626</v>
      </c>
      <c r="H1505" s="10" t="s">
        <v>145</v>
      </c>
      <c r="I1505" s="10" t="s">
        <v>146</v>
      </c>
      <c r="J1505" s="10" t="s">
        <v>6748</v>
      </c>
      <c r="K1505" s="10" t="s">
        <v>112</v>
      </c>
      <c r="L1505" s="10" t="s">
        <v>6749</v>
      </c>
    </row>
    <row r="1506" customFormat="false" ht="34.5" hidden="false" customHeight="true" outlineLevel="0" collapsed="false">
      <c r="A1506" s="11" t="n">
        <v>1265</v>
      </c>
      <c r="B1506" s="12" t="s">
        <v>51</v>
      </c>
      <c r="C1506" s="12" t="s">
        <v>6750</v>
      </c>
      <c r="D1506" s="12" t="n">
        <v>2020</v>
      </c>
      <c r="E1506" s="12" t="s">
        <v>6751</v>
      </c>
      <c r="F1506" s="12" t="s">
        <v>151</v>
      </c>
      <c r="G1506" s="12" t="s">
        <v>1264</v>
      </c>
      <c r="H1506" s="12" t="s">
        <v>6752</v>
      </c>
      <c r="I1506" s="12" t="s">
        <v>146</v>
      </c>
      <c r="J1506" s="12" t="s">
        <v>6753</v>
      </c>
      <c r="K1506" s="12" t="s">
        <v>112</v>
      </c>
      <c r="L1506" s="12" t="s">
        <v>6754</v>
      </c>
    </row>
    <row r="1507" customFormat="false" ht="34.5" hidden="false" customHeight="true" outlineLevel="0" collapsed="false">
      <c r="A1507" s="8" t="n">
        <v>1266</v>
      </c>
      <c r="B1507" s="8" t="s">
        <v>47</v>
      </c>
      <c r="C1507" s="8" t="s">
        <v>6755</v>
      </c>
      <c r="D1507" s="8" t="n">
        <v>2023</v>
      </c>
      <c r="E1507" s="8" t="s">
        <v>6756</v>
      </c>
      <c r="F1507" s="8" t="s">
        <v>143</v>
      </c>
      <c r="G1507" s="8" t="s">
        <v>6757</v>
      </c>
      <c r="H1507" s="8" t="s">
        <v>2899</v>
      </c>
      <c r="I1507" s="8" t="s">
        <v>146</v>
      </c>
      <c r="J1507" s="8" t="s">
        <v>6758</v>
      </c>
      <c r="K1507" s="8" t="s">
        <v>112</v>
      </c>
      <c r="L1507" s="8" t="s">
        <v>6759</v>
      </c>
    </row>
    <row r="1508" customFormat="false" ht="34.5" hidden="false" customHeight="true" outlineLevel="0" collapsed="false">
      <c r="A1508" s="8" t="n">
        <v>1267</v>
      </c>
      <c r="B1508" s="8" t="s">
        <v>47</v>
      </c>
      <c r="C1508" s="8" t="s">
        <v>6760</v>
      </c>
      <c r="D1508" s="8" t="n">
        <v>2020</v>
      </c>
      <c r="E1508" s="8" t="s">
        <v>6761</v>
      </c>
      <c r="F1508" s="8" t="s">
        <v>201</v>
      </c>
      <c r="G1508" s="8" t="s">
        <v>6762</v>
      </c>
      <c r="H1508" s="8" t="s">
        <v>2899</v>
      </c>
      <c r="I1508" s="8" t="s">
        <v>146</v>
      </c>
      <c r="J1508" s="8" t="s">
        <v>6763</v>
      </c>
      <c r="K1508" s="8" t="s">
        <v>112</v>
      </c>
      <c r="L1508" s="8" t="s">
        <v>6764</v>
      </c>
    </row>
    <row r="1509" customFormat="false" ht="34.5" hidden="false" customHeight="true" outlineLevel="0" collapsed="false">
      <c r="A1509" s="8" t="n">
        <v>1268</v>
      </c>
      <c r="B1509" s="8" t="s">
        <v>47</v>
      </c>
      <c r="C1509" s="8" t="s">
        <v>6765</v>
      </c>
      <c r="D1509" s="8" t="n">
        <v>2023</v>
      </c>
      <c r="E1509" s="8" t="s">
        <v>6766</v>
      </c>
      <c r="F1509" s="8" t="s">
        <v>151</v>
      </c>
      <c r="G1509" s="8" t="s">
        <v>152</v>
      </c>
      <c r="H1509" s="8" t="s">
        <v>145</v>
      </c>
      <c r="I1509" s="8" t="s">
        <v>208</v>
      </c>
      <c r="J1509" s="8" t="s">
        <v>6767</v>
      </c>
      <c r="K1509" s="8"/>
      <c r="L1509" s="8" t="s">
        <v>6768</v>
      </c>
    </row>
    <row r="1510" customFormat="false" ht="34.5" hidden="false" customHeight="true" outlineLevel="0" collapsed="false">
      <c r="A1510" s="9" t="n">
        <v>1269</v>
      </c>
      <c r="B1510" s="10" t="s">
        <v>47</v>
      </c>
      <c r="C1510" s="10" t="s">
        <v>6769</v>
      </c>
      <c r="D1510" s="10" t="n">
        <v>2016</v>
      </c>
      <c r="E1510" s="10" t="s">
        <v>6770</v>
      </c>
      <c r="F1510" s="10" t="s">
        <v>151</v>
      </c>
      <c r="G1510" s="10" t="s">
        <v>348</v>
      </c>
      <c r="H1510" s="10" t="s">
        <v>145</v>
      </c>
      <c r="I1510" s="10" t="s">
        <v>153</v>
      </c>
      <c r="J1510" s="10" t="s">
        <v>6771</v>
      </c>
      <c r="K1510" s="10"/>
      <c r="L1510" s="10" t="s">
        <v>6772</v>
      </c>
    </row>
    <row r="1511" customFormat="false" ht="34.5" hidden="false" customHeight="true" outlineLevel="0" collapsed="false">
      <c r="A1511" s="11" t="n">
        <v>1269</v>
      </c>
      <c r="B1511" s="12" t="s">
        <v>51</v>
      </c>
      <c r="C1511" s="12" t="s">
        <v>6773</v>
      </c>
      <c r="D1511" s="12" t="n">
        <v>2016</v>
      </c>
      <c r="E1511" s="12" t="s">
        <v>6770</v>
      </c>
      <c r="F1511" s="12" t="s">
        <v>151</v>
      </c>
      <c r="G1511" s="12" t="s">
        <v>348</v>
      </c>
      <c r="H1511" s="12" t="s">
        <v>145</v>
      </c>
      <c r="I1511" s="12" t="s">
        <v>153</v>
      </c>
      <c r="J1511" s="12" t="s">
        <v>6774</v>
      </c>
      <c r="K1511" s="12"/>
      <c r="L1511" s="12" t="s">
        <v>6775</v>
      </c>
    </row>
    <row r="1512" customFormat="false" ht="34.5" hidden="false" customHeight="true" outlineLevel="0" collapsed="false">
      <c r="A1512" s="13" t="n">
        <v>1270</v>
      </c>
      <c r="B1512" s="14" t="s">
        <v>47</v>
      </c>
      <c r="C1512" s="14" t="s">
        <v>6776</v>
      </c>
      <c r="D1512" s="14" t="n">
        <v>2021</v>
      </c>
      <c r="E1512" s="14" t="s">
        <v>6777</v>
      </c>
      <c r="F1512" s="14" t="s">
        <v>201</v>
      </c>
      <c r="G1512" s="14" t="s">
        <v>348</v>
      </c>
      <c r="H1512" s="14" t="s">
        <v>3028</v>
      </c>
      <c r="I1512" s="14" t="s">
        <v>153</v>
      </c>
      <c r="J1512" s="14" t="s">
        <v>6778</v>
      </c>
      <c r="K1512" s="14" t="s">
        <v>110</v>
      </c>
      <c r="L1512" s="14" t="s">
        <v>6779</v>
      </c>
    </row>
    <row r="1513" customFormat="false" ht="34.5" hidden="false" customHeight="true" outlineLevel="0" collapsed="false">
      <c r="A1513" s="15" t="n">
        <v>1270</v>
      </c>
      <c r="B1513" s="16" t="s">
        <v>51</v>
      </c>
      <c r="C1513" s="16" t="s">
        <v>6780</v>
      </c>
      <c r="D1513" s="16" t="n">
        <v>2021</v>
      </c>
      <c r="E1513" s="16" t="s">
        <v>6777</v>
      </c>
      <c r="F1513" s="16" t="s">
        <v>579</v>
      </c>
      <c r="G1513" s="16" t="s">
        <v>348</v>
      </c>
      <c r="H1513" s="16" t="s">
        <v>3028</v>
      </c>
      <c r="I1513" s="16" t="s">
        <v>153</v>
      </c>
      <c r="J1513" s="16" t="s">
        <v>6781</v>
      </c>
      <c r="K1513" s="16" t="s">
        <v>110</v>
      </c>
      <c r="L1513" s="16" t="s">
        <v>6782</v>
      </c>
    </row>
    <row r="1514" customFormat="false" ht="34.5" hidden="false" customHeight="true" outlineLevel="0" collapsed="false">
      <c r="A1514" s="9" t="n">
        <v>1271</v>
      </c>
      <c r="B1514" s="10" t="s">
        <v>47</v>
      </c>
      <c r="C1514" s="10" t="s">
        <v>6783</v>
      </c>
      <c r="D1514" s="10" t="n">
        <v>2021</v>
      </c>
      <c r="E1514" s="10" t="s">
        <v>6784</v>
      </c>
      <c r="F1514" s="10" t="s">
        <v>201</v>
      </c>
      <c r="G1514" s="10" t="s">
        <v>348</v>
      </c>
      <c r="H1514" s="10" t="s">
        <v>145</v>
      </c>
      <c r="I1514" s="10" t="s">
        <v>153</v>
      </c>
      <c r="J1514" s="10" t="s">
        <v>6785</v>
      </c>
      <c r="K1514" s="10"/>
      <c r="L1514" s="10" t="s">
        <v>6786</v>
      </c>
    </row>
    <row r="1515" customFormat="false" ht="34.5" hidden="false" customHeight="true" outlineLevel="0" collapsed="false">
      <c r="A1515" s="11" t="n">
        <v>1271</v>
      </c>
      <c r="B1515" s="12" t="s">
        <v>51</v>
      </c>
      <c r="C1515" s="12" t="s">
        <v>6787</v>
      </c>
      <c r="D1515" s="12" t="n">
        <v>2021</v>
      </c>
      <c r="E1515" s="12" t="s">
        <v>6784</v>
      </c>
      <c r="F1515" s="12" t="s">
        <v>151</v>
      </c>
      <c r="G1515" s="12" t="s">
        <v>348</v>
      </c>
      <c r="H1515" s="12" t="s">
        <v>145</v>
      </c>
      <c r="I1515" s="12" t="s">
        <v>153</v>
      </c>
      <c r="J1515" s="12" t="s">
        <v>6788</v>
      </c>
      <c r="K1515" s="12"/>
      <c r="L1515" s="12" t="s">
        <v>6789</v>
      </c>
    </row>
    <row r="1516" customFormat="false" ht="34.5" hidden="false" customHeight="true" outlineLevel="0" collapsed="false">
      <c r="A1516" s="8" t="n">
        <v>1272</v>
      </c>
      <c r="B1516" s="8" t="s">
        <v>47</v>
      </c>
      <c r="C1516" s="8" t="s">
        <v>6790</v>
      </c>
      <c r="D1516" s="8" t="n">
        <v>2020</v>
      </c>
      <c r="E1516" s="8" t="s">
        <v>6791</v>
      </c>
      <c r="F1516" s="8" t="s">
        <v>151</v>
      </c>
      <c r="G1516" s="8" t="s">
        <v>152</v>
      </c>
      <c r="H1516" s="8" t="s">
        <v>145</v>
      </c>
      <c r="I1516" s="8" t="s">
        <v>153</v>
      </c>
      <c r="J1516" s="8" t="s">
        <v>6792</v>
      </c>
      <c r="K1516" s="8"/>
      <c r="L1516" s="8" t="s">
        <v>6793</v>
      </c>
    </row>
    <row r="1517" customFormat="false" ht="34.5" hidden="false" customHeight="true" outlineLevel="0" collapsed="false">
      <c r="A1517" s="8" t="n">
        <v>1273</v>
      </c>
      <c r="B1517" s="8" t="s">
        <v>47</v>
      </c>
      <c r="C1517" s="8" t="s">
        <v>6794</v>
      </c>
      <c r="D1517" s="8" t="n">
        <v>2019</v>
      </c>
      <c r="E1517" s="8" t="s">
        <v>6795</v>
      </c>
      <c r="F1517" s="8" t="s">
        <v>151</v>
      </c>
      <c r="G1517" s="8" t="s">
        <v>348</v>
      </c>
      <c r="H1517" s="8" t="s">
        <v>145</v>
      </c>
      <c r="I1517" s="8" t="s">
        <v>146</v>
      </c>
      <c r="J1517" s="8" t="s">
        <v>6796</v>
      </c>
      <c r="K1517" s="8"/>
      <c r="L1517" s="8" t="s">
        <v>6797</v>
      </c>
    </row>
    <row r="1518" customFormat="false" ht="34.5" hidden="false" customHeight="true" outlineLevel="0" collapsed="false">
      <c r="A1518" s="13" t="n">
        <v>1274</v>
      </c>
      <c r="B1518" s="14" t="s">
        <v>47</v>
      </c>
      <c r="C1518" s="14" t="s">
        <v>6798</v>
      </c>
      <c r="D1518" s="14" t="n">
        <v>2016</v>
      </c>
      <c r="E1518" s="14" t="s">
        <v>6799</v>
      </c>
      <c r="F1518" s="14" t="s">
        <v>151</v>
      </c>
      <c r="G1518" s="14" t="s">
        <v>348</v>
      </c>
      <c r="H1518" s="14" t="s">
        <v>145</v>
      </c>
      <c r="I1518" s="14" t="s">
        <v>153</v>
      </c>
      <c r="J1518" s="14" t="s">
        <v>6800</v>
      </c>
      <c r="K1518" s="14"/>
      <c r="L1518" s="14" t="s">
        <v>6801</v>
      </c>
    </row>
    <row r="1519" customFormat="false" ht="23.25" hidden="false" customHeight="true" outlineLevel="0" collapsed="false">
      <c r="A1519" s="15" t="n">
        <v>1274</v>
      </c>
      <c r="B1519" s="16" t="s">
        <v>51</v>
      </c>
      <c r="C1519" s="16" t="s">
        <v>6802</v>
      </c>
      <c r="D1519" s="16" t="n">
        <v>2016</v>
      </c>
      <c r="E1519" s="16" t="s">
        <v>6799</v>
      </c>
      <c r="F1519" s="16" t="s">
        <v>151</v>
      </c>
      <c r="G1519" s="16" t="s">
        <v>348</v>
      </c>
      <c r="H1519" s="16" t="s">
        <v>145</v>
      </c>
      <c r="I1519" s="16" t="s">
        <v>153</v>
      </c>
      <c r="J1519" s="16" t="s">
        <v>6803</v>
      </c>
      <c r="K1519" s="16"/>
      <c r="L1519" s="16" t="s">
        <v>6804</v>
      </c>
    </row>
    <row r="1520" customFormat="false" ht="34.5" hidden="false" customHeight="true" outlineLevel="0" collapsed="false">
      <c r="A1520" s="8" t="n">
        <v>1275</v>
      </c>
      <c r="B1520" s="8" t="s">
        <v>47</v>
      </c>
      <c r="C1520" s="8" t="s">
        <v>6805</v>
      </c>
      <c r="D1520" s="8" t="n">
        <v>2005</v>
      </c>
      <c r="E1520" s="8" t="s">
        <v>6806</v>
      </c>
      <c r="F1520" s="8" t="s">
        <v>151</v>
      </c>
      <c r="G1520" s="8" t="s">
        <v>348</v>
      </c>
      <c r="H1520" s="8" t="s">
        <v>145</v>
      </c>
      <c r="I1520" s="8" t="s">
        <v>153</v>
      </c>
      <c r="J1520" s="8" t="s">
        <v>6807</v>
      </c>
      <c r="K1520" s="8"/>
      <c r="L1520" s="8" t="s">
        <v>6808</v>
      </c>
    </row>
    <row r="1521" customFormat="false" ht="34.5" hidden="false" customHeight="true" outlineLevel="0" collapsed="false">
      <c r="A1521" s="8" t="n">
        <v>1276</v>
      </c>
      <c r="B1521" s="8" t="s">
        <v>47</v>
      </c>
      <c r="C1521" s="8" t="s">
        <v>6809</v>
      </c>
      <c r="D1521" s="8" t="n">
        <v>2012</v>
      </c>
      <c r="E1521" s="8" t="s">
        <v>6810</v>
      </c>
      <c r="F1521" s="8" t="s">
        <v>151</v>
      </c>
      <c r="G1521" s="8" t="s">
        <v>4650</v>
      </c>
      <c r="H1521" s="8" t="s">
        <v>145</v>
      </c>
      <c r="I1521" s="8" t="s">
        <v>146</v>
      </c>
      <c r="J1521" s="8" t="s">
        <v>6811</v>
      </c>
      <c r="K1521" s="8"/>
      <c r="L1521" s="8" t="s">
        <v>6812</v>
      </c>
    </row>
    <row r="1522" customFormat="false" ht="34.5" hidden="false" customHeight="true" outlineLevel="0" collapsed="false">
      <c r="A1522" s="9" t="n">
        <v>1277</v>
      </c>
      <c r="B1522" s="10" t="s">
        <v>47</v>
      </c>
      <c r="C1522" s="10" t="s">
        <v>6813</v>
      </c>
      <c r="D1522" s="10" t="n">
        <v>2017</v>
      </c>
      <c r="E1522" s="10" t="s">
        <v>6814</v>
      </c>
      <c r="F1522" s="10" t="s">
        <v>143</v>
      </c>
      <c r="G1522" s="10" t="s">
        <v>348</v>
      </c>
      <c r="H1522" s="10" t="s">
        <v>145</v>
      </c>
      <c r="I1522" s="10" t="s">
        <v>146</v>
      </c>
      <c r="J1522" s="10" t="s">
        <v>6815</v>
      </c>
      <c r="K1522" s="10"/>
      <c r="L1522" s="10" t="s">
        <v>6816</v>
      </c>
    </row>
    <row r="1523" customFormat="false" ht="23.25" hidden="false" customHeight="true" outlineLevel="0" collapsed="false">
      <c r="A1523" s="11" t="n">
        <v>1277</v>
      </c>
      <c r="B1523" s="12" t="s">
        <v>51</v>
      </c>
      <c r="C1523" s="12" t="s">
        <v>6817</v>
      </c>
      <c r="D1523" s="12" t="n">
        <v>2017</v>
      </c>
      <c r="E1523" s="12" t="s">
        <v>6814</v>
      </c>
      <c r="F1523" s="12" t="s">
        <v>201</v>
      </c>
      <c r="G1523" s="12" t="s">
        <v>348</v>
      </c>
      <c r="H1523" s="12" t="s">
        <v>145</v>
      </c>
      <c r="I1523" s="12" t="s">
        <v>146</v>
      </c>
      <c r="J1523" s="12" t="s">
        <v>6818</v>
      </c>
      <c r="K1523" s="12"/>
      <c r="L1523" s="12" t="s">
        <v>6819</v>
      </c>
    </row>
    <row r="1524" customFormat="false" ht="34.5" hidden="false" customHeight="true" outlineLevel="0" collapsed="false">
      <c r="A1524" s="8" t="n">
        <v>1278</v>
      </c>
      <c r="B1524" s="8" t="s">
        <v>47</v>
      </c>
      <c r="C1524" s="8" t="s">
        <v>6820</v>
      </c>
      <c r="D1524" s="8" t="n">
        <v>2020</v>
      </c>
      <c r="E1524" s="8" t="s">
        <v>6821</v>
      </c>
      <c r="F1524" s="8" t="s">
        <v>151</v>
      </c>
      <c r="G1524" s="8" t="s">
        <v>152</v>
      </c>
      <c r="H1524" s="8" t="s">
        <v>145</v>
      </c>
      <c r="I1524" s="8" t="s">
        <v>153</v>
      </c>
      <c r="J1524" s="8" t="s">
        <v>6822</v>
      </c>
      <c r="K1524" s="8"/>
      <c r="L1524" s="8" t="s">
        <v>6823</v>
      </c>
    </row>
    <row r="1525" customFormat="false" ht="34.5" hidden="false" customHeight="true" outlineLevel="0" collapsed="false">
      <c r="A1525" s="8" t="n">
        <v>1279</v>
      </c>
      <c r="B1525" s="8" t="s">
        <v>47</v>
      </c>
      <c r="C1525" s="8" t="s">
        <v>6824</v>
      </c>
      <c r="D1525" s="8" t="n">
        <v>2022</v>
      </c>
      <c r="E1525" s="8" t="s">
        <v>6825</v>
      </c>
      <c r="F1525" s="8" t="s">
        <v>151</v>
      </c>
      <c r="G1525" s="8" t="s">
        <v>6826</v>
      </c>
      <c r="H1525" s="8" t="s">
        <v>145</v>
      </c>
      <c r="I1525" s="8" t="s">
        <v>387</v>
      </c>
      <c r="J1525" s="8" t="s">
        <v>6827</v>
      </c>
      <c r="K1525" s="8"/>
      <c r="L1525" s="8" t="s">
        <v>6828</v>
      </c>
    </row>
    <row r="1526" customFormat="false" ht="34.5" hidden="false" customHeight="true" outlineLevel="0" collapsed="false">
      <c r="A1526" s="13" t="n">
        <v>1280</v>
      </c>
      <c r="B1526" s="14" t="s">
        <v>47</v>
      </c>
      <c r="C1526" s="14" t="s">
        <v>6829</v>
      </c>
      <c r="D1526" s="14" t="n">
        <v>2019</v>
      </c>
      <c r="E1526" s="14" t="s">
        <v>6830</v>
      </c>
      <c r="F1526" s="14" t="s">
        <v>201</v>
      </c>
      <c r="G1526" s="14" t="s">
        <v>213</v>
      </c>
      <c r="H1526" s="14" t="s">
        <v>145</v>
      </c>
      <c r="I1526" s="14" t="s">
        <v>146</v>
      </c>
      <c r="J1526" s="14" t="s">
        <v>6831</v>
      </c>
      <c r="K1526" s="14"/>
      <c r="L1526" s="14" t="s">
        <v>6832</v>
      </c>
    </row>
    <row r="1527" customFormat="false" ht="34.5" hidden="false" customHeight="true" outlineLevel="0" collapsed="false">
      <c r="A1527" s="15" t="n">
        <v>1280</v>
      </c>
      <c r="B1527" s="16" t="s">
        <v>51</v>
      </c>
      <c r="C1527" s="16" t="s">
        <v>6833</v>
      </c>
      <c r="D1527" s="16" t="n">
        <v>2019</v>
      </c>
      <c r="E1527" s="16" t="s">
        <v>6830</v>
      </c>
      <c r="F1527" s="16" t="s">
        <v>143</v>
      </c>
      <c r="G1527" s="16" t="s">
        <v>152</v>
      </c>
      <c r="H1527" s="16" t="s">
        <v>145</v>
      </c>
      <c r="I1527" s="16" t="s">
        <v>146</v>
      </c>
      <c r="J1527" s="16" t="s">
        <v>6834</v>
      </c>
      <c r="K1527" s="16"/>
      <c r="L1527" s="16" t="s">
        <v>6835</v>
      </c>
    </row>
    <row r="1528" customFormat="false" ht="34.5" hidden="false" customHeight="true" outlineLevel="0" collapsed="false">
      <c r="A1528" s="8" t="n">
        <v>1281</v>
      </c>
      <c r="B1528" s="8" t="s">
        <v>47</v>
      </c>
      <c r="C1528" s="8" t="s">
        <v>3131</v>
      </c>
      <c r="D1528" s="8" t="n">
        <v>2023</v>
      </c>
      <c r="E1528" s="8" t="s">
        <v>6836</v>
      </c>
      <c r="F1528" s="8" t="s">
        <v>151</v>
      </c>
      <c r="G1528" s="8" t="s">
        <v>6837</v>
      </c>
      <c r="H1528" s="8" t="s">
        <v>2899</v>
      </c>
      <c r="I1528" s="8" t="s">
        <v>146</v>
      </c>
      <c r="J1528" s="8" t="s">
        <v>6838</v>
      </c>
      <c r="K1528" s="8" t="s">
        <v>112</v>
      </c>
      <c r="L1528" s="8" t="s">
        <v>6839</v>
      </c>
    </row>
    <row r="1529" customFormat="false" ht="34.5" hidden="false" customHeight="true" outlineLevel="0" collapsed="false">
      <c r="A1529" s="8" t="n">
        <v>1282</v>
      </c>
      <c r="B1529" s="8" t="s">
        <v>47</v>
      </c>
      <c r="C1529" s="8" t="s">
        <v>6840</v>
      </c>
      <c r="D1529" s="8" t="n">
        <v>2024</v>
      </c>
      <c r="E1529" s="8" t="s">
        <v>6841</v>
      </c>
      <c r="F1529" s="8" t="s">
        <v>143</v>
      </c>
      <c r="G1529" s="8" t="s">
        <v>348</v>
      </c>
      <c r="H1529" s="8" t="s">
        <v>145</v>
      </c>
      <c r="I1529" s="8" t="s">
        <v>153</v>
      </c>
      <c r="J1529" s="8" t="s">
        <v>6842</v>
      </c>
      <c r="K1529" s="8"/>
      <c r="L1529" s="8" t="s">
        <v>6843</v>
      </c>
    </row>
    <row r="1530" customFormat="false" ht="34.5" hidden="false" customHeight="true" outlineLevel="0" collapsed="false">
      <c r="A1530" s="9" t="n">
        <v>1283</v>
      </c>
      <c r="B1530" s="10" t="s">
        <v>47</v>
      </c>
      <c r="C1530" s="10" t="s">
        <v>6844</v>
      </c>
      <c r="D1530" s="10" t="n">
        <v>2022</v>
      </c>
      <c r="E1530" s="10" t="s">
        <v>6845</v>
      </c>
      <c r="F1530" s="10" t="s">
        <v>143</v>
      </c>
      <c r="G1530" s="10" t="s">
        <v>152</v>
      </c>
      <c r="H1530" s="10" t="s">
        <v>145</v>
      </c>
      <c r="I1530" s="10" t="s">
        <v>153</v>
      </c>
      <c r="J1530" s="10" t="s">
        <v>6846</v>
      </c>
      <c r="K1530" s="10"/>
      <c r="L1530" s="10" t="s">
        <v>6847</v>
      </c>
    </row>
    <row r="1531" customFormat="false" ht="34.5" hidden="false" customHeight="true" outlineLevel="0" collapsed="false">
      <c r="A1531" s="11" t="n">
        <v>1283</v>
      </c>
      <c r="B1531" s="12" t="s">
        <v>51</v>
      </c>
      <c r="C1531" s="12" t="s">
        <v>6848</v>
      </c>
      <c r="D1531" s="12" t="n">
        <v>2022</v>
      </c>
      <c r="E1531" s="12" t="s">
        <v>6845</v>
      </c>
      <c r="F1531" s="12" t="s">
        <v>143</v>
      </c>
      <c r="G1531" s="12" t="s">
        <v>1619</v>
      </c>
      <c r="H1531" s="12" t="s">
        <v>145</v>
      </c>
      <c r="I1531" s="12" t="s">
        <v>153</v>
      </c>
      <c r="J1531" s="12" t="s">
        <v>6571</v>
      </c>
      <c r="K1531" s="12" t="s">
        <v>114</v>
      </c>
      <c r="L1531" s="12" t="s">
        <v>6849</v>
      </c>
    </row>
    <row r="1532" customFormat="false" ht="34.5" hidden="false" customHeight="true" outlineLevel="0" collapsed="false">
      <c r="A1532" s="8" t="n">
        <v>1284</v>
      </c>
      <c r="B1532" s="8" t="s">
        <v>47</v>
      </c>
      <c r="C1532" s="8" t="s">
        <v>6850</v>
      </c>
      <c r="D1532" s="8" t="n">
        <v>2012</v>
      </c>
      <c r="E1532" s="8" t="s">
        <v>6851</v>
      </c>
      <c r="F1532" s="8" t="s">
        <v>143</v>
      </c>
      <c r="G1532" s="8" t="s">
        <v>152</v>
      </c>
      <c r="H1532" s="8" t="s">
        <v>145</v>
      </c>
      <c r="I1532" s="8" t="s">
        <v>153</v>
      </c>
      <c r="J1532" s="8" t="s">
        <v>6852</v>
      </c>
      <c r="K1532" s="8"/>
      <c r="L1532" s="8" t="s">
        <v>6853</v>
      </c>
    </row>
    <row r="1533" customFormat="false" ht="34.5" hidden="false" customHeight="true" outlineLevel="0" collapsed="false">
      <c r="A1533" s="8" t="n">
        <v>1285</v>
      </c>
      <c r="B1533" s="8" t="s">
        <v>49</v>
      </c>
      <c r="C1533" s="8" t="s">
        <v>6854</v>
      </c>
      <c r="D1533" s="8" t="n">
        <v>2019</v>
      </c>
      <c r="E1533" s="8" t="s">
        <v>6855</v>
      </c>
      <c r="F1533" s="8" t="s">
        <v>143</v>
      </c>
      <c r="G1533" s="8" t="s">
        <v>364</v>
      </c>
      <c r="H1533" s="8" t="s">
        <v>1373</v>
      </c>
      <c r="I1533" s="8" t="s">
        <v>153</v>
      </c>
      <c r="J1533" s="8" t="s">
        <v>6856</v>
      </c>
      <c r="K1533" s="8" t="s">
        <v>116</v>
      </c>
      <c r="L1533" s="8" t="s">
        <v>6857</v>
      </c>
    </row>
    <row r="1534" customFormat="false" ht="23.25" hidden="false" customHeight="true" outlineLevel="0" collapsed="false">
      <c r="A1534" s="8" t="n">
        <v>1286</v>
      </c>
      <c r="B1534" s="8" t="s">
        <v>49</v>
      </c>
      <c r="C1534" s="8" t="s">
        <v>6858</v>
      </c>
      <c r="D1534" s="8" t="n">
        <v>2018</v>
      </c>
      <c r="E1534" s="8" t="s">
        <v>6859</v>
      </c>
      <c r="F1534" s="8" t="s">
        <v>143</v>
      </c>
      <c r="G1534" s="8" t="s">
        <v>6860</v>
      </c>
      <c r="H1534" s="8" t="s">
        <v>145</v>
      </c>
      <c r="I1534" s="8" t="s">
        <v>153</v>
      </c>
      <c r="J1534" s="8" t="s">
        <v>6861</v>
      </c>
      <c r="K1534" s="8"/>
      <c r="L1534" s="8" t="s">
        <v>6862</v>
      </c>
    </row>
    <row r="1535" customFormat="false" ht="34.5" hidden="false" customHeight="true" outlineLevel="0" collapsed="false">
      <c r="A1535" s="8" t="n">
        <v>1287</v>
      </c>
      <c r="B1535" s="8" t="s">
        <v>49</v>
      </c>
      <c r="C1535" s="8" t="s">
        <v>6863</v>
      </c>
      <c r="D1535" s="8" t="n">
        <v>2019</v>
      </c>
      <c r="E1535" s="8" t="s">
        <v>6864</v>
      </c>
      <c r="F1535" s="8" t="s">
        <v>143</v>
      </c>
      <c r="G1535" s="8" t="s">
        <v>197</v>
      </c>
      <c r="H1535" s="8" t="s">
        <v>145</v>
      </c>
      <c r="I1535" s="8" t="s">
        <v>387</v>
      </c>
      <c r="J1535" s="8" t="s">
        <v>6865</v>
      </c>
      <c r="K1535" s="8"/>
      <c r="L1535" s="8" t="s">
        <v>6866</v>
      </c>
    </row>
    <row r="1536" customFormat="false" ht="34.5" hidden="false" customHeight="true" outlineLevel="0" collapsed="false">
      <c r="A1536" s="8" t="n">
        <v>1288</v>
      </c>
      <c r="B1536" s="8" t="s">
        <v>49</v>
      </c>
      <c r="C1536" s="8" t="s">
        <v>6867</v>
      </c>
      <c r="D1536" s="8" t="n">
        <v>2021</v>
      </c>
      <c r="E1536" s="8" t="s">
        <v>6868</v>
      </c>
      <c r="F1536" s="8" t="s">
        <v>143</v>
      </c>
      <c r="G1536" s="8" t="s">
        <v>6869</v>
      </c>
      <c r="H1536" s="8" t="s">
        <v>145</v>
      </c>
      <c r="I1536" s="8" t="s">
        <v>387</v>
      </c>
      <c r="J1536" s="8" t="s">
        <v>6870</v>
      </c>
      <c r="K1536" s="8"/>
      <c r="L1536" s="8" t="s">
        <v>6871</v>
      </c>
    </row>
    <row r="1537" customFormat="false" ht="34.5" hidden="false" customHeight="true" outlineLevel="0" collapsed="false">
      <c r="A1537" s="8" t="n">
        <v>1289</v>
      </c>
      <c r="B1537" s="8" t="s">
        <v>49</v>
      </c>
      <c r="C1537" s="8" t="s">
        <v>6872</v>
      </c>
      <c r="D1537" s="8" t="n">
        <v>2000</v>
      </c>
      <c r="E1537" s="8" t="s">
        <v>6873</v>
      </c>
      <c r="F1537" s="8" t="s">
        <v>143</v>
      </c>
      <c r="G1537" s="8" t="s">
        <v>152</v>
      </c>
      <c r="H1537" s="8" t="s">
        <v>856</v>
      </c>
      <c r="I1537" s="8" t="s">
        <v>146</v>
      </c>
      <c r="J1537" s="8" t="s">
        <v>6874</v>
      </c>
      <c r="K1537" s="8"/>
      <c r="L1537" s="8" t="s">
        <v>6875</v>
      </c>
    </row>
    <row r="1538" customFormat="false" ht="34.5" hidden="false" customHeight="true" outlineLevel="0" collapsed="false">
      <c r="A1538" s="8" t="n">
        <v>1290</v>
      </c>
      <c r="B1538" s="8" t="s">
        <v>49</v>
      </c>
      <c r="C1538" s="8" t="s">
        <v>6876</v>
      </c>
      <c r="D1538" s="8" t="n">
        <v>2018</v>
      </c>
      <c r="E1538" s="8" t="s">
        <v>6877</v>
      </c>
      <c r="F1538" s="8" t="s">
        <v>143</v>
      </c>
      <c r="G1538" s="8" t="s">
        <v>6878</v>
      </c>
      <c r="H1538" s="8" t="s">
        <v>145</v>
      </c>
      <c r="I1538" s="8" t="s">
        <v>153</v>
      </c>
      <c r="J1538" s="8" t="s">
        <v>6879</v>
      </c>
      <c r="K1538" s="8"/>
      <c r="L1538" s="8" t="s">
        <v>6880</v>
      </c>
    </row>
    <row r="1539" customFormat="false" ht="34.5" hidden="false" customHeight="true" outlineLevel="0" collapsed="false">
      <c r="A1539" s="8" t="n">
        <v>1291</v>
      </c>
      <c r="B1539" s="8" t="s">
        <v>49</v>
      </c>
      <c r="C1539" s="8" t="s">
        <v>6881</v>
      </c>
      <c r="D1539" s="8" t="n">
        <v>2009</v>
      </c>
      <c r="E1539" s="8" t="s">
        <v>6882</v>
      </c>
      <c r="F1539" s="8" t="s">
        <v>201</v>
      </c>
      <c r="G1539" s="8" t="s">
        <v>2299</v>
      </c>
      <c r="H1539" s="8" t="s">
        <v>145</v>
      </c>
      <c r="I1539" s="8" t="s">
        <v>153</v>
      </c>
      <c r="J1539" s="8" t="s">
        <v>1646</v>
      </c>
      <c r="K1539" s="8" t="s">
        <v>116</v>
      </c>
      <c r="L1539" s="8" t="s">
        <v>6883</v>
      </c>
    </row>
    <row r="1540" customFormat="false" ht="34.5" hidden="false" customHeight="true" outlineLevel="0" collapsed="false">
      <c r="A1540" s="8" t="n">
        <v>1292</v>
      </c>
      <c r="B1540" s="8" t="s">
        <v>49</v>
      </c>
      <c r="C1540" s="8" t="s">
        <v>6884</v>
      </c>
      <c r="D1540" s="8" t="n">
        <v>2020</v>
      </c>
      <c r="E1540" s="8" t="s">
        <v>6885</v>
      </c>
      <c r="F1540" s="8" t="s">
        <v>143</v>
      </c>
      <c r="G1540" s="8" t="s">
        <v>3693</v>
      </c>
      <c r="H1540" s="8" t="s">
        <v>145</v>
      </c>
      <c r="I1540" s="8" t="s">
        <v>146</v>
      </c>
      <c r="J1540" s="8" t="s">
        <v>6886</v>
      </c>
      <c r="K1540" s="8"/>
      <c r="L1540" s="8" t="s">
        <v>6887</v>
      </c>
    </row>
    <row r="1541" customFormat="false" ht="34.5" hidden="false" customHeight="true" outlineLevel="0" collapsed="false">
      <c r="A1541" s="8" t="n">
        <v>1293</v>
      </c>
      <c r="B1541" s="8" t="s">
        <v>49</v>
      </c>
      <c r="C1541" s="8" t="s">
        <v>6888</v>
      </c>
      <c r="D1541" s="8" t="n">
        <v>2008</v>
      </c>
      <c r="E1541" s="8" t="s">
        <v>6889</v>
      </c>
      <c r="F1541" s="8" t="s">
        <v>143</v>
      </c>
      <c r="G1541" s="8" t="s">
        <v>6890</v>
      </c>
      <c r="H1541" s="8" t="s">
        <v>145</v>
      </c>
      <c r="I1541" s="8" t="s">
        <v>387</v>
      </c>
      <c r="J1541" s="8" t="s">
        <v>6891</v>
      </c>
      <c r="K1541" s="8"/>
      <c r="L1541" s="8" t="s">
        <v>6892</v>
      </c>
    </row>
    <row r="1542" customFormat="false" ht="34.5" hidden="false" customHeight="true" outlineLevel="0" collapsed="false">
      <c r="A1542" s="8" t="n">
        <v>1294</v>
      </c>
      <c r="B1542" s="8" t="s">
        <v>49</v>
      </c>
      <c r="C1542" s="8" t="s">
        <v>6893</v>
      </c>
      <c r="D1542" s="8" t="n">
        <v>2019</v>
      </c>
      <c r="E1542" s="8" t="s">
        <v>6894</v>
      </c>
      <c r="F1542" s="8" t="s">
        <v>143</v>
      </c>
      <c r="G1542" s="8" t="s">
        <v>626</v>
      </c>
      <c r="H1542" s="8" t="s">
        <v>6895</v>
      </c>
      <c r="I1542" s="8" t="s">
        <v>208</v>
      </c>
      <c r="J1542" s="8" t="s">
        <v>6896</v>
      </c>
      <c r="K1542" s="8"/>
      <c r="L1542" s="8" t="s">
        <v>6897</v>
      </c>
    </row>
    <row r="1543" customFormat="false" ht="34.5" hidden="false" customHeight="true" outlineLevel="0" collapsed="false">
      <c r="A1543" s="8" t="n">
        <v>1295</v>
      </c>
      <c r="B1543" s="8" t="s">
        <v>49</v>
      </c>
      <c r="C1543" s="8" t="s">
        <v>6898</v>
      </c>
      <c r="D1543" s="8" t="n">
        <v>2005</v>
      </c>
      <c r="E1543" s="8" t="s">
        <v>6899</v>
      </c>
      <c r="F1543" s="8" t="s">
        <v>143</v>
      </c>
      <c r="G1543" s="8" t="s">
        <v>3492</v>
      </c>
      <c r="H1543" s="8" t="s">
        <v>145</v>
      </c>
      <c r="I1543" s="8" t="s">
        <v>146</v>
      </c>
      <c r="J1543" s="8" t="s">
        <v>6900</v>
      </c>
      <c r="K1543" s="8" t="s">
        <v>116</v>
      </c>
      <c r="L1543" s="8" t="s">
        <v>6901</v>
      </c>
    </row>
    <row r="1544" customFormat="false" ht="34.5" hidden="false" customHeight="true" outlineLevel="0" collapsed="false">
      <c r="A1544" s="8" t="n">
        <v>1296</v>
      </c>
      <c r="B1544" s="8" t="s">
        <v>49</v>
      </c>
      <c r="C1544" s="8" t="s">
        <v>6902</v>
      </c>
      <c r="D1544" s="8" t="n">
        <v>2015</v>
      </c>
      <c r="E1544" s="8" t="s">
        <v>6903</v>
      </c>
      <c r="F1544" s="8" t="s">
        <v>143</v>
      </c>
      <c r="G1544" s="8" t="s">
        <v>6513</v>
      </c>
      <c r="H1544" s="8" t="s">
        <v>145</v>
      </c>
      <c r="I1544" s="8" t="s">
        <v>387</v>
      </c>
      <c r="J1544" s="8" t="s">
        <v>6904</v>
      </c>
      <c r="K1544" s="8" t="s">
        <v>114</v>
      </c>
      <c r="L1544" s="8" t="s">
        <v>6905</v>
      </c>
    </row>
    <row r="1545" customFormat="false" ht="34.5" hidden="false" customHeight="true" outlineLevel="0" collapsed="false">
      <c r="A1545" s="8" t="n">
        <v>1297</v>
      </c>
      <c r="B1545" s="8" t="s">
        <v>49</v>
      </c>
      <c r="C1545" s="8" t="s">
        <v>6902</v>
      </c>
      <c r="D1545" s="8" t="n">
        <v>2018</v>
      </c>
      <c r="E1545" s="8" t="s">
        <v>6906</v>
      </c>
      <c r="F1545" s="8" t="s">
        <v>143</v>
      </c>
      <c r="G1545" s="8" t="s">
        <v>6907</v>
      </c>
      <c r="H1545" s="8" t="s">
        <v>6908</v>
      </c>
      <c r="I1545" s="8" t="s">
        <v>146</v>
      </c>
      <c r="J1545" s="8" t="s">
        <v>6909</v>
      </c>
      <c r="K1545" s="8"/>
      <c r="L1545" s="8" t="s">
        <v>6910</v>
      </c>
    </row>
    <row r="1546" customFormat="false" ht="34.5" hidden="false" customHeight="true" outlineLevel="0" collapsed="false">
      <c r="A1546" s="8" t="n">
        <v>1298</v>
      </c>
      <c r="B1546" s="8" t="s">
        <v>49</v>
      </c>
      <c r="C1546" s="8" t="s">
        <v>6902</v>
      </c>
      <c r="D1546" s="8" t="n">
        <v>2020</v>
      </c>
      <c r="E1546" s="8" t="s">
        <v>6911</v>
      </c>
      <c r="F1546" s="8" t="s">
        <v>143</v>
      </c>
      <c r="G1546" s="8" t="s">
        <v>6912</v>
      </c>
      <c r="H1546" s="8" t="s">
        <v>145</v>
      </c>
      <c r="I1546" s="8" t="s">
        <v>153</v>
      </c>
      <c r="J1546" s="8" t="s">
        <v>6913</v>
      </c>
      <c r="K1546" s="8"/>
      <c r="L1546" s="8" t="s">
        <v>6914</v>
      </c>
    </row>
    <row r="1547" customFormat="false" ht="34.5" hidden="false" customHeight="true" outlineLevel="0" collapsed="false">
      <c r="A1547" s="8" t="n">
        <v>1299</v>
      </c>
      <c r="B1547" s="8" t="s">
        <v>49</v>
      </c>
      <c r="C1547" s="8" t="s">
        <v>6915</v>
      </c>
      <c r="D1547" s="8" t="n">
        <v>2017</v>
      </c>
      <c r="E1547" s="8" t="s">
        <v>6916</v>
      </c>
      <c r="F1547" s="8" t="s">
        <v>143</v>
      </c>
      <c r="G1547" s="8" t="s">
        <v>6917</v>
      </c>
      <c r="H1547" s="8" t="s">
        <v>145</v>
      </c>
      <c r="I1547" s="8" t="s">
        <v>153</v>
      </c>
      <c r="J1547" s="8" t="s">
        <v>6918</v>
      </c>
      <c r="K1547" s="8"/>
      <c r="L1547" s="8" t="s">
        <v>6919</v>
      </c>
    </row>
    <row r="1548" customFormat="false" ht="34.5" hidden="false" customHeight="true" outlineLevel="0" collapsed="false">
      <c r="A1548" s="8" t="n">
        <v>1300</v>
      </c>
      <c r="B1548" s="8" t="s">
        <v>49</v>
      </c>
      <c r="C1548" s="8" t="s">
        <v>6915</v>
      </c>
      <c r="D1548" s="8" t="n">
        <v>2017</v>
      </c>
      <c r="E1548" s="8" t="s">
        <v>6920</v>
      </c>
      <c r="F1548" s="8" t="s">
        <v>143</v>
      </c>
      <c r="G1548" s="8" t="s">
        <v>6084</v>
      </c>
      <c r="H1548" s="8" t="s">
        <v>145</v>
      </c>
      <c r="I1548" s="8" t="s">
        <v>153</v>
      </c>
      <c r="J1548" s="8" t="s">
        <v>6921</v>
      </c>
      <c r="K1548" s="8"/>
      <c r="L1548" s="8" t="s">
        <v>6922</v>
      </c>
    </row>
    <row r="1549" customFormat="false" ht="34.5" hidden="false" customHeight="true" outlineLevel="0" collapsed="false">
      <c r="A1549" s="9" t="n">
        <v>1301</v>
      </c>
      <c r="B1549" s="10" t="s">
        <v>49</v>
      </c>
      <c r="C1549" s="10" t="s">
        <v>6923</v>
      </c>
      <c r="D1549" s="10" t="n">
        <v>2016</v>
      </c>
      <c r="E1549" s="10" t="s">
        <v>6924</v>
      </c>
      <c r="F1549" s="10" t="s">
        <v>201</v>
      </c>
      <c r="G1549" s="10" t="s">
        <v>1619</v>
      </c>
      <c r="H1549" s="10" t="s">
        <v>145</v>
      </c>
      <c r="I1549" s="10" t="s">
        <v>153</v>
      </c>
      <c r="J1549" s="10" t="s">
        <v>6925</v>
      </c>
      <c r="K1549" s="10" t="s">
        <v>114</v>
      </c>
      <c r="L1549" s="10" t="s">
        <v>6926</v>
      </c>
    </row>
    <row r="1550" customFormat="false" ht="34.5" hidden="false" customHeight="true" outlineLevel="0" collapsed="false">
      <c r="A1550" s="11" t="n">
        <v>1301</v>
      </c>
      <c r="B1550" s="12" t="s">
        <v>51</v>
      </c>
      <c r="C1550" s="12" t="s">
        <v>6927</v>
      </c>
      <c r="D1550" s="12" t="n">
        <v>2016</v>
      </c>
      <c r="E1550" s="12" t="s">
        <v>6928</v>
      </c>
      <c r="F1550" s="12" t="s">
        <v>143</v>
      </c>
      <c r="G1550" s="12" t="s">
        <v>1619</v>
      </c>
      <c r="H1550" s="12" t="s">
        <v>145</v>
      </c>
      <c r="I1550" s="12" t="s">
        <v>153</v>
      </c>
      <c r="J1550" s="12" t="s">
        <v>6742</v>
      </c>
      <c r="K1550" s="12" t="s">
        <v>114</v>
      </c>
      <c r="L1550" s="12" t="s">
        <v>6929</v>
      </c>
    </row>
    <row r="1551" customFormat="false" ht="34.5" hidden="false" customHeight="true" outlineLevel="0" collapsed="false">
      <c r="A1551" s="8" t="n">
        <v>1302</v>
      </c>
      <c r="B1551" s="8" t="s">
        <v>49</v>
      </c>
      <c r="C1551" s="8" t="s">
        <v>6930</v>
      </c>
      <c r="D1551" s="8" t="n">
        <v>2014</v>
      </c>
      <c r="E1551" s="8" t="s">
        <v>6931</v>
      </c>
      <c r="F1551" s="8" t="s">
        <v>143</v>
      </c>
      <c r="G1551" s="8" t="s">
        <v>4903</v>
      </c>
      <c r="H1551" s="8" t="s">
        <v>6932</v>
      </c>
      <c r="I1551" s="8" t="s">
        <v>153</v>
      </c>
      <c r="J1551" s="8" t="s">
        <v>6933</v>
      </c>
      <c r="K1551" s="8" t="s">
        <v>114</v>
      </c>
      <c r="L1551" s="8" t="s">
        <v>6934</v>
      </c>
    </row>
    <row r="1552" customFormat="false" ht="34.5" hidden="false" customHeight="true" outlineLevel="0" collapsed="false">
      <c r="A1552" s="8" t="n">
        <v>1303</v>
      </c>
      <c r="B1552" s="8" t="s">
        <v>49</v>
      </c>
      <c r="C1552" s="8" t="s">
        <v>6935</v>
      </c>
      <c r="D1552" s="8" t="n">
        <v>2014</v>
      </c>
      <c r="E1552" s="8" t="s">
        <v>6936</v>
      </c>
      <c r="F1552" s="8" t="s">
        <v>143</v>
      </c>
      <c r="G1552" s="8" t="s">
        <v>1619</v>
      </c>
      <c r="H1552" s="8" t="s">
        <v>145</v>
      </c>
      <c r="I1552" s="8" t="s">
        <v>153</v>
      </c>
      <c r="J1552" s="8" t="s">
        <v>6937</v>
      </c>
      <c r="K1552" s="8" t="s">
        <v>114</v>
      </c>
      <c r="L1552" s="8" t="s">
        <v>6938</v>
      </c>
    </row>
    <row r="1553" customFormat="false" ht="34.5" hidden="false" customHeight="true" outlineLevel="0" collapsed="false">
      <c r="A1553" s="8" t="n">
        <v>1304</v>
      </c>
      <c r="B1553" s="8" t="s">
        <v>49</v>
      </c>
      <c r="C1553" s="8" t="s">
        <v>6939</v>
      </c>
      <c r="D1553" s="8" t="n">
        <v>2017</v>
      </c>
      <c r="E1553" s="8" t="s">
        <v>6940</v>
      </c>
      <c r="F1553" s="8" t="s">
        <v>143</v>
      </c>
      <c r="G1553" s="8" t="s">
        <v>6941</v>
      </c>
      <c r="H1553" s="8" t="s">
        <v>145</v>
      </c>
      <c r="I1553" s="8" t="s">
        <v>153</v>
      </c>
      <c r="J1553" s="8" t="s">
        <v>6942</v>
      </c>
      <c r="K1553" s="8"/>
      <c r="L1553" s="8" t="s">
        <v>6943</v>
      </c>
    </row>
    <row r="1554" customFormat="false" ht="34.5" hidden="false" customHeight="true" outlineLevel="0" collapsed="false">
      <c r="A1554" s="8" t="n">
        <v>1305</v>
      </c>
      <c r="B1554" s="8" t="s">
        <v>49</v>
      </c>
      <c r="C1554" s="8" t="s">
        <v>6944</v>
      </c>
      <c r="D1554" s="8" t="n">
        <v>2021</v>
      </c>
      <c r="E1554" s="8" t="s">
        <v>6945</v>
      </c>
      <c r="F1554" s="8" t="s">
        <v>143</v>
      </c>
      <c r="G1554" s="8" t="s">
        <v>6946</v>
      </c>
      <c r="H1554" s="8" t="s">
        <v>145</v>
      </c>
      <c r="I1554" s="8" t="s">
        <v>387</v>
      </c>
      <c r="J1554" s="8" t="s">
        <v>6947</v>
      </c>
      <c r="K1554" s="8"/>
      <c r="L1554" s="8" t="s">
        <v>6948</v>
      </c>
    </row>
    <row r="1555" customFormat="false" ht="34.5" hidden="false" customHeight="true" outlineLevel="0" collapsed="false">
      <c r="A1555" s="8" t="n">
        <v>1306</v>
      </c>
      <c r="B1555" s="8" t="s">
        <v>49</v>
      </c>
      <c r="C1555" s="8" t="s">
        <v>6949</v>
      </c>
      <c r="D1555" s="8" t="n">
        <v>2016</v>
      </c>
      <c r="E1555" s="8" t="s">
        <v>6950</v>
      </c>
      <c r="F1555" s="8" t="s">
        <v>143</v>
      </c>
      <c r="G1555" s="8" t="s">
        <v>6951</v>
      </c>
      <c r="H1555" s="8" t="s">
        <v>1198</v>
      </c>
      <c r="I1555" s="8" t="s">
        <v>146</v>
      </c>
      <c r="J1555" s="8" t="s">
        <v>6952</v>
      </c>
      <c r="K1555" s="8" t="s">
        <v>116</v>
      </c>
      <c r="L1555" s="8" t="s">
        <v>6953</v>
      </c>
    </row>
    <row r="1556" customFormat="false" ht="34.5" hidden="false" customHeight="true" outlineLevel="0" collapsed="false">
      <c r="A1556" s="8" t="n">
        <v>1307</v>
      </c>
      <c r="B1556" s="8" t="s">
        <v>49</v>
      </c>
      <c r="C1556" s="8" t="s">
        <v>6954</v>
      </c>
      <c r="D1556" s="8" t="n">
        <v>2019</v>
      </c>
      <c r="E1556" s="8" t="s">
        <v>6955</v>
      </c>
      <c r="F1556" s="8" t="s">
        <v>143</v>
      </c>
      <c r="G1556" s="8" t="s">
        <v>4903</v>
      </c>
      <c r="H1556" s="8" t="s">
        <v>145</v>
      </c>
      <c r="I1556" s="8" t="s">
        <v>153</v>
      </c>
      <c r="J1556" s="8" t="s">
        <v>6956</v>
      </c>
      <c r="K1556" s="8" t="s">
        <v>114</v>
      </c>
      <c r="L1556" s="8" t="s">
        <v>6957</v>
      </c>
    </row>
    <row r="1557" customFormat="false" ht="34.5" hidden="false" customHeight="true" outlineLevel="0" collapsed="false">
      <c r="A1557" s="8" t="n">
        <v>1308</v>
      </c>
      <c r="B1557" s="8" t="s">
        <v>49</v>
      </c>
      <c r="C1557" s="8" t="s">
        <v>6954</v>
      </c>
      <c r="D1557" s="8" t="n">
        <v>2014</v>
      </c>
      <c r="E1557" s="8" t="s">
        <v>6958</v>
      </c>
      <c r="F1557" s="8" t="s">
        <v>143</v>
      </c>
      <c r="G1557" s="8" t="s">
        <v>6959</v>
      </c>
      <c r="H1557" s="8" t="s">
        <v>145</v>
      </c>
      <c r="I1557" s="8" t="s">
        <v>387</v>
      </c>
      <c r="J1557" s="8" t="s">
        <v>6960</v>
      </c>
      <c r="K1557" s="8"/>
      <c r="L1557" s="8" t="s">
        <v>6961</v>
      </c>
    </row>
    <row r="1558" customFormat="false" ht="34.5" hidden="false" customHeight="true" outlineLevel="0" collapsed="false">
      <c r="A1558" s="8" t="n">
        <v>1309</v>
      </c>
      <c r="B1558" s="8" t="s">
        <v>49</v>
      </c>
      <c r="C1558" s="8" t="s">
        <v>6962</v>
      </c>
      <c r="D1558" s="8" t="n">
        <v>2013</v>
      </c>
      <c r="E1558" s="8" t="s">
        <v>6963</v>
      </c>
      <c r="F1558" s="8" t="s">
        <v>143</v>
      </c>
      <c r="G1558" s="8" t="s">
        <v>6964</v>
      </c>
      <c r="H1558" s="8" t="s">
        <v>145</v>
      </c>
      <c r="I1558" s="8" t="s">
        <v>146</v>
      </c>
      <c r="J1558" s="8" t="s">
        <v>6965</v>
      </c>
      <c r="K1558" s="8" t="s">
        <v>112</v>
      </c>
      <c r="L1558" s="8" t="s">
        <v>6966</v>
      </c>
    </row>
    <row r="1559" customFormat="false" ht="34.5" hidden="false" customHeight="true" outlineLevel="0" collapsed="false">
      <c r="A1559" s="8" t="n">
        <v>1310</v>
      </c>
      <c r="B1559" s="8" t="s">
        <v>49</v>
      </c>
      <c r="C1559" s="8" t="s">
        <v>6954</v>
      </c>
      <c r="D1559" s="8" t="n">
        <v>2020</v>
      </c>
      <c r="E1559" s="8" t="s">
        <v>6967</v>
      </c>
      <c r="F1559" s="8" t="s">
        <v>143</v>
      </c>
      <c r="G1559" s="8" t="s">
        <v>6968</v>
      </c>
      <c r="H1559" s="8" t="s">
        <v>6969</v>
      </c>
      <c r="I1559" s="8" t="s">
        <v>146</v>
      </c>
      <c r="J1559" s="8" t="s">
        <v>6970</v>
      </c>
      <c r="K1559" s="8"/>
      <c r="L1559" s="8" t="s">
        <v>6971</v>
      </c>
    </row>
    <row r="1560" customFormat="false" ht="34.5" hidden="false" customHeight="true" outlineLevel="0" collapsed="false">
      <c r="A1560" s="8" t="n">
        <v>1311</v>
      </c>
      <c r="B1560" s="8" t="s">
        <v>49</v>
      </c>
      <c r="C1560" s="8" t="s">
        <v>6972</v>
      </c>
      <c r="D1560" s="8" t="n">
        <v>1996</v>
      </c>
      <c r="E1560" s="8" t="s">
        <v>6973</v>
      </c>
      <c r="F1560" s="8" t="s">
        <v>143</v>
      </c>
      <c r="G1560" s="8" t="s">
        <v>6974</v>
      </c>
      <c r="H1560" s="8" t="s">
        <v>4711</v>
      </c>
      <c r="I1560" s="8" t="s">
        <v>146</v>
      </c>
      <c r="J1560" s="8" t="s">
        <v>6975</v>
      </c>
      <c r="K1560" s="8"/>
      <c r="L1560" s="8" t="s">
        <v>6976</v>
      </c>
    </row>
    <row r="1561" customFormat="false" ht="34.5" hidden="false" customHeight="true" outlineLevel="0" collapsed="false">
      <c r="A1561" s="8" t="n">
        <v>1312</v>
      </c>
      <c r="B1561" s="8" t="s">
        <v>49</v>
      </c>
      <c r="C1561" s="8" t="s">
        <v>6977</v>
      </c>
      <c r="D1561" s="8" t="n">
        <v>2005</v>
      </c>
      <c r="E1561" s="8" t="s">
        <v>6978</v>
      </c>
      <c r="F1561" s="8" t="s">
        <v>201</v>
      </c>
      <c r="G1561" s="8" t="s">
        <v>6979</v>
      </c>
      <c r="H1561" s="8" t="s">
        <v>145</v>
      </c>
      <c r="I1561" s="8" t="s">
        <v>146</v>
      </c>
      <c r="J1561" s="8" t="s">
        <v>6980</v>
      </c>
      <c r="K1561" s="8"/>
      <c r="L1561" s="8" t="s">
        <v>6981</v>
      </c>
    </row>
    <row r="1562" customFormat="false" ht="34.5" hidden="false" customHeight="true" outlineLevel="0" collapsed="false">
      <c r="A1562" s="8" t="n">
        <v>1313</v>
      </c>
      <c r="B1562" s="8" t="s">
        <v>49</v>
      </c>
      <c r="C1562" s="8" t="s">
        <v>6982</v>
      </c>
      <c r="D1562" s="8" t="n">
        <v>2017</v>
      </c>
      <c r="E1562" s="8" t="s">
        <v>6983</v>
      </c>
      <c r="F1562" s="8" t="s">
        <v>143</v>
      </c>
      <c r="G1562" s="8" t="s">
        <v>6984</v>
      </c>
      <c r="H1562" s="8" t="s">
        <v>145</v>
      </c>
      <c r="I1562" s="8" t="s">
        <v>153</v>
      </c>
      <c r="J1562" s="8" t="s">
        <v>6985</v>
      </c>
      <c r="K1562" s="8"/>
      <c r="L1562" s="8" t="s">
        <v>6986</v>
      </c>
    </row>
    <row r="1563" customFormat="false" ht="34.5" hidden="false" customHeight="true" outlineLevel="0" collapsed="false">
      <c r="A1563" s="8" t="n">
        <v>1314</v>
      </c>
      <c r="B1563" s="8" t="s">
        <v>49</v>
      </c>
      <c r="C1563" s="8" t="s">
        <v>6987</v>
      </c>
      <c r="D1563" s="8" t="n">
        <v>2018</v>
      </c>
      <c r="E1563" s="8" t="s">
        <v>6988</v>
      </c>
      <c r="F1563" s="8" t="s">
        <v>151</v>
      </c>
      <c r="G1563" s="8" t="s">
        <v>364</v>
      </c>
      <c r="H1563" s="8" t="s">
        <v>145</v>
      </c>
      <c r="I1563" s="8" t="s">
        <v>153</v>
      </c>
      <c r="J1563" s="8" t="s">
        <v>6989</v>
      </c>
      <c r="K1563" s="8"/>
      <c r="L1563" s="8" t="s">
        <v>6990</v>
      </c>
    </row>
    <row r="1564" customFormat="false" ht="34.5" hidden="false" customHeight="true" outlineLevel="0" collapsed="false">
      <c r="A1564" s="8" t="n">
        <v>1315</v>
      </c>
      <c r="B1564" s="8" t="s">
        <v>49</v>
      </c>
      <c r="C1564" s="8" t="s">
        <v>6991</v>
      </c>
      <c r="D1564" s="8" t="n">
        <v>2016</v>
      </c>
      <c r="E1564" s="8" t="s">
        <v>6992</v>
      </c>
      <c r="F1564" s="8" t="s">
        <v>143</v>
      </c>
      <c r="G1564" s="8" t="s">
        <v>6993</v>
      </c>
      <c r="H1564" s="8" t="s">
        <v>145</v>
      </c>
      <c r="I1564" s="8" t="s">
        <v>153</v>
      </c>
      <c r="J1564" s="8" t="s">
        <v>6994</v>
      </c>
      <c r="K1564" s="8" t="s">
        <v>116</v>
      </c>
      <c r="L1564" s="8" t="s">
        <v>6995</v>
      </c>
    </row>
    <row r="1565" customFormat="false" ht="34.5" hidden="false" customHeight="true" outlineLevel="0" collapsed="false">
      <c r="A1565" s="8" t="n">
        <v>1316</v>
      </c>
      <c r="B1565" s="8" t="s">
        <v>49</v>
      </c>
      <c r="C1565" s="8" t="s">
        <v>6996</v>
      </c>
      <c r="D1565" s="8" t="n">
        <v>2019</v>
      </c>
      <c r="E1565" s="8" t="s">
        <v>6997</v>
      </c>
      <c r="F1565" s="8" t="s">
        <v>143</v>
      </c>
      <c r="G1565" s="8" t="s">
        <v>6998</v>
      </c>
      <c r="H1565" s="8" t="s">
        <v>901</v>
      </c>
      <c r="I1565" s="8" t="s">
        <v>387</v>
      </c>
      <c r="J1565" s="8" t="s">
        <v>6999</v>
      </c>
      <c r="K1565" s="8" t="s">
        <v>114</v>
      </c>
      <c r="L1565" s="8" t="s">
        <v>7000</v>
      </c>
    </row>
    <row r="1566" customFormat="false" ht="34.5" hidden="false" customHeight="true" outlineLevel="0" collapsed="false">
      <c r="A1566" s="8" t="n">
        <v>1317</v>
      </c>
      <c r="B1566" s="8" t="s">
        <v>49</v>
      </c>
      <c r="C1566" s="8" t="s">
        <v>7001</v>
      </c>
      <c r="D1566" s="8" t="n">
        <v>2018</v>
      </c>
      <c r="E1566" s="8" t="s">
        <v>7002</v>
      </c>
      <c r="F1566" s="8" t="s">
        <v>143</v>
      </c>
      <c r="G1566" s="8" t="s">
        <v>1619</v>
      </c>
      <c r="H1566" s="8" t="s">
        <v>145</v>
      </c>
      <c r="I1566" s="8" t="s">
        <v>387</v>
      </c>
      <c r="J1566" s="8" t="s">
        <v>7003</v>
      </c>
      <c r="K1566" s="8"/>
      <c r="L1566" s="8" t="s">
        <v>7004</v>
      </c>
    </row>
    <row r="1567" customFormat="false" ht="34.5" hidden="false" customHeight="true" outlineLevel="0" collapsed="false">
      <c r="A1567" s="8" t="n">
        <v>1318</v>
      </c>
      <c r="B1567" s="8" t="s">
        <v>49</v>
      </c>
      <c r="C1567" s="8" t="s">
        <v>7005</v>
      </c>
      <c r="D1567" s="8" t="n">
        <v>2020</v>
      </c>
      <c r="E1567" s="8" t="s">
        <v>7006</v>
      </c>
      <c r="F1567" s="8" t="s">
        <v>143</v>
      </c>
      <c r="G1567" s="8" t="s">
        <v>7007</v>
      </c>
      <c r="H1567" s="8" t="s">
        <v>7008</v>
      </c>
      <c r="I1567" s="8" t="s">
        <v>146</v>
      </c>
      <c r="J1567" s="8" t="s">
        <v>7009</v>
      </c>
      <c r="K1567" s="8"/>
      <c r="L1567" s="8" t="s">
        <v>7010</v>
      </c>
    </row>
    <row r="1568" customFormat="false" ht="34.5" hidden="false" customHeight="true" outlineLevel="0" collapsed="false">
      <c r="A1568" s="8" t="n">
        <v>1319</v>
      </c>
      <c r="B1568" s="8" t="s">
        <v>49</v>
      </c>
      <c r="C1568" s="8" t="s">
        <v>7011</v>
      </c>
      <c r="D1568" s="8" t="n">
        <v>2010</v>
      </c>
      <c r="E1568" s="8" t="s">
        <v>7012</v>
      </c>
      <c r="F1568" s="8" t="s">
        <v>143</v>
      </c>
      <c r="G1568" s="8" t="s">
        <v>7013</v>
      </c>
      <c r="H1568" s="8" t="s">
        <v>145</v>
      </c>
      <c r="I1568" s="8" t="s">
        <v>146</v>
      </c>
      <c r="J1568" s="8" t="s">
        <v>7014</v>
      </c>
      <c r="K1568" s="8"/>
      <c r="L1568" s="8" t="s">
        <v>7015</v>
      </c>
    </row>
    <row r="1569" customFormat="false" ht="34.5" hidden="false" customHeight="true" outlineLevel="0" collapsed="false">
      <c r="A1569" s="8" t="n">
        <v>1320</v>
      </c>
      <c r="B1569" s="8" t="s">
        <v>49</v>
      </c>
      <c r="C1569" s="8" t="s">
        <v>7016</v>
      </c>
      <c r="D1569" s="8" t="n">
        <v>2008</v>
      </c>
      <c r="E1569" s="8" t="s">
        <v>7017</v>
      </c>
      <c r="F1569" s="8" t="s">
        <v>143</v>
      </c>
      <c r="G1569" s="8" t="s">
        <v>7018</v>
      </c>
      <c r="H1569" s="8" t="s">
        <v>3558</v>
      </c>
      <c r="I1569" s="8" t="s">
        <v>146</v>
      </c>
      <c r="J1569" s="8" t="s">
        <v>7019</v>
      </c>
      <c r="K1569" s="8" t="s">
        <v>116</v>
      </c>
      <c r="L1569" s="8" t="s">
        <v>7020</v>
      </c>
    </row>
    <row r="1570" customFormat="false" ht="34.5" hidden="false" customHeight="true" outlineLevel="0" collapsed="false">
      <c r="A1570" s="8" t="n">
        <v>1321</v>
      </c>
      <c r="B1570" s="8" t="s">
        <v>49</v>
      </c>
      <c r="C1570" s="8" t="s">
        <v>7021</v>
      </c>
      <c r="D1570" s="8" t="n">
        <v>2014</v>
      </c>
      <c r="E1570" s="8" t="s">
        <v>7022</v>
      </c>
      <c r="F1570" s="8" t="s">
        <v>143</v>
      </c>
      <c r="G1570" s="8" t="s">
        <v>7023</v>
      </c>
      <c r="H1570" s="8" t="s">
        <v>6908</v>
      </c>
      <c r="I1570" s="8" t="s">
        <v>146</v>
      </c>
      <c r="J1570" s="8" t="s">
        <v>7024</v>
      </c>
      <c r="K1570" s="8"/>
      <c r="L1570" s="8" t="s">
        <v>7025</v>
      </c>
    </row>
    <row r="1571" customFormat="false" ht="34.5" hidden="false" customHeight="true" outlineLevel="0" collapsed="false">
      <c r="A1571" s="8" t="n">
        <v>1322</v>
      </c>
      <c r="B1571" s="8" t="s">
        <v>49</v>
      </c>
      <c r="C1571" s="8" t="s">
        <v>7026</v>
      </c>
      <c r="D1571" s="8" t="n">
        <v>2018</v>
      </c>
      <c r="E1571" s="8" t="s">
        <v>7027</v>
      </c>
      <c r="F1571" s="8" t="s">
        <v>143</v>
      </c>
      <c r="G1571" s="8" t="s">
        <v>7028</v>
      </c>
      <c r="H1571" s="8" t="s">
        <v>7029</v>
      </c>
      <c r="I1571" s="8" t="s">
        <v>146</v>
      </c>
      <c r="J1571" s="8" t="s">
        <v>7030</v>
      </c>
      <c r="K1571" s="8"/>
      <c r="L1571" s="8" t="s">
        <v>7031</v>
      </c>
    </row>
    <row r="1572" customFormat="false" ht="34.5" hidden="false" customHeight="true" outlineLevel="0" collapsed="false">
      <c r="A1572" s="8" t="n">
        <v>1323</v>
      </c>
      <c r="B1572" s="8" t="s">
        <v>49</v>
      </c>
      <c r="C1572" s="8" t="s">
        <v>7032</v>
      </c>
      <c r="D1572" s="8" t="n">
        <v>2017</v>
      </c>
      <c r="E1572" s="8" t="s">
        <v>7033</v>
      </c>
      <c r="F1572" s="8" t="s">
        <v>143</v>
      </c>
      <c r="G1572" s="8" t="s">
        <v>7034</v>
      </c>
      <c r="H1572" s="8" t="s">
        <v>145</v>
      </c>
      <c r="I1572" s="8" t="s">
        <v>387</v>
      </c>
      <c r="J1572" s="8" t="s">
        <v>7035</v>
      </c>
      <c r="K1572" s="8" t="s">
        <v>114</v>
      </c>
      <c r="L1572" s="8" t="s">
        <v>7036</v>
      </c>
    </row>
    <row r="1573" customFormat="false" ht="34.5" hidden="false" customHeight="true" outlineLevel="0" collapsed="false">
      <c r="A1573" s="8" t="n">
        <v>1324</v>
      </c>
      <c r="B1573" s="8" t="s">
        <v>49</v>
      </c>
      <c r="C1573" s="8" t="s">
        <v>7037</v>
      </c>
      <c r="D1573" s="8" t="n">
        <v>2012</v>
      </c>
      <c r="E1573" s="8" t="s">
        <v>7038</v>
      </c>
      <c r="F1573" s="8" t="s">
        <v>143</v>
      </c>
      <c r="G1573" s="8" t="s">
        <v>7039</v>
      </c>
      <c r="H1573" s="8" t="s">
        <v>7008</v>
      </c>
      <c r="I1573" s="8" t="s">
        <v>146</v>
      </c>
      <c r="J1573" s="8" t="s">
        <v>7040</v>
      </c>
      <c r="K1573" s="8" t="s">
        <v>112</v>
      </c>
      <c r="L1573" s="8" t="s">
        <v>7041</v>
      </c>
    </row>
    <row r="1574" customFormat="false" ht="34.5" hidden="false" customHeight="true" outlineLevel="0" collapsed="false">
      <c r="A1574" s="8" t="n">
        <v>1325</v>
      </c>
      <c r="B1574" s="8" t="s">
        <v>49</v>
      </c>
      <c r="C1574" s="8" t="s">
        <v>7042</v>
      </c>
      <c r="D1574" s="8" t="n">
        <v>2017</v>
      </c>
      <c r="E1574" s="8" t="s">
        <v>7043</v>
      </c>
      <c r="F1574" s="8" t="s">
        <v>143</v>
      </c>
      <c r="G1574" s="8" t="s">
        <v>1597</v>
      </c>
      <c r="H1574" s="8" t="s">
        <v>145</v>
      </c>
      <c r="I1574" s="8" t="s">
        <v>146</v>
      </c>
      <c r="J1574" s="8" t="s">
        <v>7044</v>
      </c>
      <c r="K1574" s="8" t="s">
        <v>116</v>
      </c>
      <c r="L1574" s="8" t="s">
        <v>7045</v>
      </c>
    </row>
    <row r="1575" customFormat="false" ht="34.5" hidden="false" customHeight="true" outlineLevel="0" collapsed="false">
      <c r="A1575" s="8" t="n">
        <v>1326</v>
      </c>
      <c r="B1575" s="8" t="s">
        <v>49</v>
      </c>
      <c r="C1575" s="8" t="s">
        <v>7046</v>
      </c>
      <c r="D1575" s="8" t="n">
        <v>2023</v>
      </c>
      <c r="E1575" s="8" t="s">
        <v>7047</v>
      </c>
      <c r="F1575" s="8" t="s">
        <v>143</v>
      </c>
      <c r="G1575" s="8" t="s">
        <v>7048</v>
      </c>
      <c r="H1575" s="8" t="s">
        <v>7049</v>
      </c>
      <c r="I1575" s="8" t="s">
        <v>748</v>
      </c>
      <c r="J1575" s="8" t="s">
        <v>7050</v>
      </c>
      <c r="K1575" s="8"/>
      <c r="L1575" s="8" t="s">
        <v>7051</v>
      </c>
    </row>
    <row r="1576" customFormat="false" ht="34.5" hidden="false" customHeight="true" outlineLevel="0" collapsed="false">
      <c r="A1576" s="8" t="n">
        <v>1327</v>
      </c>
      <c r="B1576" s="8" t="s">
        <v>49</v>
      </c>
      <c r="C1576" s="8" t="s">
        <v>7052</v>
      </c>
      <c r="D1576" s="8" t="n">
        <v>2019</v>
      </c>
      <c r="E1576" s="8" t="s">
        <v>7053</v>
      </c>
      <c r="F1576" s="8" t="s">
        <v>143</v>
      </c>
      <c r="G1576" s="8" t="s">
        <v>7054</v>
      </c>
      <c r="H1576" s="8" t="s">
        <v>145</v>
      </c>
      <c r="I1576" s="8" t="s">
        <v>153</v>
      </c>
      <c r="J1576" s="8" t="s">
        <v>7055</v>
      </c>
      <c r="K1576" s="8"/>
      <c r="L1576" s="8" t="s">
        <v>7056</v>
      </c>
    </row>
    <row r="1577" customFormat="false" ht="34.5" hidden="false" customHeight="true" outlineLevel="0" collapsed="false">
      <c r="A1577" s="8" t="n">
        <v>1328</v>
      </c>
      <c r="B1577" s="8" t="s">
        <v>49</v>
      </c>
      <c r="C1577" s="8" t="s">
        <v>7057</v>
      </c>
      <c r="D1577" s="8" t="n">
        <v>2018</v>
      </c>
      <c r="E1577" s="8" t="s">
        <v>7058</v>
      </c>
      <c r="F1577" s="8" t="s">
        <v>143</v>
      </c>
      <c r="G1577" s="8" t="s">
        <v>7059</v>
      </c>
      <c r="H1577" s="8" t="s">
        <v>7060</v>
      </c>
      <c r="I1577" s="8" t="s">
        <v>208</v>
      </c>
      <c r="J1577" s="8" t="s">
        <v>7061</v>
      </c>
      <c r="K1577" s="8"/>
      <c r="L1577" s="8" t="s">
        <v>7062</v>
      </c>
    </row>
    <row r="1578" customFormat="false" ht="34.5" hidden="false" customHeight="true" outlineLevel="0" collapsed="false">
      <c r="A1578" s="8" t="n">
        <v>1329</v>
      </c>
      <c r="B1578" s="8" t="s">
        <v>49</v>
      </c>
      <c r="C1578" s="8" t="s">
        <v>7063</v>
      </c>
      <c r="D1578" s="8" t="n">
        <v>2020</v>
      </c>
      <c r="E1578" s="8" t="s">
        <v>7064</v>
      </c>
      <c r="F1578" s="8" t="s">
        <v>143</v>
      </c>
      <c r="G1578" s="8" t="s">
        <v>348</v>
      </c>
      <c r="H1578" s="8" t="s">
        <v>145</v>
      </c>
      <c r="I1578" s="8" t="s">
        <v>153</v>
      </c>
      <c r="J1578" s="8" t="s">
        <v>7065</v>
      </c>
      <c r="K1578" s="8"/>
      <c r="L1578" s="8" t="s">
        <v>7066</v>
      </c>
    </row>
    <row r="1579" customFormat="false" ht="34.5" hidden="false" customHeight="true" outlineLevel="0" collapsed="false">
      <c r="A1579" s="8" t="n">
        <v>1330</v>
      </c>
      <c r="B1579" s="8" t="s">
        <v>49</v>
      </c>
      <c r="C1579" s="8" t="s">
        <v>7067</v>
      </c>
      <c r="D1579" s="8" t="n">
        <v>2013</v>
      </c>
      <c r="E1579" s="8" t="s">
        <v>7068</v>
      </c>
      <c r="F1579" s="8" t="s">
        <v>143</v>
      </c>
      <c r="G1579" s="8" t="s">
        <v>798</v>
      </c>
      <c r="H1579" s="8" t="s">
        <v>145</v>
      </c>
      <c r="I1579" s="8" t="s">
        <v>146</v>
      </c>
      <c r="J1579" s="8" t="s">
        <v>7069</v>
      </c>
      <c r="K1579" s="8"/>
      <c r="L1579" s="8" t="s">
        <v>7070</v>
      </c>
    </row>
    <row r="1580" customFormat="false" ht="34.5" hidden="false" customHeight="true" outlineLevel="0" collapsed="false">
      <c r="A1580" s="8" t="n">
        <v>1331</v>
      </c>
      <c r="B1580" s="8" t="s">
        <v>49</v>
      </c>
      <c r="C1580" s="8" t="s">
        <v>7071</v>
      </c>
      <c r="D1580" s="8" t="n">
        <v>2021</v>
      </c>
      <c r="E1580" s="8" t="s">
        <v>7072</v>
      </c>
      <c r="F1580" s="8" t="s">
        <v>143</v>
      </c>
      <c r="G1580" s="8" t="s">
        <v>152</v>
      </c>
      <c r="H1580" s="8" t="s">
        <v>145</v>
      </c>
      <c r="I1580" s="8" t="s">
        <v>153</v>
      </c>
      <c r="J1580" s="8" t="s">
        <v>7073</v>
      </c>
      <c r="K1580" s="8" t="s">
        <v>114</v>
      </c>
      <c r="L1580" s="8" t="s">
        <v>7074</v>
      </c>
    </row>
    <row r="1581" customFormat="false" ht="34.5" hidden="false" customHeight="true" outlineLevel="0" collapsed="false">
      <c r="A1581" s="8" t="n">
        <v>1332</v>
      </c>
      <c r="B1581" s="8" t="s">
        <v>49</v>
      </c>
      <c r="C1581" s="8" t="s">
        <v>7075</v>
      </c>
      <c r="D1581" s="8" t="n">
        <v>2014</v>
      </c>
      <c r="E1581" s="8" t="s">
        <v>7076</v>
      </c>
      <c r="F1581" s="8" t="s">
        <v>143</v>
      </c>
      <c r="G1581" s="8" t="s">
        <v>7077</v>
      </c>
      <c r="H1581" s="8" t="s">
        <v>145</v>
      </c>
      <c r="I1581" s="8" t="s">
        <v>146</v>
      </c>
      <c r="J1581" s="8" t="s">
        <v>7078</v>
      </c>
      <c r="K1581" s="8"/>
      <c r="L1581" s="8" t="s">
        <v>7079</v>
      </c>
    </row>
    <row r="1582" customFormat="false" ht="34.5" hidden="false" customHeight="true" outlineLevel="0" collapsed="false">
      <c r="A1582" s="8" t="n">
        <v>1333</v>
      </c>
      <c r="B1582" s="8" t="s">
        <v>49</v>
      </c>
      <c r="C1582" s="8" t="s">
        <v>7080</v>
      </c>
      <c r="D1582" s="8" t="n">
        <v>2011</v>
      </c>
      <c r="E1582" s="8" t="s">
        <v>7081</v>
      </c>
      <c r="F1582" s="8" t="s">
        <v>143</v>
      </c>
      <c r="G1582" s="8" t="s">
        <v>7082</v>
      </c>
      <c r="H1582" s="8" t="s">
        <v>145</v>
      </c>
      <c r="I1582" s="8" t="s">
        <v>387</v>
      </c>
      <c r="J1582" s="8" t="s">
        <v>7083</v>
      </c>
      <c r="K1582" s="8" t="s">
        <v>114</v>
      </c>
      <c r="L1582" s="8" t="s">
        <v>7084</v>
      </c>
    </row>
    <row r="1583" customFormat="false" ht="34.5" hidden="false" customHeight="true" outlineLevel="0" collapsed="false">
      <c r="A1583" s="8" t="n">
        <v>1334</v>
      </c>
      <c r="B1583" s="8" t="s">
        <v>49</v>
      </c>
      <c r="C1583" s="8" t="s">
        <v>7080</v>
      </c>
      <c r="D1583" s="8" t="n">
        <v>2012</v>
      </c>
      <c r="E1583" s="8" t="s">
        <v>7085</v>
      </c>
      <c r="F1583" s="8" t="s">
        <v>143</v>
      </c>
      <c r="G1583" s="8" t="s">
        <v>7086</v>
      </c>
      <c r="H1583" s="8" t="s">
        <v>145</v>
      </c>
      <c r="I1583" s="8" t="s">
        <v>387</v>
      </c>
      <c r="J1583" s="8" t="s">
        <v>7087</v>
      </c>
      <c r="K1583" s="8" t="s">
        <v>114</v>
      </c>
      <c r="L1583" s="8" t="s">
        <v>7088</v>
      </c>
    </row>
    <row r="1584" customFormat="false" ht="34.5" hidden="false" customHeight="true" outlineLevel="0" collapsed="false">
      <c r="A1584" s="8" t="n">
        <v>1335</v>
      </c>
      <c r="B1584" s="8" t="s">
        <v>49</v>
      </c>
      <c r="C1584" s="8" t="s">
        <v>7089</v>
      </c>
      <c r="D1584" s="8" t="n">
        <v>2016</v>
      </c>
      <c r="E1584" s="8" t="s">
        <v>7090</v>
      </c>
      <c r="F1584" s="8" t="s">
        <v>143</v>
      </c>
      <c r="G1584" s="8" t="s">
        <v>7091</v>
      </c>
      <c r="H1584" s="8" t="s">
        <v>145</v>
      </c>
      <c r="I1584" s="8" t="s">
        <v>387</v>
      </c>
      <c r="J1584" s="8" t="s">
        <v>7092</v>
      </c>
      <c r="K1584" s="8" t="s">
        <v>116</v>
      </c>
      <c r="L1584" s="8" t="s">
        <v>7093</v>
      </c>
    </row>
    <row r="1585" customFormat="false" ht="34.5" hidden="false" customHeight="true" outlineLevel="0" collapsed="false">
      <c r="A1585" s="8" t="n">
        <v>1336</v>
      </c>
      <c r="B1585" s="8" t="s">
        <v>49</v>
      </c>
      <c r="C1585" s="8" t="s">
        <v>7094</v>
      </c>
      <c r="D1585" s="8" t="n">
        <v>2021</v>
      </c>
      <c r="E1585" s="8" t="s">
        <v>7095</v>
      </c>
      <c r="F1585" s="8" t="s">
        <v>143</v>
      </c>
      <c r="G1585" s="8" t="s">
        <v>7096</v>
      </c>
      <c r="H1585" s="8" t="s">
        <v>145</v>
      </c>
      <c r="I1585" s="8" t="s">
        <v>153</v>
      </c>
      <c r="J1585" s="8" t="s">
        <v>7097</v>
      </c>
      <c r="K1585" s="8"/>
      <c r="L1585" s="8" t="s">
        <v>7098</v>
      </c>
    </row>
    <row r="1586" customFormat="false" ht="34.5" hidden="false" customHeight="true" outlineLevel="0" collapsed="false">
      <c r="A1586" s="8" t="n">
        <v>1337</v>
      </c>
      <c r="B1586" s="8" t="s">
        <v>49</v>
      </c>
      <c r="C1586" s="8" t="s">
        <v>7094</v>
      </c>
      <c r="D1586" s="8" t="n">
        <v>2021</v>
      </c>
      <c r="E1586" s="8" t="s">
        <v>7099</v>
      </c>
      <c r="F1586" s="8" t="s">
        <v>143</v>
      </c>
      <c r="G1586" s="8" t="s">
        <v>7100</v>
      </c>
      <c r="H1586" s="8" t="s">
        <v>145</v>
      </c>
      <c r="I1586" s="8" t="s">
        <v>153</v>
      </c>
      <c r="J1586" s="8" t="s">
        <v>7101</v>
      </c>
      <c r="K1586" s="8"/>
      <c r="L1586" s="8" t="s">
        <v>7102</v>
      </c>
    </row>
    <row r="1587" customFormat="false" ht="34.5" hidden="false" customHeight="true" outlineLevel="0" collapsed="false">
      <c r="A1587" s="8" t="n">
        <v>1338</v>
      </c>
      <c r="B1587" s="8" t="s">
        <v>49</v>
      </c>
      <c r="C1587" s="8" t="s">
        <v>7103</v>
      </c>
      <c r="D1587" s="8" t="n">
        <v>2022</v>
      </c>
      <c r="E1587" s="8" t="s">
        <v>7104</v>
      </c>
      <c r="F1587" s="8" t="s">
        <v>143</v>
      </c>
      <c r="G1587" s="8" t="s">
        <v>7105</v>
      </c>
      <c r="H1587" s="8" t="s">
        <v>145</v>
      </c>
      <c r="I1587" s="8" t="s">
        <v>387</v>
      </c>
      <c r="J1587" s="8" t="s">
        <v>7106</v>
      </c>
      <c r="K1587" s="8"/>
      <c r="L1587" s="8" t="s">
        <v>7107</v>
      </c>
    </row>
    <row r="1588" customFormat="false" ht="34.5" hidden="false" customHeight="true" outlineLevel="0" collapsed="false">
      <c r="A1588" s="8" t="n">
        <v>1339</v>
      </c>
      <c r="B1588" s="8" t="s">
        <v>49</v>
      </c>
      <c r="C1588" s="8" t="s">
        <v>7108</v>
      </c>
      <c r="D1588" s="8" t="n">
        <v>2022</v>
      </c>
      <c r="E1588" s="8" t="s">
        <v>7109</v>
      </c>
      <c r="F1588" s="8" t="s">
        <v>143</v>
      </c>
      <c r="G1588" s="8" t="s">
        <v>7013</v>
      </c>
      <c r="H1588" s="8" t="s">
        <v>7110</v>
      </c>
      <c r="I1588" s="8" t="s">
        <v>153</v>
      </c>
      <c r="J1588" s="8" t="s">
        <v>7111</v>
      </c>
      <c r="K1588" s="8"/>
      <c r="L1588" s="8" t="s">
        <v>7112</v>
      </c>
    </row>
    <row r="1589" customFormat="false" ht="34.5" hidden="false" customHeight="true" outlineLevel="0" collapsed="false">
      <c r="A1589" s="8" t="n">
        <v>1340</v>
      </c>
      <c r="B1589" s="8" t="s">
        <v>49</v>
      </c>
      <c r="C1589" s="8" t="s">
        <v>7108</v>
      </c>
      <c r="D1589" s="8" t="n">
        <v>2022</v>
      </c>
      <c r="E1589" s="8" t="s">
        <v>7113</v>
      </c>
      <c r="F1589" s="8" t="s">
        <v>143</v>
      </c>
      <c r="G1589" s="8" t="s">
        <v>7013</v>
      </c>
      <c r="H1589" s="8" t="s">
        <v>145</v>
      </c>
      <c r="I1589" s="8" t="s">
        <v>153</v>
      </c>
      <c r="J1589" s="8" t="s">
        <v>7114</v>
      </c>
      <c r="K1589" s="8"/>
      <c r="L1589" s="8" t="s">
        <v>7115</v>
      </c>
    </row>
    <row r="1590" customFormat="false" ht="34.5" hidden="false" customHeight="true" outlineLevel="0" collapsed="false">
      <c r="A1590" s="8" t="n">
        <v>1341</v>
      </c>
      <c r="B1590" s="8" t="s">
        <v>49</v>
      </c>
      <c r="C1590" s="8" t="s">
        <v>2436</v>
      </c>
      <c r="D1590" s="8" t="n">
        <v>2021</v>
      </c>
      <c r="E1590" s="8" t="s">
        <v>7116</v>
      </c>
      <c r="F1590" s="8" t="s">
        <v>143</v>
      </c>
      <c r="G1590" s="8" t="s">
        <v>7117</v>
      </c>
      <c r="H1590" s="8" t="s">
        <v>145</v>
      </c>
      <c r="I1590" s="8" t="s">
        <v>387</v>
      </c>
      <c r="J1590" s="8" t="s">
        <v>7118</v>
      </c>
      <c r="K1590" s="8" t="s">
        <v>114</v>
      </c>
      <c r="L1590" s="8" t="s">
        <v>7119</v>
      </c>
    </row>
    <row r="1591" customFormat="false" ht="34.5" hidden="false" customHeight="true" outlineLevel="0" collapsed="false">
      <c r="A1591" s="8" t="n">
        <v>1342</v>
      </c>
      <c r="B1591" s="8" t="s">
        <v>49</v>
      </c>
      <c r="C1591" s="8" t="s">
        <v>7120</v>
      </c>
      <c r="D1591" s="8" t="n">
        <v>2020</v>
      </c>
      <c r="E1591" s="8" t="s">
        <v>7121</v>
      </c>
      <c r="F1591" s="8" t="s">
        <v>143</v>
      </c>
      <c r="G1591" s="8" t="s">
        <v>7122</v>
      </c>
      <c r="H1591" s="8" t="s">
        <v>7123</v>
      </c>
      <c r="I1591" s="8" t="s">
        <v>387</v>
      </c>
      <c r="J1591" s="8" t="s">
        <v>7124</v>
      </c>
      <c r="K1591" s="8"/>
      <c r="L1591" s="8" t="s">
        <v>7125</v>
      </c>
    </row>
    <row r="1592" customFormat="false" ht="34.5" hidden="false" customHeight="true" outlineLevel="0" collapsed="false">
      <c r="A1592" s="8" t="n">
        <v>1343</v>
      </c>
      <c r="B1592" s="8" t="s">
        <v>49</v>
      </c>
      <c r="C1592" s="8" t="s">
        <v>7126</v>
      </c>
      <c r="D1592" s="8" t="n">
        <v>2017</v>
      </c>
      <c r="E1592" s="8" t="s">
        <v>7127</v>
      </c>
      <c r="F1592" s="8" t="s">
        <v>151</v>
      </c>
      <c r="G1592" s="8" t="s">
        <v>1619</v>
      </c>
      <c r="H1592" s="8" t="s">
        <v>145</v>
      </c>
      <c r="I1592" s="8" t="s">
        <v>153</v>
      </c>
      <c r="J1592" s="8" t="s">
        <v>7128</v>
      </c>
      <c r="K1592" s="8"/>
      <c r="L1592" s="8" t="s">
        <v>7129</v>
      </c>
    </row>
    <row r="1593" customFormat="false" ht="45.75" hidden="false" customHeight="true" outlineLevel="0" collapsed="false">
      <c r="A1593" s="8" t="n">
        <v>1344</v>
      </c>
      <c r="B1593" s="8" t="s">
        <v>49</v>
      </c>
      <c r="C1593" s="8" t="s">
        <v>7130</v>
      </c>
      <c r="D1593" s="8" t="n">
        <v>2001</v>
      </c>
      <c r="E1593" s="8" t="s">
        <v>7131</v>
      </c>
      <c r="F1593" s="8" t="s">
        <v>143</v>
      </c>
      <c r="G1593" s="8" t="s">
        <v>7132</v>
      </c>
      <c r="H1593" s="8" t="s">
        <v>7133</v>
      </c>
      <c r="I1593" s="8" t="s">
        <v>146</v>
      </c>
      <c r="J1593" s="8" t="s">
        <v>7134</v>
      </c>
      <c r="K1593" s="8"/>
      <c r="L1593" s="8" t="s">
        <v>7135</v>
      </c>
    </row>
    <row r="1594" customFormat="false" ht="34.5" hidden="false" customHeight="true" outlineLevel="0" collapsed="false">
      <c r="A1594" s="8" t="n">
        <v>1345</v>
      </c>
      <c r="B1594" s="8" t="s">
        <v>49</v>
      </c>
      <c r="C1594" s="8" t="s">
        <v>7136</v>
      </c>
      <c r="D1594" s="8" t="n">
        <v>2017</v>
      </c>
      <c r="E1594" s="8" t="s">
        <v>7137</v>
      </c>
      <c r="F1594" s="8" t="s">
        <v>143</v>
      </c>
      <c r="G1594" s="8" t="s">
        <v>364</v>
      </c>
      <c r="H1594" s="8" t="s">
        <v>145</v>
      </c>
      <c r="I1594" s="8" t="s">
        <v>153</v>
      </c>
      <c r="J1594" s="8" t="s">
        <v>7138</v>
      </c>
      <c r="K1594" s="8" t="s">
        <v>114</v>
      </c>
      <c r="L1594" s="8" t="s">
        <v>7139</v>
      </c>
    </row>
    <row r="1595" customFormat="false" ht="34.5" hidden="false" customHeight="true" outlineLevel="0" collapsed="false">
      <c r="A1595" s="8" t="n">
        <v>1346</v>
      </c>
      <c r="B1595" s="8" t="s">
        <v>49</v>
      </c>
      <c r="C1595" s="8" t="s">
        <v>7140</v>
      </c>
      <c r="D1595" s="8" t="n">
        <v>2012</v>
      </c>
      <c r="E1595" s="8" t="s">
        <v>7141</v>
      </c>
      <c r="F1595" s="8" t="s">
        <v>143</v>
      </c>
      <c r="G1595" s="8" t="s">
        <v>626</v>
      </c>
      <c r="H1595" s="8" t="s">
        <v>145</v>
      </c>
      <c r="I1595" s="8" t="s">
        <v>387</v>
      </c>
      <c r="J1595" s="8" t="s">
        <v>7142</v>
      </c>
      <c r="K1595" s="8" t="s">
        <v>116</v>
      </c>
      <c r="L1595" s="8" t="s">
        <v>7143</v>
      </c>
    </row>
    <row r="1596" customFormat="false" ht="34.5" hidden="false" customHeight="true" outlineLevel="0" collapsed="false">
      <c r="A1596" s="8" t="n">
        <v>1347</v>
      </c>
      <c r="B1596" s="8" t="s">
        <v>49</v>
      </c>
      <c r="C1596" s="8" t="s">
        <v>7144</v>
      </c>
      <c r="D1596" s="8" t="n">
        <v>2013</v>
      </c>
      <c r="E1596" s="8" t="s">
        <v>7145</v>
      </c>
      <c r="F1596" s="8" t="s">
        <v>143</v>
      </c>
      <c r="G1596" s="8" t="s">
        <v>6890</v>
      </c>
      <c r="H1596" s="8" t="s">
        <v>7146</v>
      </c>
      <c r="I1596" s="8" t="s">
        <v>146</v>
      </c>
      <c r="J1596" s="8" t="s">
        <v>7147</v>
      </c>
      <c r="K1596" s="8"/>
      <c r="L1596" s="8" t="s">
        <v>7148</v>
      </c>
    </row>
    <row r="1597" customFormat="false" ht="34.5" hidden="false" customHeight="true" outlineLevel="0" collapsed="false">
      <c r="A1597" s="8" t="n">
        <v>1348</v>
      </c>
      <c r="B1597" s="8" t="s">
        <v>49</v>
      </c>
      <c r="C1597" s="8" t="s">
        <v>7149</v>
      </c>
      <c r="D1597" s="8" t="n">
        <v>2021</v>
      </c>
      <c r="E1597" s="8" t="s">
        <v>7150</v>
      </c>
      <c r="F1597" s="8" t="s">
        <v>143</v>
      </c>
      <c r="G1597" s="8" t="s">
        <v>6890</v>
      </c>
      <c r="H1597" s="8" t="s">
        <v>2741</v>
      </c>
      <c r="I1597" s="8" t="s">
        <v>146</v>
      </c>
      <c r="J1597" s="8" t="s">
        <v>7151</v>
      </c>
      <c r="K1597" s="8"/>
      <c r="L1597" s="8" t="s">
        <v>7152</v>
      </c>
    </row>
    <row r="1598" customFormat="false" ht="34.5" hidden="false" customHeight="true" outlineLevel="0" collapsed="false">
      <c r="A1598" s="8" t="n">
        <v>1349</v>
      </c>
      <c r="B1598" s="8" t="s">
        <v>49</v>
      </c>
      <c r="C1598" s="8" t="s">
        <v>7153</v>
      </c>
      <c r="D1598" s="8" t="n">
        <v>2016</v>
      </c>
      <c r="E1598" s="8" t="s">
        <v>7154</v>
      </c>
      <c r="F1598" s="8" t="s">
        <v>143</v>
      </c>
      <c r="G1598" s="8" t="s">
        <v>7155</v>
      </c>
      <c r="H1598" s="8" t="s">
        <v>7156</v>
      </c>
      <c r="I1598" s="8" t="s">
        <v>146</v>
      </c>
      <c r="J1598" s="8" t="s">
        <v>7157</v>
      </c>
      <c r="K1598" s="8"/>
      <c r="L1598" s="8" t="s">
        <v>7158</v>
      </c>
    </row>
    <row r="1599" customFormat="false" ht="34.5" hidden="false" customHeight="true" outlineLevel="0" collapsed="false">
      <c r="A1599" s="8" t="n">
        <v>1350</v>
      </c>
      <c r="B1599" s="8" t="s">
        <v>49</v>
      </c>
      <c r="C1599" s="8" t="s">
        <v>7159</v>
      </c>
      <c r="D1599" s="8" t="n">
        <v>1992</v>
      </c>
      <c r="E1599" s="8" t="s">
        <v>7160</v>
      </c>
      <c r="F1599" s="8" t="s">
        <v>143</v>
      </c>
      <c r="G1599" s="8" t="s">
        <v>7161</v>
      </c>
      <c r="H1599" s="8" t="s">
        <v>7146</v>
      </c>
      <c r="I1599" s="8" t="s">
        <v>146</v>
      </c>
      <c r="J1599" s="8" t="s">
        <v>7162</v>
      </c>
      <c r="K1599" s="8"/>
      <c r="L1599" s="8" t="s">
        <v>7163</v>
      </c>
    </row>
    <row r="1600" customFormat="false" ht="34.5" hidden="false" customHeight="true" outlineLevel="0" collapsed="false">
      <c r="A1600" s="8" t="n">
        <v>1351</v>
      </c>
      <c r="B1600" s="8" t="s">
        <v>49</v>
      </c>
      <c r="C1600" s="8" t="s">
        <v>7159</v>
      </c>
      <c r="D1600" s="8" t="n">
        <v>2014</v>
      </c>
      <c r="E1600" s="8" t="s">
        <v>7164</v>
      </c>
      <c r="F1600" s="8" t="s">
        <v>143</v>
      </c>
      <c r="G1600" s="8" t="s">
        <v>7165</v>
      </c>
      <c r="H1600" s="8" t="s">
        <v>7166</v>
      </c>
      <c r="I1600" s="8" t="s">
        <v>387</v>
      </c>
      <c r="J1600" s="8" t="s">
        <v>7167</v>
      </c>
      <c r="K1600" s="8"/>
      <c r="L1600" s="8" t="s">
        <v>7168</v>
      </c>
    </row>
    <row r="1601" customFormat="false" ht="34.5" hidden="false" customHeight="true" outlineLevel="0" collapsed="false">
      <c r="A1601" s="8" t="n">
        <v>1352</v>
      </c>
      <c r="B1601" s="8" t="s">
        <v>49</v>
      </c>
      <c r="C1601" s="8" t="s">
        <v>7169</v>
      </c>
      <c r="D1601" s="8" t="n">
        <v>2020</v>
      </c>
      <c r="E1601" s="8" t="s">
        <v>7170</v>
      </c>
      <c r="F1601" s="8" t="s">
        <v>143</v>
      </c>
      <c r="G1601" s="8" t="s">
        <v>7171</v>
      </c>
      <c r="H1601" s="8" t="s">
        <v>145</v>
      </c>
      <c r="I1601" s="8" t="s">
        <v>153</v>
      </c>
      <c r="J1601" s="8" t="s">
        <v>7172</v>
      </c>
      <c r="K1601" s="8"/>
      <c r="L1601" s="8" t="s">
        <v>7173</v>
      </c>
    </row>
    <row r="1602" customFormat="false" ht="34.5" hidden="false" customHeight="true" outlineLevel="0" collapsed="false">
      <c r="A1602" s="8" t="n">
        <v>1353</v>
      </c>
      <c r="B1602" s="8" t="s">
        <v>49</v>
      </c>
      <c r="C1602" s="8" t="s">
        <v>7174</v>
      </c>
      <c r="D1602" s="8" t="n">
        <v>2014</v>
      </c>
      <c r="E1602" s="8" t="s">
        <v>7175</v>
      </c>
      <c r="F1602" s="8" t="s">
        <v>143</v>
      </c>
      <c r="G1602" s="8" t="s">
        <v>7176</v>
      </c>
      <c r="H1602" s="8" t="s">
        <v>7177</v>
      </c>
      <c r="I1602" s="8" t="s">
        <v>146</v>
      </c>
      <c r="J1602" s="8" t="s">
        <v>7178</v>
      </c>
      <c r="K1602" s="8"/>
      <c r="L1602" s="8" t="s">
        <v>7179</v>
      </c>
    </row>
    <row r="1603" customFormat="false" ht="34.5" hidden="false" customHeight="true" outlineLevel="0" collapsed="false">
      <c r="A1603" s="8" t="n">
        <v>1354</v>
      </c>
      <c r="B1603" s="8" t="s">
        <v>49</v>
      </c>
      <c r="C1603" s="8" t="s">
        <v>7180</v>
      </c>
      <c r="D1603" s="8" t="n">
        <v>2012</v>
      </c>
      <c r="E1603" s="8" t="s">
        <v>7181</v>
      </c>
      <c r="F1603" s="8" t="s">
        <v>143</v>
      </c>
      <c r="G1603" s="8" t="s">
        <v>6513</v>
      </c>
      <c r="H1603" s="8" t="s">
        <v>7182</v>
      </c>
      <c r="I1603" s="8" t="s">
        <v>153</v>
      </c>
      <c r="J1603" s="8" t="s">
        <v>7183</v>
      </c>
      <c r="K1603" s="8" t="s">
        <v>114</v>
      </c>
      <c r="L1603" s="8" t="s">
        <v>7184</v>
      </c>
    </row>
    <row r="1604" customFormat="false" ht="34.5" hidden="false" customHeight="true" outlineLevel="0" collapsed="false">
      <c r="A1604" s="8" t="n">
        <v>1355</v>
      </c>
      <c r="B1604" s="8" t="s">
        <v>49</v>
      </c>
      <c r="C1604" s="8" t="s">
        <v>7185</v>
      </c>
      <c r="D1604" s="8" t="n">
        <v>2018</v>
      </c>
      <c r="E1604" s="8" t="s">
        <v>7186</v>
      </c>
      <c r="F1604" s="8" t="s">
        <v>143</v>
      </c>
      <c r="G1604" s="8" t="s">
        <v>7187</v>
      </c>
      <c r="H1604" s="8" t="s">
        <v>145</v>
      </c>
      <c r="I1604" s="8" t="s">
        <v>153</v>
      </c>
      <c r="J1604" s="8" t="s">
        <v>7188</v>
      </c>
      <c r="K1604" s="8" t="s">
        <v>114</v>
      </c>
      <c r="L1604" s="8" t="s">
        <v>7189</v>
      </c>
    </row>
    <row r="1605" customFormat="false" ht="34.5" hidden="false" customHeight="true" outlineLevel="0" collapsed="false">
      <c r="A1605" s="8" t="n">
        <v>1356</v>
      </c>
      <c r="B1605" s="8" t="s">
        <v>49</v>
      </c>
      <c r="C1605" s="8" t="s">
        <v>7190</v>
      </c>
      <c r="D1605" s="8" t="n">
        <v>2015</v>
      </c>
      <c r="E1605" s="8" t="s">
        <v>7191</v>
      </c>
      <c r="F1605" s="8" t="s">
        <v>143</v>
      </c>
      <c r="G1605" s="8" t="s">
        <v>1619</v>
      </c>
      <c r="H1605" s="8" t="s">
        <v>145</v>
      </c>
      <c r="I1605" s="8" t="s">
        <v>153</v>
      </c>
      <c r="J1605" s="8" t="s">
        <v>7192</v>
      </c>
      <c r="K1605" s="8"/>
      <c r="L1605" s="8" t="s">
        <v>7193</v>
      </c>
    </row>
    <row r="1606" customFormat="false" ht="34.5" hidden="false" customHeight="true" outlineLevel="0" collapsed="false">
      <c r="A1606" s="8" t="n">
        <v>1357</v>
      </c>
      <c r="B1606" s="8" t="s">
        <v>49</v>
      </c>
      <c r="C1606" s="8" t="s">
        <v>7194</v>
      </c>
      <c r="D1606" s="8" t="n">
        <v>2020</v>
      </c>
      <c r="E1606" s="8" t="s">
        <v>7195</v>
      </c>
      <c r="F1606" s="8" t="s">
        <v>143</v>
      </c>
      <c r="G1606" s="8" t="s">
        <v>7196</v>
      </c>
      <c r="H1606" s="8" t="s">
        <v>7197</v>
      </c>
      <c r="I1606" s="8" t="s">
        <v>387</v>
      </c>
      <c r="J1606" s="8" t="s">
        <v>7198</v>
      </c>
      <c r="K1606" s="8" t="s">
        <v>116</v>
      </c>
      <c r="L1606" s="8" t="s">
        <v>7199</v>
      </c>
    </row>
    <row r="1607" customFormat="false" ht="34.5" hidden="false" customHeight="true" outlineLevel="0" collapsed="false">
      <c r="A1607" s="8" t="n">
        <v>1358</v>
      </c>
      <c r="B1607" s="8" t="s">
        <v>49</v>
      </c>
      <c r="C1607" s="8" t="s">
        <v>7200</v>
      </c>
      <c r="D1607" s="8" t="n">
        <v>2021</v>
      </c>
      <c r="E1607" s="8" t="s">
        <v>7201</v>
      </c>
      <c r="F1607" s="8" t="s">
        <v>143</v>
      </c>
      <c r="G1607" s="8" t="s">
        <v>7202</v>
      </c>
      <c r="H1607" s="8" t="s">
        <v>7203</v>
      </c>
      <c r="I1607" s="8" t="s">
        <v>387</v>
      </c>
      <c r="J1607" s="8" t="s">
        <v>7204</v>
      </c>
      <c r="K1607" s="8"/>
      <c r="L1607" s="8" t="s">
        <v>7205</v>
      </c>
    </row>
    <row r="1608" customFormat="false" ht="34.5" hidden="false" customHeight="true" outlineLevel="0" collapsed="false">
      <c r="A1608" s="8" t="n">
        <v>1359</v>
      </c>
      <c r="B1608" s="8" t="s">
        <v>49</v>
      </c>
      <c r="C1608" s="8" t="s">
        <v>7206</v>
      </c>
      <c r="D1608" s="8" t="n">
        <v>2011</v>
      </c>
      <c r="E1608" s="8" t="s">
        <v>7207</v>
      </c>
      <c r="F1608" s="8" t="s">
        <v>201</v>
      </c>
      <c r="G1608" s="8" t="s">
        <v>1619</v>
      </c>
      <c r="H1608" s="8" t="s">
        <v>145</v>
      </c>
      <c r="I1608" s="8" t="s">
        <v>153</v>
      </c>
      <c r="J1608" s="8" t="s">
        <v>7208</v>
      </c>
      <c r="K1608" s="8" t="s">
        <v>116</v>
      </c>
      <c r="L1608" s="8" t="s">
        <v>7209</v>
      </c>
    </row>
    <row r="1609" customFormat="false" ht="34.5" hidden="false" customHeight="true" outlineLevel="0" collapsed="false">
      <c r="A1609" s="8" t="n">
        <v>1360</v>
      </c>
      <c r="B1609" s="8" t="s">
        <v>49</v>
      </c>
      <c r="C1609" s="8" t="s">
        <v>7210</v>
      </c>
      <c r="D1609" s="8" t="n">
        <v>2021</v>
      </c>
      <c r="E1609" s="8" t="s">
        <v>7211</v>
      </c>
      <c r="F1609" s="8" t="s">
        <v>143</v>
      </c>
      <c r="G1609" s="8" t="s">
        <v>7059</v>
      </c>
      <c r="H1609" s="8" t="s">
        <v>145</v>
      </c>
      <c r="I1609" s="8" t="s">
        <v>387</v>
      </c>
      <c r="J1609" s="8" t="s">
        <v>7212</v>
      </c>
      <c r="K1609" s="8"/>
      <c r="L1609" s="8" t="s">
        <v>7213</v>
      </c>
    </row>
    <row r="1610" customFormat="false" ht="34.5" hidden="false" customHeight="true" outlineLevel="0" collapsed="false">
      <c r="A1610" s="8" t="n">
        <v>1361</v>
      </c>
      <c r="B1610" s="8" t="s">
        <v>49</v>
      </c>
      <c r="C1610" s="8" t="s">
        <v>7214</v>
      </c>
      <c r="D1610" s="8" t="n">
        <v>2020</v>
      </c>
      <c r="E1610" s="8" t="s">
        <v>7215</v>
      </c>
      <c r="F1610" s="8" t="s">
        <v>579</v>
      </c>
      <c r="G1610" s="8" t="s">
        <v>7216</v>
      </c>
      <c r="H1610" s="8" t="s">
        <v>7217</v>
      </c>
      <c r="I1610" s="8" t="s">
        <v>146</v>
      </c>
      <c r="J1610" s="8" t="s">
        <v>7218</v>
      </c>
      <c r="K1610" s="8"/>
      <c r="L1610" s="8" t="s">
        <v>7219</v>
      </c>
    </row>
    <row r="1611" customFormat="false" ht="34.5" hidden="false" customHeight="true" outlineLevel="0" collapsed="false">
      <c r="A1611" s="8" t="n">
        <v>1362</v>
      </c>
      <c r="B1611" s="8" t="s">
        <v>49</v>
      </c>
      <c r="C1611" s="8" t="s">
        <v>7220</v>
      </c>
      <c r="D1611" s="8" t="n">
        <v>2014</v>
      </c>
      <c r="E1611" s="8" t="s">
        <v>7221</v>
      </c>
      <c r="F1611" s="8" t="s">
        <v>143</v>
      </c>
      <c r="G1611" s="8" t="s">
        <v>6890</v>
      </c>
      <c r="H1611" s="8" t="s">
        <v>145</v>
      </c>
      <c r="I1611" s="8" t="s">
        <v>387</v>
      </c>
      <c r="J1611" s="8" t="s">
        <v>7222</v>
      </c>
      <c r="K1611" s="8"/>
      <c r="L1611" s="8" t="s">
        <v>7223</v>
      </c>
    </row>
    <row r="1612" customFormat="false" ht="34.5" hidden="false" customHeight="true" outlineLevel="0" collapsed="false">
      <c r="A1612" s="8" t="n">
        <v>1363</v>
      </c>
      <c r="B1612" s="8" t="s">
        <v>49</v>
      </c>
      <c r="C1612" s="8" t="s">
        <v>7224</v>
      </c>
      <c r="D1612" s="8" t="n">
        <v>2022</v>
      </c>
      <c r="E1612" s="8" t="s">
        <v>7225</v>
      </c>
      <c r="F1612" s="8" t="s">
        <v>143</v>
      </c>
      <c r="G1612" s="8" t="s">
        <v>7226</v>
      </c>
      <c r="H1612" s="8" t="s">
        <v>145</v>
      </c>
      <c r="I1612" s="8" t="s">
        <v>153</v>
      </c>
      <c r="J1612" s="8" t="s">
        <v>7227</v>
      </c>
      <c r="K1612" s="8" t="s">
        <v>110</v>
      </c>
      <c r="L1612" s="8" t="s">
        <v>7228</v>
      </c>
    </row>
    <row r="1613" customFormat="false" ht="34.5" hidden="false" customHeight="true" outlineLevel="0" collapsed="false">
      <c r="A1613" s="8" t="n">
        <v>1364</v>
      </c>
      <c r="B1613" s="8" t="s">
        <v>49</v>
      </c>
      <c r="C1613" s="8" t="s">
        <v>7229</v>
      </c>
      <c r="D1613" s="8" t="n">
        <v>2012</v>
      </c>
      <c r="E1613" s="8" t="s">
        <v>7230</v>
      </c>
      <c r="F1613" s="8" t="s">
        <v>143</v>
      </c>
      <c r="G1613" s="8" t="s">
        <v>7231</v>
      </c>
      <c r="H1613" s="8" t="s">
        <v>145</v>
      </c>
      <c r="I1613" s="8" t="s">
        <v>153</v>
      </c>
      <c r="J1613" s="8" t="s">
        <v>7232</v>
      </c>
      <c r="K1613" s="8" t="s">
        <v>114</v>
      </c>
      <c r="L1613" s="8" t="s">
        <v>7233</v>
      </c>
    </row>
    <row r="1614" customFormat="false" ht="34.5" hidden="false" customHeight="true" outlineLevel="0" collapsed="false">
      <c r="A1614" s="8" t="n">
        <v>1365</v>
      </c>
      <c r="B1614" s="8" t="s">
        <v>49</v>
      </c>
      <c r="C1614" s="8" t="s">
        <v>7229</v>
      </c>
      <c r="D1614" s="8" t="n">
        <v>2013</v>
      </c>
      <c r="E1614" s="8" t="s">
        <v>7234</v>
      </c>
      <c r="F1614" s="8" t="s">
        <v>143</v>
      </c>
      <c r="G1614" s="8" t="s">
        <v>7235</v>
      </c>
      <c r="H1614" s="8" t="s">
        <v>2841</v>
      </c>
      <c r="I1614" s="8" t="s">
        <v>387</v>
      </c>
      <c r="J1614" s="8" t="s">
        <v>7236</v>
      </c>
      <c r="K1614" s="8" t="s">
        <v>112</v>
      </c>
      <c r="L1614" s="8" t="s">
        <v>7237</v>
      </c>
    </row>
    <row r="1615" customFormat="false" ht="34.5" hidden="false" customHeight="true" outlineLevel="0" collapsed="false">
      <c r="A1615" s="8" t="n">
        <v>1366</v>
      </c>
      <c r="B1615" s="8" t="s">
        <v>49</v>
      </c>
      <c r="C1615" s="8" t="s">
        <v>7238</v>
      </c>
      <c r="D1615" s="8" t="n">
        <v>2019</v>
      </c>
      <c r="E1615" s="8" t="s">
        <v>7239</v>
      </c>
      <c r="F1615" s="8" t="s">
        <v>143</v>
      </c>
      <c r="G1615" s="8" t="s">
        <v>6974</v>
      </c>
      <c r="H1615" s="8" t="s">
        <v>2741</v>
      </c>
      <c r="I1615" s="8" t="s">
        <v>153</v>
      </c>
      <c r="J1615" s="8" t="s">
        <v>7240</v>
      </c>
      <c r="K1615" s="8"/>
      <c r="L1615" s="8" t="s">
        <v>7241</v>
      </c>
    </row>
    <row r="1616" customFormat="false" ht="34.5" hidden="false" customHeight="true" outlineLevel="0" collapsed="false">
      <c r="A1616" s="8" t="n">
        <v>1367</v>
      </c>
      <c r="B1616" s="8" t="s">
        <v>49</v>
      </c>
      <c r="C1616" s="8" t="s">
        <v>7242</v>
      </c>
      <c r="D1616" s="8" t="n">
        <v>2014</v>
      </c>
      <c r="E1616" s="8" t="s">
        <v>7243</v>
      </c>
      <c r="F1616" s="8" t="s">
        <v>143</v>
      </c>
      <c r="G1616" s="8" t="s">
        <v>348</v>
      </c>
      <c r="H1616" s="8" t="s">
        <v>7244</v>
      </c>
      <c r="I1616" s="8" t="s">
        <v>146</v>
      </c>
      <c r="J1616" s="8" t="s">
        <v>7245</v>
      </c>
      <c r="K1616" s="8"/>
      <c r="L1616" s="8" t="s">
        <v>7246</v>
      </c>
    </row>
    <row r="1617" customFormat="false" ht="34.5" hidden="false" customHeight="true" outlineLevel="0" collapsed="false">
      <c r="A1617" s="8" t="n">
        <v>1368</v>
      </c>
      <c r="B1617" s="8" t="s">
        <v>49</v>
      </c>
      <c r="C1617" s="8" t="s">
        <v>7247</v>
      </c>
      <c r="D1617" s="8" t="n">
        <v>2021</v>
      </c>
      <c r="E1617" s="8" t="s">
        <v>7248</v>
      </c>
      <c r="F1617" s="8" t="s">
        <v>143</v>
      </c>
      <c r="G1617" s="8" t="s">
        <v>7249</v>
      </c>
      <c r="H1617" s="8" t="s">
        <v>145</v>
      </c>
      <c r="I1617" s="8" t="s">
        <v>387</v>
      </c>
      <c r="J1617" s="8" t="s">
        <v>7250</v>
      </c>
      <c r="K1617" s="8"/>
      <c r="L1617" s="8" t="s">
        <v>7251</v>
      </c>
    </row>
    <row r="1618" customFormat="false" ht="34.5" hidden="false" customHeight="true" outlineLevel="0" collapsed="false">
      <c r="A1618" s="8" t="n">
        <v>1369</v>
      </c>
      <c r="B1618" s="8" t="s">
        <v>49</v>
      </c>
      <c r="C1618" s="8" t="s">
        <v>7252</v>
      </c>
      <c r="D1618" s="8" t="n">
        <v>2017</v>
      </c>
      <c r="E1618" s="8" t="s">
        <v>7253</v>
      </c>
      <c r="F1618" s="8" t="s">
        <v>201</v>
      </c>
      <c r="G1618" s="8" t="s">
        <v>152</v>
      </c>
      <c r="H1618" s="8" t="s">
        <v>145</v>
      </c>
      <c r="I1618" s="8" t="s">
        <v>153</v>
      </c>
      <c r="J1618" s="8" t="s">
        <v>7254</v>
      </c>
      <c r="K1618" s="8"/>
      <c r="L1618" s="8" t="s">
        <v>7255</v>
      </c>
    </row>
    <row r="1619" customFormat="false" ht="34.5" hidden="false" customHeight="true" outlineLevel="0" collapsed="false">
      <c r="A1619" s="8" t="n">
        <v>1370</v>
      </c>
      <c r="B1619" s="8" t="s">
        <v>49</v>
      </c>
      <c r="C1619" s="8" t="s">
        <v>7256</v>
      </c>
      <c r="D1619" s="8" t="n">
        <v>2022</v>
      </c>
      <c r="E1619" s="8" t="s">
        <v>7257</v>
      </c>
      <c r="F1619" s="8" t="s">
        <v>151</v>
      </c>
      <c r="G1619" s="8" t="s">
        <v>7258</v>
      </c>
      <c r="H1619" s="8" t="s">
        <v>7259</v>
      </c>
      <c r="I1619" s="8" t="s">
        <v>146</v>
      </c>
      <c r="J1619" s="8" t="s">
        <v>7260</v>
      </c>
      <c r="K1619" s="8"/>
      <c r="L1619" s="8" t="s">
        <v>7261</v>
      </c>
    </row>
    <row r="1620" customFormat="false" ht="34.5" hidden="false" customHeight="true" outlineLevel="0" collapsed="false">
      <c r="A1620" s="8" t="n">
        <v>1371</v>
      </c>
      <c r="B1620" s="8" t="s">
        <v>49</v>
      </c>
      <c r="C1620" s="8" t="s">
        <v>7262</v>
      </c>
      <c r="D1620" s="8" t="n">
        <v>2021</v>
      </c>
      <c r="E1620" s="8" t="s">
        <v>7263</v>
      </c>
      <c r="F1620" s="8" t="s">
        <v>143</v>
      </c>
      <c r="G1620" s="8" t="s">
        <v>7264</v>
      </c>
      <c r="H1620" s="8" t="s">
        <v>3558</v>
      </c>
      <c r="I1620" s="8" t="s">
        <v>146</v>
      </c>
      <c r="J1620" s="8" t="s">
        <v>7265</v>
      </c>
      <c r="K1620" s="8"/>
      <c r="L1620" s="8" t="s">
        <v>7266</v>
      </c>
    </row>
    <row r="1621" customFormat="false" ht="34.5" hidden="false" customHeight="true" outlineLevel="0" collapsed="false">
      <c r="A1621" s="8" t="n">
        <v>1372</v>
      </c>
      <c r="B1621" s="8" t="s">
        <v>49</v>
      </c>
      <c r="C1621" s="8" t="s">
        <v>7267</v>
      </c>
      <c r="D1621" s="8" t="n">
        <v>2021</v>
      </c>
      <c r="E1621" s="8" t="s">
        <v>7268</v>
      </c>
      <c r="F1621" s="8" t="s">
        <v>143</v>
      </c>
      <c r="G1621" s="8" t="s">
        <v>7269</v>
      </c>
      <c r="H1621" s="8" t="s">
        <v>2025</v>
      </c>
      <c r="I1621" s="8" t="s">
        <v>153</v>
      </c>
      <c r="J1621" s="8" t="s">
        <v>7270</v>
      </c>
      <c r="K1621" s="8"/>
      <c r="L1621" s="8" t="s">
        <v>7271</v>
      </c>
    </row>
    <row r="1622" customFormat="false" ht="34.5" hidden="false" customHeight="true" outlineLevel="0" collapsed="false">
      <c r="A1622" s="8" t="n">
        <v>1373</v>
      </c>
      <c r="B1622" s="8" t="s">
        <v>49</v>
      </c>
      <c r="C1622" s="8" t="s">
        <v>7267</v>
      </c>
      <c r="D1622" s="8" t="n">
        <v>2021</v>
      </c>
      <c r="E1622" s="8" t="s">
        <v>7272</v>
      </c>
      <c r="F1622" s="8" t="s">
        <v>143</v>
      </c>
      <c r="G1622" s="8" t="s">
        <v>7273</v>
      </c>
      <c r="H1622" s="8" t="s">
        <v>2741</v>
      </c>
      <c r="I1622" s="8" t="s">
        <v>153</v>
      </c>
      <c r="J1622" s="8" t="s">
        <v>7274</v>
      </c>
      <c r="K1622" s="8"/>
      <c r="L1622" s="8" t="s">
        <v>7275</v>
      </c>
    </row>
    <row r="1623" customFormat="false" ht="34.5" hidden="false" customHeight="true" outlineLevel="0" collapsed="false">
      <c r="A1623" s="8" t="n">
        <v>1374</v>
      </c>
      <c r="B1623" s="8" t="s">
        <v>49</v>
      </c>
      <c r="C1623" s="8" t="s">
        <v>7276</v>
      </c>
      <c r="D1623" s="8" t="n">
        <v>2012</v>
      </c>
      <c r="E1623" s="8" t="s">
        <v>7277</v>
      </c>
      <c r="F1623" s="8" t="s">
        <v>143</v>
      </c>
      <c r="G1623" s="8" t="s">
        <v>7278</v>
      </c>
      <c r="H1623" s="8" t="s">
        <v>7244</v>
      </c>
      <c r="I1623" s="8" t="s">
        <v>146</v>
      </c>
      <c r="J1623" s="8" t="s">
        <v>7279</v>
      </c>
      <c r="K1623" s="8"/>
      <c r="L1623" s="8" t="s">
        <v>7280</v>
      </c>
    </row>
    <row r="1624" customFormat="false" ht="34.5" hidden="false" customHeight="true" outlineLevel="0" collapsed="false">
      <c r="A1624" s="8" t="n">
        <v>1375</v>
      </c>
      <c r="B1624" s="8" t="s">
        <v>49</v>
      </c>
      <c r="C1624" s="8" t="s">
        <v>2680</v>
      </c>
      <c r="D1624" s="8" t="n">
        <v>2021</v>
      </c>
      <c r="E1624" s="8" t="s">
        <v>7281</v>
      </c>
      <c r="F1624" s="8" t="s">
        <v>143</v>
      </c>
      <c r="G1624" s="8" t="s">
        <v>7282</v>
      </c>
      <c r="H1624" s="8" t="s">
        <v>145</v>
      </c>
      <c r="I1624" s="8" t="s">
        <v>153</v>
      </c>
      <c r="J1624" s="8" t="s">
        <v>7283</v>
      </c>
      <c r="K1624" s="8" t="s">
        <v>114</v>
      </c>
      <c r="L1624" s="8" t="s">
        <v>7284</v>
      </c>
    </row>
    <row r="1625" customFormat="false" ht="34.5" hidden="false" customHeight="true" outlineLevel="0" collapsed="false">
      <c r="A1625" s="8" t="n">
        <v>1376</v>
      </c>
      <c r="B1625" s="8" t="s">
        <v>49</v>
      </c>
      <c r="C1625" s="8" t="s">
        <v>5967</v>
      </c>
      <c r="D1625" s="8" t="n">
        <v>2020</v>
      </c>
      <c r="E1625" s="8" t="s">
        <v>7285</v>
      </c>
      <c r="F1625" s="8" t="s">
        <v>151</v>
      </c>
      <c r="G1625" s="8" t="s">
        <v>1264</v>
      </c>
      <c r="H1625" s="8" t="s">
        <v>145</v>
      </c>
      <c r="I1625" s="8" t="s">
        <v>387</v>
      </c>
      <c r="J1625" s="8" t="s">
        <v>7286</v>
      </c>
      <c r="K1625" s="8"/>
      <c r="L1625" s="8" t="s">
        <v>7287</v>
      </c>
    </row>
    <row r="1626" customFormat="false" ht="34.5" hidden="false" customHeight="true" outlineLevel="0" collapsed="false">
      <c r="A1626" s="8" t="n">
        <v>1377</v>
      </c>
      <c r="B1626" s="8" t="s">
        <v>49</v>
      </c>
      <c r="C1626" s="8" t="s">
        <v>7288</v>
      </c>
      <c r="D1626" s="8" t="n">
        <v>2015</v>
      </c>
      <c r="E1626" s="8" t="s">
        <v>7289</v>
      </c>
      <c r="F1626" s="8" t="s">
        <v>143</v>
      </c>
      <c r="G1626" s="8" t="s">
        <v>7290</v>
      </c>
      <c r="H1626" s="8" t="s">
        <v>7291</v>
      </c>
      <c r="I1626" s="8" t="s">
        <v>146</v>
      </c>
      <c r="J1626" s="8" t="s">
        <v>7292</v>
      </c>
      <c r="K1626" s="8" t="s">
        <v>112</v>
      </c>
      <c r="L1626" s="8" t="s">
        <v>7293</v>
      </c>
    </row>
    <row r="1627" customFormat="false" ht="34.5" hidden="false" customHeight="true" outlineLevel="0" collapsed="false">
      <c r="A1627" s="8" t="n">
        <v>1378</v>
      </c>
      <c r="B1627" s="8" t="s">
        <v>49</v>
      </c>
      <c r="C1627" s="8" t="s">
        <v>7294</v>
      </c>
      <c r="D1627" s="8" t="n">
        <v>1994</v>
      </c>
      <c r="E1627" s="8" t="s">
        <v>7295</v>
      </c>
      <c r="F1627" s="8" t="s">
        <v>143</v>
      </c>
      <c r="G1627" s="8" t="s">
        <v>7296</v>
      </c>
      <c r="H1627" s="8" t="s">
        <v>7297</v>
      </c>
      <c r="I1627" s="8" t="s">
        <v>146</v>
      </c>
      <c r="J1627" s="8" t="s">
        <v>7298</v>
      </c>
      <c r="K1627" s="8" t="s">
        <v>116</v>
      </c>
      <c r="L1627" s="8" t="s">
        <v>7299</v>
      </c>
    </row>
    <row r="1628" customFormat="false" ht="34.5" hidden="false" customHeight="true" outlineLevel="0" collapsed="false">
      <c r="A1628" s="8" t="n">
        <v>1379</v>
      </c>
      <c r="B1628" s="8" t="s">
        <v>49</v>
      </c>
      <c r="C1628" s="8" t="s">
        <v>7300</v>
      </c>
      <c r="D1628" s="8" t="n">
        <v>2009</v>
      </c>
      <c r="E1628" s="8" t="s">
        <v>7301</v>
      </c>
      <c r="F1628" s="8" t="s">
        <v>143</v>
      </c>
      <c r="G1628" s="8" t="s">
        <v>6170</v>
      </c>
      <c r="H1628" s="8" t="s">
        <v>145</v>
      </c>
      <c r="I1628" s="8" t="s">
        <v>387</v>
      </c>
      <c r="J1628" s="8" t="s">
        <v>7302</v>
      </c>
      <c r="K1628" s="8"/>
      <c r="L1628" s="8" t="s">
        <v>7303</v>
      </c>
    </row>
    <row r="1629" customFormat="false" ht="34.5" hidden="false" customHeight="true" outlineLevel="0" collapsed="false">
      <c r="A1629" s="8" t="n">
        <v>1380</v>
      </c>
      <c r="B1629" s="8" t="s">
        <v>49</v>
      </c>
      <c r="C1629" s="8" t="s">
        <v>7304</v>
      </c>
      <c r="D1629" s="8" t="n">
        <v>2017</v>
      </c>
      <c r="E1629" s="8" t="s">
        <v>7305</v>
      </c>
      <c r="F1629" s="8" t="s">
        <v>143</v>
      </c>
      <c r="G1629" s="8" t="s">
        <v>3806</v>
      </c>
      <c r="H1629" s="8" t="s">
        <v>145</v>
      </c>
      <c r="I1629" s="8" t="s">
        <v>153</v>
      </c>
      <c r="J1629" s="8" t="s">
        <v>7306</v>
      </c>
      <c r="K1629" s="8" t="s">
        <v>114</v>
      </c>
      <c r="L1629" s="8" t="s">
        <v>7307</v>
      </c>
    </row>
    <row r="1630" customFormat="false" ht="34.5" hidden="false" customHeight="true" outlineLevel="0" collapsed="false">
      <c r="A1630" s="8" t="n">
        <v>1381</v>
      </c>
      <c r="B1630" s="8" t="s">
        <v>49</v>
      </c>
      <c r="C1630" s="8" t="s">
        <v>7308</v>
      </c>
      <c r="D1630" s="8" t="n">
        <v>2019</v>
      </c>
      <c r="E1630" s="8" t="s">
        <v>7309</v>
      </c>
      <c r="F1630" s="8" t="s">
        <v>143</v>
      </c>
      <c r="G1630" s="8" t="s">
        <v>7310</v>
      </c>
      <c r="H1630" s="8" t="s">
        <v>145</v>
      </c>
      <c r="I1630" s="8" t="s">
        <v>153</v>
      </c>
      <c r="J1630" s="8" t="s">
        <v>7311</v>
      </c>
      <c r="K1630" s="8" t="s">
        <v>114</v>
      </c>
      <c r="L1630" s="8" t="s">
        <v>7312</v>
      </c>
    </row>
    <row r="1631" customFormat="false" ht="34.5" hidden="false" customHeight="true" outlineLevel="0" collapsed="false">
      <c r="A1631" s="8" t="n">
        <v>1382</v>
      </c>
      <c r="B1631" s="8" t="s">
        <v>49</v>
      </c>
      <c r="C1631" s="8" t="s">
        <v>7313</v>
      </c>
      <c r="D1631" s="8" t="n">
        <v>2016</v>
      </c>
      <c r="E1631" s="8" t="s">
        <v>7314</v>
      </c>
      <c r="F1631" s="8" t="s">
        <v>143</v>
      </c>
      <c r="G1631" s="8" t="s">
        <v>197</v>
      </c>
      <c r="H1631" s="8" t="s">
        <v>145</v>
      </c>
      <c r="I1631" s="8" t="s">
        <v>387</v>
      </c>
      <c r="J1631" s="8" t="s">
        <v>7315</v>
      </c>
      <c r="K1631" s="8"/>
      <c r="L1631" s="8" t="s">
        <v>7316</v>
      </c>
    </row>
    <row r="1632" customFormat="false" ht="34.5" hidden="false" customHeight="true" outlineLevel="0" collapsed="false">
      <c r="A1632" s="8" t="n">
        <v>1383</v>
      </c>
      <c r="B1632" s="8" t="s">
        <v>49</v>
      </c>
      <c r="C1632" s="8" t="s">
        <v>7317</v>
      </c>
      <c r="D1632" s="8" t="n">
        <v>2021</v>
      </c>
      <c r="E1632" s="8" t="s">
        <v>7318</v>
      </c>
      <c r="F1632" s="8" t="s">
        <v>143</v>
      </c>
      <c r="G1632" s="8" t="s">
        <v>7319</v>
      </c>
      <c r="H1632" s="8" t="s">
        <v>7320</v>
      </c>
      <c r="I1632" s="8" t="s">
        <v>146</v>
      </c>
      <c r="J1632" s="8" t="s">
        <v>7321</v>
      </c>
      <c r="K1632" s="8" t="s">
        <v>110</v>
      </c>
      <c r="L1632" s="8" t="s">
        <v>7322</v>
      </c>
    </row>
    <row r="1633" customFormat="false" ht="34.5" hidden="false" customHeight="true" outlineLevel="0" collapsed="false">
      <c r="A1633" s="8" t="n">
        <v>1384</v>
      </c>
      <c r="B1633" s="8" t="s">
        <v>51</v>
      </c>
      <c r="C1633" s="8" t="s">
        <v>7323</v>
      </c>
      <c r="D1633" s="8" t="n">
        <v>1963</v>
      </c>
      <c r="E1633" s="8" t="s">
        <v>7324</v>
      </c>
      <c r="F1633" s="8" t="s">
        <v>143</v>
      </c>
      <c r="G1633" s="8" t="s">
        <v>348</v>
      </c>
      <c r="H1633" s="8" t="s">
        <v>145</v>
      </c>
      <c r="I1633" s="8" t="s">
        <v>387</v>
      </c>
      <c r="J1633" s="8" t="s">
        <v>7325</v>
      </c>
      <c r="K1633" s="8"/>
      <c r="L1633" s="8" t="s">
        <v>7326</v>
      </c>
    </row>
    <row r="1634" customFormat="false" ht="34.5" hidden="false" customHeight="true" outlineLevel="0" collapsed="false">
      <c r="A1634" s="8" t="n">
        <v>1385</v>
      </c>
      <c r="B1634" s="8" t="s">
        <v>51</v>
      </c>
      <c r="C1634" s="8" t="s">
        <v>7327</v>
      </c>
      <c r="D1634" s="8" t="n">
        <v>2014</v>
      </c>
      <c r="E1634" s="8" t="s">
        <v>7328</v>
      </c>
      <c r="F1634" s="8" t="s">
        <v>151</v>
      </c>
      <c r="G1634" s="8" t="s">
        <v>152</v>
      </c>
      <c r="H1634" s="8" t="s">
        <v>145</v>
      </c>
      <c r="I1634" s="8" t="s">
        <v>146</v>
      </c>
      <c r="J1634" s="8" t="s">
        <v>7329</v>
      </c>
      <c r="K1634" s="8"/>
      <c r="L1634" s="8" t="s">
        <v>7330</v>
      </c>
    </row>
    <row r="1635" customFormat="false" ht="23.25" hidden="false" customHeight="true" outlineLevel="0" collapsed="false">
      <c r="A1635" s="13" t="n">
        <v>1386</v>
      </c>
      <c r="B1635" s="14" t="s">
        <v>51</v>
      </c>
      <c r="C1635" s="14" t="s">
        <v>7331</v>
      </c>
      <c r="D1635" s="14" t="n">
        <v>2018</v>
      </c>
      <c r="E1635" s="14" t="s">
        <v>7332</v>
      </c>
      <c r="F1635" s="14" t="s">
        <v>143</v>
      </c>
      <c r="G1635" s="14" t="s">
        <v>1163</v>
      </c>
      <c r="H1635" s="14" t="s">
        <v>145</v>
      </c>
      <c r="I1635" s="14" t="s">
        <v>153</v>
      </c>
      <c r="J1635" s="14" t="s">
        <v>1421</v>
      </c>
      <c r="K1635" s="14" t="s">
        <v>112</v>
      </c>
      <c r="L1635" s="14" t="s">
        <v>7333</v>
      </c>
    </row>
    <row r="1636" customFormat="false" ht="45.75" hidden="false" customHeight="true" outlineLevel="0" collapsed="false">
      <c r="A1636" s="15" t="n">
        <v>1386</v>
      </c>
      <c r="B1636" s="16" t="s">
        <v>73</v>
      </c>
      <c r="C1636" s="16" t="s">
        <v>7334</v>
      </c>
      <c r="D1636" s="16" t="n">
        <v>2018</v>
      </c>
      <c r="E1636" s="16" t="s">
        <v>7332</v>
      </c>
      <c r="F1636" s="16" t="s">
        <v>143</v>
      </c>
      <c r="G1636" s="16" t="s">
        <v>7335</v>
      </c>
      <c r="H1636" s="16" t="s">
        <v>145</v>
      </c>
      <c r="I1636" s="16" t="s">
        <v>153</v>
      </c>
      <c r="J1636" s="16" t="s">
        <v>1421</v>
      </c>
      <c r="K1636" s="16" t="s">
        <v>112</v>
      </c>
      <c r="L1636" s="16" t="s">
        <v>7336</v>
      </c>
    </row>
    <row r="1637" customFormat="false" ht="34.5" hidden="false" customHeight="true" outlineLevel="0" collapsed="false">
      <c r="A1637" s="8" t="n">
        <v>1387</v>
      </c>
      <c r="B1637" s="8" t="s">
        <v>51</v>
      </c>
      <c r="C1637" s="8" t="s">
        <v>1793</v>
      </c>
      <c r="D1637" s="8" t="n">
        <v>2023</v>
      </c>
      <c r="E1637" s="8" t="s">
        <v>7337</v>
      </c>
      <c r="F1637" s="8" t="s">
        <v>143</v>
      </c>
      <c r="G1637" s="8" t="s">
        <v>1636</v>
      </c>
      <c r="H1637" s="8" t="s">
        <v>145</v>
      </c>
      <c r="I1637" s="8" t="s">
        <v>153</v>
      </c>
      <c r="J1637" s="8" t="s">
        <v>1921</v>
      </c>
      <c r="K1637" s="8" t="s">
        <v>110</v>
      </c>
      <c r="L1637" s="8" t="s">
        <v>7338</v>
      </c>
    </row>
    <row r="1638" customFormat="false" ht="34.5" hidden="false" customHeight="true" outlineLevel="0" collapsed="false">
      <c r="A1638" s="8" t="n">
        <v>1388</v>
      </c>
      <c r="B1638" s="8" t="s">
        <v>51</v>
      </c>
      <c r="C1638" s="8" t="s">
        <v>7339</v>
      </c>
      <c r="D1638" s="8" t="n">
        <v>2020</v>
      </c>
      <c r="E1638" s="8" t="s">
        <v>7340</v>
      </c>
      <c r="F1638" s="8" t="s">
        <v>151</v>
      </c>
      <c r="G1638" s="8" t="s">
        <v>152</v>
      </c>
      <c r="H1638" s="8" t="s">
        <v>7341</v>
      </c>
      <c r="I1638" s="8" t="s">
        <v>208</v>
      </c>
      <c r="J1638" s="8" t="s">
        <v>7342</v>
      </c>
      <c r="K1638" s="8"/>
      <c r="L1638" s="8" t="s">
        <v>7343</v>
      </c>
    </row>
    <row r="1639" customFormat="false" ht="23.25" hidden="false" customHeight="true" outlineLevel="0" collapsed="false">
      <c r="A1639" s="8" t="n">
        <v>1389</v>
      </c>
      <c r="B1639" s="8" t="s">
        <v>51</v>
      </c>
      <c r="C1639" s="8" t="s">
        <v>6729</v>
      </c>
      <c r="D1639" s="8" t="n">
        <v>2016</v>
      </c>
      <c r="E1639" s="8" t="s">
        <v>7344</v>
      </c>
      <c r="F1639" s="8" t="s">
        <v>151</v>
      </c>
      <c r="G1639" s="8" t="s">
        <v>348</v>
      </c>
      <c r="H1639" s="8" t="s">
        <v>145</v>
      </c>
      <c r="I1639" s="8" t="s">
        <v>153</v>
      </c>
      <c r="J1639" s="8" t="s">
        <v>7345</v>
      </c>
      <c r="K1639" s="8"/>
      <c r="L1639" s="8" t="s">
        <v>7346</v>
      </c>
    </row>
    <row r="1640" customFormat="false" ht="34.5" hidden="false" customHeight="true" outlineLevel="0" collapsed="false">
      <c r="A1640" s="8" t="n">
        <v>1390</v>
      </c>
      <c r="B1640" s="8" t="s">
        <v>51</v>
      </c>
      <c r="C1640" s="8" t="s">
        <v>1166</v>
      </c>
      <c r="D1640" s="8" t="n">
        <v>2014</v>
      </c>
      <c r="E1640" s="8" t="s">
        <v>7347</v>
      </c>
      <c r="F1640" s="8" t="s">
        <v>201</v>
      </c>
      <c r="G1640" s="8" t="s">
        <v>1264</v>
      </c>
      <c r="H1640" s="8" t="s">
        <v>145</v>
      </c>
      <c r="I1640" s="8" t="s">
        <v>153</v>
      </c>
      <c r="J1640" s="8" t="s">
        <v>7348</v>
      </c>
      <c r="K1640" s="8" t="s">
        <v>112</v>
      </c>
      <c r="L1640" s="8" t="s">
        <v>7349</v>
      </c>
    </row>
    <row r="1641" customFormat="false" ht="34.5" hidden="false" customHeight="true" outlineLevel="0" collapsed="false">
      <c r="A1641" s="8" t="n">
        <v>1391</v>
      </c>
      <c r="B1641" s="8" t="s">
        <v>51</v>
      </c>
      <c r="C1641" s="8" t="s">
        <v>1166</v>
      </c>
      <c r="D1641" s="8" t="n">
        <v>2015</v>
      </c>
      <c r="E1641" s="8" t="s">
        <v>7350</v>
      </c>
      <c r="F1641" s="8" t="s">
        <v>143</v>
      </c>
      <c r="G1641" s="8" t="s">
        <v>1619</v>
      </c>
      <c r="H1641" s="8" t="s">
        <v>145</v>
      </c>
      <c r="I1641" s="8" t="s">
        <v>153</v>
      </c>
      <c r="J1641" s="8" t="s">
        <v>7351</v>
      </c>
      <c r="K1641" s="8" t="s">
        <v>112</v>
      </c>
      <c r="L1641" s="8" t="s">
        <v>7352</v>
      </c>
    </row>
    <row r="1642" customFormat="false" ht="34.5" hidden="false" customHeight="true" outlineLevel="0" collapsed="false">
      <c r="A1642" s="8" t="n">
        <v>1392</v>
      </c>
      <c r="B1642" s="8" t="s">
        <v>51</v>
      </c>
      <c r="C1642" s="8" t="s">
        <v>7353</v>
      </c>
      <c r="D1642" s="8" t="n">
        <v>2012</v>
      </c>
      <c r="E1642" s="8" t="s">
        <v>7354</v>
      </c>
      <c r="F1642" s="8" t="s">
        <v>151</v>
      </c>
      <c r="G1642" s="8" t="s">
        <v>7355</v>
      </c>
      <c r="H1642" s="8" t="s">
        <v>187</v>
      </c>
      <c r="I1642" s="8" t="s">
        <v>146</v>
      </c>
      <c r="J1642" s="8" t="s">
        <v>7356</v>
      </c>
      <c r="K1642" s="8" t="s">
        <v>116</v>
      </c>
      <c r="L1642" s="8" t="s">
        <v>7357</v>
      </c>
    </row>
    <row r="1643" customFormat="false" ht="34.5" hidden="false" customHeight="true" outlineLevel="0" collapsed="false">
      <c r="A1643" s="8" t="n">
        <v>1393</v>
      </c>
      <c r="B1643" s="8" t="s">
        <v>51</v>
      </c>
      <c r="C1643" s="8" t="s">
        <v>1672</v>
      </c>
      <c r="D1643" s="8" t="n">
        <v>2024</v>
      </c>
      <c r="E1643" s="8" t="s">
        <v>7358</v>
      </c>
      <c r="F1643" s="8" t="s">
        <v>143</v>
      </c>
      <c r="G1643" s="8" t="s">
        <v>1678</v>
      </c>
      <c r="H1643" s="8" t="s">
        <v>145</v>
      </c>
      <c r="I1643" s="8" t="s">
        <v>153</v>
      </c>
      <c r="J1643" s="8" t="s">
        <v>7359</v>
      </c>
      <c r="K1643" s="8" t="s">
        <v>114</v>
      </c>
      <c r="L1643" s="8" t="s">
        <v>7360</v>
      </c>
    </row>
    <row r="1644" customFormat="false" ht="23.25" hidden="false" customHeight="true" outlineLevel="0" collapsed="false">
      <c r="A1644" s="8" t="n">
        <v>1394</v>
      </c>
      <c r="B1644" s="8" t="s">
        <v>51</v>
      </c>
      <c r="C1644" s="8" t="s">
        <v>7361</v>
      </c>
      <c r="D1644" s="8" t="n">
        <v>2009</v>
      </c>
      <c r="E1644" s="8" t="s">
        <v>7362</v>
      </c>
      <c r="F1644" s="8" t="s">
        <v>201</v>
      </c>
      <c r="G1644" s="8" t="s">
        <v>1763</v>
      </c>
      <c r="H1644" s="8" t="s">
        <v>1117</v>
      </c>
      <c r="I1644" s="8" t="s">
        <v>146</v>
      </c>
      <c r="J1644" s="8" t="s">
        <v>7363</v>
      </c>
      <c r="K1644" s="8" t="s">
        <v>112</v>
      </c>
      <c r="L1644" s="8" t="s">
        <v>7364</v>
      </c>
    </row>
    <row r="1645" customFormat="false" ht="23.25" hidden="false" customHeight="true" outlineLevel="0" collapsed="false">
      <c r="A1645" s="8" t="n">
        <v>1395</v>
      </c>
      <c r="B1645" s="8" t="s">
        <v>51</v>
      </c>
      <c r="C1645" s="8" t="s">
        <v>7365</v>
      </c>
      <c r="D1645" s="8" t="n">
        <v>2019</v>
      </c>
      <c r="E1645" s="8" t="s">
        <v>7366</v>
      </c>
      <c r="F1645" s="8" t="s">
        <v>201</v>
      </c>
      <c r="G1645" s="8" t="s">
        <v>152</v>
      </c>
      <c r="H1645" s="8" t="s">
        <v>145</v>
      </c>
      <c r="I1645" s="8" t="s">
        <v>153</v>
      </c>
      <c r="J1645" s="8" t="s">
        <v>7367</v>
      </c>
      <c r="K1645" s="8"/>
      <c r="L1645" s="8" t="s">
        <v>7368</v>
      </c>
    </row>
    <row r="1646" customFormat="false" ht="23.25" hidden="false" customHeight="true" outlineLevel="0" collapsed="false">
      <c r="A1646" s="8" t="n">
        <v>1396</v>
      </c>
      <c r="B1646" s="8" t="s">
        <v>51</v>
      </c>
      <c r="C1646" s="8" t="s">
        <v>1940</v>
      </c>
      <c r="D1646" s="8" t="n">
        <v>2023</v>
      </c>
      <c r="E1646" s="8" t="s">
        <v>7369</v>
      </c>
      <c r="F1646" s="8" t="s">
        <v>143</v>
      </c>
      <c r="G1646" s="8" t="s">
        <v>1763</v>
      </c>
      <c r="H1646" s="8" t="s">
        <v>1213</v>
      </c>
      <c r="I1646" s="8" t="s">
        <v>146</v>
      </c>
      <c r="J1646" s="8" t="s">
        <v>7370</v>
      </c>
      <c r="K1646" s="8" t="s">
        <v>112</v>
      </c>
      <c r="L1646" s="8" t="s">
        <v>7371</v>
      </c>
    </row>
    <row r="1647" customFormat="false" ht="23.25" hidden="false" customHeight="true" outlineLevel="0" collapsed="false">
      <c r="A1647" s="9" t="n">
        <v>1397</v>
      </c>
      <c r="B1647" s="10" t="s">
        <v>51</v>
      </c>
      <c r="C1647" s="10" t="s">
        <v>1195</v>
      </c>
      <c r="D1647" s="10" t="n">
        <v>2022</v>
      </c>
      <c r="E1647" s="10" t="s">
        <v>7372</v>
      </c>
      <c r="F1647" s="10" t="s">
        <v>151</v>
      </c>
      <c r="G1647" s="10" t="s">
        <v>7373</v>
      </c>
      <c r="H1647" s="10" t="s">
        <v>1198</v>
      </c>
      <c r="I1647" s="10" t="s">
        <v>146</v>
      </c>
      <c r="J1647" s="10" t="s">
        <v>1199</v>
      </c>
      <c r="K1647" s="10" t="s">
        <v>112</v>
      </c>
      <c r="L1647" s="10" t="s">
        <v>7374</v>
      </c>
    </row>
    <row r="1648" customFormat="false" ht="23.25" hidden="false" customHeight="true" outlineLevel="0" collapsed="false">
      <c r="A1648" s="11" t="n">
        <v>1397</v>
      </c>
      <c r="B1648" s="12" t="s">
        <v>81</v>
      </c>
      <c r="C1648" s="12" t="s">
        <v>1195</v>
      </c>
      <c r="D1648" s="12" t="n">
        <v>2022</v>
      </c>
      <c r="E1648" s="12" t="s">
        <v>7372</v>
      </c>
      <c r="F1648" s="12" t="s">
        <v>7375</v>
      </c>
      <c r="G1648" s="12" t="s">
        <v>1205</v>
      </c>
      <c r="H1648" s="12" t="s">
        <v>1198</v>
      </c>
      <c r="I1648" s="12" t="s">
        <v>146</v>
      </c>
      <c r="J1648" s="12" t="s">
        <v>7376</v>
      </c>
      <c r="K1648" s="12" t="s">
        <v>112</v>
      </c>
      <c r="L1648" s="12" t="s">
        <v>7377</v>
      </c>
    </row>
    <row r="1649" customFormat="false" ht="23.25" hidden="false" customHeight="true" outlineLevel="0" collapsed="false">
      <c r="A1649" s="8" t="n">
        <v>1398</v>
      </c>
      <c r="B1649" s="8" t="s">
        <v>51</v>
      </c>
      <c r="C1649" s="8" t="s">
        <v>3354</v>
      </c>
      <c r="D1649" s="8" t="n">
        <v>2020</v>
      </c>
      <c r="E1649" s="8" t="s">
        <v>7378</v>
      </c>
      <c r="F1649" s="8" t="s">
        <v>143</v>
      </c>
      <c r="G1649" s="8" t="s">
        <v>1619</v>
      </c>
      <c r="H1649" s="8" t="s">
        <v>145</v>
      </c>
      <c r="I1649" s="8" t="s">
        <v>153</v>
      </c>
      <c r="J1649" s="8" t="s">
        <v>7379</v>
      </c>
      <c r="K1649" s="8" t="s">
        <v>114</v>
      </c>
      <c r="L1649" s="8" t="s">
        <v>7380</v>
      </c>
    </row>
    <row r="1650" customFormat="false" ht="23.25" hidden="false" customHeight="true" outlineLevel="0" collapsed="false">
      <c r="A1650" s="8" t="n">
        <v>1399</v>
      </c>
      <c r="B1650" s="8" t="s">
        <v>51</v>
      </c>
      <c r="C1650" s="8" t="s">
        <v>7381</v>
      </c>
      <c r="D1650" s="8" t="n">
        <v>2023</v>
      </c>
      <c r="E1650" s="8" t="s">
        <v>7382</v>
      </c>
      <c r="F1650" s="8" t="s">
        <v>151</v>
      </c>
      <c r="G1650" s="8" t="s">
        <v>1619</v>
      </c>
      <c r="H1650" s="8" t="s">
        <v>145</v>
      </c>
      <c r="I1650" s="8" t="s">
        <v>153</v>
      </c>
      <c r="J1650" s="8" t="s">
        <v>7383</v>
      </c>
      <c r="K1650" s="8"/>
      <c r="L1650" s="8" t="s">
        <v>7384</v>
      </c>
    </row>
    <row r="1651" customFormat="false" ht="34.5" hidden="false" customHeight="true" outlineLevel="0" collapsed="false">
      <c r="A1651" s="8" t="n">
        <v>1400</v>
      </c>
      <c r="B1651" s="8" t="s">
        <v>51</v>
      </c>
      <c r="C1651" s="8" t="s">
        <v>7385</v>
      </c>
      <c r="D1651" s="8" t="n">
        <v>2023</v>
      </c>
      <c r="E1651" s="8" t="s">
        <v>7386</v>
      </c>
      <c r="F1651" s="8" t="s">
        <v>151</v>
      </c>
      <c r="G1651" s="8" t="s">
        <v>1619</v>
      </c>
      <c r="H1651" s="8" t="s">
        <v>7387</v>
      </c>
      <c r="I1651" s="8" t="s">
        <v>208</v>
      </c>
      <c r="J1651" s="8" t="s">
        <v>7388</v>
      </c>
      <c r="K1651" s="8" t="s">
        <v>112</v>
      </c>
      <c r="L1651" s="8" t="s">
        <v>7389</v>
      </c>
    </row>
    <row r="1652" customFormat="false" ht="23.25" hidden="false" customHeight="true" outlineLevel="0" collapsed="false">
      <c r="A1652" s="8" t="n">
        <v>1401</v>
      </c>
      <c r="B1652" s="8" t="s">
        <v>51</v>
      </c>
      <c r="C1652" s="8" t="s">
        <v>7390</v>
      </c>
      <c r="D1652" s="8" t="n">
        <v>2019</v>
      </c>
      <c r="E1652" s="8" t="s">
        <v>7391</v>
      </c>
      <c r="F1652" s="8" t="s">
        <v>151</v>
      </c>
      <c r="G1652" s="8" t="s">
        <v>152</v>
      </c>
      <c r="H1652" s="8" t="s">
        <v>145</v>
      </c>
      <c r="I1652" s="8" t="s">
        <v>146</v>
      </c>
      <c r="J1652" s="8" t="s">
        <v>7392</v>
      </c>
      <c r="K1652" s="8"/>
      <c r="L1652" s="8" t="s">
        <v>7393</v>
      </c>
    </row>
    <row r="1653" customFormat="false" ht="34.5" hidden="false" customHeight="true" outlineLevel="0" collapsed="false">
      <c r="A1653" s="8" t="n">
        <v>1402</v>
      </c>
      <c r="B1653" s="8" t="s">
        <v>51</v>
      </c>
      <c r="C1653" s="8" t="s">
        <v>7394</v>
      </c>
      <c r="D1653" s="8" t="n">
        <v>2021</v>
      </c>
      <c r="E1653" s="8" t="s">
        <v>7395</v>
      </c>
      <c r="F1653" s="8" t="s">
        <v>151</v>
      </c>
      <c r="G1653" s="8" t="s">
        <v>3530</v>
      </c>
      <c r="H1653" s="8" t="s">
        <v>5248</v>
      </c>
      <c r="I1653" s="8" t="s">
        <v>146</v>
      </c>
      <c r="J1653" s="8" t="s">
        <v>7396</v>
      </c>
      <c r="K1653" s="8" t="s">
        <v>112</v>
      </c>
      <c r="L1653" s="8" t="s">
        <v>7397</v>
      </c>
    </row>
    <row r="1654" customFormat="false" ht="34.5" hidden="false" customHeight="true" outlineLevel="0" collapsed="false">
      <c r="A1654" s="8" t="n">
        <v>1403</v>
      </c>
      <c r="B1654" s="8" t="s">
        <v>51</v>
      </c>
      <c r="C1654" s="8" t="s">
        <v>7398</v>
      </c>
      <c r="D1654" s="8" t="n">
        <v>2024</v>
      </c>
      <c r="E1654" s="8" t="s">
        <v>7399</v>
      </c>
      <c r="F1654" s="8" t="s">
        <v>151</v>
      </c>
      <c r="G1654" s="8" t="s">
        <v>152</v>
      </c>
      <c r="H1654" s="8" t="s">
        <v>684</v>
      </c>
      <c r="I1654" s="8" t="s">
        <v>146</v>
      </c>
      <c r="J1654" s="8" t="s">
        <v>7400</v>
      </c>
      <c r="K1654" s="8"/>
      <c r="L1654" s="8" t="s">
        <v>7401</v>
      </c>
    </row>
    <row r="1655" customFormat="false" ht="23.25" hidden="false" customHeight="true" outlineLevel="0" collapsed="false">
      <c r="A1655" s="8" t="n">
        <v>1404</v>
      </c>
      <c r="B1655" s="8" t="s">
        <v>51</v>
      </c>
      <c r="C1655" s="8" t="s">
        <v>7402</v>
      </c>
      <c r="D1655" s="8" t="n">
        <v>2015</v>
      </c>
      <c r="E1655" s="8" t="s">
        <v>7403</v>
      </c>
      <c r="F1655" s="8" t="s">
        <v>151</v>
      </c>
      <c r="G1655" s="8" t="s">
        <v>152</v>
      </c>
      <c r="H1655" s="8" t="s">
        <v>145</v>
      </c>
      <c r="I1655" s="8" t="s">
        <v>146</v>
      </c>
      <c r="J1655" s="8" t="s">
        <v>7404</v>
      </c>
      <c r="K1655" s="8"/>
      <c r="L1655" s="8" t="s">
        <v>7405</v>
      </c>
    </row>
    <row r="1656" customFormat="false" ht="23.25" hidden="false" customHeight="true" outlineLevel="0" collapsed="false">
      <c r="A1656" s="8" t="n">
        <v>1405</v>
      </c>
      <c r="B1656" s="8" t="s">
        <v>51</v>
      </c>
      <c r="C1656" s="8" t="s">
        <v>7406</v>
      </c>
      <c r="D1656" s="8" t="n">
        <v>2022</v>
      </c>
      <c r="E1656" s="8" t="s">
        <v>7407</v>
      </c>
      <c r="F1656" s="8" t="s">
        <v>143</v>
      </c>
      <c r="G1656" s="8" t="s">
        <v>152</v>
      </c>
      <c r="H1656" s="8" t="s">
        <v>145</v>
      </c>
      <c r="I1656" s="8" t="s">
        <v>153</v>
      </c>
      <c r="J1656" s="8" t="s">
        <v>7408</v>
      </c>
      <c r="K1656" s="8" t="s">
        <v>114</v>
      </c>
      <c r="L1656" s="8" t="s">
        <v>7409</v>
      </c>
    </row>
    <row r="1657" customFormat="false" ht="23.25" hidden="false" customHeight="true" outlineLevel="0" collapsed="false">
      <c r="A1657" s="8" t="n">
        <v>1406</v>
      </c>
      <c r="B1657" s="8" t="s">
        <v>51</v>
      </c>
      <c r="C1657" s="8" t="s">
        <v>7410</v>
      </c>
      <c r="D1657" s="8" t="n">
        <v>2019</v>
      </c>
      <c r="E1657" s="8" t="s">
        <v>7411</v>
      </c>
      <c r="F1657" s="8" t="s">
        <v>151</v>
      </c>
      <c r="G1657" s="8" t="s">
        <v>348</v>
      </c>
      <c r="H1657" s="8" t="s">
        <v>145</v>
      </c>
      <c r="I1657" s="8" t="s">
        <v>153</v>
      </c>
      <c r="J1657" s="8" t="s">
        <v>7412</v>
      </c>
      <c r="K1657" s="8"/>
      <c r="L1657" s="8" t="s">
        <v>7413</v>
      </c>
    </row>
    <row r="1658" customFormat="false" ht="34.5" hidden="false" customHeight="true" outlineLevel="0" collapsed="false">
      <c r="A1658" s="8" t="n">
        <v>1407</v>
      </c>
      <c r="B1658" s="8" t="s">
        <v>51</v>
      </c>
      <c r="C1658" s="8" t="s">
        <v>7410</v>
      </c>
      <c r="D1658" s="8" t="n">
        <v>2021</v>
      </c>
      <c r="E1658" s="8" t="s">
        <v>6791</v>
      </c>
      <c r="F1658" s="8" t="s">
        <v>151</v>
      </c>
      <c r="G1658" s="8" t="s">
        <v>152</v>
      </c>
      <c r="H1658" s="8" t="s">
        <v>145</v>
      </c>
      <c r="I1658" s="8" t="s">
        <v>153</v>
      </c>
      <c r="J1658" s="8" t="s">
        <v>7414</v>
      </c>
      <c r="K1658" s="8"/>
      <c r="L1658" s="8" t="s">
        <v>7415</v>
      </c>
    </row>
    <row r="1659" customFormat="false" ht="34.5" hidden="false" customHeight="true" outlineLevel="0" collapsed="false">
      <c r="A1659" s="8" t="n">
        <v>1408</v>
      </c>
      <c r="B1659" s="8" t="s">
        <v>51</v>
      </c>
      <c r="C1659" s="8" t="s">
        <v>7416</v>
      </c>
      <c r="D1659" s="8" t="n">
        <v>2021</v>
      </c>
      <c r="E1659" s="8" t="s">
        <v>7417</v>
      </c>
      <c r="F1659" s="8" t="s">
        <v>151</v>
      </c>
      <c r="G1659" s="8" t="s">
        <v>152</v>
      </c>
      <c r="H1659" s="8" t="s">
        <v>145</v>
      </c>
      <c r="I1659" s="8" t="s">
        <v>208</v>
      </c>
      <c r="J1659" s="8" t="s">
        <v>7418</v>
      </c>
      <c r="K1659" s="8"/>
      <c r="L1659" s="8" t="s">
        <v>7419</v>
      </c>
    </row>
    <row r="1660" customFormat="false" ht="34.5" hidden="false" customHeight="true" outlineLevel="0" collapsed="false">
      <c r="A1660" s="8" t="n">
        <v>1409</v>
      </c>
      <c r="B1660" s="8" t="s">
        <v>51</v>
      </c>
      <c r="C1660" s="8" t="s">
        <v>7420</v>
      </c>
      <c r="D1660" s="8" t="n">
        <v>2012</v>
      </c>
      <c r="E1660" s="8" t="s">
        <v>7421</v>
      </c>
      <c r="F1660" s="8" t="s">
        <v>151</v>
      </c>
      <c r="G1660" s="8" t="s">
        <v>4464</v>
      </c>
      <c r="H1660" s="8" t="s">
        <v>5455</v>
      </c>
      <c r="I1660" s="8" t="s">
        <v>146</v>
      </c>
      <c r="J1660" s="8" t="s">
        <v>7422</v>
      </c>
      <c r="K1660" s="8" t="s">
        <v>116</v>
      </c>
      <c r="L1660" s="8" t="s">
        <v>7423</v>
      </c>
    </row>
    <row r="1661" customFormat="false" ht="34.5" hidden="false" customHeight="true" outlineLevel="0" collapsed="false">
      <c r="A1661" s="8" t="n">
        <v>1410</v>
      </c>
      <c r="B1661" s="8" t="s">
        <v>51</v>
      </c>
      <c r="C1661" s="8" t="s">
        <v>7424</v>
      </c>
      <c r="D1661" s="8" t="n">
        <v>2021</v>
      </c>
      <c r="E1661" s="8" t="s">
        <v>7425</v>
      </c>
      <c r="F1661" s="8" t="s">
        <v>151</v>
      </c>
      <c r="G1661" s="8" t="s">
        <v>4464</v>
      </c>
      <c r="H1661" s="8" t="s">
        <v>2262</v>
      </c>
      <c r="I1661" s="8" t="s">
        <v>146</v>
      </c>
      <c r="J1661" s="8" t="s">
        <v>617</v>
      </c>
      <c r="K1661" s="8"/>
      <c r="L1661" s="8" t="s">
        <v>7426</v>
      </c>
    </row>
    <row r="1662" customFormat="false" ht="23.25" hidden="false" customHeight="true" outlineLevel="0" collapsed="false">
      <c r="A1662" s="8" t="n">
        <v>1411</v>
      </c>
      <c r="B1662" s="8" t="s">
        <v>51</v>
      </c>
      <c r="C1662" s="8" t="s">
        <v>7427</v>
      </c>
      <c r="D1662" s="8" t="n">
        <v>2014</v>
      </c>
      <c r="E1662" s="8" t="s">
        <v>7428</v>
      </c>
      <c r="F1662" s="8" t="s">
        <v>143</v>
      </c>
      <c r="G1662" s="8" t="s">
        <v>1619</v>
      </c>
      <c r="H1662" s="8" t="s">
        <v>145</v>
      </c>
      <c r="I1662" s="8" t="s">
        <v>153</v>
      </c>
      <c r="J1662" s="8" t="s">
        <v>6742</v>
      </c>
      <c r="K1662" s="8" t="s">
        <v>114</v>
      </c>
      <c r="L1662" s="8" t="s">
        <v>7429</v>
      </c>
    </row>
    <row r="1663" customFormat="false" ht="34.5" hidden="false" customHeight="true" outlineLevel="0" collapsed="false">
      <c r="A1663" s="8" t="n">
        <v>1412</v>
      </c>
      <c r="B1663" s="8" t="s">
        <v>51</v>
      </c>
      <c r="C1663" s="8" t="s">
        <v>7190</v>
      </c>
      <c r="D1663" s="8" t="n">
        <v>2020</v>
      </c>
      <c r="E1663" s="8" t="s">
        <v>7430</v>
      </c>
      <c r="F1663" s="8" t="s">
        <v>143</v>
      </c>
      <c r="G1663" s="8" t="s">
        <v>7431</v>
      </c>
      <c r="H1663" s="8" t="s">
        <v>145</v>
      </c>
      <c r="I1663" s="8" t="s">
        <v>153</v>
      </c>
      <c r="J1663" s="8" t="s">
        <v>7432</v>
      </c>
      <c r="K1663" s="8" t="s">
        <v>114</v>
      </c>
      <c r="L1663" s="8" t="s">
        <v>7433</v>
      </c>
    </row>
    <row r="1664" customFormat="false" ht="34.5" hidden="false" customHeight="true" outlineLevel="0" collapsed="false">
      <c r="A1664" s="8" t="n">
        <v>1413</v>
      </c>
      <c r="B1664" s="8" t="s">
        <v>51</v>
      </c>
      <c r="C1664" s="8" t="s">
        <v>7434</v>
      </c>
      <c r="D1664" s="8" t="n">
        <v>2008</v>
      </c>
      <c r="E1664" s="8" t="s">
        <v>7435</v>
      </c>
      <c r="F1664" s="8" t="s">
        <v>151</v>
      </c>
      <c r="G1664" s="8" t="s">
        <v>348</v>
      </c>
      <c r="H1664" s="8" t="s">
        <v>145</v>
      </c>
      <c r="I1664" s="8" t="s">
        <v>146</v>
      </c>
      <c r="J1664" s="8" t="s">
        <v>7436</v>
      </c>
      <c r="K1664" s="8"/>
      <c r="L1664" s="8" t="s">
        <v>7437</v>
      </c>
    </row>
    <row r="1665" customFormat="false" ht="34.5" hidden="false" customHeight="true" outlineLevel="0" collapsed="false">
      <c r="A1665" s="8" t="n">
        <v>1414</v>
      </c>
      <c r="B1665" s="8" t="s">
        <v>51</v>
      </c>
      <c r="C1665" s="8" t="s">
        <v>7438</v>
      </c>
      <c r="D1665" s="8" t="n">
        <v>2021</v>
      </c>
      <c r="E1665" s="8" t="s">
        <v>7439</v>
      </c>
      <c r="F1665" s="8" t="s">
        <v>201</v>
      </c>
      <c r="G1665" s="8" t="s">
        <v>1619</v>
      </c>
      <c r="H1665" s="8" t="s">
        <v>145</v>
      </c>
      <c r="I1665" s="8" t="s">
        <v>153</v>
      </c>
      <c r="J1665" s="8" t="s">
        <v>6571</v>
      </c>
      <c r="K1665" s="8" t="s">
        <v>114</v>
      </c>
      <c r="L1665" s="8" t="s">
        <v>7440</v>
      </c>
    </row>
    <row r="1666" customFormat="false" ht="34.5" hidden="false" customHeight="true" outlineLevel="0" collapsed="false">
      <c r="A1666" s="8" t="n">
        <v>1415</v>
      </c>
      <c r="B1666" s="8" t="s">
        <v>51</v>
      </c>
      <c r="C1666" s="8" t="s">
        <v>7441</v>
      </c>
      <c r="D1666" s="8" t="n">
        <v>2023</v>
      </c>
      <c r="E1666" s="8" t="s">
        <v>7442</v>
      </c>
      <c r="F1666" s="8" t="s">
        <v>143</v>
      </c>
      <c r="G1666" s="8" t="s">
        <v>7443</v>
      </c>
      <c r="H1666" s="8" t="s">
        <v>684</v>
      </c>
      <c r="I1666" s="8" t="s">
        <v>146</v>
      </c>
      <c r="J1666" s="8" t="s">
        <v>7444</v>
      </c>
      <c r="K1666" s="8"/>
      <c r="L1666" s="8" t="s">
        <v>7445</v>
      </c>
    </row>
    <row r="1667" customFormat="false" ht="34.5" hidden="false" customHeight="true" outlineLevel="0" collapsed="false">
      <c r="A1667" s="8" t="n">
        <v>1416</v>
      </c>
      <c r="B1667" s="8" t="s">
        <v>51</v>
      </c>
      <c r="C1667" s="8" t="s">
        <v>7446</v>
      </c>
      <c r="D1667" s="8" t="n">
        <v>2001</v>
      </c>
      <c r="E1667" s="8" t="s">
        <v>7447</v>
      </c>
      <c r="F1667" s="8" t="s">
        <v>201</v>
      </c>
      <c r="G1667" s="8" t="s">
        <v>7448</v>
      </c>
      <c r="H1667" s="8" t="s">
        <v>187</v>
      </c>
      <c r="I1667" s="8" t="s">
        <v>208</v>
      </c>
      <c r="J1667" s="8" t="s">
        <v>7449</v>
      </c>
      <c r="K1667" s="8" t="s">
        <v>112</v>
      </c>
      <c r="L1667" s="8" t="s">
        <v>7450</v>
      </c>
    </row>
    <row r="1668" customFormat="false" ht="23.25" hidden="false" customHeight="true" outlineLevel="0" collapsed="false">
      <c r="A1668" s="8" t="n">
        <v>1417</v>
      </c>
      <c r="B1668" s="8" t="s">
        <v>51</v>
      </c>
      <c r="C1668" s="8" t="s">
        <v>7451</v>
      </c>
      <c r="D1668" s="8" t="n">
        <v>2022</v>
      </c>
      <c r="E1668" s="8" t="s">
        <v>7452</v>
      </c>
      <c r="F1668" s="8" t="s">
        <v>151</v>
      </c>
      <c r="G1668" s="8" t="s">
        <v>1763</v>
      </c>
      <c r="H1668" s="8" t="s">
        <v>1117</v>
      </c>
      <c r="I1668" s="8" t="s">
        <v>146</v>
      </c>
      <c r="J1668" s="8" t="s">
        <v>7453</v>
      </c>
      <c r="K1668" s="8" t="s">
        <v>112</v>
      </c>
      <c r="L1668" s="8" t="s">
        <v>7454</v>
      </c>
    </row>
    <row r="1669" customFormat="false" ht="34.5" hidden="false" customHeight="true" outlineLevel="0" collapsed="false">
      <c r="A1669" s="8" t="n">
        <v>1418</v>
      </c>
      <c r="B1669" s="8" t="s">
        <v>51</v>
      </c>
      <c r="C1669" s="8" t="s">
        <v>7455</v>
      </c>
      <c r="D1669" s="8" t="n">
        <v>1996</v>
      </c>
      <c r="E1669" s="8" t="s">
        <v>7456</v>
      </c>
      <c r="F1669" s="8" t="s">
        <v>201</v>
      </c>
      <c r="G1669" s="8" t="s">
        <v>152</v>
      </c>
      <c r="H1669" s="8" t="s">
        <v>145</v>
      </c>
      <c r="I1669" s="8" t="s">
        <v>153</v>
      </c>
      <c r="J1669" s="8" t="s">
        <v>7457</v>
      </c>
      <c r="K1669" s="8"/>
      <c r="L1669" s="8" t="s">
        <v>7458</v>
      </c>
    </row>
    <row r="1670" customFormat="false" ht="34.5" hidden="false" customHeight="true" outlineLevel="0" collapsed="false">
      <c r="A1670" s="8" t="n">
        <v>1419</v>
      </c>
      <c r="B1670" s="8" t="s">
        <v>51</v>
      </c>
      <c r="C1670" s="8" t="s">
        <v>7459</v>
      </c>
      <c r="D1670" s="8" t="n">
        <v>2009</v>
      </c>
      <c r="E1670" s="8" t="s">
        <v>7460</v>
      </c>
      <c r="F1670" s="8" t="s">
        <v>143</v>
      </c>
      <c r="G1670" s="8" t="s">
        <v>626</v>
      </c>
      <c r="H1670" s="8" t="s">
        <v>1319</v>
      </c>
      <c r="I1670" s="8" t="s">
        <v>748</v>
      </c>
      <c r="J1670" s="8" t="s">
        <v>7461</v>
      </c>
      <c r="K1670" s="8" t="s">
        <v>112</v>
      </c>
      <c r="L1670" s="8" t="s">
        <v>7462</v>
      </c>
    </row>
    <row r="1671" customFormat="false" ht="34.5" hidden="false" customHeight="true" outlineLevel="0" collapsed="false">
      <c r="A1671" s="8" t="n">
        <v>1420</v>
      </c>
      <c r="B1671" s="8" t="s">
        <v>51</v>
      </c>
      <c r="C1671" s="8" t="s">
        <v>3624</v>
      </c>
      <c r="D1671" s="8" t="n">
        <v>2021</v>
      </c>
      <c r="E1671" s="8" t="s">
        <v>7463</v>
      </c>
      <c r="F1671" s="8" t="s">
        <v>143</v>
      </c>
      <c r="G1671" s="8" t="s">
        <v>6084</v>
      </c>
      <c r="H1671" s="8" t="s">
        <v>145</v>
      </c>
      <c r="I1671" s="8" t="s">
        <v>153</v>
      </c>
      <c r="J1671" s="8" t="s">
        <v>7464</v>
      </c>
      <c r="K1671" s="8"/>
      <c r="L1671" s="8" t="s">
        <v>7465</v>
      </c>
    </row>
    <row r="1672" customFormat="false" ht="34.5" hidden="false" customHeight="true" outlineLevel="0" collapsed="false">
      <c r="A1672" s="8" t="n">
        <v>1421</v>
      </c>
      <c r="B1672" s="8" t="s">
        <v>51</v>
      </c>
      <c r="C1672" s="8" t="s">
        <v>7466</v>
      </c>
      <c r="D1672" s="8" t="n">
        <v>2011</v>
      </c>
      <c r="E1672" s="8" t="s">
        <v>7467</v>
      </c>
      <c r="F1672" s="8" t="s">
        <v>143</v>
      </c>
      <c r="G1672" s="8" t="s">
        <v>1264</v>
      </c>
      <c r="H1672" s="8" t="s">
        <v>5248</v>
      </c>
      <c r="I1672" s="8" t="s">
        <v>146</v>
      </c>
      <c r="J1672" s="8" t="s">
        <v>7348</v>
      </c>
      <c r="K1672" s="8" t="s">
        <v>112</v>
      </c>
      <c r="L1672" s="8" t="s">
        <v>7468</v>
      </c>
    </row>
    <row r="1673" customFormat="false" ht="34.5" hidden="false" customHeight="true" outlineLevel="0" collapsed="false">
      <c r="A1673" s="8" t="n">
        <v>1422</v>
      </c>
      <c r="B1673" s="8" t="s">
        <v>51</v>
      </c>
      <c r="C1673" s="8" t="s">
        <v>7469</v>
      </c>
      <c r="D1673" s="8" t="n">
        <v>2018</v>
      </c>
      <c r="E1673" s="8" t="s">
        <v>7470</v>
      </c>
      <c r="F1673" s="8" t="s">
        <v>151</v>
      </c>
      <c r="G1673" s="8" t="s">
        <v>348</v>
      </c>
      <c r="H1673" s="8" t="s">
        <v>684</v>
      </c>
      <c r="I1673" s="8" t="s">
        <v>146</v>
      </c>
      <c r="J1673" s="8" t="s">
        <v>7471</v>
      </c>
      <c r="K1673" s="8"/>
      <c r="L1673" s="8" t="s">
        <v>7472</v>
      </c>
    </row>
    <row r="1674" customFormat="false" ht="23.25" hidden="false" customHeight="true" outlineLevel="0" collapsed="false">
      <c r="A1674" s="8" t="n">
        <v>1423</v>
      </c>
      <c r="B1674" s="8" t="s">
        <v>51</v>
      </c>
      <c r="C1674" s="8" t="s">
        <v>7473</v>
      </c>
      <c r="D1674" s="8" t="n">
        <v>2020</v>
      </c>
      <c r="E1674" s="8" t="s">
        <v>7474</v>
      </c>
      <c r="F1674" s="8" t="s">
        <v>151</v>
      </c>
      <c r="G1674" s="8" t="s">
        <v>348</v>
      </c>
      <c r="H1674" s="8" t="s">
        <v>145</v>
      </c>
      <c r="I1674" s="8" t="s">
        <v>146</v>
      </c>
      <c r="J1674" s="8" t="s">
        <v>7475</v>
      </c>
      <c r="K1674" s="8"/>
      <c r="L1674" s="8" t="s">
        <v>7476</v>
      </c>
    </row>
    <row r="1675" customFormat="false" ht="34.5" hidden="false" customHeight="true" outlineLevel="0" collapsed="false">
      <c r="A1675" s="8" t="n">
        <v>1424</v>
      </c>
      <c r="B1675" s="8" t="s">
        <v>51</v>
      </c>
      <c r="C1675" s="8" t="s">
        <v>7477</v>
      </c>
      <c r="D1675" s="8" t="n">
        <v>2023</v>
      </c>
      <c r="E1675" s="8" t="s">
        <v>7478</v>
      </c>
      <c r="F1675" s="8" t="s">
        <v>151</v>
      </c>
      <c r="G1675" s="8" t="s">
        <v>1619</v>
      </c>
      <c r="H1675" s="8" t="s">
        <v>7479</v>
      </c>
      <c r="I1675" s="8" t="s">
        <v>153</v>
      </c>
      <c r="J1675" s="8" t="s">
        <v>7480</v>
      </c>
      <c r="K1675" s="8" t="s">
        <v>114</v>
      </c>
      <c r="L1675" s="8" t="s">
        <v>7481</v>
      </c>
    </row>
    <row r="1676" customFormat="false" ht="34.5" hidden="false" customHeight="true" outlineLevel="0" collapsed="false">
      <c r="A1676" s="8" t="n">
        <v>1425</v>
      </c>
      <c r="B1676" s="8" t="s">
        <v>51</v>
      </c>
      <c r="C1676" s="8" t="s">
        <v>1314</v>
      </c>
      <c r="D1676" s="8" t="n">
        <v>2022</v>
      </c>
      <c r="E1676" s="8" t="s">
        <v>7482</v>
      </c>
      <c r="F1676" s="8" t="s">
        <v>143</v>
      </c>
      <c r="G1676" s="8" t="s">
        <v>3530</v>
      </c>
      <c r="H1676" s="8" t="s">
        <v>145</v>
      </c>
      <c r="I1676" s="8" t="s">
        <v>153</v>
      </c>
      <c r="J1676" s="8" t="s">
        <v>7483</v>
      </c>
      <c r="K1676" s="8" t="s">
        <v>112</v>
      </c>
      <c r="L1676" s="8" t="s">
        <v>7484</v>
      </c>
    </row>
    <row r="1677" customFormat="false" ht="23.25" hidden="false" customHeight="true" outlineLevel="0" collapsed="false">
      <c r="A1677" s="8" t="n">
        <v>1426</v>
      </c>
      <c r="B1677" s="8" t="s">
        <v>51</v>
      </c>
      <c r="C1677" s="8" t="s">
        <v>7485</v>
      </c>
      <c r="D1677" s="8" t="n">
        <v>2021</v>
      </c>
      <c r="E1677" s="8" t="s">
        <v>7486</v>
      </c>
      <c r="F1677" s="8" t="s">
        <v>151</v>
      </c>
      <c r="G1677" s="8" t="s">
        <v>1619</v>
      </c>
      <c r="H1677" s="8" t="s">
        <v>7487</v>
      </c>
      <c r="I1677" s="8" t="s">
        <v>153</v>
      </c>
      <c r="J1677" s="8" t="s">
        <v>7488</v>
      </c>
      <c r="K1677" s="8" t="s">
        <v>114</v>
      </c>
      <c r="L1677" s="8" t="s">
        <v>7489</v>
      </c>
    </row>
    <row r="1678" customFormat="false" ht="23.25" hidden="false" customHeight="true" outlineLevel="0" collapsed="false">
      <c r="A1678" s="8" t="n">
        <v>1427</v>
      </c>
      <c r="B1678" s="8" t="s">
        <v>51</v>
      </c>
      <c r="C1678" s="8" t="s">
        <v>7490</v>
      </c>
      <c r="D1678" s="8" t="n">
        <v>2021</v>
      </c>
      <c r="E1678" s="8" t="s">
        <v>7491</v>
      </c>
      <c r="F1678" s="8" t="s">
        <v>143</v>
      </c>
      <c r="G1678" s="8" t="s">
        <v>348</v>
      </c>
      <c r="H1678" s="8" t="s">
        <v>145</v>
      </c>
      <c r="I1678" s="8" t="s">
        <v>153</v>
      </c>
      <c r="J1678" s="8" t="s">
        <v>7492</v>
      </c>
      <c r="K1678" s="8"/>
      <c r="L1678" s="8" t="s">
        <v>7493</v>
      </c>
    </row>
    <row r="1679" customFormat="false" ht="34.5" hidden="false" customHeight="true" outlineLevel="0" collapsed="false">
      <c r="A1679" s="8" t="n">
        <v>1428</v>
      </c>
      <c r="B1679" s="8" t="s">
        <v>51</v>
      </c>
      <c r="C1679" s="8" t="s">
        <v>7494</v>
      </c>
      <c r="D1679" s="8" t="n">
        <v>2013</v>
      </c>
      <c r="E1679" s="8" t="s">
        <v>7495</v>
      </c>
      <c r="F1679" s="8" t="s">
        <v>201</v>
      </c>
      <c r="G1679" s="8" t="s">
        <v>7496</v>
      </c>
      <c r="H1679" s="8" t="s">
        <v>7497</v>
      </c>
      <c r="I1679" s="8" t="s">
        <v>208</v>
      </c>
      <c r="J1679" s="8" t="s">
        <v>7449</v>
      </c>
      <c r="K1679" s="8" t="s">
        <v>112</v>
      </c>
      <c r="L1679" s="8" t="s">
        <v>7498</v>
      </c>
    </row>
    <row r="1680" customFormat="false" ht="23.25" hidden="false" customHeight="true" outlineLevel="0" collapsed="false">
      <c r="A1680" s="8" t="n">
        <v>1429</v>
      </c>
      <c r="B1680" s="8" t="s">
        <v>51</v>
      </c>
      <c r="C1680" s="8" t="s">
        <v>7499</v>
      </c>
      <c r="D1680" s="8" t="n">
        <v>2018</v>
      </c>
      <c r="E1680" s="8" t="s">
        <v>7500</v>
      </c>
      <c r="F1680" s="8" t="s">
        <v>151</v>
      </c>
      <c r="G1680" s="8" t="s">
        <v>152</v>
      </c>
      <c r="H1680" s="8" t="s">
        <v>684</v>
      </c>
      <c r="I1680" s="8" t="s">
        <v>387</v>
      </c>
      <c r="J1680" s="8" t="s">
        <v>7501</v>
      </c>
      <c r="K1680" s="8"/>
      <c r="L1680" s="8" t="s">
        <v>7502</v>
      </c>
    </row>
    <row r="1681" customFormat="false" ht="34.5" hidden="false" customHeight="true" outlineLevel="0" collapsed="false">
      <c r="A1681" s="8" t="n">
        <v>1430</v>
      </c>
      <c r="B1681" s="8" t="s">
        <v>51</v>
      </c>
      <c r="C1681" s="8" t="s">
        <v>6780</v>
      </c>
      <c r="D1681" s="8" t="n">
        <v>2018</v>
      </c>
      <c r="E1681" s="8" t="s">
        <v>7503</v>
      </c>
      <c r="F1681" s="8" t="s">
        <v>151</v>
      </c>
      <c r="G1681" s="8" t="s">
        <v>152</v>
      </c>
      <c r="H1681" s="8" t="s">
        <v>3028</v>
      </c>
      <c r="I1681" s="8" t="s">
        <v>153</v>
      </c>
      <c r="J1681" s="8" t="s">
        <v>7504</v>
      </c>
      <c r="K1681" s="8" t="s">
        <v>116</v>
      </c>
      <c r="L1681" s="8" t="s">
        <v>7505</v>
      </c>
    </row>
    <row r="1682" customFormat="false" ht="34.5" hidden="false" customHeight="true" outlineLevel="0" collapsed="false">
      <c r="A1682" s="8" t="n">
        <v>1431</v>
      </c>
      <c r="B1682" s="8" t="s">
        <v>51</v>
      </c>
      <c r="C1682" s="8" t="s">
        <v>6780</v>
      </c>
      <c r="D1682" s="8" t="n">
        <v>2020</v>
      </c>
      <c r="E1682" s="8" t="s">
        <v>7506</v>
      </c>
      <c r="F1682" s="8" t="s">
        <v>151</v>
      </c>
      <c r="G1682" s="8" t="s">
        <v>7507</v>
      </c>
      <c r="H1682" s="8" t="s">
        <v>684</v>
      </c>
      <c r="I1682" s="8" t="s">
        <v>146</v>
      </c>
      <c r="J1682" s="8" t="s">
        <v>2001</v>
      </c>
      <c r="K1682" s="8" t="s">
        <v>116</v>
      </c>
      <c r="L1682" s="8" t="s">
        <v>7508</v>
      </c>
    </row>
    <row r="1683" customFormat="false" ht="34.5" hidden="false" customHeight="true" outlineLevel="0" collapsed="false">
      <c r="A1683" s="8" t="n">
        <v>1432</v>
      </c>
      <c r="B1683" s="8" t="s">
        <v>51</v>
      </c>
      <c r="C1683" s="8" t="s">
        <v>7509</v>
      </c>
      <c r="D1683" s="8" t="n">
        <v>2020</v>
      </c>
      <c r="E1683" s="8" t="s">
        <v>7510</v>
      </c>
      <c r="F1683" s="8" t="s">
        <v>151</v>
      </c>
      <c r="G1683" s="8" t="s">
        <v>152</v>
      </c>
      <c r="H1683" s="8" t="s">
        <v>7511</v>
      </c>
      <c r="I1683" s="8" t="s">
        <v>146</v>
      </c>
      <c r="J1683" s="8" t="s">
        <v>7512</v>
      </c>
      <c r="K1683" s="8"/>
      <c r="L1683" s="8" t="s">
        <v>7513</v>
      </c>
    </row>
    <row r="1684" customFormat="false" ht="34.5" hidden="false" customHeight="true" outlineLevel="0" collapsed="false">
      <c r="A1684" s="8" t="n">
        <v>1433</v>
      </c>
      <c r="B1684" s="8" t="s">
        <v>51</v>
      </c>
      <c r="C1684" s="8" t="s">
        <v>983</v>
      </c>
      <c r="D1684" s="8" t="n">
        <v>2024</v>
      </c>
      <c r="E1684" s="8" t="s">
        <v>7514</v>
      </c>
      <c r="F1684" s="8" t="s">
        <v>201</v>
      </c>
      <c r="G1684" s="8" t="s">
        <v>348</v>
      </c>
      <c r="H1684" s="8" t="s">
        <v>145</v>
      </c>
      <c r="I1684" s="8" t="s">
        <v>153</v>
      </c>
      <c r="J1684" s="8" t="s">
        <v>7515</v>
      </c>
      <c r="K1684" s="8"/>
      <c r="L1684" s="8" t="s">
        <v>7516</v>
      </c>
    </row>
    <row r="1685" customFormat="false" ht="23.25" hidden="false" customHeight="true" outlineLevel="0" collapsed="false">
      <c r="A1685" s="8" t="n">
        <v>1434</v>
      </c>
      <c r="B1685" s="8" t="s">
        <v>51</v>
      </c>
      <c r="C1685" s="8" t="s">
        <v>7517</v>
      </c>
      <c r="D1685" s="8" t="n">
        <v>2020</v>
      </c>
      <c r="E1685" s="8" t="s">
        <v>7518</v>
      </c>
      <c r="F1685" s="8" t="s">
        <v>151</v>
      </c>
      <c r="G1685" s="8" t="s">
        <v>7519</v>
      </c>
      <c r="H1685" s="8" t="s">
        <v>684</v>
      </c>
      <c r="I1685" s="8" t="s">
        <v>146</v>
      </c>
      <c r="J1685" s="8" t="s">
        <v>7520</v>
      </c>
      <c r="K1685" s="8"/>
      <c r="L1685" s="8" t="s">
        <v>7521</v>
      </c>
    </row>
    <row r="1686" customFormat="false" ht="34.5" hidden="false" customHeight="true" outlineLevel="0" collapsed="false">
      <c r="A1686" s="8" t="n">
        <v>1435</v>
      </c>
      <c r="B1686" s="8" t="s">
        <v>51</v>
      </c>
      <c r="C1686" s="8" t="s">
        <v>7522</v>
      </c>
      <c r="D1686" s="8" t="n">
        <v>2021</v>
      </c>
      <c r="E1686" s="8" t="s">
        <v>7523</v>
      </c>
      <c r="F1686" s="8" t="s">
        <v>151</v>
      </c>
      <c r="G1686" s="8" t="s">
        <v>152</v>
      </c>
      <c r="H1686" s="8" t="s">
        <v>684</v>
      </c>
      <c r="I1686" s="8" t="s">
        <v>387</v>
      </c>
      <c r="J1686" s="8" t="s">
        <v>7524</v>
      </c>
      <c r="K1686" s="8"/>
      <c r="L1686" s="8" t="s">
        <v>7525</v>
      </c>
    </row>
    <row r="1687" customFormat="false" ht="23.25" hidden="false" customHeight="true" outlineLevel="0" collapsed="false">
      <c r="A1687" s="8" t="n">
        <v>1436</v>
      </c>
      <c r="B1687" s="8" t="s">
        <v>51</v>
      </c>
      <c r="C1687" s="8" t="s">
        <v>7526</v>
      </c>
      <c r="D1687" s="8" t="n">
        <v>2005</v>
      </c>
      <c r="E1687" s="8" t="s">
        <v>7527</v>
      </c>
      <c r="F1687" s="8" t="s">
        <v>151</v>
      </c>
      <c r="G1687" s="8" t="s">
        <v>348</v>
      </c>
      <c r="H1687" s="8" t="s">
        <v>145</v>
      </c>
      <c r="I1687" s="8" t="s">
        <v>4353</v>
      </c>
      <c r="J1687" s="8" t="s">
        <v>7528</v>
      </c>
      <c r="K1687" s="8"/>
      <c r="L1687" s="8" t="s">
        <v>7529</v>
      </c>
    </row>
    <row r="1688" customFormat="false" ht="23.25" hidden="false" customHeight="true" outlineLevel="0" collapsed="false">
      <c r="A1688" s="8" t="n">
        <v>1437</v>
      </c>
      <c r="B1688" s="8" t="s">
        <v>51</v>
      </c>
      <c r="C1688" s="8" t="s">
        <v>7530</v>
      </c>
      <c r="D1688" s="8" t="n">
        <v>2010</v>
      </c>
      <c r="E1688" s="8" t="s">
        <v>7531</v>
      </c>
      <c r="F1688" s="8" t="s">
        <v>151</v>
      </c>
      <c r="G1688" s="8" t="s">
        <v>348</v>
      </c>
      <c r="H1688" s="8" t="s">
        <v>145</v>
      </c>
      <c r="I1688" s="8" t="s">
        <v>7532</v>
      </c>
      <c r="J1688" s="8" t="s">
        <v>7533</v>
      </c>
      <c r="K1688" s="8"/>
      <c r="L1688" s="8" t="s">
        <v>7534</v>
      </c>
    </row>
    <row r="1689" customFormat="false" ht="23.25" hidden="false" customHeight="true" outlineLevel="0" collapsed="false">
      <c r="A1689" s="8" t="n">
        <v>1438</v>
      </c>
      <c r="B1689" s="8" t="s">
        <v>51</v>
      </c>
      <c r="C1689" s="8" t="s">
        <v>7535</v>
      </c>
      <c r="D1689" s="8" t="n">
        <v>1994</v>
      </c>
      <c r="E1689" s="8" t="s">
        <v>7536</v>
      </c>
      <c r="F1689" s="8" t="s">
        <v>151</v>
      </c>
      <c r="G1689" s="8" t="s">
        <v>348</v>
      </c>
      <c r="H1689" s="8" t="s">
        <v>145</v>
      </c>
      <c r="I1689" s="8" t="s">
        <v>7537</v>
      </c>
      <c r="J1689" s="8" t="s">
        <v>7538</v>
      </c>
      <c r="K1689" s="8"/>
      <c r="L1689" s="8" t="s">
        <v>7539</v>
      </c>
    </row>
    <row r="1690" customFormat="false" ht="23.25" hidden="false" customHeight="true" outlineLevel="0" collapsed="false">
      <c r="A1690" s="8" t="n">
        <v>1439</v>
      </c>
      <c r="B1690" s="8" t="s">
        <v>51</v>
      </c>
      <c r="C1690" s="8" t="s">
        <v>7540</v>
      </c>
      <c r="D1690" s="8" t="n">
        <v>2022</v>
      </c>
      <c r="E1690" s="8" t="s">
        <v>7541</v>
      </c>
      <c r="F1690" s="8" t="s">
        <v>151</v>
      </c>
      <c r="G1690" s="8" t="s">
        <v>348</v>
      </c>
      <c r="H1690" s="8" t="s">
        <v>145</v>
      </c>
      <c r="I1690" s="8" t="s">
        <v>7542</v>
      </c>
      <c r="J1690" s="8" t="s">
        <v>7543</v>
      </c>
      <c r="K1690" s="8"/>
      <c r="L1690" s="8" t="s">
        <v>7544</v>
      </c>
    </row>
    <row r="1691" customFormat="false" ht="34.5" hidden="false" customHeight="true" outlineLevel="0" collapsed="false">
      <c r="A1691" s="8" t="n">
        <v>1440</v>
      </c>
      <c r="B1691" s="8" t="s">
        <v>51</v>
      </c>
      <c r="C1691" s="8" t="s">
        <v>7545</v>
      </c>
      <c r="D1691" s="8" t="n">
        <v>2012</v>
      </c>
      <c r="E1691" s="8" t="s">
        <v>7546</v>
      </c>
      <c r="F1691" s="8" t="s">
        <v>151</v>
      </c>
      <c r="G1691" s="8" t="s">
        <v>4650</v>
      </c>
      <c r="H1691" s="8" t="s">
        <v>7547</v>
      </c>
      <c r="I1691" s="8" t="s">
        <v>146</v>
      </c>
      <c r="J1691" s="8" t="s">
        <v>7548</v>
      </c>
      <c r="K1691" s="8"/>
      <c r="L1691" s="8" t="s">
        <v>7549</v>
      </c>
    </row>
    <row r="1692" customFormat="false" ht="23.25" hidden="false" customHeight="true" outlineLevel="0" collapsed="false">
      <c r="A1692" s="8" t="n">
        <v>1441</v>
      </c>
      <c r="B1692" s="8" t="s">
        <v>51</v>
      </c>
      <c r="C1692" s="8" t="s">
        <v>7550</v>
      </c>
      <c r="D1692" s="8" t="n">
        <v>2023</v>
      </c>
      <c r="E1692" s="8" t="s">
        <v>7551</v>
      </c>
      <c r="F1692" s="8" t="s">
        <v>151</v>
      </c>
      <c r="G1692" s="8" t="s">
        <v>152</v>
      </c>
      <c r="H1692" s="8" t="s">
        <v>7479</v>
      </c>
      <c r="I1692" s="8" t="s">
        <v>153</v>
      </c>
      <c r="J1692" s="8" t="s">
        <v>7552</v>
      </c>
      <c r="K1692" s="8"/>
      <c r="L1692" s="8" t="s">
        <v>7553</v>
      </c>
    </row>
    <row r="1693" customFormat="false" ht="34.5" hidden="false" customHeight="true" outlineLevel="0" collapsed="false">
      <c r="A1693" s="8" t="n">
        <v>1442</v>
      </c>
      <c r="B1693" s="8" t="s">
        <v>53</v>
      </c>
      <c r="C1693" s="8" t="s">
        <v>7554</v>
      </c>
      <c r="D1693" s="8" t="n">
        <v>2018</v>
      </c>
      <c r="E1693" s="8" t="s">
        <v>7555</v>
      </c>
      <c r="F1693" s="8" t="s">
        <v>151</v>
      </c>
      <c r="G1693" s="8" t="s">
        <v>364</v>
      </c>
      <c r="H1693" s="8" t="s">
        <v>145</v>
      </c>
      <c r="I1693" s="8" t="s">
        <v>153</v>
      </c>
      <c r="J1693" s="8" t="s">
        <v>7556</v>
      </c>
      <c r="K1693" s="8"/>
      <c r="L1693" s="8" t="s">
        <v>7557</v>
      </c>
    </row>
    <row r="1694" customFormat="false" ht="34.5" hidden="false" customHeight="true" outlineLevel="0" collapsed="false">
      <c r="A1694" s="8" t="n">
        <v>1443</v>
      </c>
      <c r="B1694" s="8" t="s">
        <v>53</v>
      </c>
      <c r="C1694" s="8" t="s">
        <v>7558</v>
      </c>
      <c r="D1694" s="8" t="n">
        <v>2016</v>
      </c>
      <c r="E1694" s="8" t="s">
        <v>7559</v>
      </c>
      <c r="F1694" s="8" t="s">
        <v>201</v>
      </c>
      <c r="G1694" s="8" t="s">
        <v>197</v>
      </c>
      <c r="H1694" s="8" t="s">
        <v>145</v>
      </c>
      <c r="I1694" s="8" t="s">
        <v>153</v>
      </c>
      <c r="J1694" s="8" t="s">
        <v>2675</v>
      </c>
      <c r="K1694" s="8"/>
      <c r="L1694" s="8" t="s">
        <v>7560</v>
      </c>
    </row>
    <row r="1695" customFormat="false" ht="34.5" hidden="false" customHeight="true" outlineLevel="0" collapsed="false">
      <c r="A1695" s="8" t="n">
        <v>1444</v>
      </c>
      <c r="B1695" s="8" t="s">
        <v>53</v>
      </c>
      <c r="C1695" s="8" t="s">
        <v>7561</v>
      </c>
      <c r="D1695" s="8" t="n">
        <v>2009</v>
      </c>
      <c r="E1695" s="8" t="s">
        <v>7562</v>
      </c>
      <c r="F1695" s="8" t="s">
        <v>143</v>
      </c>
      <c r="G1695" s="8" t="s">
        <v>7563</v>
      </c>
      <c r="H1695" s="8" t="s">
        <v>145</v>
      </c>
      <c r="I1695" s="8" t="s">
        <v>153</v>
      </c>
      <c r="J1695" s="8" t="s">
        <v>7564</v>
      </c>
      <c r="K1695" s="8"/>
      <c r="L1695" s="8" t="s">
        <v>7565</v>
      </c>
    </row>
    <row r="1696" customFormat="false" ht="34.5" hidden="false" customHeight="true" outlineLevel="0" collapsed="false">
      <c r="A1696" s="8" t="n">
        <v>1445</v>
      </c>
      <c r="B1696" s="8" t="s">
        <v>53</v>
      </c>
      <c r="C1696" s="8" t="s">
        <v>1572</v>
      </c>
      <c r="D1696" s="8" t="n">
        <v>2012</v>
      </c>
      <c r="E1696" s="8" t="s">
        <v>7566</v>
      </c>
      <c r="F1696" s="8" t="s">
        <v>143</v>
      </c>
      <c r="G1696" s="8" t="s">
        <v>7567</v>
      </c>
      <c r="H1696" s="8" t="s">
        <v>4310</v>
      </c>
      <c r="I1696" s="8" t="s">
        <v>146</v>
      </c>
      <c r="J1696" s="8" t="s">
        <v>7568</v>
      </c>
      <c r="K1696" s="8"/>
      <c r="L1696" s="8" t="s">
        <v>7569</v>
      </c>
    </row>
    <row r="1697" customFormat="false" ht="34.5" hidden="false" customHeight="true" outlineLevel="0" collapsed="false">
      <c r="A1697" s="8" t="n">
        <v>1446</v>
      </c>
      <c r="B1697" s="8" t="s">
        <v>53</v>
      </c>
      <c r="C1697" s="8" t="s">
        <v>7570</v>
      </c>
      <c r="D1697" s="8" t="n">
        <v>2013</v>
      </c>
      <c r="E1697" s="8" t="s">
        <v>7571</v>
      </c>
      <c r="F1697" s="8" t="s">
        <v>143</v>
      </c>
      <c r="G1697" s="8" t="s">
        <v>7572</v>
      </c>
      <c r="H1697" s="8" t="s">
        <v>4711</v>
      </c>
      <c r="I1697" s="8" t="s">
        <v>153</v>
      </c>
      <c r="J1697" s="8" t="s">
        <v>7573</v>
      </c>
      <c r="K1697" s="8"/>
      <c r="L1697" s="8" t="s">
        <v>7574</v>
      </c>
    </row>
    <row r="1698" customFormat="false" ht="34.5" hidden="false" customHeight="true" outlineLevel="0" collapsed="false">
      <c r="A1698" s="8" t="n">
        <v>1447</v>
      </c>
      <c r="B1698" s="8" t="s">
        <v>53</v>
      </c>
      <c r="C1698" s="8" t="s">
        <v>7575</v>
      </c>
      <c r="D1698" s="8" t="n">
        <v>2014</v>
      </c>
      <c r="E1698" s="8" t="s">
        <v>7576</v>
      </c>
      <c r="F1698" s="8" t="s">
        <v>201</v>
      </c>
      <c r="G1698" s="8" t="s">
        <v>2454</v>
      </c>
      <c r="H1698" s="8" t="s">
        <v>7577</v>
      </c>
      <c r="I1698" s="8" t="s">
        <v>146</v>
      </c>
      <c r="J1698" s="8" t="s">
        <v>7578</v>
      </c>
      <c r="K1698" s="8"/>
      <c r="L1698" s="8" t="s">
        <v>7579</v>
      </c>
    </row>
    <row r="1699" customFormat="false" ht="45.75" hidden="false" customHeight="true" outlineLevel="0" collapsed="false">
      <c r="A1699" s="8" t="n">
        <v>1448</v>
      </c>
      <c r="B1699" s="8" t="s">
        <v>53</v>
      </c>
      <c r="C1699" s="8" t="s">
        <v>7580</v>
      </c>
      <c r="D1699" s="8" t="n">
        <v>2017</v>
      </c>
      <c r="E1699" s="8" t="s">
        <v>7581</v>
      </c>
      <c r="F1699" s="8" t="s">
        <v>143</v>
      </c>
      <c r="G1699" s="8" t="s">
        <v>7582</v>
      </c>
      <c r="H1699" s="8" t="s">
        <v>255</v>
      </c>
      <c r="I1699" s="8" t="s">
        <v>146</v>
      </c>
      <c r="J1699" s="8" t="s">
        <v>7583</v>
      </c>
      <c r="K1699" s="8" t="s">
        <v>116</v>
      </c>
      <c r="L1699" s="8" t="s">
        <v>7584</v>
      </c>
    </row>
    <row r="1700" customFormat="false" ht="34.5" hidden="false" customHeight="true" outlineLevel="0" collapsed="false">
      <c r="A1700" s="8" t="n">
        <v>1449</v>
      </c>
      <c r="B1700" s="8" t="s">
        <v>53</v>
      </c>
      <c r="C1700" s="8" t="s">
        <v>7585</v>
      </c>
      <c r="D1700" s="8" t="n">
        <v>2017</v>
      </c>
      <c r="E1700" s="8" t="s">
        <v>7586</v>
      </c>
      <c r="F1700" s="8" t="s">
        <v>201</v>
      </c>
      <c r="G1700" s="8" t="s">
        <v>364</v>
      </c>
      <c r="H1700" s="8" t="s">
        <v>145</v>
      </c>
      <c r="I1700" s="8" t="s">
        <v>153</v>
      </c>
      <c r="J1700" s="8" t="s">
        <v>7587</v>
      </c>
      <c r="K1700" s="8"/>
      <c r="L1700" s="8" t="s">
        <v>7588</v>
      </c>
    </row>
    <row r="1701" customFormat="false" ht="34.5" hidden="false" customHeight="true" outlineLevel="0" collapsed="false">
      <c r="A1701" s="8" t="n">
        <v>1450</v>
      </c>
      <c r="B1701" s="8" t="s">
        <v>53</v>
      </c>
      <c r="C1701" s="8" t="s">
        <v>7589</v>
      </c>
      <c r="D1701" s="8" t="n">
        <v>2016</v>
      </c>
      <c r="E1701" s="8" t="s">
        <v>7590</v>
      </c>
      <c r="F1701" s="8" t="s">
        <v>143</v>
      </c>
      <c r="G1701" s="8" t="s">
        <v>7591</v>
      </c>
      <c r="H1701" s="8" t="s">
        <v>255</v>
      </c>
      <c r="I1701" s="8" t="s">
        <v>146</v>
      </c>
      <c r="J1701" s="8" t="s">
        <v>7592</v>
      </c>
      <c r="K1701" s="8"/>
      <c r="L1701" s="8" t="s">
        <v>7593</v>
      </c>
    </row>
    <row r="1702" customFormat="false" ht="34.5" hidden="false" customHeight="true" outlineLevel="0" collapsed="false">
      <c r="A1702" s="8" t="n">
        <v>1451</v>
      </c>
      <c r="B1702" s="8" t="s">
        <v>53</v>
      </c>
      <c r="C1702" s="8" t="s">
        <v>7594</v>
      </c>
      <c r="D1702" s="8" t="n">
        <v>2013</v>
      </c>
      <c r="E1702" s="8" t="s">
        <v>7595</v>
      </c>
      <c r="F1702" s="8" t="s">
        <v>201</v>
      </c>
      <c r="G1702" s="8" t="s">
        <v>7596</v>
      </c>
      <c r="H1702" s="8" t="s">
        <v>7597</v>
      </c>
      <c r="I1702" s="8" t="s">
        <v>146</v>
      </c>
      <c r="J1702" s="8" t="s">
        <v>7598</v>
      </c>
      <c r="K1702" s="8"/>
      <c r="L1702" s="8" t="s">
        <v>7599</v>
      </c>
    </row>
    <row r="1703" customFormat="false" ht="34.5" hidden="false" customHeight="true" outlineLevel="0" collapsed="false">
      <c r="A1703" s="8" t="n">
        <v>1452</v>
      </c>
      <c r="B1703" s="8" t="s">
        <v>53</v>
      </c>
      <c r="C1703" s="8" t="s">
        <v>7600</v>
      </c>
      <c r="D1703" s="8" t="n">
        <v>2013</v>
      </c>
      <c r="E1703" s="8" t="s">
        <v>7601</v>
      </c>
      <c r="F1703" s="8" t="s">
        <v>143</v>
      </c>
      <c r="G1703" s="8" t="s">
        <v>2454</v>
      </c>
      <c r="H1703" s="8" t="s">
        <v>7244</v>
      </c>
      <c r="I1703" s="8" t="s">
        <v>146</v>
      </c>
      <c r="J1703" s="8" t="s">
        <v>7602</v>
      </c>
      <c r="K1703" s="8"/>
      <c r="L1703" s="8" t="s">
        <v>7603</v>
      </c>
    </row>
    <row r="1704" customFormat="false" ht="34.5" hidden="false" customHeight="true" outlineLevel="0" collapsed="false">
      <c r="A1704" s="8" t="n">
        <v>1453</v>
      </c>
      <c r="B1704" s="8" t="s">
        <v>53</v>
      </c>
      <c r="C1704" s="8" t="s">
        <v>7604</v>
      </c>
      <c r="D1704" s="8" t="n">
        <v>2016</v>
      </c>
      <c r="E1704" s="8" t="s">
        <v>7605</v>
      </c>
      <c r="F1704" s="8" t="s">
        <v>579</v>
      </c>
      <c r="G1704" s="8" t="s">
        <v>7606</v>
      </c>
      <c r="H1704" s="8" t="s">
        <v>4310</v>
      </c>
      <c r="I1704" s="8" t="s">
        <v>146</v>
      </c>
      <c r="J1704" s="8" t="s">
        <v>7607</v>
      </c>
      <c r="K1704" s="8"/>
      <c r="L1704" s="8" t="s">
        <v>7608</v>
      </c>
    </row>
    <row r="1705" customFormat="false" ht="34.5" hidden="false" customHeight="true" outlineLevel="0" collapsed="false">
      <c r="A1705" s="8" t="n">
        <v>1454</v>
      </c>
      <c r="B1705" s="8" t="s">
        <v>53</v>
      </c>
      <c r="C1705" s="8" t="s">
        <v>7609</v>
      </c>
      <c r="D1705" s="8" t="n">
        <v>2011</v>
      </c>
      <c r="E1705" s="8" t="s">
        <v>7610</v>
      </c>
      <c r="F1705" s="8" t="s">
        <v>201</v>
      </c>
      <c r="G1705" s="8" t="s">
        <v>7611</v>
      </c>
      <c r="H1705" s="8" t="s">
        <v>4711</v>
      </c>
      <c r="I1705" s="8" t="s">
        <v>146</v>
      </c>
      <c r="J1705" s="8" t="s">
        <v>7612</v>
      </c>
      <c r="K1705" s="8"/>
      <c r="L1705" s="8" t="s">
        <v>7613</v>
      </c>
    </row>
    <row r="1706" customFormat="false" ht="34.5" hidden="false" customHeight="true" outlineLevel="0" collapsed="false">
      <c r="A1706" s="9" t="n">
        <v>1455</v>
      </c>
      <c r="B1706" s="10" t="s">
        <v>53</v>
      </c>
      <c r="C1706" s="10" t="s">
        <v>7614</v>
      </c>
      <c r="D1706" s="10" t="n">
        <v>2010</v>
      </c>
      <c r="E1706" s="10" t="s">
        <v>7615</v>
      </c>
      <c r="F1706" s="10" t="s">
        <v>201</v>
      </c>
      <c r="G1706" s="10" t="s">
        <v>7616</v>
      </c>
      <c r="H1706" s="10" t="s">
        <v>4711</v>
      </c>
      <c r="I1706" s="10" t="s">
        <v>146</v>
      </c>
      <c r="J1706" s="10" t="s">
        <v>7617</v>
      </c>
      <c r="K1706" s="10"/>
      <c r="L1706" s="10" t="s">
        <v>7618</v>
      </c>
    </row>
    <row r="1707" customFormat="false" ht="34.5" hidden="false" customHeight="true" outlineLevel="0" collapsed="false">
      <c r="A1707" s="11" t="n">
        <v>1455</v>
      </c>
      <c r="B1707" s="12" t="s">
        <v>53</v>
      </c>
      <c r="C1707" s="12" t="s">
        <v>7614</v>
      </c>
      <c r="D1707" s="12" t="n">
        <v>2010</v>
      </c>
      <c r="E1707" s="12" t="s">
        <v>7615</v>
      </c>
      <c r="F1707" s="12" t="s">
        <v>579</v>
      </c>
      <c r="G1707" s="12" t="s">
        <v>7616</v>
      </c>
      <c r="H1707" s="12" t="s">
        <v>4711</v>
      </c>
      <c r="I1707" s="12" t="s">
        <v>146</v>
      </c>
      <c r="J1707" s="12" t="s">
        <v>7619</v>
      </c>
      <c r="K1707" s="12"/>
      <c r="L1707" s="12" t="s">
        <v>7620</v>
      </c>
    </row>
    <row r="1708" customFormat="false" ht="34.5" hidden="false" customHeight="true" outlineLevel="0" collapsed="false">
      <c r="A1708" s="8" t="n">
        <v>1456</v>
      </c>
      <c r="B1708" s="8" t="s">
        <v>53</v>
      </c>
      <c r="C1708" s="8" t="s">
        <v>7621</v>
      </c>
      <c r="D1708" s="8" t="n">
        <v>2016</v>
      </c>
      <c r="E1708" s="8" t="s">
        <v>7622</v>
      </c>
      <c r="F1708" s="8" t="s">
        <v>143</v>
      </c>
      <c r="G1708" s="8" t="s">
        <v>197</v>
      </c>
      <c r="H1708" s="8" t="s">
        <v>145</v>
      </c>
      <c r="I1708" s="8" t="s">
        <v>146</v>
      </c>
      <c r="J1708" s="8" t="s">
        <v>7623</v>
      </c>
      <c r="K1708" s="8"/>
      <c r="L1708" s="8" t="s">
        <v>7624</v>
      </c>
    </row>
    <row r="1709" customFormat="false" ht="34.5" hidden="false" customHeight="true" outlineLevel="0" collapsed="false">
      <c r="A1709" s="8" t="n">
        <v>1457</v>
      </c>
      <c r="B1709" s="8" t="s">
        <v>53</v>
      </c>
      <c r="C1709" s="8" t="s">
        <v>7625</v>
      </c>
      <c r="D1709" s="8" t="n">
        <v>2016</v>
      </c>
      <c r="E1709" s="8" t="s">
        <v>7626</v>
      </c>
      <c r="F1709" s="8" t="s">
        <v>143</v>
      </c>
      <c r="G1709" s="8" t="s">
        <v>6974</v>
      </c>
      <c r="H1709" s="8" t="s">
        <v>145</v>
      </c>
      <c r="I1709" s="8" t="s">
        <v>146</v>
      </c>
      <c r="J1709" s="8" t="s">
        <v>7627</v>
      </c>
      <c r="K1709" s="8"/>
      <c r="L1709" s="8" t="s">
        <v>7628</v>
      </c>
    </row>
    <row r="1710" customFormat="false" ht="34.5" hidden="false" customHeight="true" outlineLevel="0" collapsed="false">
      <c r="A1710" s="8" t="n">
        <v>1458</v>
      </c>
      <c r="B1710" s="8" t="s">
        <v>53</v>
      </c>
      <c r="C1710" s="8" t="s">
        <v>2499</v>
      </c>
      <c r="D1710" s="8" t="n">
        <v>2016</v>
      </c>
      <c r="E1710" s="8" t="s">
        <v>7629</v>
      </c>
      <c r="F1710" s="8" t="s">
        <v>143</v>
      </c>
      <c r="G1710" s="8" t="s">
        <v>7630</v>
      </c>
      <c r="H1710" s="8" t="s">
        <v>145</v>
      </c>
      <c r="I1710" s="8" t="s">
        <v>153</v>
      </c>
      <c r="J1710" s="8" t="s">
        <v>3104</v>
      </c>
      <c r="K1710" s="8"/>
      <c r="L1710" s="8" t="s">
        <v>7631</v>
      </c>
    </row>
    <row r="1711" customFormat="false" ht="34.5" hidden="false" customHeight="true" outlineLevel="0" collapsed="false">
      <c r="A1711" s="8" t="n">
        <v>1459</v>
      </c>
      <c r="B1711" s="8" t="s">
        <v>53</v>
      </c>
      <c r="C1711" s="8" t="s">
        <v>7632</v>
      </c>
      <c r="D1711" s="8" t="n">
        <v>2017</v>
      </c>
      <c r="E1711" s="8" t="s">
        <v>7633</v>
      </c>
      <c r="F1711" s="8" t="s">
        <v>143</v>
      </c>
      <c r="G1711" s="8" t="s">
        <v>7634</v>
      </c>
      <c r="H1711" s="8" t="s">
        <v>145</v>
      </c>
      <c r="I1711" s="8" t="s">
        <v>153</v>
      </c>
      <c r="J1711" s="8" t="s">
        <v>7635</v>
      </c>
      <c r="K1711" s="8"/>
      <c r="L1711" s="8" t="s">
        <v>7636</v>
      </c>
    </row>
    <row r="1712" customFormat="false" ht="34.5" hidden="false" customHeight="true" outlineLevel="0" collapsed="false">
      <c r="A1712" s="8" t="n">
        <v>1460</v>
      </c>
      <c r="B1712" s="8" t="s">
        <v>53</v>
      </c>
      <c r="C1712" s="8" t="s">
        <v>7580</v>
      </c>
      <c r="D1712" s="8" t="n">
        <v>2017</v>
      </c>
      <c r="E1712" s="8" t="s">
        <v>7637</v>
      </c>
      <c r="F1712" s="8" t="s">
        <v>143</v>
      </c>
      <c r="G1712" s="8" t="s">
        <v>7638</v>
      </c>
      <c r="H1712" s="8" t="s">
        <v>2886</v>
      </c>
      <c r="I1712" s="8" t="s">
        <v>146</v>
      </c>
      <c r="J1712" s="8" t="s">
        <v>7639</v>
      </c>
      <c r="K1712" s="8"/>
      <c r="L1712" s="8" t="s">
        <v>7640</v>
      </c>
    </row>
    <row r="1713" customFormat="false" ht="34.5" hidden="false" customHeight="true" outlineLevel="0" collapsed="false">
      <c r="A1713" s="8" t="n">
        <v>1461</v>
      </c>
      <c r="B1713" s="8" t="s">
        <v>53</v>
      </c>
      <c r="C1713" s="8" t="s">
        <v>7641</v>
      </c>
      <c r="D1713" s="8" t="n">
        <v>2014</v>
      </c>
      <c r="E1713" s="8" t="s">
        <v>7642</v>
      </c>
      <c r="F1713" s="8" t="s">
        <v>143</v>
      </c>
      <c r="G1713" s="8" t="s">
        <v>7643</v>
      </c>
      <c r="H1713" s="8" t="s">
        <v>145</v>
      </c>
      <c r="I1713" s="8" t="s">
        <v>146</v>
      </c>
      <c r="J1713" s="8" t="s">
        <v>7644</v>
      </c>
      <c r="K1713" s="8"/>
      <c r="L1713" s="8" t="s">
        <v>7645</v>
      </c>
    </row>
    <row r="1714" customFormat="false" ht="34.5" hidden="false" customHeight="true" outlineLevel="0" collapsed="false">
      <c r="A1714" s="8" t="n">
        <v>1462</v>
      </c>
      <c r="B1714" s="8" t="s">
        <v>53</v>
      </c>
      <c r="C1714" s="8" t="s">
        <v>6497</v>
      </c>
      <c r="D1714" s="8" t="n">
        <v>2015</v>
      </c>
      <c r="E1714" s="8" t="s">
        <v>7646</v>
      </c>
      <c r="F1714" s="8" t="s">
        <v>143</v>
      </c>
      <c r="G1714" s="8" t="s">
        <v>7647</v>
      </c>
      <c r="H1714" s="8" t="s">
        <v>145</v>
      </c>
      <c r="I1714" s="8" t="s">
        <v>153</v>
      </c>
      <c r="J1714" s="8" t="s">
        <v>7648</v>
      </c>
      <c r="K1714" s="8"/>
      <c r="L1714" s="8" t="s">
        <v>7649</v>
      </c>
    </row>
    <row r="1715" customFormat="false" ht="45.75" hidden="false" customHeight="true" outlineLevel="0" collapsed="false">
      <c r="A1715" s="8" t="n">
        <v>1463</v>
      </c>
      <c r="B1715" s="8" t="s">
        <v>53</v>
      </c>
      <c r="C1715" s="8" t="s">
        <v>7650</v>
      </c>
      <c r="D1715" s="8" t="n">
        <v>2014</v>
      </c>
      <c r="E1715" s="8" t="s">
        <v>7651</v>
      </c>
      <c r="F1715" s="8" t="s">
        <v>143</v>
      </c>
      <c r="G1715" s="8" t="s">
        <v>7652</v>
      </c>
      <c r="H1715" s="8" t="s">
        <v>7653</v>
      </c>
      <c r="I1715" s="8" t="s">
        <v>146</v>
      </c>
      <c r="J1715" s="8" t="s">
        <v>7654</v>
      </c>
      <c r="K1715" s="8"/>
      <c r="L1715" s="8" t="s">
        <v>7655</v>
      </c>
    </row>
    <row r="1716" customFormat="false" ht="34.5" hidden="false" customHeight="true" outlineLevel="0" collapsed="false">
      <c r="A1716" s="8" t="n">
        <v>1464</v>
      </c>
      <c r="B1716" s="8" t="s">
        <v>53</v>
      </c>
      <c r="C1716" s="8" t="s">
        <v>7656</v>
      </c>
      <c r="D1716" s="8" t="n">
        <v>2014</v>
      </c>
      <c r="E1716" s="8" t="s">
        <v>7657</v>
      </c>
      <c r="F1716" s="8" t="s">
        <v>579</v>
      </c>
      <c r="G1716" s="8" t="s">
        <v>7658</v>
      </c>
      <c r="H1716" s="8" t="s">
        <v>4310</v>
      </c>
      <c r="I1716" s="8" t="s">
        <v>146</v>
      </c>
      <c r="J1716" s="8" t="s">
        <v>7659</v>
      </c>
      <c r="K1716" s="8"/>
      <c r="L1716" s="8" t="s">
        <v>7660</v>
      </c>
    </row>
    <row r="1717" customFormat="false" ht="34.5" hidden="false" customHeight="true" outlineLevel="0" collapsed="false">
      <c r="A1717" s="8" t="n">
        <v>1465</v>
      </c>
      <c r="B1717" s="8" t="s">
        <v>53</v>
      </c>
      <c r="C1717" s="8" t="s">
        <v>7661</v>
      </c>
      <c r="D1717" s="8" t="n">
        <v>2014</v>
      </c>
      <c r="E1717" s="8" t="s">
        <v>7662</v>
      </c>
      <c r="F1717" s="8" t="s">
        <v>151</v>
      </c>
      <c r="G1717" s="8" t="s">
        <v>152</v>
      </c>
      <c r="H1717" s="8" t="s">
        <v>145</v>
      </c>
      <c r="I1717" s="8" t="s">
        <v>153</v>
      </c>
      <c r="J1717" s="8" t="s">
        <v>6921</v>
      </c>
      <c r="K1717" s="8"/>
      <c r="L1717" s="8" t="s">
        <v>7663</v>
      </c>
    </row>
    <row r="1718" customFormat="false" ht="34.5" hidden="false" customHeight="true" outlineLevel="0" collapsed="false">
      <c r="A1718" s="8" t="n">
        <v>1466</v>
      </c>
      <c r="B1718" s="8" t="s">
        <v>53</v>
      </c>
      <c r="C1718" s="8" t="s">
        <v>7664</v>
      </c>
      <c r="D1718" s="8" t="n">
        <v>2015</v>
      </c>
      <c r="E1718" s="8" t="s">
        <v>7665</v>
      </c>
      <c r="F1718" s="8" t="s">
        <v>201</v>
      </c>
      <c r="G1718" s="8" t="s">
        <v>7355</v>
      </c>
      <c r="H1718" s="8" t="s">
        <v>7666</v>
      </c>
      <c r="I1718" s="8" t="s">
        <v>146</v>
      </c>
      <c r="J1718" s="8" t="s">
        <v>7667</v>
      </c>
      <c r="K1718" s="8"/>
      <c r="L1718" s="8" t="s">
        <v>7668</v>
      </c>
    </row>
    <row r="1719" customFormat="false" ht="45.75" hidden="false" customHeight="true" outlineLevel="0" collapsed="false">
      <c r="A1719" s="8" t="n">
        <v>1467</v>
      </c>
      <c r="B1719" s="8" t="s">
        <v>53</v>
      </c>
      <c r="C1719" s="8" t="s">
        <v>7669</v>
      </c>
      <c r="D1719" s="8" t="n">
        <v>2013</v>
      </c>
      <c r="E1719" s="8" t="s">
        <v>7670</v>
      </c>
      <c r="F1719" s="8" t="s">
        <v>201</v>
      </c>
      <c r="G1719" s="8" t="s">
        <v>7671</v>
      </c>
      <c r="H1719" s="8" t="s">
        <v>7672</v>
      </c>
      <c r="I1719" s="8" t="s">
        <v>146</v>
      </c>
      <c r="J1719" s="8" t="s">
        <v>7673</v>
      </c>
      <c r="K1719" s="8"/>
      <c r="L1719" s="8" t="s">
        <v>7674</v>
      </c>
    </row>
    <row r="1720" customFormat="false" ht="34.5" hidden="false" customHeight="true" outlineLevel="0" collapsed="false">
      <c r="A1720" s="8" t="n">
        <v>1468</v>
      </c>
      <c r="B1720" s="8" t="s">
        <v>53</v>
      </c>
      <c r="C1720" s="8" t="s">
        <v>7675</v>
      </c>
      <c r="D1720" s="8" t="n">
        <v>2004</v>
      </c>
      <c r="E1720" s="8" t="s">
        <v>7676</v>
      </c>
      <c r="F1720" s="8" t="s">
        <v>143</v>
      </c>
      <c r="G1720" s="8" t="s">
        <v>152</v>
      </c>
      <c r="H1720" s="8" t="s">
        <v>145</v>
      </c>
      <c r="I1720" s="8" t="s">
        <v>153</v>
      </c>
      <c r="J1720" s="8" t="s">
        <v>7564</v>
      </c>
      <c r="K1720" s="8"/>
      <c r="L1720" s="8" t="s">
        <v>7677</v>
      </c>
    </row>
    <row r="1721" customFormat="false" ht="34.5" hidden="false" customHeight="true" outlineLevel="0" collapsed="false">
      <c r="A1721" s="8" t="n">
        <v>1469</v>
      </c>
      <c r="B1721" s="8" t="s">
        <v>53</v>
      </c>
      <c r="C1721" s="8" t="s">
        <v>7580</v>
      </c>
      <c r="D1721" s="8" t="n">
        <v>2012</v>
      </c>
      <c r="E1721" s="8" t="s">
        <v>7678</v>
      </c>
      <c r="F1721" s="8" t="s">
        <v>143</v>
      </c>
      <c r="G1721" s="8" t="s">
        <v>7679</v>
      </c>
      <c r="H1721" s="8" t="s">
        <v>6262</v>
      </c>
      <c r="I1721" s="8" t="s">
        <v>146</v>
      </c>
      <c r="J1721" s="8" t="s">
        <v>7680</v>
      </c>
      <c r="K1721" s="8"/>
      <c r="L1721" s="8" t="s">
        <v>7681</v>
      </c>
    </row>
    <row r="1722" customFormat="false" ht="34.5" hidden="false" customHeight="true" outlineLevel="0" collapsed="false">
      <c r="A1722" s="8" t="n">
        <v>1470</v>
      </c>
      <c r="B1722" s="8" t="s">
        <v>53</v>
      </c>
      <c r="C1722" s="8" t="s">
        <v>7682</v>
      </c>
      <c r="D1722" s="8" t="n">
        <v>2013</v>
      </c>
      <c r="E1722" s="8" t="s">
        <v>7683</v>
      </c>
      <c r="F1722" s="8" t="s">
        <v>579</v>
      </c>
      <c r="G1722" s="8" t="s">
        <v>7684</v>
      </c>
      <c r="H1722" s="8" t="s">
        <v>7685</v>
      </c>
      <c r="I1722" s="8" t="s">
        <v>208</v>
      </c>
      <c r="J1722" s="8" t="s">
        <v>7686</v>
      </c>
      <c r="K1722" s="8"/>
      <c r="L1722" s="8" t="s">
        <v>7687</v>
      </c>
    </row>
    <row r="1723" customFormat="false" ht="34.5" hidden="false" customHeight="true" outlineLevel="0" collapsed="false">
      <c r="A1723" s="8" t="n">
        <v>1471</v>
      </c>
      <c r="B1723" s="8" t="s">
        <v>53</v>
      </c>
      <c r="C1723" s="8" t="s">
        <v>7688</v>
      </c>
      <c r="D1723" s="8" t="n">
        <v>2012</v>
      </c>
      <c r="E1723" s="8" t="s">
        <v>7689</v>
      </c>
      <c r="F1723" s="8" t="s">
        <v>579</v>
      </c>
      <c r="G1723" s="8" t="s">
        <v>7690</v>
      </c>
      <c r="H1723" s="8" t="s">
        <v>2812</v>
      </c>
      <c r="I1723" s="8" t="s">
        <v>208</v>
      </c>
      <c r="J1723" s="8" t="s">
        <v>7691</v>
      </c>
      <c r="K1723" s="8"/>
      <c r="L1723" s="8" t="s">
        <v>7692</v>
      </c>
    </row>
    <row r="1724" customFormat="false" ht="34.5" hidden="false" customHeight="true" outlineLevel="0" collapsed="false">
      <c r="A1724" s="8" t="n">
        <v>1472</v>
      </c>
      <c r="B1724" s="8" t="s">
        <v>53</v>
      </c>
      <c r="C1724" s="8" t="s">
        <v>7693</v>
      </c>
      <c r="D1724" s="8" t="n">
        <v>2011</v>
      </c>
      <c r="E1724" s="8" t="s">
        <v>7694</v>
      </c>
      <c r="F1724" s="8" t="s">
        <v>579</v>
      </c>
      <c r="G1724" s="8" t="s">
        <v>7695</v>
      </c>
      <c r="H1724" s="8" t="s">
        <v>7696</v>
      </c>
      <c r="I1724" s="8" t="s">
        <v>146</v>
      </c>
      <c r="J1724" s="8" t="s">
        <v>7697</v>
      </c>
      <c r="K1724" s="8"/>
      <c r="L1724" s="8" t="s">
        <v>7698</v>
      </c>
    </row>
    <row r="1725" customFormat="false" ht="34.5" hidden="false" customHeight="true" outlineLevel="0" collapsed="false">
      <c r="A1725" s="8" t="n">
        <v>1473</v>
      </c>
      <c r="B1725" s="8" t="s">
        <v>53</v>
      </c>
      <c r="C1725" s="8" t="s">
        <v>7699</v>
      </c>
      <c r="D1725" s="8" t="n">
        <v>2013</v>
      </c>
      <c r="E1725" s="8" t="s">
        <v>7700</v>
      </c>
      <c r="F1725" s="8" t="s">
        <v>151</v>
      </c>
      <c r="G1725" s="8" t="s">
        <v>7701</v>
      </c>
      <c r="H1725" s="8" t="s">
        <v>4711</v>
      </c>
      <c r="I1725" s="8" t="s">
        <v>146</v>
      </c>
      <c r="J1725" s="8" t="s">
        <v>7702</v>
      </c>
      <c r="K1725" s="8"/>
      <c r="L1725" s="8" t="s">
        <v>7703</v>
      </c>
    </row>
    <row r="1726" customFormat="false" ht="34.5" hidden="false" customHeight="true" outlineLevel="0" collapsed="false">
      <c r="A1726" s="8" t="n">
        <v>1474</v>
      </c>
      <c r="B1726" s="8" t="s">
        <v>53</v>
      </c>
      <c r="C1726" s="8" t="s">
        <v>7704</v>
      </c>
      <c r="D1726" s="8" t="n">
        <v>2016</v>
      </c>
      <c r="E1726" s="8" t="s">
        <v>7705</v>
      </c>
      <c r="F1726" s="8" t="s">
        <v>151</v>
      </c>
      <c r="G1726" s="8" t="s">
        <v>7706</v>
      </c>
      <c r="H1726" s="8" t="s">
        <v>4310</v>
      </c>
      <c r="I1726" s="8" t="s">
        <v>208</v>
      </c>
      <c r="J1726" s="8" t="s">
        <v>7707</v>
      </c>
      <c r="K1726" s="8"/>
      <c r="L1726" s="8" t="s">
        <v>7708</v>
      </c>
    </row>
    <row r="1727" customFormat="false" ht="34.5" hidden="false" customHeight="true" outlineLevel="0" collapsed="false">
      <c r="A1727" s="8" t="n">
        <v>1475</v>
      </c>
      <c r="B1727" s="8" t="s">
        <v>53</v>
      </c>
      <c r="C1727" s="8" t="s">
        <v>7709</v>
      </c>
      <c r="D1727" s="8" t="n">
        <v>2011</v>
      </c>
      <c r="E1727" s="8" t="s">
        <v>7710</v>
      </c>
      <c r="F1727" s="8" t="s">
        <v>151</v>
      </c>
      <c r="G1727" s="8" t="s">
        <v>7711</v>
      </c>
      <c r="H1727" s="8" t="s">
        <v>255</v>
      </c>
      <c r="I1727" s="8" t="s">
        <v>208</v>
      </c>
      <c r="J1727" s="8" t="s">
        <v>7712</v>
      </c>
      <c r="K1727" s="8"/>
      <c r="L1727" s="8" t="s">
        <v>7713</v>
      </c>
    </row>
    <row r="1728" customFormat="false" ht="34.5" hidden="false" customHeight="true" outlineLevel="0" collapsed="false">
      <c r="A1728" s="8" t="n">
        <v>1476</v>
      </c>
      <c r="B1728" s="8" t="s">
        <v>53</v>
      </c>
      <c r="C1728" s="8" t="s">
        <v>7580</v>
      </c>
      <c r="D1728" s="8" t="n">
        <v>2014</v>
      </c>
      <c r="E1728" s="8" t="s">
        <v>7714</v>
      </c>
      <c r="F1728" s="8" t="s">
        <v>151</v>
      </c>
      <c r="G1728" s="8" t="s">
        <v>7715</v>
      </c>
      <c r="H1728" s="8" t="s">
        <v>255</v>
      </c>
      <c r="I1728" s="8" t="s">
        <v>146</v>
      </c>
      <c r="J1728" s="8" t="s">
        <v>7716</v>
      </c>
      <c r="K1728" s="8"/>
      <c r="L1728" s="8" t="s">
        <v>7717</v>
      </c>
    </row>
    <row r="1729" customFormat="false" ht="34.5" hidden="false" customHeight="true" outlineLevel="0" collapsed="false">
      <c r="A1729" s="8" t="n">
        <v>1477</v>
      </c>
      <c r="B1729" s="8" t="s">
        <v>53</v>
      </c>
      <c r="C1729" s="8" t="s">
        <v>7718</v>
      </c>
      <c r="D1729" s="8" t="n">
        <v>2016</v>
      </c>
      <c r="E1729" s="8" t="s">
        <v>7719</v>
      </c>
      <c r="F1729" s="8" t="s">
        <v>201</v>
      </c>
      <c r="G1729" s="8" t="s">
        <v>7720</v>
      </c>
      <c r="H1729" s="8" t="s">
        <v>7721</v>
      </c>
      <c r="I1729" s="8" t="s">
        <v>208</v>
      </c>
      <c r="J1729" s="8" t="s">
        <v>7722</v>
      </c>
      <c r="K1729" s="8"/>
      <c r="L1729" s="8" t="s">
        <v>7723</v>
      </c>
    </row>
    <row r="1730" customFormat="false" ht="45.75" hidden="false" customHeight="true" outlineLevel="0" collapsed="false">
      <c r="A1730" s="8" t="n">
        <v>1478</v>
      </c>
      <c r="B1730" s="8" t="s">
        <v>53</v>
      </c>
      <c r="C1730" s="8" t="s">
        <v>7724</v>
      </c>
      <c r="D1730" s="8" t="n">
        <v>2010</v>
      </c>
      <c r="E1730" s="8" t="s">
        <v>7725</v>
      </c>
      <c r="F1730" s="8" t="s">
        <v>151</v>
      </c>
      <c r="G1730" s="8" t="s">
        <v>7726</v>
      </c>
      <c r="H1730" s="8" t="s">
        <v>7727</v>
      </c>
      <c r="I1730" s="8" t="s">
        <v>208</v>
      </c>
      <c r="J1730" s="8" t="s">
        <v>7728</v>
      </c>
      <c r="K1730" s="8"/>
      <c r="L1730" s="8" t="s">
        <v>7729</v>
      </c>
    </row>
    <row r="1731" customFormat="false" ht="34.5" hidden="false" customHeight="true" outlineLevel="0" collapsed="false">
      <c r="A1731" s="8" t="n">
        <v>1479</v>
      </c>
      <c r="B1731" s="8" t="s">
        <v>53</v>
      </c>
      <c r="C1731" s="8" t="s">
        <v>7730</v>
      </c>
      <c r="D1731" s="8" t="n">
        <v>2007</v>
      </c>
      <c r="E1731" s="8" t="s">
        <v>7731</v>
      </c>
      <c r="F1731" s="8" t="s">
        <v>201</v>
      </c>
      <c r="G1731" s="8" t="s">
        <v>7732</v>
      </c>
      <c r="H1731" s="8" t="s">
        <v>7733</v>
      </c>
      <c r="I1731" s="8" t="s">
        <v>146</v>
      </c>
      <c r="J1731" s="8" t="s">
        <v>7734</v>
      </c>
      <c r="K1731" s="8"/>
      <c r="L1731" s="8" t="s">
        <v>7735</v>
      </c>
    </row>
    <row r="1732" customFormat="false" ht="34.5" hidden="false" customHeight="true" outlineLevel="0" collapsed="false">
      <c r="A1732" s="8" t="n">
        <v>1480</v>
      </c>
      <c r="B1732" s="8" t="s">
        <v>53</v>
      </c>
      <c r="C1732" s="8" t="s">
        <v>7736</v>
      </c>
      <c r="D1732" s="8" t="n">
        <v>2016</v>
      </c>
      <c r="E1732" s="8" t="s">
        <v>7737</v>
      </c>
      <c r="F1732" s="8" t="s">
        <v>579</v>
      </c>
      <c r="G1732" s="8" t="s">
        <v>7738</v>
      </c>
      <c r="H1732" s="8" t="s">
        <v>7739</v>
      </c>
      <c r="I1732" s="8" t="s">
        <v>146</v>
      </c>
      <c r="J1732" s="8" t="s">
        <v>7740</v>
      </c>
      <c r="K1732" s="8"/>
      <c r="L1732" s="8" t="s">
        <v>7741</v>
      </c>
    </row>
    <row r="1733" customFormat="false" ht="34.5" hidden="false" customHeight="true" outlineLevel="0" collapsed="false">
      <c r="A1733" s="8" t="n">
        <v>1481</v>
      </c>
      <c r="B1733" s="8" t="s">
        <v>53</v>
      </c>
      <c r="C1733" s="8" t="s">
        <v>7742</v>
      </c>
      <c r="D1733" s="8" t="n">
        <v>2013</v>
      </c>
      <c r="E1733" s="8" t="s">
        <v>7743</v>
      </c>
      <c r="F1733" s="8" t="s">
        <v>143</v>
      </c>
      <c r="G1733" s="8" t="s">
        <v>7744</v>
      </c>
      <c r="H1733" s="8" t="s">
        <v>4711</v>
      </c>
      <c r="I1733" s="8" t="s">
        <v>153</v>
      </c>
      <c r="J1733" s="8" t="s">
        <v>7745</v>
      </c>
      <c r="K1733" s="8"/>
      <c r="L1733" s="8" t="s">
        <v>7746</v>
      </c>
    </row>
    <row r="1734" customFormat="false" ht="34.5" hidden="false" customHeight="true" outlineLevel="0" collapsed="false">
      <c r="A1734" s="8" t="n">
        <v>1482</v>
      </c>
      <c r="B1734" s="8" t="s">
        <v>53</v>
      </c>
      <c r="C1734" s="8" t="s">
        <v>7747</v>
      </c>
      <c r="D1734" s="8" t="n">
        <v>2009</v>
      </c>
      <c r="E1734" s="8" t="s">
        <v>7748</v>
      </c>
      <c r="F1734" s="8" t="s">
        <v>143</v>
      </c>
      <c r="G1734" s="8" t="s">
        <v>7749</v>
      </c>
      <c r="H1734" s="8" t="s">
        <v>4711</v>
      </c>
      <c r="I1734" s="8" t="s">
        <v>153</v>
      </c>
      <c r="J1734" s="8" t="s">
        <v>7750</v>
      </c>
      <c r="K1734" s="8"/>
      <c r="L1734" s="8" t="s">
        <v>7751</v>
      </c>
    </row>
    <row r="1735" customFormat="false" ht="34.5" hidden="false" customHeight="true" outlineLevel="0" collapsed="false">
      <c r="A1735" s="8" t="n">
        <v>1483</v>
      </c>
      <c r="B1735" s="8" t="s">
        <v>53</v>
      </c>
      <c r="C1735" s="8" t="s">
        <v>7752</v>
      </c>
      <c r="D1735" s="8" t="n">
        <v>2012</v>
      </c>
      <c r="E1735" s="8" t="s">
        <v>7753</v>
      </c>
      <c r="F1735" s="8" t="s">
        <v>143</v>
      </c>
      <c r="G1735" s="8" t="s">
        <v>7355</v>
      </c>
      <c r="H1735" s="8" t="s">
        <v>255</v>
      </c>
      <c r="I1735" s="8" t="s">
        <v>146</v>
      </c>
      <c r="J1735" s="8" t="s">
        <v>7754</v>
      </c>
      <c r="K1735" s="8"/>
      <c r="L1735" s="8" t="s">
        <v>7755</v>
      </c>
    </row>
    <row r="1736" customFormat="false" ht="34.5" hidden="false" customHeight="true" outlineLevel="0" collapsed="false">
      <c r="A1736" s="8" t="n">
        <v>1484</v>
      </c>
      <c r="B1736" s="8" t="s">
        <v>53</v>
      </c>
      <c r="C1736" s="8" t="s">
        <v>7756</v>
      </c>
      <c r="D1736" s="8" t="n">
        <v>2012</v>
      </c>
      <c r="E1736" s="8" t="s">
        <v>7757</v>
      </c>
      <c r="F1736" s="8" t="s">
        <v>151</v>
      </c>
      <c r="G1736" s="8" t="s">
        <v>7758</v>
      </c>
      <c r="H1736" s="8" t="s">
        <v>5248</v>
      </c>
      <c r="I1736" s="8" t="s">
        <v>146</v>
      </c>
      <c r="J1736" s="8" t="s">
        <v>7759</v>
      </c>
      <c r="K1736" s="8" t="s">
        <v>116</v>
      </c>
      <c r="L1736" s="8" t="s">
        <v>7760</v>
      </c>
    </row>
    <row r="1737" customFormat="false" ht="34.5" hidden="false" customHeight="true" outlineLevel="0" collapsed="false">
      <c r="A1737" s="8" t="n">
        <v>1485</v>
      </c>
      <c r="B1737" s="8" t="s">
        <v>53</v>
      </c>
      <c r="C1737" s="8" t="s">
        <v>7761</v>
      </c>
      <c r="D1737" s="8" t="n">
        <v>2009</v>
      </c>
      <c r="E1737" s="8" t="s">
        <v>7762</v>
      </c>
      <c r="F1737" s="8" t="s">
        <v>201</v>
      </c>
      <c r="G1737" s="8" t="s">
        <v>7763</v>
      </c>
      <c r="H1737" s="8" t="s">
        <v>7764</v>
      </c>
      <c r="I1737" s="8" t="s">
        <v>146</v>
      </c>
      <c r="J1737" s="8" t="s">
        <v>7765</v>
      </c>
      <c r="K1737" s="8"/>
      <c r="L1737" s="8" t="s">
        <v>7766</v>
      </c>
    </row>
    <row r="1738" customFormat="false" ht="34.5" hidden="false" customHeight="true" outlineLevel="0" collapsed="false">
      <c r="A1738" s="8" t="n">
        <v>1486</v>
      </c>
      <c r="B1738" s="8" t="s">
        <v>53</v>
      </c>
      <c r="C1738" s="8" t="s">
        <v>7767</v>
      </c>
      <c r="D1738" s="8" t="n">
        <v>2012</v>
      </c>
      <c r="E1738" s="8" t="s">
        <v>7768</v>
      </c>
      <c r="F1738" s="8" t="s">
        <v>143</v>
      </c>
      <c r="G1738" s="8" t="s">
        <v>3552</v>
      </c>
      <c r="H1738" s="8" t="s">
        <v>5924</v>
      </c>
      <c r="I1738" s="8" t="s">
        <v>146</v>
      </c>
      <c r="J1738" s="8" t="s">
        <v>7769</v>
      </c>
      <c r="K1738" s="8"/>
      <c r="L1738" s="8" t="s">
        <v>7770</v>
      </c>
    </row>
    <row r="1739" customFormat="false" ht="34.5" hidden="false" customHeight="true" outlineLevel="0" collapsed="false">
      <c r="A1739" s="8" t="n">
        <v>1487</v>
      </c>
      <c r="B1739" s="8" t="s">
        <v>53</v>
      </c>
      <c r="C1739" s="8" t="s">
        <v>7771</v>
      </c>
      <c r="D1739" s="8" t="n">
        <v>2014</v>
      </c>
      <c r="E1739" s="8" t="s">
        <v>7772</v>
      </c>
      <c r="F1739" s="8" t="s">
        <v>201</v>
      </c>
      <c r="G1739" s="8" t="s">
        <v>7732</v>
      </c>
      <c r="H1739" s="8" t="s">
        <v>7666</v>
      </c>
      <c r="I1739" s="8" t="s">
        <v>146</v>
      </c>
      <c r="J1739" s="8" t="s">
        <v>7773</v>
      </c>
      <c r="K1739" s="8"/>
      <c r="L1739" s="8" t="s">
        <v>7774</v>
      </c>
    </row>
    <row r="1740" customFormat="false" ht="34.5" hidden="false" customHeight="true" outlineLevel="0" collapsed="false">
      <c r="A1740" s="8" t="n">
        <v>1488</v>
      </c>
      <c r="B1740" s="8" t="s">
        <v>53</v>
      </c>
      <c r="C1740" s="8" t="s">
        <v>7775</v>
      </c>
      <c r="D1740" s="8" t="n">
        <v>2011</v>
      </c>
      <c r="E1740" s="8" t="s">
        <v>7776</v>
      </c>
      <c r="F1740" s="8" t="s">
        <v>579</v>
      </c>
      <c r="G1740" s="8" t="s">
        <v>7777</v>
      </c>
      <c r="H1740" s="8" t="s">
        <v>7685</v>
      </c>
      <c r="I1740" s="8" t="s">
        <v>146</v>
      </c>
      <c r="J1740" s="8" t="s">
        <v>7778</v>
      </c>
      <c r="K1740" s="8"/>
      <c r="L1740" s="8" t="s">
        <v>7779</v>
      </c>
    </row>
    <row r="1741" customFormat="false" ht="34.5" hidden="false" customHeight="true" outlineLevel="0" collapsed="false">
      <c r="A1741" s="8" t="n">
        <v>1489</v>
      </c>
      <c r="B1741" s="8" t="s">
        <v>53</v>
      </c>
      <c r="C1741" s="8" t="s">
        <v>7780</v>
      </c>
      <c r="D1741" s="8" t="n">
        <v>2012</v>
      </c>
      <c r="E1741" s="8" t="s">
        <v>7781</v>
      </c>
      <c r="F1741" s="8" t="s">
        <v>579</v>
      </c>
      <c r="G1741" s="8" t="s">
        <v>7782</v>
      </c>
      <c r="H1741" s="8" t="s">
        <v>7783</v>
      </c>
      <c r="I1741" s="8" t="s">
        <v>146</v>
      </c>
      <c r="J1741" s="8" t="s">
        <v>7784</v>
      </c>
      <c r="K1741" s="8"/>
      <c r="L1741" s="8" t="s">
        <v>7785</v>
      </c>
    </row>
    <row r="1742" customFormat="false" ht="34.5" hidden="false" customHeight="true" outlineLevel="0" collapsed="false">
      <c r="A1742" s="8" t="n">
        <v>1490</v>
      </c>
      <c r="B1742" s="8" t="s">
        <v>53</v>
      </c>
      <c r="C1742" s="8" t="s">
        <v>7786</v>
      </c>
      <c r="D1742" s="8" t="n">
        <v>2014</v>
      </c>
      <c r="E1742" s="8" t="s">
        <v>7787</v>
      </c>
      <c r="F1742" s="8" t="s">
        <v>151</v>
      </c>
      <c r="G1742" s="8" t="s">
        <v>7788</v>
      </c>
      <c r="H1742" s="8" t="s">
        <v>1904</v>
      </c>
      <c r="I1742" s="8" t="s">
        <v>146</v>
      </c>
      <c r="J1742" s="8" t="s">
        <v>7789</v>
      </c>
      <c r="K1742" s="8"/>
      <c r="L1742" s="8" t="s">
        <v>7790</v>
      </c>
    </row>
    <row r="1743" customFormat="false" ht="34.5" hidden="false" customHeight="true" outlineLevel="0" collapsed="false">
      <c r="A1743" s="8" t="n">
        <v>1491</v>
      </c>
      <c r="B1743" s="8" t="s">
        <v>53</v>
      </c>
      <c r="C1743" s="8" t="s">
        <v>7791</v>
      </c>
      <c r="D1743" s="8" t="n">
        <v>2015</v>
      </c>
      <c r="E1743" s="8" t="s">
        <v>7792</v>
      </c>
      <c r="F1743" s="8" t="s">
        <v>151</v>
      </c>
      <c r="G1743" s="8" t="s">
        <v>7793</v>
      </c>
      <c r="H1743" s="8" t="s">
        <v>7577</v>
      </c>
      <c r="I1743" s="8" t="s">
        <v>146</v>
      </c>
      <c r="J1743" s="8" t="s">
        <v>7794</v>
      </c>
      <c r="K1743" s="8"/>
      <c r="L1743" s="8" t="s">
        <v>7795</v>
      </c>
    </row>
    <row r="1744" customFormat="false" ht="34.5" hidden="false" customHeight="true" outlineLevel="0" collapsed="false">
      <c r="A1744" s="8" t="n">
        <v>1492</v>
      </c>
      <c r="B1744" s="8" t="s">
        <v>53</v>
      </c>
      <c r="C1744" s="8" t="s">
        <v>7796</v>
      </c>
      <c r="D1744" s="8" t="n">
        <v>2013</v>
      </c>
      <c r="E1744" s="8" t="s">
        <v>7797</v>
      </c>
      <c r="F1744" s="8" t="s">
        <v>143</v>
      </c>
      <c r="G1744" s="8" t="s">
        <v>7798</v>
      </c>
      <c r="H1744" s="8" t="s">
        <v>678</v>
      </c>
      <c r="I1744" s="8" t="s">
        <v>146</v>
      </c>
      <c r="J1744" s="8" t="s">
        <v>7799</v>
      </c>
      <c r="K1744" s="8"/>
      <c r="L1744" s="8" t="s">
        <v>7800</v>
      </c>
    </row>
    <row r="1745" customFormat="false" ht="34.5" hidden="false" customHeight="true" outlineLevel="0" collapsed="false">
      <c r="A1745" s="8" t="n">
        <v>1493</v>
      </c>
      <c r="B1745" s="8" t="s">
        <v>53</v>
      </c>
      <c r="C1745" s="8" t="s">
        <v>7801</v>
      </c>
      <c r="D1745" s="8" t="n">
        <v>2015</v>
      </c>
      <c r="E1745" s="8" t="s">
        <v>7802</v>
      </c>
      <c r="F1745" s="8" t="s">
        <v>151</v>
      </c>
      <c r="G1745" s="8" t="s">
        <v>7803</v>
      </c>
      <c r="H1745" s="8" t="s">
        <v>7804</v>
      </c>
      <c r="I1745" s="8" t="s">
        <v>146</v>
      </c>
      <c r="J1745" s="8" t="s">
        <v>7805</v>
      </c>
      <c r="K1745" s="8"/>
      <c r="L1745" s="8" t="s">
        <v>7806</v>
      </c>
    </row>
    <row r="1746" customFormat="false" ht="34.5" hidden="false" customHeight="true" outlineLevel="0" collapsed="false">
      <c r="A1746" s="8" t="n">
        <v>1494</v>
      </c>
      <c r="B1746" s="8" t="s">
        <v>53</v>
      </c>
      <c r="C1746" s="8" t="s">
        <v>7807</v>
      </c>
      <c r="D1746" s="8" t="n">
        <v>2015</v>
      </c>
      <c r="E1746" s="8" t="s">
        <v>7808</v>
      </c>
      <c r="F1746" s="8" t="s">
        <v>201</v>
      </c>
      <c r="G1746" s="8" t="s">
        <v>7809</v>
      </c>
      <c r="H1746" s="8" t="s">
        <v>7666</v>
      </c>
      <c r="I1746" s="8" t="s">
        <v>146</v>
      </c>
      <c r="J1746" s="8" t="s">
        <v>7810</v>
      </c>
      <c r="K1746" s="8"/>
      <c r="L1746" s="8" t="s">
        <v>7811</v>
      </c>
    </row>
    <row r="1747" customFormat="false" ht="34.5" hidden="false" customHeight="true" outlineLevel="0" collapsed="false">
      <c r="A1747" s="8" t="n">
        <v>1495</v>
      </c>
      <c r="B1747" s="8" t="s">
        <v>53</v>
      </c>
      <c r="C1747" s="8" t="s">
        <v>7693</v>
      </c>
      <c r="D1747" s="8" t="n">
        <v>2011</v>
      </c>
      <c r="E1747" s="8" t="s">
        <v>7812</v>
      </c>
      <c r="F1747" s="8" t="s">
        <v>579</v>
      </c>
      <c r="G1747" s="8" t="s">
        <v>7813</v>
      </c>
      <c r="H1747" s="8" t="s">
        <v>255</v>
      </c>
      <c r="I1747" s="8" t="s">
        <v>208</v>
      </c>
      <c r="J1747" s="8" t="s">
        <v>7814</v>
      </c>
      <c r="K1747" s="8"/>
      <c r="L1747" s="8" t="s">
        <v>7815</v>
      </c>
    </row>
    <row r="1748" customFormat="false" ht="34.5" hidden="false" customHeight="true" outlineLevel="0" collapsed="false">
      <c r="A1748" s="8" t="n">
        <v>1496</v>
      </c>
      <c r="B1748" s="8" t="s">
        <v>53</v>
      </c>
      <c r="C1748" s="8" t="s">
        <v>7816</v>
      </c>
      <c r="D1748" s="8" t="n">
        <v>2015</v>
      </c>
      <c r="E1748" s="8" t="s">
        <v>7817</v>
      </c>
      <c r="F1748" s="8" t="s">
        <v>151</v>
      </c>
      <c r="G1748" s="8" t="s">
        <v>7818</v>
      </c>
      <c r="H1748" s="8" t="s">
        <v>7819</v>
      </c>
      <c r="I1748" s="8" t="s">
        <v>208</v>
      </c>
      <c r="J1748" s="8" t="s">
        <v>7820</v>
      </c>
      <c r="K1748" s="8"/>
      <c r="L1748" s="8" t="s">
        <v>7821</v>
      </c>
    </row>
    <row r="1749" customFormat="false" ht="34.5" hidden="false" customHeight="true" outlineLevel="0" collapsed="false">
      <c r="A1749" s="8" t="n">
        <v>1497</v>
      </c>
      <c r="B1749" s="8" t="s">
        <v>53</v>
      </c>
      <c r="C1749" s="8" t="s">
        <v>7822</v>
      </c>
      <c r="D1749" s="8" t="n">
        <v>2017</v>
      </c>
      <c r="E1749" s="8" t="s">
        <v>7823</v>
      </c>
      <c r="F1749" s="8" t="s">
        <v>579</v>
      </c>
      <c r="G1749" s="8" t="s">
        <v>7824</v>
      </c>
      <c r="H1749" s="8" t="s">
        <v>5673</v>
      </c>
      <c r="I1749" s="8" t="s">
        <v>208</v>
      </c>
      <c r="J1749" s="8" t="s">
        <v>7825</v>
      </c>
      <c r="K1749" s="8"/>
      <c r="L1749" s="8" t="s">
        <v>7826</v>
      </c>
    </row>
    <row r="1750" customFormat="false" ht="34.5" hidden="false" customHeight="true" outlineLevel="0" collapsed="false">
      <c r="A1750" s="8" t="n">
        <v>1498</v>
      </c>
      <c r="B1750" s="8" t="s">
        <v>53</v>
      </c>
      <c r="C1750" s="8" t="s">
        <v>7827</v>
      </c>
      <c r="D1750" s="8" t="n">
        <v>2014</v>
      </c>
      <c r="E1750" s="8" t="s">
        <v>7828</v>
      </c>
      <c r="F1750" s="8" t="s">
        <v>143</v>
      </c>
      <c r="G1750" s="8" t="s">
        <v>7829</v>
      </c>
      <c r="H1750" s="8" t="s">
        <v>678</v>
      </c>
      <c r="I1750" s="8" t="s">
        <v>146</v>
      </c>
      <c r="J1750" s="8" t="s">
        <v>7830</v>
      </c>
      <c r="K1750" s="8"/>
      <c r="L1750" s="8" t="s">
        <v>7831</v>
      </c>
    </row>
    <row r="1751" customFormat="false" ht="34.5" hidden="false" customHeight="true" outlineLevel="0" collapsed="false">
      <c r="A1751" s="8" t="n">
        <v>1499</v>
      </c>
      <c r="B1751" s="8" t="s">
        <v>53</v>
      </c>
      <c r="C1751" s="8" t="s">
        <v>7832</v>
      </c>
      <c r="D1751" s="8" t="n">
        <v>2014</v>
      </c>
      <c r="E1751" s="8" t="s">
        <v>7833</v>
      </c>
      <c r="F1751" s="8" t="s">
        <v>151</v>
      </c>
      <c r="G1751" s="8" t="s">
        <v>7834</v>
      </c>
      <c r="H1751" s="8" t="s">
        <v>7835</v>
      </c>
      <c r="I1751" s="8" t="s">
        <v>146</v>
      </c>
      <c r="J1751" s="8" t="s">
        <v>7836</v>
      </c>
      <c r="K1751" s="8"/>
      <c r="L1751" s="8" t="s">
        <v>7837</v>
      </c>
    </row>
    <row r="1752" customFormat="false" ht="34.5" hidden="false" customHeight="true" outlineLevel="0" collapsed="false">
      <c r="A1752" s="8" t="n">
        <v>1500</v>
      </c>
      <c r="B1752" s="8" t="s">
        <v>53</v>
      </c>
      <c r="C1752" s="8" t="s">
        <v>7838</v>
      </c>
      <c r="D1752" s="8" t="n">
        <v>1996</v>
      </c>
      <c r="E1752" s="8" t="s">
        <v>7839</v>
      </c>
      <c r="F1752" s="8" t="s">
        <v>143</v>
      </c>
      <c r="G1752" s="8" t="s">
        <v>7840</v>
      </c>
      <c r="H1752" s="8" t="s">
        <v>2025</v>
      </c>
      <c r="I1752" s="8" t="s">
        <v>146</v>
      </c>
      <c r="J1752" s="8" t="s">
        <v>7841</v>
      </c>
      <c r="K1752" s="8"/>
      <c r="L1752" s="8" t="s">
        <v>7842</v>
      </c>
    </row>
    <row r="1753" customFormat="false" ht="34.5" hidden="false" customHeight="true" outlineLevel="0" collapsed="false">
      <c r="A1753" s="8" t="n">
        <v>1501</v>
      </c>
      <c r="B1753" s="8" t="s">
        <v>53</v>
      </c>
      <c r="C1753" s="8" t="s">
        <v>7843</v>
      </c>
      <c r="D1753" s="8" t="n">
        <v>2013</v>
      </c>
      <c r="E1753" s="8" t="s">
        <v>7844</v>
      </c>
      <c r="F1753" s="8" t="s">
        <v>201</v>
      </c>
      <c r="G1753" s="8" t="s">
        <v>7845</v>
      </c>
      <c r="H1753" s="8" t="s">
        <v>255</v>
      </c>
      <c r="I1753" s="8" t="s">
        <v>208</v>
      </c>
      <c r="J1753" s="8" t="s">
        <v>7846</v>
      </c>
      <c r="K1753" s="8"/>
      <c r="L1753" s="8" t="s">
        <v>7847</v>
      </c>
    </row>
    <row r="1754" customFormat="false" ht="34.5" hidden="false" customHeight="true" outlineLevel="0" collapsed="false">
      <c r="A1754" s="8" t="n">
        <v>1502</v>
      </c>
      <c r="B1754" s="8" t="s">
        <v>53</v>
      </c>
      <c r="C1754" s="8" t="s">
        <v>7669</v>
      </c>
      <c r="D1754" s="8" t="n">
        <v>2013</v>
      </c>
      <c r="E1754" s="8" t="s">
        <v>7848</v>
      </c>
      <c r="F1754" s="8" t="s">
        <v>143</v>
      </c>
      <c r="G1754" s="8" t="s">
        <v>7849</v>
      </c>
      <c r="H1754" s="8" t="s">
        <v>4711</v>
      </c>
      <c r="I1754" s="8" t="s">
        <v>208</v>
      </c>
      <c r="J1754" s="8" t="s">
        <v>7850</v>
      </c>
      <c r="K1754" s="8"/>
      <c r="L1754" s="8" t="s">
        <v>7851</v>
      </c>
    </row>
    <row r="1755" customFormat="false" ht="34.5" hidden="false" customHeight="true" outlineLevel="0" collapsed="false">
      <c r="A1755" s="8" t="n">
        <v>1503</v>
      </c>
      <c r="B1755" s="8" t="s">
        <v>53</v>
      </c>
      <c r="C1755" s="8" t="s">
        <v>7852</v>
      </c>
      <c r="D1755" s="8" t="n">
        <v>2005</v>
      </c>
      <c r="E1755" s="8" t="s">
        <v>7853</v>
      </c>
      <c r="F1755" s="8" t="s">
        <v>143</v>
      </c>
      <c r="G1755" s="8" t="s">
        <v>1619</v>
      </c>
      <c r="H1755" s="8" t="s">
        <v>4310</v>
      </c>
      <c r="I1755" s="8" t="s">
        <v>153</v>
      </c>
      <c r="J1755" s="8" t="s">
        <v>7854</v>
      </c>
      <c r="K1755" s="8"/>
      <c r="L1755" s="8" t="s">
        <v>7855</v>
      </c>
    </row>
    <row r="1756" customFormat="false" ht="34.5" hidden="false" customHeight="true" outlineLevel="0" collapsed="false">
      <c r="A1756" s="8" t="n">
        <v>1504</v>
      </c>
      <c r="B1756" s="8" t="s">
        <v>53</v>
      </c>
      <c r="C1756" s="8" t="s">
        <v>7580</v>
      </c>
      <c r="D1756" s="8" t="n">
        <v>2015</v>
      </c>
      <c r="E1756" s="8" t="s">
        <v>7856</v>
      </c>
      <c r="F1756" s="8" t="s">
        <v>201</v>
      </c>
      <c r="G1756" s="8" t="s">
        <v>7857</v>
      </c>
      <c r="H1756" s="8" t="s">
        <v>2886</v>
      </c>
      <c r="I1756" s="8" t="s">
        <v>146</v>
      </c>
      <c r="J1756" s="8" t="s">
        <v>7858</v>
      </c>
      <c r="K1756" s="8"/>
      <c r="L1756" s="8" t="s">
        <v>7859</v>
      </c>
    </row>
    <row r="1757" customFormat="false" ht="34.5" hidden="false" customHeight="true" outlineLevel="0" collapsed="false">
      <c r="A1757" s="8" t="n">
        <v>1505</v>
      </c>
      <c r="B1757" s="8" t="s">
        <v>53</v>
      </c>
      <c r="C1757" s="8" t="s">
        <v>7860</v>
      </c>
      <c r="D1757" s="8" t="n">
        <v>2011</v>
      </c>
      <c r="E1757" s="8" t="s">
        <v>7861</v>
      </c>
      <c r="F1757" s="8" t="s">
        <v>201</v>
      </c>
      <c r="G1757" s="8" t="s">
        <v>152</v>
      </c>
      <c r="H1757" s="8" t="s">
        <v>2886</v>
      </c>
      <c r="I1757" s="8" t="s">
        <v>153</v>
      </c>
      <c r="J1757" s="8" t="s">
        <v>7862</v>
      </c>
      <c r="K1757" s="8"/>
      <c r="L1757" s="8" t="s">
        <v>7863</v>
      </c>
    </row>
    <row r="1758" customFormat="false" ht="34.5" hidden="false" customHeight="true" outlineLevel="0" collapsed="false">
      <c r="A1758" s="8" t="n">
        <v>1506</v>
      </c>
      <c r="B1758" s="8" t="s">
        <v>53</v>
      </c>
      <c r="C1758" s="8" t="s">
        <v>7864</v>
      </c>
      <c r="D1758" s="8" t="n">
        <v>2016</v>
      </c>
      <c r="E1758" s="8" t="s">
        <v>7865</v>
      </c>
      <c r="F1758" s="8" t="s">
        <v>143</v>
      </c>
      <c r="G1758" s="8" t="s">
        <v>7355</v>
      </c>
      <c r="H1758" s="8" t="s">
        <v>678</v>
      </c>
      <c r="I1758" s="8" t="s">
        <v>146</v>
      </c>
      <c r="J1758" s="8" t="s">
        <v>7866</v>
      </c>
      <c r="K1758" s="8"/>
      <c r="L1758" s="8" t="s">
        <v>7867</v>
      </c>
    </row>
    <row r="1759" customFormat="false" ht="34.5" hidden="false" customHeight="true" outlineLevel="0" collapsed="false">
      <c r="A1759" s="8" t="n">
        <v>1507</v>
      </c>
      <c r="B1759" s="8" t="s">
        <v>53</v>
      </c>
      <c r="C1759" s="8" t="s">
        <v>7868</v>
      </c>
      <c r="D1759" s="8" t="n">
        <v>2013</v>
      </c>
      <c r="E1759" s="8" t="s">
        <v>7869</v>
      </c>
      <c r="F1759" s="8" t="s">
        <v>151</v>
      </c>
      <c r="G1759" s="8" t="s">
        <v>7870</v>
      </c>
      <c r="H1759" s="8" t="s">
        <v>7871</v>
      </c>
      <c r="I1759" s="8" t="s">
        <v>146</v>
      </c>
      <c r="J1759" s="8" t="s">
        <v>7872</v>
      </c>
      <c r="K1759" s="8"/>
      <c r="L1759" s="8" t="s">
        <v>7873</v>
      </c>
    </row>
    <row r="1760" customFormat="false" ht="34.5" hidden="false" customHeight="true" outlineLevel="0" collapsed="false">
      <c r="A1760" s="8" t="n">
        <v>1508</v>
      </c>
      <c r="B1760" s="8" t="s">
        <v>53</v>
      </c>
      <c r="C1760" s="8" t="s">
        <v>7874</v>
      </c>
      <c r="D1760" s="8" t="n">
        <v>2013</v>
      </c>
      <c r="E1760" s="8" t="s">
        <v>7875</v>
      </c>
      <c r="F1760" s="8" t="s">
        <v>201</v>
      </c>
      <c r="G1760" s="8" t="s">
        <v>7876</v>
      </c>
      <c r="H1760" s="8" t="s">
        <v>255</v>
      </c>
      <c r="I1760" s="8" t="s">
        <v>208</v>
      </c>
      <c r="J1760" s="8" t="s">
        <v>7877</v>
      </c>
      <c r="K1760" s="8"/>
      <c r="L1760" s="8" t="s">
        <v>7878</v>
      </c>
    </row>
    <row r="1761" customFormat="false" ht="34.5" hidden="false" customHeight="true" outlineLevel="0" collapsed="false">
      <c r="A1761" s="8" t="n">
        <v>1509</v>
      </c>
      <c r="B1761" s="8" t="s">
        <v>53</v>
      </c>
      <c r="C1761" s="8" t="s">
        <v>7879</v>
      </c>
      <c r="D1761" s="8" t="n">
        <v>2015</v>
      </c>
      <c r="E1761" s="8" t="s">
        <v>7880</v>
      </c>
      <c r="F1761" s="8" t="s">
        <v>151</v>
      </c>
      <c r="G1761" s="8" t="s">
        <v>152</v>
      </c>
      <c r="H1761" s="8" t="s">
        <v>7881</v>
      </c>
      <c r="I1761" s="8" t="s">
        <v>146</v>
      </c>
      <c r="J1761" s="8" t="s">
        <v>7882</v>
      </c>
      <c r="K1761" s="8"/>
      <c r="L1761" s="8" t="s">
        <v>7883</v>
      </c>
    </row>
    <row r="1762" customFormat="false" ht="34.5" hidden="false" customHeight="true" outlineLevel="0" collapsed="false">
      <c r="A1762" s="8" t="n">
        <v>1510</v>
      </c>
      <c r="B1762" s="8" t="s">
        <v>53</v>
      </c>
      <c r="C1762" s="8" t="s">
        <v>7884</v>
      </c>
      <c r="D1762" s="8" t="n">
        <v>2013</v>
      </c>
      <c r="E1762" s="8" t="s">
        <v>7885</v>
      </c>
      <c r="F1762" s="8" t="s">
        <v>151</v>
      </c>
      <c r="G1762" s="8" t="s">
        <v>7886</v>
      </c>
      <c r="H1762" s="8" t="s">
        <v>7685</v>
      </c>
      <c r="I1762" s="8" t="s">
        <v>146</v>
      </c>
      <c r="J1762" s="8" t="s">
        <v>7887</v>
      </c>
      <c r="K1762" s="8"/>
      <c r="L1762" s="8" t="s">
        <v>7888</v>
      </c>
    </row>
    <row r="1763" customFormat="false" ht="34.5" hidden="false" customHeight="true" outlineLevel="0" collapsed="false">
      <c r="A1763" s="8" t="n">
        <v>1511</v>
      </c>
      <c r="B1763" s="8" t="s">
        <v>53</v>
      </c>
      <c r="C1763" s="8" t="s">
        <v>4467</v>
      </c>
      <c r="D1763" s="8" t="n">
        <v>2010</v>
      </c>
      <c r="E1763" s="8" t="s">
        <v>7889</v>
      </c>
      <c r="F1763" s="8" t="s">
        <v>143</v>
      </c>
      <c r="G1763" s="8" t="s">
        <v>7840</v>
      </c>
      <c r="H1763" s="8" t="s">
        <v>255</v>
      </c>
      <c r="I1763" s="8" t="s">
        <v>153</v>
      </c>
      <c r="J1763" s="8" t="s">
        <v>7890</v>
      </c>
      <c r="K1763" s="8"/>
      <c r="L1763" s="8" t="s">
        <v>7891</v>
      </c>
    </row>
    <row r="1764" customFormat="false" ht="34.5" hidden="false" customHeight="true" outlineLevel="0" collapsed="false">
      <c r="A1764" s="8" t="n">
        <v>1512</v>
      </c>
      <c r="B1764" s="8" t="s">
        <v>53</v>
      </c>
      <c r="C1764" s="8" t="s">
        <v>7892</v>
      </c>
      <c r="D1764" s="8" t="n">
        <v>2012</v>
      </c>
      <c r="E1764" s="8" t="s">
        <v>7893</v>
      </c>
      <c r="F1764" s="8" t="s">
        <v>151</v>
      </c>
      <c r="G1764" s="8" t="s">
        <v>7894</v>
      </c>
      <c r="H1764" s="8" t="s">
        <v>7895</v>
      </c>
      <c r="I1764" s="8" t="s">
        <v>146</v>
      </c>
      <c r="J1764" s="8" t="s">
        <v>7896</v>
      </c>
      <c r="K1764" s="8" t="s">
        <v>116</v>
      </c>
      <c r="L1764" s="8" t="s">
        <v>7897</v>
      </c>
    </row>
    <row r="1765" customFormat="false" ht="34.5" hidden="false" customHeight="true" outlineLevel="0" collapsed="false">
      <c r="A1765" s="8" t="n">
        <v>1513</v>
      </c>
      <c r="B1765" s="8" t="s">
        <v>53</v>
      </c>
      <c r="C1765" s="8" t="s">
        <v>7898</v>
      </c>
      <c r="D1765" s="8" t="n">
        <v>2012</v>
      </c>
      <c r="E1765" s="8" t="s">
        <v>7899</v>
      </c>
      <c r="F1765" s="8" t="s">
        <v>143</v>
      </c>
      <c r="G1765" s="8" t="s">
        <v>152</v>
      </c>
      <c r="H1765" s="8" t="s">
        <v>145</v>
      </c>
      <c r="I1765" s="8" t="s">
        <v>146</v>
      </c>
      <c r="J1765" s="8" t="s">
        <v>7900</v>
      </c>
      <c r="K1765" s="8"/>
      <c r="L1765" s="8" t="s">
        <v>7901</v>
      </c>
    </row>
    <row r="1766" customFormat="false" ht="34.5" hidden="false" customHeight="true" outlineLevel="0" collapsed="false">
      <c r="A1766" s="8" t="n">
        <v>1514</v>
      </c>
      <c r="B1766" s="8" t="s">
        <v>53</v>
      </c>
      <c r="C1766" s="8" t="s">
        <v>7693</v>
      </c>
      <c r="D1766" s="8" t="n">
        <v>2010</v>
      </c>
      <c r="E1766" s="8" t="s">
        <v>7902</v>
      </c>
      <c r="F1766" s="8" t="s">
        <v>151</v>
      </c>
      <c r="G1766" s="8" t="s">
        <v>7813</v>
      </c>
      <c r="H1766" s="8" t="s">
        <v>7696</v>
      </c>
      <c r="I1766" s="8" t="s">
        <v>146</v>
      </c>
      <c r="J1766" s="8" t="s">
        <v>7903</v>
      </c>
      <c r="K1766" s="8"/>
      <c r="L1766" s="8" t="s">
        <v>7904</v>
      </c>
    </row>
    <row r="1767" customFormat="false" ht="34.5" hidden="false" customHeight="true" outlineLevel="0" collapsed="false">
      <c r="A1767" s="8" t="n">
        <v>1515</v>
      </c>
      <c r="B1767" s="8" t="s">
        <v>53</v>
      </c>
      <c r="C1767" s="8" t="s">
        <v>7905</v>
      </c>
      <c r="D1767" s="8" t="n">
        <v>2015</v>
      </c>
      <c r="E1767" s="8" t="s">
        <v>7906</v>
      </c>
      <c r="F1767" s="8" t="s">
        <v>201</v>
      </c>
      <c r="G1767" s="8" t="s">
        <v>7907</v>
      </c>
      <c r="H1767" s="8" t="s">
        <v>7666</v>
      </c>
      <c r="I1767" s="8" t="s">
        <v>146</v>
      </c>
      <c r="J1767" s="8" t="s">
        <v>7908</v>
      </c>
      <c r="K1767" s="8"/>
      <c r="L1767" s="8" t="s">
        <v>7909</v>
      </c>
    </row>
    <row r="1768" customFormat="false" ht="34.5" hidden="false" customHeight="true" outlineLevel="0" collapsed="false">
      <c r="A1768" s="8" t="n">
        <v>1516</v>
      </c>
      <c r="B1768" s="8" t="s">
        <v>53</v>
      </c>
      <c r="C1768" s="8" t="s">
        <v>7910</v>
      </c>
      <c r="D1768" s="8" t="n">
        <v>2014</v>
      </c>
      <c r="E1768" s="8" t="s">
        <v>7911</v>
      </c>
      <c r="F1768" s="8" t="s">
        <v>151</v>
      </c>
      <c r="G1768" s="8" t="s">
        <v>7912</v>
      </c>
      <c r="H1768" s="8" t="s">
        <v>4310</v>
      </c>
      <c r="I1768" s="8" t="s">
        <v>146</v>
      </c>
      <c r="J1768" s="8" t="s">
        <v>7913</v>
      </c>
      <c r="K1768" s="8"/>
      <c r="L1768" s="8" t="s">
        <v>7914</v>
      </c>
    </row>
    <row r="1769" customFormat="false" ht="34.5" hidden="false" customHeight="true" outlineLevel="0" collapsed="false">
      <c r="A1769" s="8" t="n">
        <v>1517</v>
      </c>
      <c r="B1769" s="8" t="s">
        <v>53</v>
      </c>
      <c r="C1769" s="8" t="s">
        <v>7915</v>
      </c>
      <c r="D1769" s="8" t="n">
        <v>2013</v>
      </c>
      <c r="E1769" s="8" t="s">
        <v>7916</v>
      </c>
      <c r="F1769" s="8" t="s">
        <v>151</v>
      </c>
      <c r="G1769" s="8" t="s">
        <v>7917</v>
      </c>
      <c r="H1769" s="8" t="s">
        <v>7918</v>
      </c>
      <c r="I1769" s="8" t="s">
        <v>146</v>
      </c>
      <c r="J1769" s="8" t="s">
        <v>7919</v>
      </c>
      <c r="K1769" s="8"/>
      <c r="L1769" s="8" t="s">
        <v>7920</v>
      </c>
    </row>
    <row r="1770" customFormat="false" ht="34.5" hidden="false" customHeight="true" outlineLevel="0" collapsed="false">
      <c r="A1770" s="8" t="n">
        <v>1518</v>
      </c>
      <c r="B1770" s="8" t="s">
        <v>53</v>
      </c>
      <c r="C1770" s="8" t="s">
        <v>7921</v>
      </c>
      <c r="D1770" s="8" t="n">
        <v>2015</v>
      </c>
      <c r="E1770" s="8" t="s">
        <v>7922</v>
      </c>
      <c r="F1770" s="8" t="s">
        <v>579</v>
      </c>
      <c r="G1770" s="8" t="s">
        <v>7840</v>
      </c>
      <c r="H1770" s="8" t="s">
        <v>6262</v>
      </c>
      <c r="I1770" s="8" t="s">
        <v>146</v>
      </c>
      <c r="J1770" s="8" t="s">
        <v>7923</v>
      </c>
      <c r="K1770" s="8"/>
      <c r="L1770" s="8" t="s">
        <v>7924</v>
      </c>
    </row>
    <row r="1771" customFormat="false" ht="34.5" hidden="false" customHeight="true" outlineLevel="0" collapsed="false">
      <c r="A1771" s="8" t="n">
        <v>1519</v>
      </c>
      <c r="B1771" s="8" t="s">
        <v>53</v>
      </c>
      <c r="C1771" s="8" t="s">
        <v>7925</v>
      </c>
      <c r="D1771" s="8" t="n">
        <v>2015</v>
      </c>
      <c r="E1771" s="8" t="s">
        <v>7926</v>
      </c>
      <c r="F1771" s="8" t="s">
        <v>579</v>
      </c>
      <c r="G1771" s="8" t="s">
        <v>197</v>
      </c>
      <c r="H1771" s="8" t="s">
        <v>7927</v>
      </c>
      <c r="I1771" s="8" t="s">
        <v>208</v>
      </c>
      <c r="J1771" s="8" t="s">
        <v>7928</v>
      </c>
      <c r="K1771" s="8"/>
      <c r="L1771" s="8" t="s">
        <v>7929</v>
      </c>
    </row>
    <row r="1772" customFormat="false" ht="34.5" hidden="false" customHeight="true" outlineLevel="0" collapsed="false">
      <c r="A1772" s="8" t="n">
        <v>1520</v>
      </c>
      <c r="B1772" s="8" t="s">
        <v>53</v>
      </c>
      <c r="C1772" s="8" t="s">
        <v>7930</v>
      </c>
      <c r="D1772" s="8" t="n">
        <v>2013</v>
      </c>
      <c r="E1772" s="8" t="s">
        <v>7931</v>
      </c>
      <c r="F1772" s="8" t="s">
        <v>151</v>
      </c>
      <c r="G1772" s="8" t="s">
        <v>152</v>
      </c>
      <c r="H1772" s="8" t="s">
        <v>285</v>
      </c>
      <c r="I1772" s="8" t="s">
        <v>146</v>
      </c>
      <c r="J1772" s="8" t="s">
        <v>7932</v>
      </c>
      <c r="K1772" s="8"/>
      <c r="L1772" s="8" t="s">
        <v>7933</v>
      </c>
    </row>
    <row r="1773" customFormat="false" ht="34.5" hidden="false" customHeight="true" outlineLevel="0" collapsed="false">
      <c r="A1773" s="8" t="n">
        <v>1521</v>
      </c>
      <c r="B1773" s="8" t="s">
        <v>53</v>
      </c>
      <c r="C1773" s="8" t="s">
        <v>7934</v>
      </c>
      <c r="D1773" s="8" t="n">
        <v>2017</v>
      </c>
      <c r="E1773" s="8" t="s">
        <v>7935</v>
      </c>
      <c r="F1773" s="8" t="s">
        <v>143</v>
      </c>
      <c r="G1773" s="8" t="s">
        <v>197</v>
      </c>
      <c r="H1773" s="8" t="s">
        <v>145</v>
      </c>
      <c r="I1773" s="8" t="s">
        <v>146</v>
      </c>
      <c r="J1773" s="8" t="s">
        <v>7936</v>
      </c>
      <c r="K1773" s="8"/>
      <c r="L1773" s="8" t="s">
        <v>7937</v>
      </c>
    </row>
    <row r="1774" customFormat="false" ht="34.5" hidden="false" customHeight="true" outlineLevel="0" collapsed="false">
      <c r="A1774" s="8" t="n">
        <v>1522</v>
      </c>
      <c r="B1774" s="8" t="s">
        <v>53</v>
      </c>
      <c r="C1774" s="8" t="s">
        <v>7938</v>
      </c>
      <c r="D1774" s="8" t="n">
        <v>2015</v>
      </c>
      <c r="E1774" s="8" t="s">
        <v>7939</v>
      </c>
      <c r="F1774" s="8" t="s">
        <v>151</v>
      </c>
      <c r="G1774" s="8" t="s">
        <v>7870</v>
      </c>
      <c r="H1774" s="8" t="s">
        <v>7940</v>
      </c>
      <c r="I1774" s="8" t="s">
        <v>146</v>
      </c>
      <c r="J1774" s="8" t="s">
        <v>7941</v>
      </c>
      <c r="K1774" s="8"/>
      <c r="L1774" s="8" t="s">
        <v>7942</v>
      </c>
    </row>
    <row r="1775" customFormat="false" ht="34.5" hidden="false" customHeight="true" outlineLevel="0" collapsed="false">
      <c r="A1775" s="8" t="n">
        <v>1523</v>
      </c>
      <c r="B1775" s="8" t="s">
        <v>53</v>
      </c>
      <c r="C1775" s="8" t="s">
        <v>7943</v>
      </c>
      <c r="D1775" s="8" t="n">
        <v>2009</v>
      </c>
      <c r="E1775" s="8" t="s">
        <v>7944</v>
      </c>
      <c r="F1775" s="8" t="s">
        <v>151</v>
      </c>
      <c r="G1775" s="8" t="s">
        <v>3552</v>
      </c>
      <c r="H1775" s="8" t="s">
        <v>4310</v>
      </c>
      <c r="I1775" s="8" t="s">
        <v>146</v>
      </c>
      <c r="J1775" s="8" t="s">
        <v>7945</v>
      </c>
      <c r="K1775" s="8"/>
      <c r="L1775" s="8" t="s">
        <v>7946</v>
      </c>
    </row>
    <row r="1776" customFormat="false" ht="34.5" hidden="false" customHeight="true" outlineLevel="0" collapsed="false">
      <c r="A1776" s="8" t="n">
        <v>1524</v>
      </c>
      <c r="B1776" s="8" t="s">
        <v>53</v>
      </c>
      <c r="C1776" s="8" t="s">
        <v>7947</v>
      </c>
      <c r="D1776" s="8" t="n">
        <v>2015</v>
      </c>
      <c r="E1776" s="8" t="s">
        <v>7948</v>
      </c>
      <c r="F1776" s="8" t="s">
        <v>151</v>
      </c>
      <c r="G1776" s="8" t="s">
        <v>7949</v>
      </c>
      <c r="H1776" s="8" t="s">
        <v>285</v>
      </c>
      <c r="I1776" s="8" t="s">
        <v>146</v>
      </c>
      <c r="J1776" s="8" t="s">
        <v>7950</v>
      </c>
      <c r="K1776" s="8"/>
      <c r="L1776" s="8" t="s">
        <v>7951</v>
      </c>
    </row>
    <row r="1777" customFormat="false" ht="34.5" hidden="false" customHeight="true" outlineLevel="0" collapsed="false">
      <c r="A1777" s="8" t="n">
        <v>1525</v>
      </c>
      <c r="B1777" s="8" t="s">
        <v>53</v>
      </c>
      <c r="C1777" s="8" t="s">
        <v>7952</v>
      </c>
      <c r="D1777" s="8" t="n">
        <v>2009</v>
      </c>
      <c r="E1777" s="8" t="s">
        <v>7953</v>
      </c>
      <c r="F1777" s="8" t="s">
        <v>143</v>
      </c>
      <c r="G1777" s="8" t="s">
        <v>7954</v>
      </c>
      <c r="H1777" s="8" t="s">
        <v>181</v>
      </c>
      <c r="I1777" s="8" t="s">
        <v>153</v>
      </c>
      <c r="J1777" s="8" t="s">
        <v>7955</v>
      </c>
      <c r="K1777" s="8"/>
      <c r="L1777" s="8" t="s">
        <v>7956</v>
      </c>
    </row>
    <row r="1778" customFormat="false" ht="34.5" hidden="false" customHeight="true" outlineLevel="0" collapsed="false">
      <c r="A1778" s="8" t="n">
        <v>1526</v>
      </c>
      <c r="B1778" s="8" t="s">
        <v>53</v>
      </c>
      <c r="C1778" s="8" t="s">
        <v>7957</v>
      </c>
      <c r="D1778" s="8" t="n">
        <v>2009</v>
      </c>
      <c r="E1778" s="8" t="s">
        <v>7958</v>
      </c>
      <c r="F1778" s="8" t="s">
        <v>579</v>
      </c>
      <c r="G1778" s="8" t="s">
        <v>152</v>
      </c>
      <c r="H1778" s="8" t="s">
        <v>145</v>
      </c>
      <c r="I1778" s="8" t="s">
        <v>146</v>
      </c>
      <c r="J1778" s="8" t="s">
        <v>7959</v>
      </c>
      <c r="K1778" s="8"/>
      <c r="L1778" s="8" t="s">
        <v>7960</v>
      </c>
    </row>
    <row r="1779" customFormat="false" ht="34.5" hidden="false" customHeight="true" outlineLevel="0" collapsed="false">
      <c r="A1779" s="8" t="n">
        <v>1527</v>
      </c>
      <c r="B1779" s="8" t="s">
        <v>53</v>
      </c>
      <c r="C1779" s="8" t="s">
        <v>6585</v>
      </c>
      <c r="D1779" s="8" t="n">
        <v>2017</v>
      </c>
      <c r="E1779" s="8" t="s">
        <v>7961</v>
      </c>
      <c r="F1779" s="8" t="s">
        <v>143</v>
      </c>
      <c r="G1779" s="8" t="s">
        <v>7962</v>
      </c>
      <c r="H1779" s="8" t="s">
        <v>145</v>
      </c>
      <c r="I1779" s="8" t="s">
        <v>153</v>
      </c>
      <c r="J1779" s="8" t="s">
        <v>7963</v>
      </c>
      <c r="K1779" s="8"/>
      <c r="L1779" s="8" t="s">
        <v>7964</v>
      </c>
    </row>
    <row r="1780" customFormat="false" ht="34.5" hidden="false" customHeight="true" outlineLevel="0" collapsed="false">
      <c r="A1780" s="8" t="n">
        <v>1528</v>
      </c>
      <c r="B1780" s="8" t="s">
        <v>53</v>
      </c>
      <c r="C1780" s="8" t="s">
        <v>7965</v>
      </c>
      <c r="D1780" s="8" t="n">
        <v>2016</v>
      </c>
      <c r="E1780" s="8" t="s">
        <v>7966</v>
      </c>
      <c r="F1780" s="8" t="s">
        <v>201</v>
      </c>
      <c r="G1780" s="8" t="s">
        <v>1619</v>
      </c>
      <c r="H1780" s="8" t="s">
        <v>145</v>
      </c>
      <c r="I1780" s="8" t="s">
        <v>153</v>
      </c>
      <c r="J1780" s="8" t="s">
        <v>7967</v>
      </c>
      <c r="K1780" s="8"/>
      <c r="L1780" s="8" t="s">
        <v>7968</v>
      </c>
    </row>
    <row r="1781" customFormat="false" ht="34.5" hidden="false" customHeight="true" outlineLevel="0" collapsed="false">
      <c r="A1781" s="8" t="n">
        <v>1529</v>
      </c>
      <c r="B1781" s="8" t="s">
        <v>53</v>
      </c>
      <c r="C1781" s="8" t="s">
        <v>7969</v>
      </c>
      <c r="D1781" s="8" t="n">
        <v>2017</v>
      </c>
      <c r="E1781" s="8" t="s">
        <v>7970</v>
      </c>
      <c r="F1781" s="8" t="s">
        <v>579</v>
      </c>
      <c r="G1781" s="8" t="s">
        <v>1619</v>
      </c>
      <c r="H1781" s="8" t="s">
        <v>145</v>
      </c>
      <c r="I1781" s="8" t="s">
        <v>153</v>
      </c>
      <c r="J1781" s="8" t="s">
        <v>7971</v>
      </c>
      <c r="K1781" s="8"/>
      <c r="L1781" s="8" t="s">
        <v>7972</v>
      </c>
    </row>
    <row r="1782" customFormat="false" ht="34.5" hidden="false" customHeight="true" outlineLevel="0" collapsed="false">
      <c r="A1782" s="8" t="n">
        <v>1530</v>
      </c>
      <c r="B1782" s="8" t="s">
        <v>53</v>
      </c>
      <c r="C1782" s="8" t="s">
        <v>399</v>
      </c>
      <c r="D1782" s="8" t="n">
        <v>2016</v>
      </c>
      <c r="E1782" s="8" t="s">
        <v>7973</v>
      </c>
      <c r="F1782" s="8" t="s">
        <v>151</v>
      </c>
      <c r="G1782" s="8" t="s">
        <v>152</v>
      </c>
      <c r="H1782" s="8" t="s">
        <v>145</v>
      </c>
      <c r="I1782" s="8" t="s">
        <v>146</v>
      </c>
      <c r="J1782" s="8" t="s">
        <v>7974</v>
      </c>
      <c r="K1782" s="8"/>
      <c r="L1782" s="8" t="s">
        <v>7975</v>
      </c>
    </row>
    <row r="1783" customFormat="false" ht="34.5" hidden="false" customHeight="true" outlineLevel="0" collapsed="false">
      <c r="A1783" s="8" t="n">
        <v>1531</v>
      </c>
      <c r="B1783" s="8" t="s">
        <v>53</v>
      </c>
      <c r="C1783" s="8" t="s">
        <v>7976</v>
      </c>
      <c r="D1783" s="8" t="n">
        <v>2018</v>
      </c>
      <c r="E1783" s="8" t="s">
        <v>7977</v>
      </c>
      <c r="F1783" s="8" t="s">
        <v>201</v>
      </c>
      <c r="G1783" s="8" t="s">
        <v>7978</v>
      </c>
      <c r="H1783" s="8" t="s">
        <v>2886</v>
      </c>
      <c r="I1783" s="8" t="s">
        <v>146</v>
      </c>
      <c r="J1783" s="8" t="s">
        <v>7979</v>
      </c>
      <c r="K1783" s="8"/>
      <c r="L1783" s="8" t="s">
        <v>7980</v>
      </c>
    </row>
    <row r="1784" customFormat="false" ht="34.5" hidden="false" customHeight="true" outlineLevel="0" collapsed="false">
      <c r="A1784" s="8" t="n">
        <v>1532</v>
      </c>
      <c r="B1784" s="8" t="s">
        <v>53</v>
      </c>
      <c r="C1784" s="8" t="s">
        <v>7981</v>
      </c>
      <c r="D1784" s="8" t="n">
        <v>2015</v>
      </c>
      <c r="E1784" s="8" t="s">
        <v>7982</v>
      </c>
      <c r="F1784" s="8" t="s">
        <v>143</v>
      </c>
      <c r="G1784" s="8" t="s">
        <v>7983</v>
      </c>
      <c r="H1784" s="8" t="s">
        <v>512</v>
      </c>
      <c r="I1784" s="8" t="s">
        <v>146</v>
      </c>
      <c r="J1784" s="8" t="s">
        <v>7984</v>
      </c>
      <c r="K1784" s="8" t="s">
        <v>116</v>
      </c>
      <c r="L1784" s="8" t="s">
        <v>7985</v>
      </c>
    </row>
    <row r="1785" customFormat="false" ht="34.5" hidden="false" customHeight="true" outlineLevel="0" collapsed="false">
      <c r="A1785" s="8" t="n">
        <v>1533</v>
      </c>
      <c r="B1785" s="8" t="s">
        <v>53</v>
      </c>
      <c r="C1785" s="8" t="s">
        <v>7986</v>
      </c>
      <c r="D1785" s="8" t="n">
        <v>2017</v>
      </c>
      <c r="E1785" s="8" t="s">
        <v>7987</v>
      </c>
      <c r="F1785" s="8" t="s">
        <v>151</v>
      </c>
      <c r="G1785" s="8" t="s">
        <v>1619</v>
      </c>
      <c r="H1785" s="8" t="s">
        <v>145</v>
      </c>
      <c r="I1785" s="8" t="s">
        <v>146</v>
      </c>
      <c r="J1785" s="8" t="s">
        <v>7988</v>
      </c>
      <c r="K1785" s="8"/>
      <c r="L1785" s="8" t="s">
        <v>7989</v>
      </c>
    </row>
    <row r="1786" customFormat="false" ht="34.5" hidden="false" customHeight="true" outlineLevel="0" collapsed="false">
      <c r="A1786" s="8" t="n">
        <v>1534</v>
      </c>
      <c r="B1786" s="8" t="s">
        <v>53</v>
      </c>
      <c r="C1786" s="8" t="s">
        <v>7990</v>
      </c>
      <c r="D1786" s="8" t="n">
        <v>2014</v>
      </c>
      <c r="E1786" s="8" t="s">
        <v>7991</v>
      </c>
      <c r="F1786" s="8" t="s">
        <v>201</v>
      </c>
      <c r="G1786" s="8" t="s">
        <v>7992</v>
      </c>
      <c r="H1786" s="8" t="s">
        <v>145</v>
      </c>
      <c r="I1786" s="8" t="s">
        <v>146</v>
      </c>
      <c r="J1786" s="8" t="s">
        <v>7993</v>
      </c>
      <c r="K1786" s="8"/>
      <c r="L1786" s="8" t="s">
        <v>7994</v>
      </c>
    </row>
    <row r="1787" customFormat="false" ht="34.5" hidden="false" customHeight="true" outlineLevel="0" collapsed="false">
      <c r="A1787" s="8" t="n">
        <v>1535</v>
      </c>
      <c r="B1787" s="8" t="s">
        <v>53</v>
      </c>
      <c r="C1787" s="8" t="s">
        <v>7995</v>
      </c>
      <c r="D1787" s="8" t="n">
        <v>2016</v>
      </c>
      <c r="E1787" s="8" t="s">
        <v>7996</v>
      </c>
      <c r="F1787" s="8" t="s">
        <v>151</v>
      </c>
      <c r="G1787" s="8" t="s">
        <v>152</v>
      </c>
      <c r="H1787" s="8" t="s">
        <v>255</v>
      </c>
      <c r="I1787" s="8" t="s">
        <v>146</v>
      </c>
      <c r="J1787" s="8" t="s">
        <v>7997</v>
      </c>
      <c r="K1787" s="8"/>
      <c r="L1787" s="8" t="s">
        <v>7998</v>
      </c>
    </row>
    <row r="1788" customFormat="false" ht="34.5" hidden="false" customHeight="true" outlineLevel="0" collapsed="false">
      <c r="A1788" s="8" t="n">
        <v>1536</v>
      </c>
      <c r="B1788" s="8" t="s">
        <v>53</v>
      </c>
      <c r="C1788" s="8" t="s">
        <v>7999</v>
      </c>
      <c r="D1788" s="8" t="n">
        <v>2017</v>
      </c>
      <c r="E1788" s="8" t="s">
        <v>8000</v>
      </c>
      <c r="F1788" s="8" t="s">
        <v>201</v>
      </c>
      <c r="G1788" s="8" t="s">
        <v>7643</v>
      </c>
      <c r="H1788" s="8" t="s">
        <v>145</v>
      </c>
      <c r="I1788" s="8" t="s">
        <v>153</v>
      </c>
      <c r="J1788" s="8" t="s">
        <v>8001</v>
      </c>
      <c r="K1788" s="8"/>
      <c r="L1788" s="8" t="s">
        <v>8002</v>
      </c>
    </row>
    <row r="1789" customFormat="false" ht="34.5" hidden="false" customHeight="true" outlineLevel="0" collapsed="false">
      <c r="A1789" s="8" t="n">
        <v>1537</v>
      </c>
      <c r="B1789" s="8" t="s">
        <v>55</v>
      </c>
      <c r="C1789" s="8" t="s">
        <v>8003</v>
      </c>
      <c r="D1789" s="8" t="n">
        <v>2016</v>
      </c>
      <c r="E1789" s="8" t="s">
        <v>8004</v>
      </c>
      <c r="F1789" s="8" t="s">
        <v>201</v>
      </c>
      <c r="G1789" s="8" t="s">
        <v>2574</v>
      </c>
      <c r="H1789" s="8" t="s">
        <v>145</v>
      </c>
      <c r="I1789" s="8" t="s">
        <v>153</v>
      </c>
      <c r="J1789" s="8" t="s">
        <v>5693</v>
      </c>
      <c r="K1789" s="8"/>
      <c r="L1789" s="8" t="s">
        <v>8005</v>
      </c>
    </row>
    <row r="1790" customFormat="false" ht="45.75" hidden="false" customHeight="true" outlineLevel="0" collapsed="false">
      <c r="A1790" s="8" t="n">
        <v>1538</v>
      </c>
      <c r="B1790" s="8" t="s">
        <v>55</v>
      </c>
      <c r="C1790" s="8" t="s">
        <v>8006</v>
      </c>
      <c r="D1790" s="8" t="n">
        <v>2019</v>
      </c>
      <c r="E1790" s="8" t="s">
        <v>8007</v>
      </c>
      <c r="F1790" s="8" t="s">
        <v>579</v>
      </c>
      <c r="G1790" s="8" t="s">
        <v>8008</v>
      </c>
      <c r="H1790" s="8" t="s">
        <v>145</v>
      </c>
      <c r="I1790" s="8" t="s">
        <v>208</v>
      </c>
      <c r="J1790" s="8" t="s">
        <v>1240</v>
      </c>
      <c r="K1790" s="8" t="s">
        <v>114</v>
      </c>
      <c r="L1790" s="8" t="s">
        <v>8009</v>
      </c>
    </row>
    <row r="1791" customFormat="false" ht="34.5" hidden="false" customHeight="true" outlineLevel="0" collapsed="false">
      <c r="A1791" s="8" t="n">
        <v>1539</v>
      </c>
      <c r="B1791" s="8" t="s">
        <v>55</v>
      </c>
      <c r="C1791" s="8" t="s">
        <v>8010</v>
      </c>
      <c r="D1791" s="8" t="n">
        <v>2017</v>
      </c>
      <c r="E1791" s="8" t="s">
        <v>8011</v>
      </c>
      <c r="F1791" s="8" t="s">
        <v>143</v>
      </c>
      <c r="G1791" s="8" t="s">
        <v>8012</v>
      </c>
      <c r="H1791" s="8" t="s">
        <v>2841</v>
      </c>
      <c r="I1791" s="8" t="s">
        <v>153</v>
      </c>
      <c r="J1791" s="8" t="s">
        <v>8013</v>
      </c>
      <c r="K1791" s="8" t="s">
        <v>114</v>
      </c>
      <c r="L1791" s="8" t="s">
        <v>8014</v>
      </c>
    </row>
    <row r="1792" customFormat="false" ht="34.5" hidden="false" customHeight="true" outlineLevel="0" collapsed="false">
      <c r="A1792" s="8" t="n">
        <v>1540</v>
      </c>
      <c r="B1792" s="8" t="s">
        <v>55</v>
      </c>
      <c r="C1792" s="8" t="s">
        <v>8015</v>
      </c>
      <c r="D1792" s="8" t="n">
        <v>2009</v>
      </c>
      <c r="E1792" s="8" t="s">
        <v>8016</v>
      </c>
      <c r="F1792" s="8" t="s">
        <v>143</v>
      </c>
      <c r="G1792" s="8" t="s">
        <v>8017</v>
      </c>
      <c r="H1792" s="8" t="s">
        <v>145</v>
      </c>
      <c r="I1792" s="8" t="s">
        <v>153</v>
      </c>
      <c r="J1792" s="8" t="s">
        <v>8018</v>
      </c>
      <c r="K1792" s="8" t="s">
        <v>116</v>
      </c>
      <c r="L1792" s="8" t="s">
        <v>8019</v>
      </c>
    </row>
    <row r="1793" customFormat="false" ht="34.5" hidden="false" customHeight="true" outlineLevel="0" collapsed="false">
      <c r="A1793" s="8" t="n">
        <v>1541</v>
      </c>
      <c r="B1793" s="8" t="s">
        <v>55</v>
      </c>
      <c r="C1793" s="8" t="s">
        <v>8020</v>
      </c>
      <c r="D1793" s="8" t="n">
        <v>2016</v>
      </c>
      <c r="E1793" s="8" t="s">
        <v>8021</v>
      </c>
      <c r="F1793" s="8" t="s">
        <v>143</v>
      </c>
      <c r="G1793" s="8" t="s">
        <v>8022</v>
      </c>
      <c r="H1793" s="8" t="s">
        <v>145</v>
      </c>
      <c r="I1793" s="8" t="s">
        <v>153</v>
      </c>
      <c r="J1793" s="8" t="s">
        <v>8023</v>
      </c>
      <c r="K1793" s="8" t="s">
        <v>114</v>
      </c>
      <c r="L1793" s="8" t="s">
        <v>8024</v>
      </c>
    </row>
    <row r="1794" customFormat="false" ht="34.5" hidden="false" customHeight="true" outlineLevel="0" collapsed="false">
      <c r="A1794" s="8" t="n">
        <v>1542</v>
      </c>
      <c r="B1794" s="8" t="s">
        <v>55</v>
      </c>
      <c r="C1794" s="8" t="s">
        <v>8025</v>
      </c>
      <c r="D1794" s="8" t="n">
        <v>2020</v>
      </c>
      <c r="E1794" s="8" t="s">
        <v>8026</v>
      </c>
      <c r="F1794" s="8" t="s">
        <v>143</v>
      </c>
      <c r="G1794" s="8" t="s">
        <v>2192</v>
      </c>
      <c r="H1794" s="8" t="s">
        <v>145</v>
      </c>
      <c r="I1794" s="8" t="s">
        <v>208</v>
      </c>
      <c r="J1794" s="8" t="s">
        <v>8027</v>
      </c>
      <c r="K1794" s="8" t="s">
        <v>116</v>
      </c>
      <c r="L1794" s="8" t="s">
        <v>8028</v>
      </c>
    </row>
    <row r="1795" customFormat="false" ht="34.5" hidden="false" customHeight="true" outlineLevel="0" collapsed="false">
      <c r="A1795" s="8" t="n">
        <v>1543</v>
      </c>
      <c r="B1795" s="8" t="s">
        <v>55</v>
      </c>
      <c r="C1795" s="8" t="s">
        <v>8029</v>
      </c>
      <c r="D1795" s="8" t="n">
        <v>2013</v>
      </c>
      <c r="E1795" s="8" t="s">
        <v>8030</v>
      </c>
      <c r="F1795" s="8" t="s">
        <v>151</v>
      </c>
      <c r="G1795" s="8" t="s">
        <v>8031</v>
      </c>
      <c r="H1795" s="8" t="s">
        <v>1075</v>
      </c>
      <c r="I1795" s="8" t="s">
        <v>208</v>
      </c>
      <c r="J1795" s="8" t="s">
        <v>8032</v>
      </c>
      <c r="K1795" s="8" t="s">
        <v>116</v>
      </c>
      <c r="L1795" s="8" t="s">
        <v>8033</v>
      </c>
    </row>
    <row r="1796" customFormat="false" ht="34.5" hidden="false" customHeight="true" outlineLevel="0" collapsed="false">
      <c r="A1796" s="8" t="n">
        <v>1544</v>
      </c>
      <c r="B1796" s="8" t="s">
        <v>55</v>
      </c>
      <c r="C1796" s="8" t="s">
        <v>8034</v>
      </c>
      <c r="D1796" s="8" t="n">
        <v>2011</v>
      </c>
      <c r="E1796" s="8" t="s">
        <v>8035</v>
      </c>
      <c r="F1796" s="8" t="s">
        <v>579</v>
      </c>
      <c r="G1796" s="8" t="s">
        <v>1523</v>
      </c>
      <c r="H1796" s="8" t="s">
        <v>145</v>
      </c>
      <c r="I1796" s="8" t="s">
        <v>153</v>
      </c>
      <c r="J1796" s="8" t="s">
        <v>8036</v>
      </c>
      <c r="K1796" s="8"/>
      <c r="L1796" s="8" t="s">
        <v>8037</v>
      </c>
    </row>
    <row r="1797" customFormat="false" ht="34.5" hidden="false" customHeight="true" outlineLevel="0" collapsed="false">
      <c r="A1797" s="8" t="n">
        <v>1545</v>
      </c>
      <c r="B1797" s="8" t="s">
        <v>55</v>
      </c>
      <c r="C1797" s="8" t="s">
        <v>8038</v>
      </c>
      <c r="D1797" s="8" t="n">
        <v>2018</v>
      </c>
      <c r="E1797" s="8" t="s">
        <v>8039</v>
      </c>
      <c r="F1797" s="8" t="s">
        <v>143</v>
      </c>
      <c r="G1797" s="8" t="s">
        <v>8040</v>
      </c>
      <c r="H1797" s="8" t="s">
        <v>145</v>
      </c>
      <c r="I1797" s="8" t="s">
        <v>153</v>
      </c>
      <c r="J1797" s="8" t="s">
        <v>8041</v>
      </c>
      <c r="K1797" s="8" t="s">
        <v>114</v>
      </c>
      <c r="L1797" s="8" t="s">
        <v>8042</v>
      </c>
    </row>
    <row r="1798" customFormat="false" ht="34.5" hidden="false" customHeight="true" outlineLevel="0" collapsed="false">
      <c r="A1798" s="8" t="n">
        <v>1546</v>
      </c>
      <c r="B1798" s="8" t="s">
        <v>55</v>
      </c>
      <c r="C1798" s="8" t="s">
        <v>8043</v>
      </c>
      <c r="D1798" s="8" t="n">
        <v>1994</v>
      </c>
      <c r="E1798" s="8" t="s">
        <v>8044</v>
      </c>
      <c r="F1798" s="8" t="s">
        <v>143</v>
      </c>
      <c r="G1798" s="8" t="s">
        <v>8045</v>
      </c>
      <c r="H1798" s="8" t="s">
        <v>8046</v>
      </c>
      <c r="I1798" s="8" t="s">
        <v>146</v>
      </c>
      <c r="J1798" s="8" t="s">
        <v>8047</v>
      </c>
      <c r="K1798" s="8" t="s">
        <v>116</v>
      </c>
      <c r="L1798" s="8" t="s">
        <v>8048</v>
      </c>
    </row>
    <row r="1799" customFormat="false" ht="34.5" hidden="false" customHeight="true" outlineLevel="0" collapsed="false">
      <c r="A1799" s="8" t="n">
        <v>1547</v>
      </c>
      <c r="B1799" s="8" t="s">
        <v>55</v>
      </c>
      <c r="C1799" s="8" t="s">
        <v>8049</v>
      </c>
      <c r="D1799" s="8" t="n">
        <v>2005</v>
      </c>
      <c r="E1799" s="8" t="s">
        <v>8050</v>
      </c>
      <c r="F1799" s="8" t="s">
        <v>201</v>
      </c>
      <c r="G1799" s="8" t="s">
        <v>364</v>
      </c>
      <c r="H1799" s="8" t="s">
        <v>145</v>
      </c>
      <c r="I1799" s="8" t="s">
        <v>153</v>
      </c>
      <c r="J1799" s="8" t="s">
        <v>8051</v>
      </c>
      <c r="K1799" s="8"/>
      <c r="L1799" s="8" t="s">
        <v>8052</v>
      </c>
    </row>
    <row r="1800" customFormat="false" ht="34.5" hidden="false" customHeight="true" outlineLevel="0" collapsed="false">
      <c r="A1800" s="8" t="n">
        <v>1548</v>
      </c>
      <c r="B1800" s="8" t="s">
        <v>55</v>
      </c>
      <c r="C1800" s="8" t="s">
        <v>8053</v>
      </c>
      <c r="D1800" s="8" t="n">
        <v>2021</v>
      </c>
      <c r="E1800" s="8" t="s">
        <v>8054</v>
      </c>
      <c r="F1800" s="8" t="s">
        <v>579</v>
      </c>
      <c r="G1800" s="8" t="s">
        <v>8055</v>
      </c>
      <c r="H1800" s="8" t="s">
        <v>145</v>
      </c>
      <c r="I1800" s="8" t="s">
        <v>208</v>
      </c>
      <c r="J1800" s="8" t="s">
        <v>8056</v>
      </c>
      <c r="K1800" s="8" t="s">
        <v>116</v>
      </c>
      <c r="L1800" s="8" t="s">
        <v>8057</v>
      </c>
    </row>
    <row r="1801" customFormat="false" ht="34.5" hidden="false" customHeight="true" outlineLevel="0" collapsed="false">
      <c r="A1801" s="8" t="n">
        <v>1549</v>
      </c>
      <c r="B1801" s="8" t="s">
        <v>55</v>
      </c>
      <c r="C1801" s="8" t="s">
        <v>8058</v>
      </c>
      <c r="D1801" s="8" t="n">
        <v>2005</v>
      </c>
      <c r="E1801" s="8" t="s">
        <v>8059</v>
      </c>
      <c r="F1801" s="8" t="s">
        <v>201</v>
      </c>
      <c r="G1801" s="8" t="s">
        <v>8060</v>
      </c>
      <c r="H1801" s="8" t="s">
        <v>145</v>
      </c>
      <c r="I1801" s="8" t="s">
        <v>153</v>
      </c>
      <c r="J1801" s="8" t="s">
        <v>8061</v>
      </c>
      <c r="K1801" s="8" t="s">
        <v>114</v>
      </c>
      <c r="L1801" s="8" t="s">
        <v>8062</v>
      </c>
    </row>
    <row r="1802" customFormat="false" ht="34.5" hidden="false" customHeight="true" outlineLevel="0" collapsed="false">
      <c r="A1802" s="8" t="n">
        <v>1550</v>
      </c>
      <c r="B1802" s="8" t="s">
        <v>55</v>
      </c>
      <c r="C1802" s="8" t="s">
        <v>8063</v>
      </c>
      <c r="D1802" s="8" t="n">
        <v>2021</v>
      </c>
      <c r="E1802" s="8" t="s">
        <v>8064</v>
      </c>
      <c r="F1802" s="8" t="s">
        <v>201</v>
      </c>
      <c r="G1802" s="8" t="s">
        <v>8065</v>
      </c>
      <c r="H1802" s="8" t="s">
        <v>145</v>
      </c>
      <c r="I1802" s="8" t="s">
        <v>153</v>
      </c>
      <c r="J1802" s="8" t="s">
        <v>2675</v>
      </c>
      <c r="K1802" s="8"/>
      <c r="L1802" s="8" t="s">
        <v>8066</v>
      </c>
    </row>
    <row r="1803" customFormat="false" ht="34.5" hidden="false" customHeight="true" outlineLevel="0" collapsed="false">
      <c r="A1803" s="8" t="n">
        <v>1551</v>
      </c>
      <c r="B1803" s="8" t="s">
        <v>55</v>
      </c>
      <c r="C1803" s="8" t="s">
        <v>8067</v>
      </c>
      <c r="D1803" s="8" t="n">
        <v>2020</v>
      </c>
      <c r="E1803" s="8" t="s">
        <v>8068</v>
      </c>
      <c r="F1803" s="8" t="s">
        <v>579</v>
      </c>
      <c r="G1803" s="8" t="s">
        <v>8069</v>
      </c>
      <c r="H1803" s="8" t="s">
        <v>8070</v>
      </c>
      <c r="I1803" s="8" t="s">
        <v>208</v>
      </c>
      <c r="J1803" s="8" t="s">
        <v>8071</v>
      </c>
      <c r="K1803" s="8" t="s">
        <v>116</v>
      </c>
      <c r="L1803" s="8" t="s">
        <v>8072</v>
      </c>
    </row>
    <row r="1804" customFormat="false" ht="34.5" hidden="false" customHeight="true" outlineLevel="0" collapsed="false">
      <c r="A1804" s="8" t="n">
        <v>1552</v>
      </c>
      <c r="B1804" s="8" t="s">
        <v>55</v>
      </c>
      <c r="C1804" s="8" t="s">
        <v>8073</v>
      </c>
      <c r="D1804" s="8" t="n">
        <v>1994</v>
      </c>
      <c r="E1804" s="8" t="s">
        <v>8074</v>
      </c>
      <c r="F1804" s="8" t="s">
        <v>143</v>
      </c>
      <c r="G1804" s="8" t="s">
        <v>8075</v>
      </c>
      <c r="H1804" s="8" t="s">
        <v>1373</v>
      </c>
      <c r="I1804" s="8" t="s">
        <v>146</v>
      </c>
      <c r="J1804" s="8" t="s">
        <v>8076</v>
      </c>
      <c r="K1804" s="8" t="s">
        <v>116</v>
      </c>
      <c r="L1804" s="8" t="s">
        <v>8077</v>
      </c>
    </row>
    <row r="1805" customFormat="false" ht="34.5" hidden="false" customHeight="true" outlineLevel="0" collapsed="false">
      <c r="A1805" s="9" t="n">
        <v>1553</v>
      </c>
      <c r="B1805" s="10" t="s">
        <v>55</v>
      </c>
      <c r="C1805" s="10" t="s">
        <v>8078</v>
      </c>
      <c r="D1805" s="10" t="n">
        <v>2018</v>
      </c>
      <c r="E1805" s="10" t="s">
        <v>8079</v>
      </c>
      <c r="F1805" s="10" t="s">
        <v>579</v>
      </c>
      <c r="G1805" s="10" t="s">
        <v>8080</v>
      </c>
      <c r="H1805" s="10" t="s">
        <v>8081</v>
      </c>
      <c r="I1805" s="10" t="s">
        <v>153</v>
      </c>
      <c r="J1805" s="10" t="s">
        <v>8082</v>
      </c>
      <c r="K1805" s="10" t="s">
        <v>116</v>
      </c>
      <c r="L1805" s="10" t="s">
        <v>8083</v>
      </c>
    </row>
    <row r="1806" customFormat="false" ht="34.5" hidden="false" customHeight="true" outlineLevel="0" collapsed="false">
      <c r="A1806" s="11" t="n">
        <v>1553</v>
      </c>
      <c r="B1806" s="12" t="s">
        <v>71</v>
      </c>
      <c r="C1806" s="12" t="s">
        <v>8078</v>
      </c>
      <c r="D1806" s="12" t="n">
        <v>2018</v>
      </c>
      <c r="E1806" s="12" t="s">
        <v>8079</v>
      </c>
      <c r="F1806" s="12" t="s">
        <v>8084</v>
      </c>
      <c r="G1806" s="12" t="s">
        <v>8085</v>
      </c>
      <c r="H1806" s="12" t="s">
        <v>8081</v>
      </c>
      <c r="I1806" s="12" t="s">
        <v>153</v>
      </c>
      <c r="J1806" s="12" t="s">
        <v>8086</v>
      </c>
      <c r="K1806" s="12" t="s">
        <v>116</v>
      </c>
      <c r="L1806" s="12" t="s">
        <v>8087</v>
      </c>
    </row>
    <row r="1807" customFormat="false" ht="34.5" hidden="false" customHeight="true" outlineLevel="0" collapsed="false">
      <c r="A1807" s="8" t="n">
        <v>1554</v>
      </c>
      <c r="B1807" s="8" t="s">
        <v>55</v>
      </c>
      <c r="C1807" s="8" t="s">
        <v>8088</v>
      </c>
      <c r="D1807" s="8" t="n">
        <v>2021</v>
      </c>
      <c r="E1807" s="8" t="s">
        <v>8089</v>
      </c>
      <c r="F1807" s="8" t="s">
        <v>143</v>
      </c>
      <c r="G1807" s="8" t="s">
        <v>8090</v>
      </c>
      <c r="H1807" s="8" t="s">
        <v>145</v>
      </c>
      <c r="I1807" s="8" t="s">
        <v>153</v>
      </c>
      <c r="J1807" s="8" t="s">
        <v>8091</v>
      </c>
      <c r="K1807" s="8" t="s">
        <v>114</v>
      </c>
      <c r="L1807" s="8" t="s">
        <v>8092</v>
      </c>
    </row>
    <row r="1808" customFormat="false" ht="34.5" hidden="false" customHeight="true" outlineLevel="0" collapsed="false">
      <c r="A1808" s="8" t="n">
        <v>1555</v>
      </c>
      <c r="B1808" s="8" t="s">
        <v>55</v>
      </c>
      <c r="C1808" s="8" t="s">
        <v>8093</v>
      </c>
      <c r="D1808" s="8" t="n">
        <v>2001</v>
      </c>
      <c r="E1808" s="8" t="s">
        <v>8094</v>
      </c>
      <c r="F1808" s="8" t="s">
        <v>143</v>
      </c>
      <c r="G1808" s="8" t="s">
        <v>8095</v>
      </c>
      <c r="H1808" s="8" t="s">
        <v>145</v>
      </c>
      <c r="I1808" s="8" t="s">
        <v>153</v>
      </c>
      <c r="J1808" s="8" t="s">
        <v>8096</v>
      </c>
      <c r="K1808" s="8" t="s">
        <v>116</v>
      </c>
      <c r="L1808" s="8" t="s">
        <v>8097</v>
      </c>
    </row>
    <row r="1809" customFormat="false" ht="34.5" hidden="false" customHeight="true" outlineLevel="0" collapsed="false">
      <c r="A1809" s="8" t="n">
        <v>1556</v>
      </c>
      <c r="B1809" s="8" t="s">
        <v>55</v>
      </c>
      <c r="C1809" s="8" t="s">
        <v>8098</v>
      </c>
      <c r="D1809" s="8" t="n">
        <v>2019</v>
      </c>
      <c r="E1809" s="8" t="s">
        <v>8099</v>
      </c>
      <c r="F1809" s="8" t="s">
        <v>151</v>
      </c>
      <c r="G1809" s="8" t="s">
        <v>8100</v>
      </c>
      <c r="H1809" s="8" t="s">
        <v>8101</v>
      </c>
      <c r="I1809" s="8" t="s">
        <v>146</v>
      </c>
      <c r="J1809" s="8" t="s">
        <v>8102</v>
      </c>
      <c r="K1809" s="8"/>
      <c r="L1809" s="8" t="s">
        <v>8103</v>
      </c>
    </row>
    <row r="1810" customFormat="false" ht="34.5" hidden="false" customHeight="true" outlineLevel="0" collapsed="false">
      <c r="A1810" s="8" t="n">
        <v>1557</v>
      </c>
      <c r="B1810" s="8" t="s">
        <v>55</v>
      </c>
      <c r="C1810" s="8" t="s">
        <v>8104</v>
      </c>
      <c r="D1810" s="8" t="n">
        <v>1994</v>
      </c>
      <c r="E1810" s="8" t="s">
        <v>8105</v>
      </c>
      <c r="F1810" s="8" t="s">
        <v>143</v>
      </c>
      <c r="G1810" s="8" t="s">
        <v>8106</v>
      </c>
      <c r="H1810" s="8" t="s">
        <v>1373</v>
      </c>
      <c r="I1810" s="8" t="s">
        <v>387</v>
      </c>
      <c r="J1810" s="8" t="s">
        <v>8107</v>
      </c>
      <c r="K1810" s="8"/>
      <c r="L1810" s="8" t="s">
        <v>8108</v>
      </c>
    </row>
    <row r="1811" customFormat="false" ht="34.5" hidden="false" customHeight="true" outlineLevel="0" collapsed="false">
      <c r="A1811" s="8" t="n">
        <v>1558</v>
      </c>
      <c r="B1811" s="8" t="s">
        <v>55</v>
      </c>
      <c r="C1811" s="8" t="s">
        <v>8109</v>
      </c>
      <c r="D1811" s="8" t="n">
        <v>2008</v>
      </c>
      <c r="E1811" s="8" t="s">
        <v>8110</v>
      </c>
      <c r="F1811" s="8" t="s">
        <v>143</v>
      </c>
      <c r="G1811" s="8" t="s">
        <v>152</v>
      </c>
      <c r="H1811" s="8" t="s">
        <v>145</v>
      </c>
      <c r="I1811" s="8" t="s">
        <v>153</v>
      </c>
      <c r="J1811" s="8" t="s">
        <v>8111</v>
      </c>
      <c r="K1811" s="8"/>
      <c r="L1811" s="8" t="s">
        <v>8112</v>
      </c>
    </row>
    <row r="1812" customFormat="false" ht="34.5" hidden="false" customHeight="true" outlineLevel="0" collapsed="false">
      <c r="A1812" s="8" t="n">
        <v>1559</v>
      </c>
      <c r="B1812" s="8" t="s">
        <v>55</v>
      </c>
      <c r="C1812" s="8" t="s">
        <v>8113</v>
      </c>
      <c r="D1812" s="8" t="n">
        <v>2018</v>
      </c>
      <c r="E1812" s="8" t="s">
        <v>8114</v>
      </c>
      <c r="F1812" s="8" t="s">
        <v>201</v>
      </c>
      <c r="G1812" s="8" t="s">
        <v>8115</v>
      </c>
      <c r="H1812" s="8" t="s">
        <v>8116</v>
      </c>
      <c r="I1812" s="8" t="s">
        <v>153</v>
      </c>
      <c r="J1812" s="8" t="s">
        <v>8117</v>
      </c>
      <c r="K1812" s="8" t="s">
        <v>114</v>
      </c>
      <c r="L1812" s="8" t="s">
        <v>8118</v>
      </c>
    </row>
    <row r="1813" customFormat="false" ht="34.5" hidden="false" customHeight="true" outlineLevel="0" collapsed="false">
      <c r="A1813" s="8" t="n">
        <v>1560</v>
      </c>
      <c r="B1813" s="8" t="s">
        <v>55</v>
      </c>
      <c r="C1813" s="8" t="s">
        <v>8119</v>
      </c>
      <c r="D1813" s="8" t="n">
        <v>2009</v>
      </c>
      <c r="E1813" s="8" t="s">
        <v>8120</v>
      </c>
      <c r="F1813" s="8" t="s">
        <v>143</v>
      </c>
      <c r="G1813" s="8" t="s">
        <v>8121</v>
      </c>
      <c r="H1813" s="8" t="s">
        <v>145</v>
      </c>
      <c r="I1813" s="8" t="s">
        <v>153</v>
      </c>
      <c r="J1813" s="8" t="s">
        <v>8122</v>
      </c>
      <c r="K1813" s="8" t="s">
        <v>116</v>
      </c>
      <c r="L1813" s="8" t="s">
        <v>8123</v>
      </c>
    </row>
    <row r="1814" customFormat="false" ht="23.25" hidden="false" customHeight="true" outlineLevel="0" collapsed="false">
      <c r="A1814" s="8" t="n">
        <v>1561</v>
      </c>
      <c r="B1814" s="8" t="s">
        <v>57</v>
      </c>
      <c r="C1814" s="8" t="s">
        <v>8124</v>
      </c>
      <c r="D1814" s="8" t="s">
        <v>8125</v>
      </c>
      <c r="E1814" s="8" t="s">
        <v>8126</v>
      </c>
      <c r="F1814" s="8" t="s">
        <v>143</v>
      </c>
      <c r="G1814" s="8" t="s">
        <v>3463</v>
      </c>
      <c r="H1814" s="8" t="s">
        <v>145</v>
      </c>
      <c r="I1814" s="8" t="s">
        <v>153</v>
      </c>
      <c r="J1814" s="8" t="s">
        <v>8127</v>
      </c>
      <c r="K1814" s="8" t="s">
        <v>114</v>
      </c>
      <c r="L1814" s="8" t="s">
        <v>8128</v>
      </c>
    </row>
    <row r="1815" customFormat="false" ht="23.25" hidden="false" customHeight="true" outlineLevel="0" collapsed="false">
      <c r="A1815" s="8" t="n">
        <v>1562</v>
      </c>
      <c r="B1815" s="8" t="s">
        <v>57</v>
      </c>
      <c r="C1815" s="8" t="s">
        <v>2011</v>
      </c>
      <c r="D1815" s="8" t="s">
        <v>8125</v>
      </c>
      <c r="E1815" s="8" t="s">
        <v>8129</v>
      </c>
      <c r="F1815" s="8" t="s">
        <v>143</v>
      </c>
      <c r="G1815" s="8" t="s">
        <v>8130</v>
      </c>
      <c r="H1815" s="8" t="s">
        <v>145</v>
      </c>
      <c r="I1815" s="8" t="s">
        <v>153</v>
      </c>
      <c r="J1815" s="8" t="s">
        <v>8131</v>
      </c>
      <c r="K1815" s="8" t="s">
        <v>114</v>
      </c>
      <c r="L1815" s="8" t="s">
        <v>8132</v>
      </c>
    </row>
    <row r="1816" customFormat="false" ht="34.5" hidden="false" customHeight="true" outlineLevel="0" collapsed="false">
      <c r="A1816" s="8" t="n">
        <v>1563</v>
      </c>
      <c r="B1816" s="8" t="s">
        <v>57</v>
      </c>
      <c r="C1816" s="8" t="s">
        <v>8133</v>
      </c>
      <c r="D1816" s="8" t="s">
        <v>8134</v>
      </c>
      <c r="E1816" s="8" t="s">
        <v>8135</v>
      </c>
      <c r="F1816" s="8" t="s">
        <v>151</v>
      </c>
      <c r="G1816" s="8" t="s">
        <v>8136</v>
      </c>
      <c r="H1816" s="8" t="s">
        <v>145</v>
      </c>
      <c r="I1816" s="8" t="s">
        <v>153</v>
      </c>
      <c r="J1816" s="8" t="s">
        <v>8137</v>
      </c>
      <c r="K1816" s="8" t="s">
        <v>114</v>
      </c>
      <c r="L1816" s="8" t="s">
        <v>8138</v>
      </c>
    </row>
    <row r="1817" customFormat="false" ht="23.25" hidden="false" customHeight="true" outlineLevel="0" collapsed="false">
      <c r="A1817" s="8" t="n">
        <v>1564</v>
      </c>
      <c r="B1817" s="8" t="s">
        <v>57</v>
      </c>
      <c r="C1817" s="8" t="s">
        <v>8139</v>
      </c>
      <c r="D1817" s="8" t="s">
        <v>8140</v>
      </c>
      <c r="E1817" s="8" t="s">
        <v>8141</v>
      </c>
      <c r="F1817" s="8" t="s">
        <v>143</v>
      </c>
      <c r="G1817" s="8" t="s">
        <v>8142</v>
      </c>
      <c r="H1817" s="8" t="s">
        <v>145</v>
      </c>
      <c r="I1817" s="8" t="s">
        <v>153</v>
      </c>
      <c r="J1817" s="8" t="s">
        <v>3700</v>
      </c>
      <c r="K1817" s="8" t="s">
        <v>112</v>
      </c>
      <c r="L1817" s="8" t="s">
        <v>8143</v>
      </c>
    </row>
    <row r="1818" customFormat="false" ht="23.25" hidden="false" customHeight="true" outlineLevel="0" collapsed="false">
      <c r="A1818" s="8" t="n">
        <v>1565</v>
      </c>
      <c r="B1818" s="8" t="s">
        <v>57</v>
      </c>
      <c r="C1818" s="8" t="s">
        <v>8144</v>
      </c>
      <c r="D1818" s="8" t="s">
        <v>8140</v>
      </c>
      <c r="E1818" s="8" t="s">
        <v>8145</v>
      </c>
      <c r="F1818" s="8" t="s">
        <v>143</v>
      </c>
      <c r="G1818" s="8" t="s">
        <v>8146</v>
      </c>
      <c r="H1818" s="8" t="s">
        <v>145</v>
      </c>
      <c r="I1818" s="8" t="s">
        <v>153</v>
      </c>
      <c r="J1818" s="8" t="s">
        <v>8147</v>
      </c>
      <c r="K1818" s="8" t="s">
        <v>112</v>
      </c>
      <c r="L1818" s="8" t="s">
        <v>8148</v>
      </c>
    </row>
    <row r="1819" customFormat="false" ht="23.25" hidden="false" customHeight="true" outlineLevel="0" collapsed="false">
      <c r="A1819" s="8" t="n">
        <v>1566</v>
      </c>
      <c r="B1819" s="8" t="s">
        <v>57</v>
      </c>
      <c r="C1819" s="8" t="s">
        <v>8149</v>
      </c>
      <c r="D1819" s="8" t="s">
        <v>8134</v>
      </c>
      <c r="E1819" s="8" t="s">
        <v>8150</v>
      </c>
      <c r="F1819" s="8" t="s">
        <v>143</v>
      </c>
      <c r="G1819" s="8" t="s">
        <v>1080</v>
      </c>
      <c r="H1819" s="8" t="s">
        <v>145</v>
      </c>
      <c r="I1819" s="8" t="s">
        <v>153</v>
      </c>
      <c r="J1819" s="8" t="s">
        <v>8151</v>
      </c>
      <c r="K1819" s="8" t="s">
        <v>114</v>
      </c>
      <c r="L1819" s="8" t="s">
        <v>8152</v>
      </c>
    </row>
    <row r="1820" customFormat="false" ht="23.25" hidden="false" customHeight="true" outlineLevel="0" collapsed="false">
      <c r="A1820" s="8" t="n">
        <v>1567</v>
      </c>
      <c r="B1820" s="8" t="s">
        <v>57</v>
      </c>
      <c r="C1820" s="8" t="s">
        <v>8153</v>
      </c>
      <c r="D1820" s="8" t="s">
        <v>8134</v>
      </c>
      <c r="E1820" s="8" t="s">
        <v>8154</v>
      </c>
      <c r="F1820" s="8" t="s">
        <v>201</v>
      </c>
      <c r="G1820" s="8" t="s">
        <v>8155</v>
      </c>
      <c r="H1820" s="8" t="s">
        <v>145</v>
      </c>
      <c r="I1820" s="8" t="s">
        <v>4353</v>
      </c>
      <c r="J1820" s="8" t="s">
        <v>8156</v>
      </c>
      <c r="K1820" s="8" t="s">
        <v>112</v>
      </c>
      <c r="L1820" s="8" t="s">
        <v>8157</v>
      </c>
    </row>
    <row r="1821" customFormat="false" ht="23.25" hidden="false" customHeight="true" outlineLevel="0" collapsed="false">
      <c r="A1821" s="8" t="n">
        <v>1568</v>
      </c>
      <c r="B1821" s="8" t="s">
        <v>57</v>
      </c>
      <c r="C1821" s="8" t="s">
        <v>8158</v>
      </c>
      <c r="D1821" s="8" t="s">
        <v>8134</v>
      </c>
      <c r="E1821" s="8" t="s">
        <v>8159</v>
      </c>
      <c r="F1821" s="8" t="s">
        <v>579</v>
      </c>
      <c r="G1821" s="8" t="s">
        <v>8160</v>
      </c>
      <c r="H1821" s="8" t="s">
        <v>145</v>
      </c>
      <c r="I1821" s="8" t="s">
        <v>153</v>
      </c>
      <c r="J1821" s="8" t="s">
        <v>1747</v>
      </c>
      <c r="K1821" s="8" t="s">
        <v>114</v>
      </c>
      <c r="L1821" s="8" t="s">
        <v>8161</v>
      </c>
    </row>
    <row r="1822" customFormat="false" ht="23.25" hidden="false" customHeight="true" outlineLevel="0" collapsed="false">
      <c r="A1822" s="8" t="n">
        <v>1569</v>
      </c>
      <c r="B1822" s="8" t="s">
        <v>57</v>
      </c>
      <c r="C1822" s="8" t="s">
        <v>8162</v>
      </c>
      <c r="D1822" s="8" t="s">
        <v>8140</v>
      </c>
      <c r="E1822" s="8" t="s">
        <v>8163</v>
      </c>
      <c r="F1822" s="8" t="s">
        <v>143</v>
      </c>
      <c r="G1822" s="8" t="s">
        <v>8164</v>
      </c>
      <c r="H1822" s="8" t="s">
        <v>145</v>
      </c>
      <c r="I1822" s="8" t="s">
        <v>153</v>
      </c>
      <c r="J1822" s="8" t="s">
        <v>8165</v>
      </c>
      <c r="K1822" s="8" t="s">
        <v>112</v>
      </c>
      <c r="L1822" s="8" t="s">
        <v>8166</v>
      </c>
    </row>
    <row r="1823" customFormat="false" ht="23.25" hidden="false" customHeight="true" outlineLevel="0" collapsed="false">
      <c r="A1823" s="8" t="n">
        <v>1570</v>
      </c>
      <c r="B1823" s="8" t="s">
        <v>57</v>
      </c>
      <c r="C1823" s="8" t="s">
        <v>8167</v>
      </c>
      <c r="D1823" s="8" t="s">
        <v>8134</v>
      </c>
      <c r="E1823" s="8" t="s">
        <v>8168</v>
      </c>
      <c r="F1823" s="8" t="s">
        <v>151</v>
      </c>
      <c r="G1823" s="8" t="s">
        <v>8169</v>
      </c>
      <c r="H1823" s="8" t="s">
        <v>1373</v>
      </c>
      <c r="I1823" s="8" t="s">
        <v>146</v>
      </c>
      <c r="J1823" s="8" t="s">
        <v>3420</v>
      </c>
      <c r="K1823" s="8" t="s">
        <v>116</v>
      </c>
      <c r="L1823" s="8" t="s">
        <v>8170</v>
      </c>
    </row>
    <row r="1824" customFormat="false" ht="23.25" hidden="false" customHeight="true" outlineLevel="0" collapsed="false">
      <c r="A1824" s="8" t="n">
        <v>1571</v>
      </c>
      <c r="B1824" s="8" t="s">
        <v>57</v>
      </c>
      <c r="C1824" s="8" t="s">
        <v>8171</v>
      </c>
      <c r="D1824" s="8" t="s">
        <v>8172</v>
      </c>
      <c r="E1824" s="8" t="s">
        <v>8173</v>
      </c>
      <c r="F1824" s="8" t="s">
        <v>143</v>
      </c>
      <c r="G1824" s="8" t="s">
        <v>8174</v>
      </c>
      <c r="H1824" s="8" t="s">
        <v>145</v>
      </c>
      <c r="I1824" s="8" t="s">
        <v>153</v>
      </c>
      <c r="J1824" s="8" t="s">
        <v>8175</v>
      </c>
      <c r="K1824" s="8" t="s">
        <v>112</v>
      </c>
      <c r="L1824" s="8" t="s">
        <v>8176</v>
      </c>
    </row>
    <row r="1825" customFormat="false" ht="23.25" hidden="false" customHeight="true" outlineLevel="0" collapsed="false">
      <c r="A1825" s="8" t="n">
        <v>1572</v>
      </c>
      <c r="B1825" s="8" t="s">
        <v>57</v>
      </c>
      <c r="C1825" s="8" t="s">
        <v>8177</v>
      </c>
      <c r="D1825" s="8" t="s">
        <v>8172</v>
      </c>
      <c r="E1825" s="8" t="s">
        <v>8178</v>
      </c>
      <c r="F1825" s="8" t="s">
        <v>143</v>
      </c>
      <c r="G1825" s="8" t="s">
        <v>8174</v>
      </c>
      <c r="H1825" s="8" t="s">
        <v>145</v>
      </c>
      <c r="I1825" s="8" t="s">
        <v>153</v>
      </c>
      <c r="J1825" s="8" t="s">
        <v>8179</v>
      </c>
      <c r="K1825" s="8" t="s">
        <v>112</v>
      </c>
      <c r="L1825" s="8" t="s">
        <v>8180</v>
      </c>
    </row>
    <row r="1826" customFormat="false" ht="23.25" hidden="false" customHeight="true" outlineLevel="0" collapsed="false">
      <c r="A1826" s="8" t="n">
        <v>1573</v>
      </c>
      <c r="B1826" s="8" t="s">
        <v>57</v>
      </c>
      <c r="C1826" s="8" t="s">
        <v>8181</v>
      </c>
      <c r="D1826" s="8" t="s">
        <v>8182</v>
      </c>
      <c r="E1826" s="8" t="s">
        <v>8183</v>
      </c>
      <c r="F1826" s="8" t="s">
        <v>151</v>
      </c>
      <c r="G1826" s="8" t="s">
        <v>6640</v>
      </c>
      <c r="H1826" s="8" t="s">
        <v>2248</v>
      </c>
      <c r="I1826" s="8" t="s">
        <v>146</v>
      </c>
      <c r="J1826" s="8" t="s">
        <v>3553</v>
      </c>
      <c r="K1826" s="8" t="s">
        <v>116</v>
      </c>
      <c r="L1826" s="8" t="s">
        <v>8184</v>
      </c>
    </row>
    <row r="1827" customFormat="false" ht="23.25" hidden="false" customHeight="true" outlineLevel="0" collapsed="false">
      <c r="A1827" s="8" t="n">
        <v>1574</v>
      </c>
      <c r="B1827" s="8" t="s">
        <v>57</v>
      </c>
      <c r="C1827" s="8" t="s">
        <v>2034</v>
      </c>
      <c r="D1827" s="8" t="s">
        <v>8182</v>
      </c>
      <c r="E1827" s="8" t="s">
        <v>8185</v>
      </c>
      <c r="F1827" s="8" t="s">
        <v>151</v>
      </c>
      <c r="G1827" s="8" t="s">
        <v>8186</v>
      </c>
      <c r="H1827" s="8" t="s">
        <v>2037</v>
      </c>
      <c r="I1827" s="8" t="s">
        <v>146</v>
      </c>
      <c r="J1827" s="8" t="s">
        <v>8187</v>
      </c>
      <c r="K1827" s="8" t="s">
        <v>116</v>
      </c>
      <c r="L1827" s="8" t="s">
        <v>8188</v>
      </c>
    </row>
    <row r="1828" customFormat="false" ht="23.25" hidden="false" customHeight="true" outlineLevel="0" collapsed="false">
      <c r="A1828" s="8" t="n">
        <v>1575</v>
      </c>
      <c r="B1828" s="8" t="s">
        <v>57</v>
      </c>
      <c r="C1828" s="8" t="s">
        <v>3569</v>
      </c>
      <c r="D1828" s="8" t="s">
        <v>8172</v>
      </c>
      <c r="E1828" s="8" t="s">
        <v>8189</v>
      </c>
      <c r="F1828" s="8" t="s">
        <v>143</v>
      </c>
      <c r="G1828" s="8" t="s">
        <v>3571</v>
      </c>
      <c r="H1828" s="8" t="s">
        <v>145</v>
      </c>
      <c r="I1828" s="8" t="s">
        <v>153</v>
      </c>
      <c r="J1828" s="8" t="s">
        <v>8190</v>
      </c>
      <c r="K1828" s="8" t="s">
        <v>112</v>
      </c>
      <c r="L1828" s="8" t="s">
        <v>8191</v>
      </c>
    </row>
    <row r="1829" customFormat="false" ht="23.25" hidden="false" customHeight="true" outlineLevel="0" collapsed="false">
      <c r="A1829" s="8" t="n">
        <v>1576</v>
      </c>
      <c r="B1829" s="8" t="s">
        <v>57</v>
      </c>
      <c r="C1829" s="8" t="s">
        <v>8192</v>
      </c>
      <c r="D1829" s="8" t="s">
        <v>8182</v>
      </c>
      <c r="E1829" s="8" t="s">
        <v>8193</v>
      </c>
      <c r="F1829" s="8" t="s">
        <v>151</v>
      </c>
      <c r="G1829" s="8" t="s">
        <v>8194</v>
      </c>
      <c r="H1829" s="8" t="s">
        <v>145</v>
      </c>
      <c r="I1829" s="8" t="s">
        <v>146</v>
      </c>
      <c r="J1829" s="8" t="s">
        <v>8195</v>
      </c>
      <c r="K1829" s="8" t="s">
        <v>112</v>
      </c>
      <c r="L1829" s="8" t="s">
        <v>8196</v>
      </c>
    </row>
    <row r="1830" customFormat="false" ht="34.5" hidden="false" customHeight="true" outlineLevel="0" collapsed="false">
      <c r="A1830" s="8" t="n">
        <v>1577</v>
      </c>
      <c r="B1830" s="8" t="s">
        <v>57</v>
      </c>
      <c r="C1830" s="8" t="s">
        <v>8197</v>
      </c>
      <c r="D1830" s="8" t="s">
        <v>8134</v>
      </c>
      <c r="E1830" s="8" t="s">
        <v>8198</v>
      </c>
      <c r="F1830" s="8" t="s">
        <v>151</v>
      </c>
      <c r="G1830" s="8" t="s">
        <v>8199</v>
      </c>
      <c r="H1830" s="8" t="s">
        <v>423</v>
      </c>
      <c r="I1830" s="8" t="s">
        <v>522</v>
      </c>
      <c r="J1830" s="8" t="s">
        <v>8200</v>
      </c>
      <c r="K1830" s="8" t="s">
        <v>114</v>
      </c>
      <c r="L1830" s="8" t="s">
        <v>8201</v>
      </c>
    </row>
    <row r="1831" customFormat="false" ht="23.25" hidden="false" customHeight="true" outlineLevel="0" collapsed="false">
      <c r="A1831" s="8" t="n">
        <v>1578</v>
      </c>
      <c r="B1831" s="8" t="s">
        <v>57</v>
      </c>
      <c r="C1831" s="8" t="s">
        <v>8202</v>
      </c>
      <c r="D1831" s="8" t="s">
        <v>8172</v>
      </c>
      <c r="E1831" s="8" t="s">
        <v>8203</v>
      </c>
      <c r="F1831" s="8" t="s">
        <v>143</v>
      </c>
      <c r="G1831" s="8" t="s">
        <v>3932</v>
      </c>
      <c r="H1831" s="8" t="s">
        <v>145</v>
      </c>
      <c r="I1831" s="8" t="s">
        <v>153</v>
      </c>
      <c r="J1831" s="8" t="s">
        <v>8204</v>
      </c>
      <c r="K1831" s="8" t="s">
        <v>112</v>
      </c>
      <c r="L1831" s="8" t="s">
        <v>8205</v>
      </c>
    </row>
    <row r="1832" customFormat="false" ht="23.25" hidden="false" customHeight="true" outlineLevel="0" collapsed="false">
      <c r="A1832" s="9" t="n">
        <v>1579</v>
      </c>
      <c r="B1832" s="10" t="s">
        <v>57</v>
      </c>
      <c r="C1832" s="10" t="s">
        <v>8206</v>
      </c>
      <c r="D1832" s="10" t="s">
        <v>8182</v>
      </c>
      <c r="E1832" s="10" t="s">
        <v>8207</v>
      </c>
      <c r="F1832" s="10" t="s">
        <v>143</v>
      </c>
      <c r="G1832" s="10" t="s">
        <v>8208</v>
      </c>
      <c r="H1832" s="10" t="s">
        <v>1373</v>
      </c>
      <c r="I1832" s="10" t="s">
        <v>146</v>
      </c>
      <c r="J1832" s="10" t="s">
        <v>3553</v>
      </c>
      <c r="K1832" s="10" t="s">
        <v>116</v>
      </c>
      <c r="L1832" s="10" t="s">
        <v>8209</v>
      </c>
    </row>
    <row r="1833" customFormat="false" ht="23.25" hidden="false" customHeight="true" outlineLevel="0" collapsed="false">
      <c r="A1833" s="11" t="n">
        <v>1579</v>
      </c>
      <c r="B1833" s="12" t="s">
        <v>57</v>
      </c>
      <c r="C1833" s="12" t="s">
        <v>8210</v>
      </c>
      <c r="D1833" s="12" t="s">
        <v>8182</v>
      </c>
      <c r="E1833" s="12" t="s">
        <v>8207</v>
      </c>
      <c r="F1833" s="12" t="s">
        <v>143</v>
      </c>
      <c r="G1833" s="12" t="s">
        <v>8211</v>
      </c>
      <c r="H1833" s="12" t="s">
        <v>1373</v>
      </c>
      <c r="I1833" s="12" t="s">
        <v>146</v>
      </c>
      <c r="J1833" s="12" t="s">
        <v>3553</v>
      </c>
      <c r="K1833" s="12" t="s">
        <v>116</v>
      </c>
      <c r="L1833" s="12" t="s">
        <v>8212</v>
      </c>
    </row>
    <row r="1834" customFormat="false" ht="34.5" hidden="false" customHeight="true" outlineLevel="0" collapsed="false">
      <c r="A1834" s="8" t="n">
        <v>1580</v>
      </c>
      <c r="B1834" s="8" t="s">
        <v>57</v>
      </c>
      <c r="C1834" s="8" t="s">
        <v>8213</v>
      </c>
      <c r="D1834" s="8" t="s">
        <v>8134</v>
      </c>
      <c r="E1834" s="8" t="s">
        <v>8214</v>
      </c>
      <c r="F1834" s="8" t="s">
        <v>143</v>
      </c>
      <c r="G1834" s="8" t="s">
        <v>8215</v>
      </c>
      <c r="H1834" s="8" t="s">
        <v>145</v>
      </c>
      <c r="I1834" s="8" t="s">
        <v>153</v>
      </c>
      <c r="J1834" s="8" t="s">
        <v>8216</v>
      </c>
      <c r="K1834" s="8" t="s">
        <v>114</v>
      </c>
      <c r="L1834" s="8" t="s">
        <v>8217</v>
      </c>
    </row>
    <row r="1835" customFormat="false" ht="34.5" hidden="false" customHeight="true" outlineLevel="0" collapsed="false">
      <c r="A1835" s="8" t="n">
        <v>1581</v>
      </c>
      <c r="B1835" s="8" t="s">
        <v>57</v>
      </c>
      <c r="C1835" s="8" t="s">
        <v>8218</v>
      </c>
      <c r="D1835" s="8" t="s">
        <v>8172</v>
      </c>
      <c r="E1835" s="8" t="s">
        <v>8219</v>
      </c>
      <c r="F1835" s="8" t="s">
        <v>143</v>
      </c>
      <c r="G1835" s="8" t="s">
        <v>8220</v>
      </c>
      <c r="H1835" s="8" t="s">
        <v>145</v>
      </c>
      <c r="I1835" s="8" t="s">
        <v>153</v>
      </c>
      <c r="J1835" s="8" t="s">
        <v>8147</v>
      </c>
      <c r="K1835" s="8" t="s">
        <v>112</v>
      </c>
      <c r="L1835" s="8" t="s">
        <v>8221</v>
      </c>
    </row>
    <row r="1836" customFormat="false" ht="23.25" hidden="false" customHeight="true" outlineLevel="0" collapsed="false">
      <c r="A1836" s="8" t="n">
        <v>1582</v>
      </c>
      <c r="B1836" s="8" t="s">
        <v>57</v>
      </c>
      <c r="C1836" s="8" t="s">
        <v>8139</v>
      </c>
      <c r="D1836" s="8" t="s">
        <v>8140</v>
      </c>
      <c r="E1836" s="8" t="s">
        <v>8222</v>
      </c>
      <c r="F1836" s="8" t="s">
        <v>143</v>
      </c>
      <c r="G1836" s="8" t="s">
        <v>8174</v>
      </c>
      <c r="H1836" s="8" t="s">
        <v>145</v>
      </c>
      <c r="I1836" s="8" t="s">
        <v>153</v>
      </c>
      <c r="J1836" s="8" t="s">
        <v>8223</v>
      </c>
      <c r="K1836" s="8" t="s">
        <v>114</v>
      </c>
      <c r="L1836" s="8" t="s">
        <v>8224</v>
      </c>
    </row>
    <row r="1837" customFormat="false" ht="34.5" hidden="false" customHeight="true" outlineLevel="0" collapsed="false">
      <c r="A1837" s="8" t="n">
        <v>1583</v>
      </c>
      <c r="B1837" s="8" t="s">
        <v>57</v>
      </c>
      <c r="C1837" s="8" t="s">
        <v>8225</v>
      </c>
      <c r="D1837" s="8" t="s">
        <v>8134</v>
      </c>
      <c r="E1837" s="8" t="s">
        <v>8226</v>
      </c>
      <c r="F1837" s="8" t="s">
        <v>151</v>
      </c>
      <c r="G1837" s="8" t="s">
        <v>8227</v>
      </c>
      <c r="H1837" s="8" t="s">
        <v>145</v>
      </c>
      <c r="I1837" s="8" t="s">
        <v>153</v>
      </c>
      <c r="J1837" s="8" t="s">
        <v>8228</v>
      </c>
      <c r="K1837" s="8" t="s">
        <v>112</v>
      </c>
      <c r="L1837" s="8" t="s">
        <v>8229</v>
      </c>
    </row>
    <row r="1838" customFormat="false" ht="23.25" hidden="false" customHeight="true" outlineLevel="0" collapsed="false">
      <c r="A1838" s="8" t="n">
        <v>1584</v>
      </c>
      <c r="B1838" s="8" t="s">
        <v>57</v>
      </c>
      <c r="C1838" s="8" t="s">
        <v>8230</v>
      </c>
      <c r="D1838" s="8" t="s">
        <v>8134</v>
      </c>
      <c r="E1838" s="8" t="s">
        <v>8231</v>
      </c>
      <c r="F1838" s="8" t="s">
        <v>143</v>
      </c>
      <c r="G1838" s="8" t="s">
        <v>8232</v>
      </c>
      <c r="H1838" s="8" t="s">
        <v>5410</v>
      </c>
      <c r="I1838" s="8" t="s">
        <v>153</v>
      </c>
      <c r="J1838" s="8" t="s">
        <v>8233</v>
      </c>
      <c r="K1838" s="8" t="s">
        <v>114</v>
      </c>
      <c r="L1838" s="8" t="s">
        <v>8234</v>
      </c>
    </row>
    <row r="1839" customFormat="false" ht="23.25" hidden="false" customHeight="true" outlineLevel="0" collapsed="false">
      <c r="A1839" s="8" t="n">
        <v>1585</v>
      </c>
      <c r="B1839" s="8" t="s">
        <v>57</v>
      </c>
      <c r="C1839" s="8" t="s">
        <v>8235</v>
      </c>
      <c r="D1839" s="8" t="s">
        <v>8236</v>
      </c>
      <c r="E1839" s="8" t="s">
        <v>8237</v>
      </c>
      <c r="F1839" s="8" t="s">
        <v>151</v>
      </c>
      <c r="G1839" s="8" t="s">
        <v>944</v>
      </c>
      <c r="H1839" s="8" t="s">
        <v>145</v>
      </c>
      <c r="I1839" s="8" t="s">
        <v>153</v>
      </c>
      <c r="J1839" s="8" t="s">
        <v>8238</v>
      </c>
      <c r="K1839" s="8"/>
      <c r="L1839" s="8" t="s">
        <v>8239</v>
      </c>
    </row>
    <row r="1840" customFormat="false" ht="23.25" hidden="false" customHeight="true" outlineLevel="0" collapsed="false">
      <c r="A1840" s="8" t="n">
        <v>1586</v>
      </c>
      <c r="B1840" s="8" t="s">
        <v>57</v>
      </c>
      <c r="C1840" s="8" t="s">
        <v>635</v>
      </c>
      <c r="D1840" s="8" t="s">
        <v>8240</v>
      </c>
      <c r="E1840" s="8" t="s">
        <v>8241</v>
      </c>
      <c r="F1840" s="8" t="s">
        <v>143</v>
      </c>
      <c r="G1840" s="8" t="s">
        <v>8242</v>
      </c>
      <c r="H1840" s="8" t="s">
        <v>8243</v>
      </c>
      <c r="I1840" s="8" t="s">
        <v>153</v>
      </c>
      <c r="J1840" s="8" t="s">
        <v>8244</v>
      </c>
      <c r="K1840" s="8" t="s">
        <v>114</v>
      </c>
      <c r="L1840" s="8" t="s">
        <v>8245</v>
      </c>
    </row>
    <row r="1841" customFormat="false" ht="34.5" hidden="false" customHeight="true" outlineLevel="0" collapsed="false">
      <c r="A1841" s="8" t="n">
        <v>1587</v>
      </c>
      <c r="B1841" s="8" t="s">
        <v>57</v>
      </c>
      <c r="C1841" s="8" t="s">
        <v>8246</v>
      </c>
      <c r="D1841" s="8" t="s">
        <v>8247</v>
      </c>
      <c r="E1841" s="8" t="s">
        <v>8248</v>
      </c>
      <c r="F1841" s="8" t="s">
        <v>143</v>
      </c>
      <c r="G1841" s="8" t="s">
        <v>8249</v>
      </c>
      <c r="H1841" s="8" t="s">
        <v>1319</v>
      </c>
      <c r="I1841" s="8" t="s">
        <v>153</v>
      </c>
      <c r="J1841" s="8" t="s">
        <v>8250</v>
      </c>
      <c r="K1841" s="8" t="s">
        <v>114</v>
      </c>
      <c r="L1841" s="8" t="s">
        <v>8251</v>
      </c>
    </row>
    <row r="1842" customFormat="false" ht="23.25" hidden="false" customHeight="true" outlineLevel="0" collapsed="false">
      <c r="A1842" s="8" t="n">
        <v>1588</v>
      </c>
      <c r="B1842" s="8" t="s">
        <v>57</v>
      </c>
      <c r="C1842" s="8" t="s">
        <v>8252</v>
      </c>
      <c r="D1842" s="8" t="s">
        <v>8253</v>
      </c>
      <c r="E1842" s="8" t="s">
        <v>8254</v>
      </c>
      <c r="F1842" s="8" t="s">
        <v>143</v>
      </c>
      <c r="G1842" s="8" t="s">
        <v>8255</v>
      </c>
      <c r="H1842" s="8" t="s">
        <v>145</v>
      </c>
      <c r="I1842" s="8" t="s">
        <v>153</v>
      </c>
      <c r="J1842" s="8" t="s">
        <v>8256</v>
      </c>
      <c r="K1842" s="8" t="s">
        <v>114</v>
      </c>
      <c r="L1842" s="8" t="s">
        <v>8257</v>
      </c>
    </row>
    <row r="1843" customFormat="false" ht="23.25" hidden="false" customHeight="true" outlineLevel="0" collapsed="false">
      <c r="A1843" s="8" t="n">
        <v>1589</v>
      </c>
      <c r="B1843" s="8" t="s">
        <v>57</v>
      </c>
      <c r="C1843" s="8" t="s">
        <v>8258</v>
      </c>
      <c r="D1843" s="8" t="s">
        <v>8259</v>
      </c>
      <c r="E1843" s="8" t="s">
        <v>8260</v>
      </c>
      <c r="F1843" s="8" t="s">
        <v>151</v>
      </c>
      <c r="G1843" s="8" t="s">
        <v>8261</v>
      </c>
      <c r="H1843" s="8" t="s">
        <v>145</v>
      </c>
      <c r="I1843" s="8" t="s">
        <v>153</v>
      </c>
      <c r="J1843" s="8" t="s">
        <v>8262</v>
      </c>
      <c r="K1843" s="8" t="s">
        <v>114</v>
      </c>
      <c r="L1843" s="8" t="s">
        <v>8263</v>
      </c>
    </row>
    <row r="1844" customFormat="false" ht="23.25" hidden="false" customHeight="true" outlineLevel="0" collapsed="false">
      <c r="A1844" s="8" t="n">
        <v>1590</v>
      </c>
      <c r="B1844" s="8" t="s">
        <v>57</v>
      </c>
      <c r="C1844" s="8" t="s">
        <v>8264</v>
      </c>
      <c r="D1844" s="8" t="s">
        <v>8259</v>
      </c>
      <c r="E1844" s="8" t="s">
        <v>8265</v>
      </c>
      <c r="F1844" s="8" t="s">
        <v>143</v>
      </c>
      <c r="G1844" s="8" t="s">
        <v>8266</v>
      </c>
      <c r="H1844" s="8" t="s">
        <v>145</v>
      </c>
      <c r="I1844" s="8" t="s">
        <v>153</v>
      </c>
      <c r="J1844" s="8" t="s">
        <v>8267</v>
      </c>
      <c r="K1844" s="8"/>
      <c r="L1844" s="8" t="s">
        <v>8268</v>
      </c>
    </row>
    <row r="1845" customFormat="false" ht="23.25" hidden="false" customHeight="true" outlineLevel="0" collapsed="false">
      <c r="A1845" s="8" t="n">
        <v>1591</v>
      </c>
      <c r="B1845" s="8" t="s">
        <v>57</v>
      </c>
      <c r="C1845" s="8" t="s">
        <v>8269</v>
      </c>
      <c r="D1845" s="8" t="s">
        <v>8259</v>
      </c>
      <c r="E1845" s="8" t="s">
        <v>8270</v>
      </c>
      <c r="F1845" s="8" t="s">
        <v>151</v>
      </c>
      <c r="G1845" s="8" t="s">
        <v>8271</v>
      </c>
      <c r="H1845" s="8" t="s">
        <v>145</v>
      </c>
      <c r="I1845" s="8" t="s">
        <v>153</v>
      </c>
      <c r="J1845" s="8" t="s">
        <v>8272</v>
      </c>
      <c r="K1845" s="8" t="s">
        <v>114</v>
      </c>
      <c r="L1845" s="8" t="s">
        <v>8273</v>
      </c>
    </row>
    <row r="1846" customFormat="false" ht="34.5" hidden="false" customHeight="true" outlineLevel="0" collapsed="false">
      <c r="A1846" s="8" t="n">
        <v>1592</v>
      </c>
      <c r="B1846" s="8" t="s">
        <v>57</v>
      </c>
      <c r="C1846" s="8" t="s">
        <v>8274</v>
      </c>
      <c r="D1846" s="8" t="s">
        <v>8172</v>
      </c>
      <c r="E1846" s="8" t="s">
        <v>8275</v>
      </c>
      <c r="F1846" s="8" t="s">
        <v>143</v>
      </c>
      <c r="G1846" s="8" t="s">
        <v>8266</v>
      </c>
      <c r="H1846" s="8" t="s">
        <v>145</v>
      </c>
      <c r="I1846" s="8" t="s">
        <v>153</v>
      </c>
      <c r="J1846" s="8" t="s">
        <v>8276</v>
      </c>
      <c r="K1846" s="8" t="s">
        <v>112</v>
      </c>
      <c r="L1846" s="8" t="s">
        <v>8277</v>
      </c>
    </row>
    <row r="1847" customFormat="false" ht="23.25" hidden="false" customHeight="true" outlineLevel="0" collapsed="false">
      <c r="A1847" s="8" t="n">
        <v>1593</v>
      </c>
      <c r="B1847" s="8" t="s">
        <v>57</v>
      </c>
      <c r="C1847" s="8" t="s">
        <v>8278</v>
      </c>
      <c r="D1847" s="8" t="s">
        <v>8182</v>
      </c>
      <c r="E1847" s="8" t="s">
        <v>8279</v>
      </c>
      <c r="F1847" s="8" t="s">
        <v>143</v>
      </c>
      <c r="G1847" s="8" t="s">
        <v>8280</v>
      </c>
      <c r="H1847" s="8" t="s">
        <v>145</v>
      </c>
      <c r="I1847" s="8" t="s">
        <v>153</v>
      </c>
      <c r="J1847" s="8" t="s">
        <v>8281</v>
      </c>
      <c r="K1847" s="8" t="s">
        <v>112</v>
      </c>
      <c r="L1847" s="8" t="s">
        <v>8282</v>
      </c>
    </row>
    <row r="1848" customFormat="false" ht="34.5" hidden="false" customHeight="true" outlineLevel="0" collapsed="false">
      <c r="A1848" s="8" t="n">
        <v>1594</v>
      </c>
      <c r="B1848" s="8" t="s">
        <v>57</v>
      </c>
      <c r="C1848" s="8" t="s">
        <v>8283</v>
      </c>
      <c r="D1848" s="8" t="s">
        <v>8284</v>
      </c>
      <c r="E1848" s="8" t="s">
        <v>8285</v>
      </c>
      <c r="F1848" s="8" t="s">
        <v>143</v>
      </c>
      <c r="G1848" s="8" t="s">
        <v>1311</v>
      </c>
      <c r="H1848" s="8" t="s">
        <v>145</v>
      </c>
      <c r="I1848" s="8" t="s">
        <v>153</v>
      </c>
      <c r="J1848" s="8" t="s">
        <v>8286</v>
      </c>
      <c r="K1848" s="8" t="s">
        <v>112</v>
      </c>
      <c r="L1848" s="8" t="s">
        <v>8287</v>
      </c>
    </row>
    <row r="1849" customFormat="false" ht="23.25" hidden="false" customHeight="true" outlineLevel="0" collapsed="false">
      <c r="A1849" s="8" t="n">
        <v>1595</v>
      </c>
      <c r="B1849" s="8" t="s">
        <v>57</v>
      </c>
      <c r="C1849" s="8" t="s">
        <v>8288</v>
      </c>
      <c r="D1849" s="8" t="s">
        <v>8240</v>
      </c>
      <c r="E1849" s="8" t="s">
        <v>8289</v>
      </c>
      <c r="F1849" s="8" t="s">
        <v>143</v>
      </c>
      <c r="G1849" s="8" t="s">
        <v>798</v>
      </c>
      <c r="H1849" s="8" t="s">
        <v>145</v>
      </c>
      <c r="I1849" s="8" t="s">
        <v>146</v>
      </c>
      <c r="J1849" s="8" t="s">
        <v>8290</v>
      </c>
      <c r="K1849" s="8" t="s">
        <v>112</v>
      </c>
      <c r="L1849" s="8" t="s">
        <v>8291</v>
      </c>
    </row>
    <row r="1850" customFormat="false" ht="34.5" hidden="false" customHeight="true" outlineLevel="0" collapsed="false">
      <c r="A1850" s="8" t="n">
        <v>1596</v>
      </c>
      <c r="B1850" s="8" t="s">
        <v>57</v>
      </c>
      <c r="C1850" s="8" t="s">
        <v>8292</v>
      </c>
      <c r="D1850" s="8" t="s">
        <v>8293</v>
      </c>
      <c r="E1850" s="8" t="s">
        <v>8294</v>
      </c>
      <c r="F1850" s="8" t="s">
        <v>143</v>
      </c>
      <c r="G1850" s="8" t="s">
        <v>3359</v>
      </c>
      <c r="H1850" s="8" t="s">
        <v>145</v>
      </c>
      <c r="I1850" s="8" t="s">
        <v>153</v>
      </c>
      <c r="J1850" s="8" t="s">
        <v>8295</v>
      </c>
      <c r="K1850" s="8"/>
      <c r="L1850" s="8" t="s">
        <v>8296</v>
      </c>
    </row>
    <row r="1851" customFormat="false" ht="23.25" hidden="false" customHeight="true" outlineLevel="0" collapsed="false">
      <c r="A1851" s="8" t="n">
        <v>1597</v>
      </c>
      <c r="B1851" s="8" t="s">
        <v>57</v>
      </c>
      <c r="C1851" s="8" t="s">
        <v>8297</v>
      </c>
      <c r="D1851" s="8" t="s">
        <v>8298</v>
      </c>
      <c r="E1851" s="8" t="s">
        <v>8299</v>
      </c>
      <c r="F1851" s="8" t="s">
        <v>143</v>
      </c>
      <c r="G1851" s="8" t="s">
        <v>4170</v>
      </c>
      <c r="H1851" s="8" t="s">
        <v>145</v>
      </c>
      <c r="I1851" s="8" t="s">
        <v>153</v>
      </c>
      <c r="J1851" s="8" t="s">
        <v>8300</v>
      </c>
      <c r="K1851" s="8" t="s">
        <v>112</v>
      </c>
      <c r="L1851" s="8" t="s">
        <v>8301</v>
      </c>
    </row>
    <row r="1852" customFormat="false" ht="23.25" hidden="false" customHeight="true" outlineLevel="0" collapsed="false">
      <c r="A1852" s="8" t="n">
        <v>1598</v>
      </c>
      <c r="B1852" s="8" t="s">
        <v>57</v>
      </c>
      <c r="C1852" s="8" t="s">
        <v>8302</v>
      </c>
      <c r="D1852" s="8" t="s">
        <v>8303</v>
      </c>
      <c r="E1852" s="8" t="s">
        <v>8304</v>
      </c>
      <c r="F1852" s="8" t="s">
        <v>143</v>
      </c>
      <c r="G1852" s="8" t="s">
        <v>6974</v>
      </c>
      <c r="H1852" s="8" t="s">
        <v>145</v>
      </c>
      <c r="I1852" s="8" t="s">
        <v>153</v>
      </c>
      <c r="J1852" s="8" t="s">
        <v>8305</v>
      </c>
      <c r="K1852" s="8" t="s">
        <v>112</v>
      </c>
      <c r="L1852" s="8" t="s">
        <v>8306</v>
      </c>
    </row>
    <row r="1853" customFormat="false" ht="23.25" hidden="false" customHeight="true" outlineLevel="0" collapsed="false">
      <c r="A1853" s="8" t="n">
        <v>1599</v>
      </c>
      <c r="B1853" s="8" t="s">
        <v>57</v>
      </c>
      <c r="C1853" s="8" t="s">
        <v>8307</v>
      </c>
      <c r="D1853" s="8" t="s">
        <v>8134</v>
      </c>
      <c r="E1853" s="8" t="s">
        <v>8308</v>
      </c>
      <c r="F1853" s="8" t="s">
        <v>143</v>
      </c>
      <c r="G1853" s="8" t="s">
        <v>8309</v>
      </c>
      <c r="H1853" s="8" t="s">
        <v>2248</v>
      </c>
      <c r="I1853" s="8" t="s">
        <v>146</v>
      </c>
      <c r="J1853" s="8" t="s">
        <v>8310</v>
      </c>
      <c r="K1853" s="8" t="s">
        <v>116</v>
      </c>
      <c r="L1853" s="8" t="s">
        <v>8311</v>
      </c>
    </row>
    <row r="1854" customFormat="false" ht="23.25" hidden="false" customHeight="true" outlineLevel="0" collapsed="false">
      <c r="A1854" s="8" t="n">
        <v>1600</v>
      </c>
      <c r="B1854" s="8" t="s">
        <v>57</v>
      </c>
      <c r="C1854" s="8" t="s">
        <v>8312</v>
      </c>
      <c r="D1854" s="8" t="s">
        <v>8240</v>
      </c>
      <c r="E1854" s="8" t="s">
        <v>8313</v>
      </c>
      <c r="F1854" s="8" t="s">
        <v>143</v>
      </c>
      <c r="G1854" s="8" t="s">
        <v>152</v>
      </c>
      <c r="H1854" s="8" t="s">
        <v>145</v>
      </c>
      <c r="I1854" s="8" t="s">
        <v>153</v>
      </c>
      <c r="J1854" s="8" t="s">
        <v>8314</v>
      </c>
      <c r="K1854" s="8"/>
      <c r="L1854" s="8" t="s">
        <v>8315</v>
      </c>
    </row>
    <row r="1855" customFormat="false" ht="34.5" hidden="false" customHeight="true" outlineLevel="0" collapsed="false">
      <c r="A1855" s="8" t="n">
        <v>1601</v>
      </c>
      <c r="B1855" s="8" t="s">
        <v>57</v>
      </c>
      <c r="C1855" s="8" t="s">
        <v>8316</v>
      </c>
      <c r="D1855" s="8" t="s">
        <v>8317</v>
      </c>
      <c r="E1855" s="8" t="s">
        <v>8318</v>
      </c>
      <c r="F1855" s="8" t="s">
        <v>143</v>
      </c>
      <c r="G1855" s="8" t="s">
        <v>213</v>
      </c>
      <c r="H1855" s="8" t="s">
        <v>145</v>
      </c>
      <c r="I1855" s="8" t="s">
        <v>153</v>
      </c>
      <c r="J1855" s="8" t="s">
        <v>8319</v>
      </c>
      <c r="K1855" s="8"/>
      <c r="L1855" s="8" t="s">
        <v>8320</v>
      </c>
    </row>
    <row r="1856" customFormat="false" ht="34.5" hidden="false" customHeight="true" outlineLevel="0" collapsed="false">
      <c r="A1856" s="8" t="n">
        <v>1602</v>
      </c>
      <c r="B1856" s="8" t="s">
        <v>57</v>
      </c>
      <c r="C1856" s="8" t="s">
        <v>8321</v>
      </c>
      <c r="D1856" s="8" t="s">
        <v>8140</v>
      </c>
      <c r="E1856" s="8" t="s">
        <v>8322</v>
      </c>
      <c r="F1856" s="8" t="s">
        <v>143</v>
      </c>
      <c r="G1856" s="8" t="s">
        <v>626</v>
      </c>
      <c r="H1856" s="8" t="s">
        <v>145</v>
      </c>
      <c r="I1856" s="8" t="s">
        <v>153</v>
      </c>
      <c r="J1856" s="8" t="s">
        <v>8323</v>
      </c>
      <c r="K1856" s="8" t="s">
        <v>114</v>
      </c>
      <c r="L1856" s="8" t="s">
        <v>8324</v>
      </c>
    </row>
    <row r="1857" customFormat="false" ht="23.25" hidden="false" customHeight="true" outlineLevel="0" collapsed="false">
      <c r="A1857" s="8" t="n">
        <v>1603</v>
      </c>
      <c r="B1857" s="8" t="s">
        <v>57</v>
      </c>
      <c r="C1857" s="8" t="s">
        <v>2051</v>
      </c>
      <c r="D1857" s="8" t="s">
        <v>8253</v>
      </c>
      <c r="E1857" s="8" t="s">
        <v>8325</v>
      </c>
      <c r="F1857" s="8" t="s">
        <v>143</v>
      </c>
      <c r="G1857" s="8" t="s">
        <v>8326</v>
      </c>
      <c r="H1857" s="8" t="s">
        <v>145</v>
      </c>
      <c r="I1857" s="8" t="s">
        <v>153</v>
      </c>
      <c r="J1857" s="8" t="s">
        <v>8327</v>
      </c>
      <c r="K1857" s="8" t="s">
        <v>112</v>
      </c>
      <c r="L1857" s="8" t="s">
        <v>8328</v>
      </c>
    </row>
    <row r="1858" customFormat="false" ht="23.25" hidden="false" customHeight="true" outlineLevel="0" collapsed="false">
      <c r="A1858" s="8" t="n">
        <v>1604</v>
      </c>
      <c r="B1858" s="8" t="s">
        <v>57</v>
      </c>
      <c r="C1858" s="8" t="s">
        <v>8329</v>
      </c>
      <c r="D1858" s="8" t="s">
        <v>8182</v>
      </c>
      <c r="E1858" s="8" t="s">
        <v>8330</v>
      </c>
      <c r="F1858" s="8" t="s">
        <v>143</v>
      </c>
      <c r="G1858" s="8" t="s">
        <v>8249</v>
      </c>
      <c r="H1858" s="8" t="s">
        <v>145</v>
      </c>
      <c r="I1858" s="8" t="s">
        <v>153</v>
      </c>
      <c r="J1858" s="8" t="s">
        <v>8331</v>
      </c>
      <c r="K1858" s="8" t="s">
        <v>114</v>
      </c>
      <c r="L1858" s="8" t="s">
        <v>8332</v>
      </c>
    </row>
    <row r="1859" customFormat="false" ht="23.25" hidden="false" customHeight="true" outlineLevel="0" collapsed="false">
      <c r="A1859" s="8" t="n">
        <v>1605</v>
      </c>
      <c r="B1859" s="8" t="s">
        <v>57</v>
      </c>
      <c r="C1859" s="8" t="s">
        <v>8333</v>
      </c>
      <c r="D1859" s="8" t="s">
        <v>8172</v>
      </c>
      <c r="E1859" s="8" t="s">
        <v>8334</v>
      </c>
      <c r="F1859" s="8" t="s">
        <v>579</v>
      </c>
      <c r="G1859" s="8" t="s">
        <v>8335</v>
      </c>
      <c r="H1859" s="8" t="s">
        <v>8336</v>
      </c>
      <c r="I1859" s="8" t="s">
        <v>146</v>
      </c>
      <c r="J1859" s="8" t="s">
        <v>3553</v>
      </c>
      <c r="K1859" s="8" t="s">
        <v>116</v>
      </c>
      <c r="L1859" s="8" t="s">
        <v>8337</v>
      </c>
    </row>
    <row r="1860" customFormat="false" ht="23.25" hidden="false" customHeight="true" outlineLevel="0" collapsed="false">
      <c r="A1860" s="8" t="n">
        <v>1606</v>
      </c>
      <c r="B1860" s="8" t="s">
        <v>57</v>
      </c>
      <c r="C1860" s="8" t="s">
        <v>8338</v>
      </c>
      <c r="D1860" s="8" t="s">
        <v>8182</v>
      </c>
      <c r="E1860" s="8" t="s">
        <v>8339</v>
      </c>
      <c r="F1860" s="8" t="s">
        <v>143</v>
      </c>
      <c r="G1860" s="8" t="s">
        <v>8261</v>
      </c>
      <c r="H1860" s="8" t="s">
        <v>145</v>
      </c>
      <c r="I1860" s="8" t="s">
        <v>153</v>
      </c>
      <c r="J1860" s="8" t="s">
        <v>8340</v>
      </c>
      <c r="K1860" s="8" t="s">
        <v>114</v>
      </c>
      <c r="L1860" s="8" t="s">
        <v>8341</v>
      </c>
    </row>
    <row r="1861" customFormat="false" ht="23.25" hidden="false" customHeight="true" outlineLevel="0" collapsed="false">
      <c r="A1861" s="8" t="n">
        <v>1607</v>
      </c>
      <c r="B1861" s="8" t="s">
        <v>57</v>
      </c>
      <c r="C1861" s="8" t="s">
        <v>8342</v>
      </c>
      <c r="D1861" s="8" t="s">
        <v>8134</v>
      </c>
      <c r="E1861" s="8" t="s">
        <v>8343</v>
      </c>
      <c r="F1861" s="8" t="s">
        <v>143</v>
      </c>
      <c r="G1861" s="8" t="s">
        <v>3359</v>
      </c>
      <c r="H1861" s="8" t="s">
        <v>145</v>
      </c>
      <c r="I1861" s="8" t="s">
        <v>153</v>
      </c>
      <c r="J1861" s="8" t="s">
        <v>8344</v>
      </c>
      <c r="K1861" s="8" t="s">
        <v>114</v>
      </c>
      <c r="L1861" s="8" t="s">
        <v>8345</v>
      </c>
    </row>
    <row r="1862" customFormat="false" ht="34.5" hidden="false" customHeight="true" outlineLevel="0" collapsed="false">
      <c r="A1862" s="8" t="n">
        <v>1608</v>
      </c>
      <c r="B1862" s="8" t="s">
        <v>57</v>
      </c>
      <c r="C1862" s="8" t="s">
        <v>8346</v>
      </c>
      <c r="D1862" s="8" t="s">
        <v>8240</v>
      </c>
      <c r="E1862" s="8" t="s">
        <v>8347</v>
      </c>
      <c r="F1862" s="8" t="s">
        <v>151</v>
      </c>
      <c r="G1862" s="8" t="s">
        <v>8348</v>
      </c>
      <c r="H1862" s="8" t="s">
        <v>901</v>
      </c>
      <c r="I1862" s="8" t="s">
        <v>153</v>
      </c>
      <c r="J1862" s="8" t="s">
        <v>8349</v>
      </c>
      <c r="K1862" s="8" t="s">
        <v>114</v>
      </c>
      <c r="L1862" s="8" t="s">
        <v>8350</v>
      </c>
    </row>
    <row r="1863" customFormat="false" ht="34.5" hidden="false" customHeight="true" outlineLevel="0" collapsed="false">
      <c r="A1863" s="8" t="n">
        <v>1609</v>
      </c>
      <c r="B1863" s="8" t="s">
        <v>57</v>
      </c>
      <c r="C1863" s="8" t="s">
        <v>8351</v>
      </c>
      <c r="D1863" s="8" t="s">
        <v>8140</v>
      </c>
      <c r="E1863" s="8" t="s">
        <v>8352</v>
      </c>
      <c r="F1863" s="8" t="s">
        <v>151</v>
      </c>
      <c r="G1863" s="8" t="s">
        <v>8353</v>
      </c>
      <c r="H1863" s="8" t="s">
        <v>145</v>
      </c>
      <c r="I1863" s="8" t="s">
        <v>153</v>
      </c>
      <c r="J1863" s="8" t="s">
        <v>8354</v>
      </c>
      <c r="K1863" s="8" t="s">
        <v>112</v>
      </c>
      <c r="L1863" s="8" t="s">
        <v>8355</v>
      </c>
    </row>
    <row r="1864" customFormat="false" ht="34.5" hidden="false" customHeight="true" outlineLevel="0" collapsed="false">
      <c r="A1864" s="8" t="n">
        <v>1610</v>
      </c>
      <c r="B1864" s="8" t="s">
        <v>57</v>
      </c>
      <c r="C1864" s="8" t="s">
        <v>8356</v>
      </c>
      <c r="D1864" s="8" t="s">
        <v>8298</v>
      </c>
      <c r="E1864" s="8" t="s">
        <v>8357</v>
      </c>
      <c r="F1864" s="8" t="s">
        <v>143</v>
      </c>
      <c r="G1864" s="8" t="s">
        <v>8249</v>
      </c>
      <c r="H1864" s="8" t="s">
        <v>145</v>
      </c>
      <c r="I1864" s="8" t="s">
        <v>153</v>
      </c>
      <c r="J1864" s="8" t="s">
        <v>8358</v>
      </c>
      <c r="K1864" s="8" t="s">
        <v>114</v>
      </c>
      <c r="L1864" s="8" t="s">
        <v>8359</v>
      </c>
    </row>
    <row r="1865" customFormat="false" ht="23.25" hidden="false" customHeight="true" outlineLevel="0" collapsed="false">
      <c r="A1865" s="8" t="n">
        <v>1611</v>
      </c>
      <c r="B1865" s="8" t="s">
        <v>57</v>
      </c>
      <c r="C1865" s="8" t="s">
        <v>8360</v>
      </c>
      <c r="D1865" s="8" t="s">
        <v>8259</v>
      </c>
      <c r="E1865" s="8" t="s">
        <v>8361</v>
      </c>
      <c r="F1865" s="8" t="s">
        <v>143</v>
      </c>
      <c r="G1865" s="8" t="s">
        <v>8266</v>
      </c>
      <c r="H1865" s="8" t="s">
        <v>145</v>
      </c>
      <c r="I1865" s="8" t="s">
        <v>153</v>
      </c>
      <c r="J1865" s="8" t="s">
        <v>8362</v>
      </c>
      <c r="K1865" s="8" t="s">
        <v>114</v>
      </c>
      <c r="L1865" s="8" t="s">
        <v>8363</v>
      </c>
    </row>
    <row r="1866" customFormat="false" ht="23.25" hidden="false" customHeight="true" outlineLevel="0" collapsed="false">
      <c r="A1866" s="8" t="n">
        <v>1612</v>
      </c>
      <c r="B1866" s="8" t="s">
        <v>57</v>
      </c>
      <c r="C1866" s="8" t="s">
        <v>8364</v>
      </c>
      <c r="D1866" s="8" t="s">
        <v>8259</v>
      </c>
      <c r="E1866" s="8" t="s">
        <v>8365</v>
      </c>
      <c r="F1866" s="8" t="s">
        <v>143</v>
      </c>
      <c r="G1866" s="8" t="s">
        <v>8366</v>
      </c>
      <c r="H1866" s="8" t="s">
        <v>145</v>
      </c>
      <c r="I1866" s="8" t="s">
        <v>153</v>
      </c>
      <c r="J1866" s="8" t="s">
        <v>8367</v>
      </c>
      <c r="K1866" s="8"/>
      <c r="L1866" s="8" t="s">
        <v>8368</v>
      </c>
    </row>
    <row r="1867" customFormat="false" ht="34.5" hidden="false" customHeight="true" outlineLevel="0" collapsed="false">
      <c r="A1867" s="8" t="n">
        <v>1613</v>
      </c>
      <c r="B1867" s="8" t="s">
        <v>57</v>
      </c>
      <c r="C1867" s="8" t="s">
        <v>8369</v>
      </c>
      <c r="D1867" s="8" t="s">
        <v>8140</v>
      </c>
      <c r="E1867" s="8" t="s">
        <v>8370</v>
      </c>
      <c r="F1867" s="8" t="s">
        <v>143</v>
      </c>
      <c r="G1867" s="8" t="s">
        <v>8371</v>
      </c>
      <c r="H1867" s="8" t="s">
        <v>1319</v>
      </c>
      <c r="I1867" s="8" t="s">
        <v>153</v>
      </c>
      <c r="J1867" s="8" t="s">
        <v>8372</v>
      </c>
      <c r="K1867" s="8" t="s">
        <v>114</v>
      </c>
      <c r="L1867" s="8" t="s">
        <v>8373</v>
      </c>
    </row>
    <row r="1868" customFormat="false" ht="23.25" hidden="false" customHeight="true" outlineLevel="0" collapsed="false">
      <c r="A1868" s="8" t="n">
        <v>1614</v>
      </c>
      <c r="B1868" s="8" t="s">
        <v>57</v>
      </c>
      <c r="C1868" s="8" t="s">
        <v>8374</v>
      </c>
      <c r="D1868" s="8" t="s">
        <v>8140</v>
      </c>
      <c r="E1868" s="8" t="s">
        <v>8375</v>
      </c>
      <c r="F1868" s="8" t="s">
        <v>143</v>
      </c>
      <c r="G1868" s="8" t="s">
        <v>944</v>
      </c>
      <c r="H1868" s="8" t="s">
        <v>721</v>
      </c>
      <c r="I1868" s="8" t="s">
        <v>153</v>
      </c>
      <c r="J1868" s="8" t="s">
        <v>8376</v>
      </c>
      <c r="K1868" s="8" t="s">
        <v>114</v>
      </c>
      <c r="L1868" s="8" t="s">
        <v>8377</v>
      </c>
    </row>
    <row r="1869" customFormat="false" ht="23.25" hidden="false" customHeight="true" outlineLevel="0" collapsed="false">
      <c r="A1869" s="8" t="n">
        <v>1615</v>
      </c>
      <c r="B1869" s="8" t="s">
        <v>57</v>
      </c>
      <c r="C1869" s="8" t="s">
        <v>8378</v>
      </c>
      <c r="D1869" s="8" t="s">
        <v>8140</v>
      </c>
      <c r="E1869" s="8" t="s">
        <v>8379</v>
      </c>
      <c r="F1869" s="8" t="s">
        <v>143</v>
      </c>
      <c r="G1869" s="8" t="s">
        <v>850</v>
      </c>
      <c r="H1869" s="8" t="s">
        <v>145</v>
      </c>
      <c r="I1869" s="8" t="s">
        <v>153</v>
      </c>
      <c r="J1869" s="8" t="s">
        <v>8380</v>
      </c>
      <c r="K1869" s="8" t="s">
        <v>114</v>
      </c>
      <c r="L1869" s="8" t="s">
        <v>8381</v>
      </c>
    </row>
    <row r="1870" customFormat="false" ht="23.25" hidden="false" customHeight="true" outlineLevel="0" collapsed="false">
      <c r="A1870" s="8" t="n">
        <v>1616</v>
      </c>
      <c r="B1870" s="8" t="s">
        <v>57</v>
      </c>
      <c r="C1870" s="8" t="s">
        <v>8382</v>
      </c>
      <c r="D1870" s="8" t="s">
        <v>8140</v>
      </c>
      <c r="E1870" s="8" t="s">
        <v>8383</v>
      </c>
      <c r="F1870" s="8" t="s">
        <v>143</v>
      </c>
      <c r="G1870" s="8" t="s">
        <v>8384</v>
      </c>
      <c r="H1870" s="8" t="s">
        <v>145</v>
      </c>
      <c r="I1870" s="8" t="s">
        <v>153</v>
      </c>
      <c r="J1870" s="8" t="s">
        <v>8385</v>
      </c>
      <c r="K1870" s="8" t="s">
        <v>114</v>
      </c>
      <c r="L1870" s="8" t="s">
        <v>8386</v>
      </c>
    </row>
    <row r="1871" customFormat="false" ht="23.25" hidden="false" customHeight="true" outlineLevel="0" collapsed="false">
      <c r="A1871" s="8" t="n">
        <v>1617</v>
      </c>
      <c r="B1871" s="8" t="s">
        <v>57</v>
      </c>
      <c r="C1871" s="8" t="s">
        <v>8387</v>
      </c>
      <c r="D1871" s="8" t="s">
        <v>8140</v>
      </c>
      <c r="E1871" s="8" t="s">
        <v>8388</v>
      </c>
      <c r="F1871" s="8" t="s">
        <v>143</v>
      </c>
      <c r="G1871" s="8" t="s">
        <v>8389</v>
      </c>
      <c r="H1871" s="8" t="s">
        <v>187</v>
      </c>
      <c r="I1871" s="8" t="s">
        <v>153</v>
      </c>
      <c r="J1871" s="8" t="s">
        <v>8390</v>
      </c>
      <c r="K1871" s="8" t="s">
        <v>114</v>
      </c>
      <c r="L1871" s="8" t="s">
        <v>8391</v>
      </c>
    </row>
    <row r="1872" customFormat="false" ht="23.25" hidden="false" customHeight="true" outlineLevel="0" collapsed="false">
      <c r="A1872" s="8" t="n">
        <v>1618</v>
      </c>
      <c r="B1872" s="8" t="s">
        <v>57</v>
      </c>
      <c r="C1872" s="8" t="s">
        <v>8392</v>
      </c>
      <c r="D1872" s="8" t="s">
        <v>8182</v>
      </c>
      <c r="E1872" s="8" t="s">
        <v>8393</v>
      </c>
      <c r="F1872" s="8" t="s">
        <v>143</v>
      </c>
      <c r="G1872" s="8" t="s">
        <v>8394</v>
      </c>
      <c r="H1872" s="8" t="s">
        <v>187</v>
      </c>
      <c r="I1872" s="8" t="s">
        <v>153</v>
      </c>
      <c r="J1872" s="8" t="s">
        <v>8395</v>
      </c>
      <c r="K1872" s="8" t="s">
        <v>114</v>
      </c>
      <c r="L1872" s="8" t="s">
        <v>8396</v>
      </c>
    </row>
    <row r="1873" customFormat="false" ht="23.25" hidden="false" customHeight="true" outlineLevel="0" collapsed="false">
      <c r="A1873" s="8" t="n">
        <v>1619</v>
      </c>
      <c r="B1873" s="8" t="s">
        <v>57</v>
      </c>
      <c r="C1873" s="8" t="s">
        <v>8397</v>
      </c>
      <c r="D1873" s="8" t="s">
        <v>8172</v>
      </c>
      <c r="E1873" s="8" t="s">
        <v>8398</v>
      </c>
      <c r="F1873" s="8" t="s">
        <v>143</v>
      </c>
      <c r="G1873" s="8" t="s">
        <v>8399</v>
      </c>
      <c r="H1873" s="8" t="s">
        <v>187</v>
      </c>
      <c r="I1873" s="8" t="s">
        <v>153</v>
      </c>
      <c r="J1873" s="8" t="s">
        <v>8400</v>
      </c>
      <c r="K1873" s="8" t="s">
        <v>114</v>
      </c>
      <c r="L1873" s="8" t="s">
        <v>8401</v>
      </c>
    </row>
    <row r="1874" customFormat="false" ht="23.25" hidden="false" customHeight="true" outlineLevel="0" collapsed="false">
      <c r="A1874" s="8" t="n">
        <v>1620</v>
      </c>
      <c r="B1874" s="8" t="s">
        <v>57</v>
      </c>
      <c r="C1874" s="8" t="s">
        <v>8402</v>
      </c>
      <c r="D1874" s="8" t="s">
        <v>8140</v>
      </c>
      <c r="E1874" s="8" t="s">
        <v>8403</v>
      </c>
      <c r="F1874" s="8" t="s">
        <v>143</v>
      </c>
      <c r="G1874" s="8" t="s">
        <v>8404</v>
      </c>
      <c r="H1874" s="8" t="s">
        <v>255</v>
      </c>
      <c r="I1874" s="8" t="s">
        <v>522</v>
      </c>
      <c r="J1874" s="8" t="s">
        <v>8405</v>
      </c>
      <c r="K1874" s="8" t="s">
        <v>114</v>
      </c>
      <c r="L1874" s="8" t="s">
        <v>8406</v>
      </c>
    </row>
    <row r="1875" customFormat="false" ht="34.5" hidden="false" customHeight="true" outlineLevel="0" collapsed="false">
      <c r="A1875" s="8" t="n">
        <v>1621</v>
      </c>
      <c r="B1875" s="8" t="s">
        <v>57</v>
      </c>
      <c r="C1875" s="8" t="s">
        <v>8407</v>
      </c>
      <c r="D1875" s="8" t="s">
        <v>8140</v>
      </c>
      <c r="E1875" s="8" t="s">
        <v>8408</v>
      </c>
      <c r="F1875" s="8" t="s">
        <v>143</v>
      </c>
      <c r="G1875" s="8" t="s">
        <v>8409</v>
      </c>
      <c r="H1875" s="8" t="s">
        <v>721</v>
      </c>
      <c r="I1875" s="8" t="s">
        <v>146</v>
      </c>
      <c r="J1875" s="8" t="s">
        <v>8410</v>
      </c>
      <c r="K1875" s="8" t="s">
        <v>114</v>
      </c>
      <c r="L1875" s="8" t="s">
        <v>8411</v>
      </c>
    </row>
    <row r="1876" customFormat="false" ht="34.5" hidden="false" customHeight="true" outlineLevel="0" collapsed="false">
      <c r="A1876" s="8" t="n">
        <v>1622</v>
      </c>
      <c r="B1876" s="8" t="s">
        <v>57</v>
      </c>
      <c r="C1876" s="8" t="s">
        <v>8412</v>
      </c>
      <c r="D1876" s="8" t="s">
        <v>8140</v>
      </c>
      <c r="E1876" s="8" t="s">
        <v>8413</v>
      </c>
      <c r="F1876" s="8" t="s">
        <v>143</v>
      </c>
      <c r="G1876" s="8" t="s">
        <v>8414</v>
      </c>
      <c r="H1876" s="8" t="s">
        <v>817</v>
      </c>
      <c r="I1876" s="8" t="s">
        <v>522</v>
      </c>
      <c r="J1876" s="8" t="s">
        <v>8415</v>
      </c>
      <c r="K1876" s="8" t="s">
        <v>112</v>
      </c>
      <c r="L1876" s="8" t="s">
        <v>8416</v>
      </c>
    </row>
    <row r="1877" customFormat="false" ht="34.5" hidden="false" customHeight="true" outlineLevel="0" collapsed="false">
      <c r="A1877" s="8" t="n">
        <v>1623</v>
      </c>
      <c r="B1877" s="8" t="s">
        <v>57</v>
      </c>
      <c r="C1877" s="8" t="s">
        <v>8417</v>
      </c>
      <c r="D1877" s="8" t="s">
        <v>8140</v>
      </c>
      <c r="E1877" s="8" t="s">
        <v>8418</v>
      </c>
      <c r="F1877" s="8" t="s">
        <v>143</v>
      </c>
      <c r="G1877" s="8" t="s">
        <v>8419</v>
      </c>
      <c r="H1877" s="8" t="s">
        <v>817</v>
      </c>
      <c r="I1877" s="8" t="s">
        <v>153</v>
      </c>
      <c r="J1877" s="8" t="s">
        <v>8420</v>
      </c>
      <c r="K1877" s="8" t="s">
        <v>112</v>
      </c>
      <c r="L1877" s="8" t="s">
        <v>8421</v>
      </c>
    </row>
    <row r="1878" customFormat="false" ht="23.25" hidden="false" customHeight="true" outlineLevel="0" collapsed="false">
      <c r="A1878" s="8" t="n">
        <v>1624</v>
      </c>
      <c r="B1878" s="8" t="s">
        <v>57</v>
      </c>
      <c r="C1878" s="8" t="s">
        <v>1622</v>
      </c>
      <c r="D1878" s="8" t="s">
        <v>8140</v>
      </c>
      <c r="E1878" s="8" t="s">
        <v>8422</v>
      </c>
      <c r="F1878" s="8" t="s">
        <v>143</v>
      </c>
      <c r="G1878" s="8" t="s">
        <v>8242</v>
      </c>
      <c r="H1878" s="8" t="s">
        <v>327</v>
      </c>
      <c r="I1878" s="8" t="s">
        <v>153</v>
      </c>
      <c r="J1878" s="8" t="s">
        <v>8423</v>
      </c>
      <c r="K1878" s="8" t="s">
        <v>114</v>
      </c>
      <c r="L1878" s="8" t="s">
        <v>8424</v>
      </c>
    </row>
    <row r="1879" customFormat="false" ht="23.25" hidden="false" customHeight="true" outlineLevel="0" collapsed="false">
      <c r="A1879" s="8" t="n">
        <v>1625</v>
      </c>
      <c r="B1879" s="8" t="s">
        <v>57</v>
      </c>
      <c r="C1879" s="8" t="s">
        <v>8425</v>
      </c>
      <c r="D1879" s="8" t="s">
        <v>8140</v>
      </c>
      <c r="E1879" s="8" t="s">
        <v>8426</v>
      </c>
      <c r="F1879" s="8" t="s">
        <v>143</v>
      </c>
      <c r="G1879" s="8" t="s">
        <v>8427</v>
      </c>
      <c r="H1879" s="8" t="s">
        <v>826</v>
      </c>
      <c r="I1879" s="8" t="s">
        <v>153</v>
      </c>
      <c r="J1879" s="8" t="s">
        <v>8428</v>
      </c>
      <c r="K1879" s="8" t="s">
        <v>114</v>
      </c>
      <c r="L1879" s="8" t="s">
        <v>8429</v>
      </c>
    </row>
    <row r="1880" customFormat="false" ht="23.25" hidden="false" customHeight="true" outlineLevel="0" collapsed="false">
      <c r="A1880" s="8" t="n">
        <v>1626</v>
      </c>
      <c r="B1880" s="8" t="s">
        <v>57</v>
      </c>
      <c r="C1880" s="8" t="s">
        <v>8430</v>
      </c>
      <c r="D1880" s="8" t="s">
        <v>8140</v>
      </c>
      <c r="E1880" s="8" t="s">
        <v>8431</v>
      </c>
      <c r="F1880" s="8" t="s">
        <v>143</v>
      </c>
      <c r="G1880" s="8" t="s">
        <v>8242</v>
      </c>
      <c r="H1880" s="8" t="s">
        <v>327</v>
      </c>
      <c r="I1880" s="8" t="s">
        <v>153</v>
      </c>
      <c r="J1880" s="8" t="s">
        <v>8432</v>
      </c>
      <c r="K1880" s="8" t="s">
        <v>114</v>
      </c>
      <c r="L1880" s="8" t="s">
        <v>8433</v>
      </c>
    </row>
    <row r="1881" customFormat="false" ht="23.25" hidden="false" customHeight="true" outlineLevel="0" collapsed="false">
      <c r="A1881" s="8" t="n">
        <v>1627</v>
      </c>
      <c r="B1881" s="8" t="s">
        <v>57</v>
      </c>
      <c r="C1881" s="8" t="s">
        <v>8434</v>
      </c>
      <c r="D1881" s="8" t="s">
        <v>8140</v>
      </c>
      <c r="E1881" s="8" t="s">
        <v>8435</v>
      </c>
      <c r="F1881" s="8" t="s">
        <v>143</v>
      </c>
      <c r="G1881" s="8" t="s">
        <v>8436</v>
      </c>
      <c r="H1881" s="8" t="s">
        <v>8437</v>
      </c>
      <c r="I1881" s="8" t="s">
        <v>153</v>
      </c>
      <c r="J1881" s="8" t="s">
        <v>8438</v>
      </c>
      <c r="K1881" s="8" t="s">
        <v>114</v>
      </c>
      <c r="L1881" s="8" t="s">
        <v>8439</v>
      </c>
    </row>
    <row r="1882" customFormat="false" ht="34.5" hidden="false" customHeight="true" outlineLevel="0" collapsed="false">
      <c r="A1882" s="8" t="n">
        <v>1628</v>
      </c>
      <c r="B1882" s="8" t="s">
        <v>57</v>
      </c>
      <c r="C1882" s="8" t="s">
        <v>8440</v>
      </c>
      <c r="D1882" s="8" t="s">
        <v>8140</v>
      </c>
      <c r="E1882" s="8" t="s">
        <v>8441</v>
      </c>
      <c r="F1882" s="8" t="s">
        <v>143</v>
      </c>
      <c r="G1882" s="8" t="s">
        <v>8442</v>
      </c>
      <c r="H1882" s="8" t="s">
        <v>871</v>
      </c>
      <c r="I1882" s="8" t="s">
        <v>153</v>
      </c>
      <c r="J1882" s="8" t="s">
        <v>8395</v>
      </c>
      <c r="K1882" s="8" t="s">
        <v>114</v>
      </c>
      <c r="L1882" s="8" t="s">
        <v>8443</v>
      </c>
    </row>
    <row r="1883" customFormat="false" ht="34.5" hidden="false" customHeight="true" outlineLevel="0" collapsed="false">
      <c r="A1883" s="8" t="n">
        <v>1629</v>
      </c>
      <c r="B1883" s="8" t="s">
        <v>57</v>
      </c>
      <c r="C1883" s="8" t="s">
        <v>8444</v>
      </c>
      <c r="D1883" s="8" t="s">
        <v>8140</v>
      </c>
      <c r="E1883" s="8" t="s">
        <v>8445</v>
      </c>
      <c r="F1883" s="8" t="s">
        <v>143</v>
      </c>
      <c r="G1883" s="8" t="s">
        <v>8446</v>
      </c>
      <c r="H1883" s="8" t="s">
        <v>145</v>
      </c>
      <c r="I1883" s="8" t="s">
        <v>153</v>
      </c>
      <c r="J1883" s="8" t="s">
        <v>8447</v>
      </c>
      <c r="K1883" s="8" t="s">
        <v>114</v>
      </c>
      <c r="L1883" s="8" t="s">
        <v>8448</v>
      </c>
    </row>
    <row r="1884" customFormat="false" ht="34.5" hidden="false" customHeight="true" outlineLevel="0" collapsed="false">
      <c r="A1884" s="8" t="n">
        <v>1630</v>
      </c>
      <c r="B1884" s="8" t="s">
        <v>57</v>
      </c>
      <c r="C1884" s="8" t="s">
        <v>8449</v>
      </c>
      <c r="D1884" s="8" t="s">
        <v>8140</v>
      </c>
      <c r="E1884" s="8" t="s">
        <v>8450</v>
      </c>
      <c r="F1884" s="8" t="s">
        <v>143</v>
      </c>
      <c r="G1884" s="8" t="s">
        <v>8451</v>
      </c>
      <c r="H1884" s="8" t="s">
        <v>244</v>
      </c>
      <c r="I1884" s="8" t="s">
        <v>153</v>
      </c>
      <c r="J1884" s="8" t="s">
        <v>8244</v>
      </c>
      <c r="K1884" s="8" t="s">
        <v>114</v>
      </c>
      <c r="L1884" s="8" t="s">
        <v>8452</v>
      </c>
    </row>
    <row r="1885" customFormat="false" ht="23.25" hidden="false" customHeight="true" outlineLevel="0" collapsed="false">
      <c r="A1885" s="8" t="n">
        <v>1631</v>
      </c>
      <c r="B1885" s="8" t="s">
        <v>57</v>
      </c>
      <c r="C1885" s="8" t="s">
        <v>8453</v>
      </c>
      <c r="D1885" s="8" t="s">
        <v>8140</v>
      </c>
      <c r="E1885" s="8" t="s">
        <v>8454</v>
      </c>
      <c r="F1885" s="8" t="s">
        <v>143</v>
      </c>
      <c r="G1885" s="8" t="s">
        <v>8455</v>
      </c>
      <c r="H1885" s="8" t="s">
        <v>255</v>
      </c>
      <c r="I1885" s="8" t="s">
        <v>153</v>
      </c>
      <c r="J1885" s="8" t="s">
        <v>8456</v>
      </c>
      <c r="K1885" s="8" t="s">
        <v>114</v>
      </c>
      <c r="L1885" s="8" t="s">
        <v>8457</v>
      </c>
    </row>
    <row r="1886" customFormat="false" ht="34.5" hidden="false" customHeight="true" outlineLevel="0" collapsed="false">
      <c r="A1886" s="8" t="n">
        <v>1632</v>
      </c>
      <c r="B1886" s="8" t="s">
        <v>57</v>
      </c>
      <c r="C1886" s="8" t="s">
        <v>8458</v>
      </c>
      <c r="D1886" s="8" t="s">
        <v>8134</v>
      </c>
      <c r="E1886" s="8" t="s">
        <v>8459</v>
      </c>
      <c r="F1886" s="8" t="s">
        <v>143</v>
      </c>
      <c r="G1886" s="8" t="s">
        <v>8460</v>
      </c>
      <c r="H1886" s="8" t="s">
        <v>327</v>
      </c>
      <c r="I1886" s="8" t="s">
        <v>153</v>
      </c>
      <c r="J1886" s="8" t="s">
        <v>8461</v>
      </c>
      <c r="K1886" s="8" t="s">
        <v>114</v>
      </c>
      <c r="L1886" s="8" t="s">
        <v>8462</v>
      </c>
    </row>
    <row r="1887" customFormat="false" ht="34.5" hidden="false" customHeight="true" outlineLevel="0" collapsed="false">
      <c r="A1887" s="8" t="n">
        <v>1633</v>
      </c>
      <c r="B1887" s="8" t="s">
        <v>57</v>
      </c>
      <c r="C1887" s="8" t="s">
        <v>8463</v>
      </c>
      <c r="D1887" s="8" t="s">
        <v>8134</v>
      </c>
      <c r="E1887" s="8" t="s">
        <v>8464</v>
      </c>
      <c r="F1887" s="8" t="s">
        <v>143</v>
      </c>
      <c r="G1887" s="8" t="s">
        <v>8465</v>
      </c>
      <c r="H1887" s="8" t="s">
        <v>4711</v>
      </c>
      <c r="I1887" s="8" t="s">
        <v>153</v>
      </c>
      <c r="J1887" s="8" t="s">
        <v>8466</v>
      </c>
      <c r="K1887" s="8" t="s">
        <v>114</v>
      </c>
      <c r="L1887" s="8" t="s">
        <v>8467</v>
      </c>
    </row>
    <row r="1888" customFormat="false" ht="34.5" hidden="false" customHeight="true" outlineLevel="0" collapsed="false">
      <c r="A1888" s="8" t="n">
        <v>1634</v>
      </c>
      <c r="B1888" s="8" t="s">
        <v>57</v>
      </c>
      <c r="C1888" s="8" t="s">
        <v>2924</v>
      </c>
      <c r="D1888" s="8" t="s">
        <v>8134</v>
      </c>
      <c r="E1888" s="8" t="s">
        <v>8468</v>
      </c>
      <c r="F1888" s="8" t="s">
        <v>143</v>
      </c>
      <c r="G1888" s="8" t="s">
        <v>8469</v>
      </c>
      <c r="H1888" s="8" t="s">
        <v>145</v>
      </c>
      <c r="I1888" s="8" t="s">
        <v>153</v>
      </c>
      <c r="J1888" s="8" t="s">
        <v>8470</v>
      </c>
      <c r="K1888" s="8" t="s">
        <v>114</v>
      </c>
      <c r="L1888" s="8" t="s">
        <v>8471</v>
      </c>
    </row>
    <row r="1889" customFormat="false" ht="34.5" hidden="false" customHeight="true" outlineLevel="0" collapsed="false">
      <c r="A1889" s="8" t="n">
        <v>1635</v>
      </c>
      <c r="B1889" s="8" t="s">
        <v>57</v>
      </c>
      <c r="C1889" s="8" t="s">
        <v>2104</v>
      </c>
      <c r="D1889" s="8" t="s">
        <v>8134</v>
      </c>
      <c r="E1889" s="8" t="s">
        <v>8472</v>
      </c>
      <c r="F1889" s="8" t="s">
        <v>143</v>
      </c>
      <c r="G1889" s="8" t="s">
        <v>8473</v>
      </c>
      <c r="H1889" s="8" t="s">
        <v>145</v>
      </c>
      <c r="I1889" s="8" t="s">
        <v>153</v>
      </c>
      <c r="J1889" s="8" t="s">
        <v>8474</v>
      </c>
      <c r="K1889" s="8" t="s">
        <v>114</v>
      </c>
      <c r="L1889" s="8" t="s">
        <v>8475</v>
      </c>
    </row>
    <row r="1890" customFormat="false" ht="34.5" hidden="false" customHeight="true" outlineLevel="0" collapsed="false">
      <c r="A1890" s="8" t="n">
        <v>1636</v>
      </c>
      <c r="B1890" s="8" t="s">
        <v>57</v>
      </c>
      <c r="C1890" s="8" t="s">
        <v>8252</v>
      </c>
      <c r="D1890" s="8" t="s">
        <v>8134</v>
      </c>
      <c r="E1890" s="8" t="s">
        <v>8476</v>
      </c>
      <c r="F1890" s="8" t="s">
        <v>143</v>
      </c>
      <c r="G1890" s="8" t="s">
        <v>8477</v>
      </c>
      <c r="H1890" s="8" t="s">
        <v>145</v>
      </c>
      <c r="I1890" s="8" t="s">
        <v>153</v>
      </c>
      <c r="J1890" s="8" t="s">
        <v>8478</v>
      </c>
      <c r="K1890" s="8" t="s">
        <v>114</v>
      </c>
      <c r="L1890" s="8" t="s">
        <v>8479</v>
      </c>
    </row>
    <row r="1891" customFormat="false" ht="23.25" hidden="false" customHeight="true" outlineLevel="0" collapsed="false">
      <c r="A1891" s="8" t="n">
        <v>1637</v>
      </c>
      <c r="B1891" s="8" t="s">
        <v>57</v>
      </c>
      <c r="C1891" s="8" t="s">
        <v>8252</v>
      </c>
      <c r="D1891" s="8" t="s">
        <v>8134</v>
      </c>
      <c r="E1891" s="8" t="s">
        <v>8480</v>
      </c>
      <c r="F1891" s="8" t="s">
        <v>143</v>
      </c>
      <c r="G1891" s="8" t="s">
        <v>8255</v>
      </c>
      <c r="H1891" s="8" t="s">
        <v>145</v>
      </c>
      <c r="I1891" s="8" t="s">
        <v>153</v>
      </c>
      <c r="J1891" s="8" t="s">
        <v>8481</v>
      </c>
      <c r="K1891" s="8" t="s">
        <v>114</v>
      </c>
      <c r="L1891" s="8" t="s">
        <v>8482</v>
      </c>
    </row>
    <row r="1892" customFormat="false" ht="23.25" hidden="false" customHeight="true" outlineLevel="0" collapsed="false">
      <c r="A1892" s="8" t="n">
        <v>1638</v>
      </c>
      <c r="B1892" s="8" t="s">
        <v>57</v>
      </c>
      <c r="C1892" s="8" t="s">
        <v>8483</v>
      </c>
      <c r="D1892" s="8" t="s">
        <v>8134</v>
      </c>
      <c r="E1892" s="8" t="s">
        <v>8484</v>
      </c>
      <c r="F1892" s="8" t="s">
        <v>143</v>
      </c>
      <c r="G1892" s="8" t="s">
        <v>8485</v>
      </c>
      <c r="H1892" s="8" t="s">
        <v>2841</v>
      </c>
      <c r="I1892" s="8" t="s">
        <v>153</v>
      </c>
      <c r="J1892" s="8" t="s">
        <v>8486</v>
      </c>
      <c r="K1892" s="8" t="s">
        <v>114</v>
      </c>
      <c r="L1892" s="8" t="s">
        <v>8487</v>
      </c>
    </row>
    <row r="1893" customFormat="false" ht="34.5" hidden="false" customHeight="true" outlineLevel="0" collapsed="false">
      <c r="A1893" s="8" t="n">
        <v>1639</v>
      </c>
      <c r="B1893" s="8" t="s">
        <v>57</v>
      </c>
      <c r="C1893" s="8" t="s">
        <v>8488</v>
      </c>
      <c r="D1893" s="8" t="s">
        <v>8125</v>
      </c>
      <c r="E1893" s="8" t="s">
        <v>8489</v>
      </c>
      <c r="F1893" s="8" t="s">
        <v>151</v>
      </c>
      <c r="G1893" s="8" t="s">
        <v>8490</v>
      </c>
      <c r="H1893" s="8" t="s">
        <v>145</v>
      </c>
      <c r="I1893" s="8" t="s">
        <v>153</v>
      </c>
      <c r="J1893" s="8" t="s">
        <v>8491</v>
      </c>
      <c r="K1893" s="8" t="s">
        <v>112</v>
      </c>
      <c r="L1893" s="8" t="s">
        <v>8492</v>
      </c>
    </row>
    <row r="1894" customFormat="false" ht="34.5" hidden="false" customHeight="true" outlineLevel="0" collapsed="false">
      <c r="A1894" s="8" t="n">
        <v>1640</v>
      </c>
      <c r="B1894" s="8" t="s">
        <v>57</v>
      </c>
      <c r="C1894" s="8" t="s">
        <v>6015</v>
      </c>
      <c r="D1894" s="8" t="s">
        <v>8236</v>
      </c>
      <c r="E1894" s="8" t="s">
        <v>8493</v>
      </c>
      <c r="F1894" s="8" t="s">
        <v>201</v>
      </c>
      <c r="G1894" s="8" t="s">
        <v>197</v>
      </c>
      <c r="H1894" s="8" t="s">
        <v>145</v>
      </c>
      <c r="I1894" s="8" t="s">
        <v>153</v>
      </c>
      <c r="J1894" s="8" t="s">
        <v>8494</v>
      </c>
      <c r="K1894" s="8" t="s">
        <v>114</v>
      </c>
      <c r="L1894" s="8" t="s">
        <v>8495</v>
      </c>
    </row>
    <row r="1895" customFormat="false" ht="23.25" hidden="false" customHeight="true" outlineLevel="0" collapsed="false">
      <c r="A1895" s="8" t="n">
        <v>1641</v>
      </c>
      <c r="B1895" s="8" t="s">
        <v>57</v>
      </c>
      <c r="C1895" s="8" t="s">
        <v>6015</v>
      </c>
      <c r="D1895" s="8" t="s">
        <v>8236</v>
      </c>
      <c r="E1895" s="8" t="s">
        <v>8496</v>
      </c>
      <c r="F1895" s="8" t="s">
        <v>151</v>
      </c>
      <c r="G1895" s="8" t="s">
        <v>152</v>
      </c>
      <c r="H1895" s="8" t="s">
        <v>145</v>
      </c>
      <c r="I1895" s="8" t="s">
        <v>153</v>
      </c>
      <c r="J1895" s="8" t="s">
        <v>8497</v>
      </c>
      <c r="K1895" s="8" t="s">
        <v>114</v>
      </c>
      <c r="L1895" s="8" t="s">
        <v>8498</v>
      </c>
    </row>
    <row r="1896" customFormat="false" ht="34.5" hidden="false" customHeight="true" outlineLevel="0" collapsed="false">
      <c r="A1896" s="8" t="n">
        <v>1642</v>
      </c>
      <c r="B1896" s="8" t="s">
        <v>57</v>
      </c>
      <c r="C1896" s="8" t="s">
        <v>8499</v>
      </c>
      <c r="D1896" s="8" t="s">
        <v>8134</v>
      </c>
      <c r="E1896" s="8" t="s">
        <v>8500</v>
      </c>
      <c r="F1896" s="8" t="s">
        <v>143</v>
      </c>
      <c r="G1896" s="8" t="s">
        <v>3359</v>
      </c>
      <c r="H1896" s="8" t="s">
        <v>145</v>
      </c>
      <c r="I1896" s="8" t="s">
        <v>522</v>
      </c>
      <c r="J1896" s="8" t="s">
        <v>8501</v>
      </c>
      <c r="K1896" s="8" t="s">
        <v>112</v>
      </c>
      <c r="L1896" s="8" t="s">
        <v>8502</v>
      </c>
    </row>
    <row r="1897" customFormat="false" ht="34.5" hidden="false" customHeight="true" outlineLevel="0" collapsed="false">
      <c r="A1897" s="8" t="n">
        <v>1643</v>
      </c>
      <c r="B1897" s="8" t="s">
        <v>57</v>
      </c>
      <c r="C1897" s="8" t="s">
        <v>8503</v>
      </c>
      <c r="D1897" s="8" t="s">
        <v>8182</v>
      </c>
      <c r="E1897" s="8" t="s">
        <v>8504</v>
      </c>
      <c r="F1897" s="8" t="s">
        <v>151</v>
      </c>
      <c r="G1897" s="8" t="s">
        <v>944</v>
      </c>
      <c r="H1897" s="8" t="s">
        <v>7387</v>
      </c>
      <c r="I1897" s="8" t="s">
        <v>153</v>
      </c>
      <c r="J1897" s="8" t="s">
        <v>8505</v>
      </c>
      <c r="K1897" s="8" t="s">
        <v>114</v>
      </c>
      <c r="L1897" s="8" t="s">
        <v>8506</v>
      </c>
    </row>
    <row r="1898" customFormat="false" ht="23.25" hidden="false" customHeight="true" outlineLevel="0" collapsed="false">
      <c r="A1898" s="8" t="n">
        <v>1644</v>
      </c>
      <c r="B1898" s="8" t="s">
        <v>57</v>
      </c>
      <c r="C1898" s="8" t="s">
        <v>8507</v>
      </c>
      <c r="D1898" s="8" t="s">
        <v>8140</v>
      </c>
      <c r="E1898" s="8" t="s">
        <v>8508</v>
      </c>
      <c r="F1898" s="8" t="s">
        <v>143</v>
      </c>
      <c r="G1898" s="8" t="s">
        <v>8509</v>
      </c>
      <c r="H1898" s="8" t="s">
        <v>8510</v>
      </c>
      <c r="I1898" s="8" t="s">
        <v>146</v>
      </c>
      <c r="J1898" s="8" t="s">
        <v>8511</v>
      </c>
      <c r="K1898" s="8" t="s">
        <v>112</v>
      </c>
      <c r="L1898" s="8" t="s">
        <v>8512</v>
      </c>
    </row>
    <row r="1899" customFormat="false" ht="34.5" hidden="false" customHeight="true" outlineLevel="0" collapsed="false">
      <c r="A1899" s="8" t="n">
        <v>1645</v>
      </c>
      <c r="B1899" s="8" t="s">
        <v>57</v>
      </c>
      <c r="C1899" s="8" t="s">
        <v>8513</v>
      </c>
      <c r="D1899" s="8" t="s">
        <v>8140</v>
      </c>
      <c r="E1899" s="8" t="s">
        <v>8514</v>
      </c>
      <c r="F1899" s="8" t="s">
        <v>151</v>
      </c>
      <c r="G1899" s="8" t="s">
        <v>8515</v>
      </c>
      <c r="H1899" s="8" t="s">
        <v>8516</v>
      </c>
      <c r="I1899" s="8" t="s">
        <v>146</v>
      </c>
      <c r="J1899" s="8" t="s">
        <v>8517</v>
      </c>
      <c r="K1899" s="8" t="s">
        <v>114</v>
      </c>
      <c r="L1899" s="8" t="s">
        <v>8518</v>
      </c>
    </row>
    <row r="1900" customFormat="false" ht="23.25" hidden="false" customHeight="true" outlineLevel="0" collapsed="false">
      <c r="A1900" s="8" t="n">
        <v>1646</v>
      </c>
      <c r="B1900" s="8" t="s">
        <v>57</v>
      </c>
      <c r="C1900" s="8" t="s">
        <v>8519</v>
      </c>
      <c r="D1900" s="8" t="s">
        <v>8140</v>
      </c>
      <c r="E1900" s="8" t="s">
        <v>8520</v>
      </c>
      <c r="F1900" s="8" t="s">
        <v>201</v>
      </c>
      <c r="G1900" s="8" t="s">
        <v>8521</v>
      </c>
      <c r="H1900" s="8" t="s">
        <v>8522</v>
      </c>
      <c r="I1900" s="8" t="s">
        <v>146</v>
      </c>
      <c r="J1900" s="8" t="s">
        <v>8523</v>
      </c>
      <c r="K1900" s="8" t="s">
        <v>112</v>
      </c>
      <c r="L1900" s="8" t="s">
        <v>8524</v>
      </c>
    </row>
    <row r="1901" customFormat="false" ht="23.25" hidden="false" customHeight="true" outlineLevel="0" collapsed="false">
      <c r="A1901" s="8" t="n">
        <v>1647</v>
      </c>
      <c r="B1901" s="8" t="s">
        <v>57</v>
      </c>
      <c r="C1901" s="8" t="s">
        <v>8525</v>
      </c>
      <c r="D1901" s="8" t="s">
        <v>8140</v>
      </c>
      <c r="E1901" s="8" t="s">
        <v>8526</v>
      </c>
      <c r="F1901" s="8" t="s">
        <v>151</v>
      </c>
      <c r="G1901" s="8" t="s">
        <v>8527</v>
      </c>
      <c r="H1901" s="8" t="s">
        <v>145</v>
      </c>
      <c r="I1901" s="8" t="s">
        <v>146</v>
      </c>
      <c r="J1901" s="8" t="s">
        <v>8528</v>
      </c>
      <c r="K1901" s="8" t="s">
        <v>112</v>
      </c>
      <c r="L1901" s="8" t="s">
        <v>8529</v>
      </c>
    </row>
    <row r="1902" customFormat="false" ht="23.25" hidden="false" customHeight="true" outlineLevel="0" collapsed="false">
      <c r="A1902" s="8" t="n">
        <v>1648</v>
      </c>
      <c r="B1902" s="8" t="s">
        <v>57</v>
      </c>
      <c r="C1902" s="8" t="s">
        <v>8530</v>
      </c>
      <c r="D1902" s="8" t="s">
        <v>8182</v>
      </c>
      <c r="E1902" s="8" t="s">
        <v>8531</v>
      </c>
      <c r="F1902" s="8" t="s">
        <v>579</v>
      </c>
      <c r="G1902" s="8" t="s">
        <v>8532</v>
      </c>
      <c r="H1902" s="8" t="s">
        <v>145</v>
      </c>
      <c r="I1902" s="8" t="s">
        <v>146</v>
      </c>
      <c r="J1902" s="8" t="s">
        <v>8533</v>
      </c>
      <c r="K1902" s="8" t="s">
        <v>112</v>
      </c>
      <c r="L1902" s="8" t="s">
        <v>8534</v>
      </c>
    </row>
    <row r="1903" customFormat="false" ht="34.5" hidden="false" customHeight="true" outlineLevel="0" collapsed="false">
      <c r="A1903" s="8" t="n">
        <v>1649</v>
      </c>
      <c r="B1903" s="8" t="s">
        <v>57</v>
      </c>
      <c r="C1903" s="8" t="s">
        <v>8535</v>
      </c>
      <c r="D1903" s="8" t="s">
        <v>8140</v>
      </c>
      <c r="E1903" s="8" t="s">
        <v>8536</v>
      </c>
      <c r="F1903" s="8" t="s">
        <v>151</v>
      </c>
      <c r="G1903" s="8" t="s">
        <v>8537</v>
      </c>
      <c r="H1903" s="8" t="s">
        <v>3028</v>
      </c>
      <c r="I1903" s="8" t="s">
        <v>4353</v>
      </c>
      <c r="J1903" s="8" t="s">
        <v>8538</v>
      </c>
      <c r="K1903" s="8" t="s">
        <v>112</v>
      </c>
      <c r="L1903" s="8" t="s">
        <v>8539</v>
      </c>
    </row>
    <row r="1904" customFormat="false" ht="23.25" hidden="false" customHeight="true" outlineLevel="0" collapsed="false">
      <c r="A1904" s="8" t="n">
        <v>1650</v>
      </c>
      <c r="B1904" s="8" t="s">
        <v>57</v>
      </c>
      <c r="C1904" s="8" t="s">
        <v>8540</v>
      </c>
      <c r="D1904" s="8" t="s">
        <v>8140</v>
      </c>
      <c r="E1904" s="8" t="s">
        <v>8541</v>
      </c>
      <c r="F1904" s="8" t="s">
        <v>151</v>
      </c>
      <c r="G1904" s="8" t="s">
        <v>5376</v>
      </c>
      <c r="H1904" s="8" t="s">
        <v>145</v>
      </c>
      <c r="I1904" s="8" t="s">
        <v>7537</v>
      </c>
      <c r="J1904" s="8" t="s">
        <v>8542</v>
      </c>
      <c r="K1904" s="8" t="s">
        <v>112</v>
      </c>
      <c r="L1904" s="8" t="s">
        <v>8543</v>
      </c>
    </row>
    <row r="1905" customFormat="false" ht="23.25" hidden="false" customHeight="true" outlineLevel="0" collapsed="false">
      <c r="A1905" s="8" t="n">
        <v>1651</v>
      </c>
      <c r="B1905" s="8" t="s">
        <v>57</v>
      </c>
      <c r="C1905" s="8" t="s">
        <v>8544</v>
      </c>
      <c r="D1905" s="8" t="s">
        <v>8182</v>
      </c>
      <c r="E1905" s="8" t="s">
        <v>8545</v>
      </c>
      <c r="F1905" s="8" t="s">
        <v>151</v>
      </c>
      <c r="G1905" s="8" t="s">
        <v>944</v>
      </c>
      <c r="H1905" s="8" t="s">
        <v>8522</v>
      </c>
      <c r="I1905" s="8" t="s">
        <v>8546</v>
      </c>
      <c r="J1905" s="8" t="s">
        <v>8547</v>
      </c>
      <c r="K1905" s="8" t="s">
        <v>112</v>
      </c>
      <c r="L1905" s="8" t="s">
        <v>8548</v>
      </c>
    </row>
    <row r="1906" customFormat="false" ht="34.5" hidden="false" customHeight="true" outlineLevel="0" collapsed="false">
      <c r="A1906" s="8" t="n">
        <v>1652</v>
      </c>
      <c r="B1906" s="8" t="s">
        <v>57</v>
      </c>
      <c r="C1906" s="8" t="s">
        <v>8549</v>
      </c>
      <c r="D1906" s="8" t="s">
        <v>8182</v>
      </c>
      <c r="E1906" s="8" t="s">
        <v>8550</v>
      </c>
      <c r="F1906" s="8" t="s">
        <v>151</v>
      </c>
      <c r="G1906" s="8" t="s">
        <v>8551</v>
      </c>
      <c r="H1906" s="8" t="s">
        <v>423</v>
      </c>
      <c r="I1906" s="8" t="s">
        <v>146</v>
      </c>
      <c r="J1906" s="8" t="s">
        <v>8552</v>
      </c>
      <c r="K1906" s="8" t="s">
        <v>112</v>
      </c>
      <c r="L1906" s="8" t="s">
        <v>8553</v>
      </c>
    </row>
    <row r="1907" customFormat="false" ht="23.25" hidden="false" customHeight="true" outlineLevel="0" collapsed="false">
      <c r="A1907" s="8" t="n">
        <v>1653</v>
      </c>
      <c r="B1907" s="8" t="s">
        <v>57</v>
      </c>
      <c r="C1907" s="8" t="s">
        <v>8554</v>
      </c>
      <c r="D1907" s="8" t="s">
        <v>8259</v>
      </c>
      <c r="E1907" s="8" t="s">
        <v>8555</v>
      </c>
      <c r="F1907" s="8" t="s">
        <v>143</v>
      </c>
      <c r="G1907" s="8" t="s">
        <v>8556</v>
      </c>
      <c r="H1907" s="8" t="s">
        <v>4341</v>
      </c>
      <c r="I1907" s="8" t="s">
        <v>146</v>
      </c>
      <c r="J1907" s="8" t="s">
        <v>8557</v>
      </c>
      <c r="K1907" s="8" t="s">
        <v>116</v>
      </c>
      <c r="L1907" s="8" t="s">
        <v>8558</v>
      </c>
    </row>
    <row r="1908" customFormat="false" ht="23.25" hidden="false" customHeight="true" outlineLevel="0" collapsed="false">
      <c r="A1908" s="8" t="n">
        <v>1654</v>
      </c>
      <c r="B1908" s="8" t="s">
        <v>57</v>
      </c>
      <c r="C1908" s="8" t="s">
        <v>8559</v>
      </c>
      <c r="D1908" s="8" t="s">
        <v>8182</v>
      </c>
      <c r="E1908" s="8" t="s">
        <v>8560</v>
      </c>
      <c r="F1908" s="8" t="s">
        <v>143</v>
      </c>
      <c r="G1908" s="8" t="s">
        <v>4118</v>
      </c>
      <c r="H1908" s="8" t="s">
        <v>145</v>
      </c>
      <c r="I1908" s="8" t="s">
        <v>153</v>
      </c>
      <c r="J1908" s="8" t="s">
        <v>8561</v>
      </c>
      <c r="K1908" s="8" t="s">
        <v>112</v>
      </c>
      <c r="L1908" s="8" t="s">
        <v>8562</v>
      </c>
    </row>
    <row r="1909" customFormat="false" ht="23.25" hidden="false" customHeight="true" outlineLevel="0" collapsed="false">
      <c r="A1909" s="8" t="n">
        <v>1655</v>
      </c>
      <c r="B1909" s="8" t="s">
        <v>57</v>
      </c>
      <c r="C1909" s="8" t="s">
        <v>8563</v>
      </c>
      <c r="D1909" s="8" t="s">
        <v>8298</v>
      </c>
      <c r="E1909" s="8" t="s">
        <v>8564</v>
      </c>
      <c r="F1909" s="8" t="s">
        <v>143</v>
      </c>
      <c r="G1909" s="8" t="s">
        <v>8565</v>
      </c>
      <c r="H1909" s="8" t="s">
        <v>145</v>
      </c>
      <c r="I1909" s="8" t="s">
        <v>153</v>
      </c>
      <c r="J1909" s="8" t="s">
        <v>8566</v>
      </c>
      <c r="K1909" s="8" t="s">
        <v>112</v>
      </c>
      <c r="L1909" s="8" t="s">
        <v>8567</v>
      </c>
    </row>
    <row r="1910" customFormat="false" ht="23.25" hidden="false" customHeight="true" outlineLevel="0" collapsed="false">
      <c r="A1910" s="8" t="n">
        <v>1656</v>
      </c>
      <c r="B1910" s="8" t="s">
        <v>57</v>
      </c>
      <c r="C1910" s="8" t="s">
        <v>8162</v>
      </c>
      <c r="D1910" s="8" t="s">
        <v>8140</v>
      </c>
      <c r="E1910" s="8" t="s">
        <v>8568</v>
      </c>
      <c r="F1910" s="8" t="s">
        <v>143</v>
      </c>
      <c r="G1910" s="8" t="s">
        <v>3973</v>
      </c>
      <c r="H1910" s="8" t="s">
        <v>145</v>
      </c>
      <c r="I1910" s="8" t="s">
        <v>153</v>
      </c>
      <c r="J1910" s="8" t="s">
        <v>8216</v>
      </c>
      <c r="K1910" s="8" t="s">
        <v>112</v>
      </c>
      <c r="L1910" s="8" t="s">
        <v>8569</v>
      </c>
    </row>
    <row r="1911" customFormat="false" ht="23.25" hidden="false" customHeight="true" outlineLevel="0" collapsed="false">
      <c r="A1911" s="8" t="n">
        <v>1657</v>
      </c>
      <c r="B1911" s="8" t="s">
        <v>57</v>
      </c>
      <c r="C1911" s="8" t="s">
        <v>8570</v>
      </c>
      <c r="D1911" s="8" t="s">
        <v>8172</v>
      </c>
      <c r="E1911" s="8" t="s">
        <v>8571</v>
      </c>
      <c r="F1911" s="8" t="s">
        <v>143</v>
      </c>
      <c r="G1911" s="8" t="s">
        <v>626</v>
      </c>
      <c r="H1911" s="8" t="s">
        <v>145</v>
      </c>
      <c r="I1911" s="8" t="s">
        <v>153</v>
      </c>
      <c r="J1911" s="8" t="s">
        <v>8572</v>
      </c>
      <c r="K1911" s="8" t="s">
        <v>112</v>
      </c>
      <c r="L1911" s="8" t="s">
        <v>8573</v>
      </c>
    </row>
    <row r="1912" customFormat="false" ht="34.5" hidden="false" customHeight="true" outlineLevel="0" collapsed="false">
      <c r="A1912" s="8" t="n">
        <v>1658</v>
      </c>
      <c r="B1912" s="8" t="s">
        <v>57</v>
      </c>
      <c r="C1912" s="8" t="s">
        <v>8574</v>
      </c>
      <c r="D1912" s="8" t="s">
        <v>8182</v>
      </c>
      <c r="E1912" s="8" t="s">
        <v>8575</v>
      </c>
      <c r="F1912" s="8" t="s">
        <v>143</v>
      </c>
      <c r="G1912" s="8" t="s">
        <v>8576</v>
      </c>
      <c r="H1912" s="8" t="s">
        <v>5248</v>
      </c>
      <c r="I1912" s="8" t="s">
        <v>153</v>
      </c>
      <c r="J1912" s="8" t="s">
        <v>8577</v>
      </c>
      <c r="K1912" s="8" t="s">
        <v>114</v>
      </c>
      <c r="L1912" s="8" t="s">
        <v>8578</v>
      </c>
    </row>
    <row r="1913" customFormat="false" ht="34.5" hidden="false" customHeight="true" outlineLevel="0" collapsed="false">
      <c r="A1913" s="8" t="n">
        <v>1659</v>
      </c>
      <c r="B1913" s="8" t="s">
        <v>57</v>
      </c>
      <c r="C1913" s="8" t="s">
        <v>8579</v>
      </c>
      <c r="D1913" s="8" t="s">
        <v>8140</v>
      </c>
      <c r="E1913" s="8" t="s">
        <v>8580</v>
      </c>
      <c r="F1913" s="8" t="s">
        <v>143</v>
      </c>
      <c r="G1913" s="8" t="s">
        <v>8581</v>
      </c>
      <c r="H1913" s="8" t="s">
        <v>145</v>
      </c>
      <c r="I1913" s="8" t="s">
        <v>153</v>
      </c>
      <c r="J1913" s="8" t="s">
        <v>8582</v>
      </c>
      <c r="K1913" s="8" t="s">
        <v>114</v>
      </c>
      <c r="L1913" s="8" t="s">
        <v>8583</v>
      </c>
    </row>
    <row r="1914" customFormat="false" ht="34.5" hidden="false" customHeight="true" outlineLevel="0" collapsed="false">
      <c r="A1914" s="8" t="n">
        <v>1660</v>
      </c>
      <c r="B1914" s="8" t="s">
        <v>57</v>
      </c>
      <c r="C1914" s="8" t="s">
        <v>8584</v>
      </c>
      <c r="D1914" s="8" t="s">
        <v>8140</v>
      </c>
      <c r="E1914" s="8" t="s">
        <v>8585</v>
      </c>
      <c r="F1914" s="8" t="s">
        <v>143</v>
      </c>
      <c r="G1914" s="8" t="s">
        <v>8586</v>
      </c>
      <c r="H1914" s="8" t="s">
        <v>145</v>
      </c>
      <c r="I1914" s="8" t="s">
        <v>153</v>
      </c>
      <c r="J1914" s="8" t="s">
        <v>8587</v>
      </c>
      <c r="K1914" s="8" t="s">
        <v>114</v>
      </c>
      <c r="L1914" s="8" t="s">
        <v>8588</v>
      </c>
    </row>
    <row r="1915" customFormat="false" ht="23.25" hidden="false" customHeight="true" outlineLevel="0" collapsed="false">
      <c r="A1915" s="8" t="n">
        <v>1661</v>
      </c>
      <c r="B1915" s="8" t="s">
        <v>57</v>
      </c>
      <c r="C1915" s="8" t="s">
        <v>8589</v>
      </c>
      <c r="D1915" s="8" t="s">
        <v>8140</v>
      </c>
      <c r="E1915" s="8" t="s">
        <v>8590</v>
      </c>
      <c r="F1915" s="8" t="s">
        <v>143</v>
      </c>
      <c r="G1915" s="8" t="s">
        <v>8446</v>
      </c>
      <c r="H1915" s="8" t="s">
        <v>145</v>
      </c>
      <c r="I1915" s="8" t="s">
        <v>153</v>
      </c>
      <c r="J1915" s="8" t="s">
        <v>8591</v>
      </c>
      <c r="K1915" s="8" t="s">
        <v>114</v>
      </c>
      <c r="L1915" s="8" t="s">
        <v>8592</v>
      </c>
    </row>
    <row r="1916" customFormat="false" ht="34.5" hidden="false" customHeight="true" outlineLevel="0" collapsed="false">
      <c r="A1916" s="8" t="n">
        <v>1662</v>
      </c>
      <c r="B1916" s="8" t="s">
        <v>57</v>
      </c>
      <c r="C1916" s="8" t="s">
        <v>8579</v>
      </c>
      <c r="D1916" s="8" t="s">
        <v>8134</v>
      </c>
      <c r="E1916" s="8" t="s">
        <v>8593</v>
      </c>
      <c r="F1916" s="8" t="s">
        <v>143</v>
      </c>
      <c r="G1916" s="8" t="s">
        <v>8581</v>
      </c>
      <c r="H1916" s="8" t="s">
        <v>145</v>
      </c>
      <c r="I1916" s="8" t="s">
        <v>153</v>
      </c>
      <c r="J1916" s="8" t="s">
        <v>8594</v>
      </c>
      <c r="K1916" s="8" t="s">
        <v>114</v>
      </c>
      <c r="L1916" s="8" t="s">
        <v>8595</v>
      </c>
    </row>
    <row r="1917" customFormat="false" ht="34.5" hidden="false" customHeight="true" outlineLevel="0" collapsed="false">
      <c r="A1917" s="8" t="n">
        <v>1663</v>
      </c>
      <c r="B1917" s="8" t="s">
        <v>57</v>
      </c>
      <c r="C1917" s="8" t="s">
        <v>8596</v>
      </c>
      <c r="D1917" s="8" t="s">
        <v>8134</v>
      </c>
      <c r="E1917" s="8" t="s">
        <v>8597</v>
      </c>
      <c r="F1917" s="8" t="s">
        <v>143</v>
      </c>
      <c r="G1917" s="8" t="s">
        <v>8598</v>
      </c>
      <c r="H1917" s="8" t="s">
        <v>145</v>
      </c>
      <c r="I1917" s="8" t="s">
        <v>153</v>
      </c>
      <c r="J1917" s="8" t="s">
        <v>8599</v>
      </c>
      <c r="K1917" s="8" t="s">
        <v>114</v>
      </c>
      <c r="L1917" s="8" t="s">
        <v>8600</v>
      </c>
    </row>
    <row r="1918" customFormat="false" ht="34.5" hidden="false" customHeight="true" outlineLevel="0" collapsed="false">
      <c r="A1918" s="8" t="n">
        <v>1664</v>
      </c>
      <c r="B1918" s="8" t="s">
        <v>57</v>
      </c>
      <c r="C1918" s="8" t="s">
        <v>2633</v>
      </c>
      <c r="D1918" s="8" t="s">
        <v>8172</v>
      </c>
      <c r="E1918" s="8" t="s">
        <v>8601</v>
      </c>
      <c r="F1918" s="8" t="s">
        <v>143</v>
      </c>
      <c r="G1918" s="8" t="s">
        <v>8602</v>
      </c>
      <c r="H1918" s="8" t="s">
        <v>145</v>
      </c>
      <c r="I1918" s="8" t="s">
        <v>153</v>
      </c>
      <c r="J1918" s="8" t="s">
        <v>8603</v>
      </c>
      <c r="K1918" s="8" t="s">
        <v>114</v>
      </c>
      <c r="L1918" s="8" t="s">
        <v>8604</v>
      </c>
    </row>
    <row r="1919" customFormat="false" ht="23.25" hidden="false" customHeight="true" outlineLevel="0" collapsed="false">
      <c r="A1919" s="8" t="n">
        <v>1665</v>
      </c>
      <c r="B1919" s="8" t="s">
        <v>57</v>
      </c>
      <c r="C1919" s="8" t="s">
        <v>8605</v>
      </c>
      <c r="D1919" s="8" t="s">
        <v>8140</v>
      </c>
      <c r="E1919" s="8" t="s">
        <v>8606</v>
      </c>
      <c r="F1919" s="8" t="s">
        <v>143</v>
      </c>
      <c r="G1919" s="8" t="s">
        <v>8607</v>
      </c>
      <c r="H1919" s="8" t="s">
        <v>145</v>
      </c>
      <c r="I1919" s="8" t="s">
        <v>153</v>
      </c>
      <c r="J1919" s="8" t="s">
        <v>8608</v>
      </c>
      <c r="K1919" s="8" t="s">
        <v>112</v>
      </c>
      <c r="L1919" s="8" t="s">
        <v>8609</v>
      </c>
    </row>
    <row r="1920" customFormat="false" ht="23.25" hidden="false" customHeight="true" outlineLevel="0" collapsed="false">
      <c r="A1920" s="8" t="n">
        <v>1666</v>
      </c>
      <c r="B1920" s="8" t="s">
        <v>57</v>
      </c>
      <c r="C1920" s="8" t="s">
        <v>2011</v>
      </c>
      <c r="D1920" s="8" t="s">
        <v>8140</v>
      </c>
      <c r="E1920" s="8" t="s">
        <v>8610</v>
      </c>
      <c r="F1920" s="8" t="s">
        <v>143</v>
      </c>
      <c r="G1920" s="8" t="s">
        <v>8611</v>
      </c>
      <c r="H1920" s="8" t="s">
        <v>145</v>
      </c>
      <c r="I1920" s="8" t="s">
        <v>153</v>
      </c>
      <c r="J1920" s="8" t="s">
        <v>8612</v>
      </c>
      <c r="K1920" s="8" t="s">
        <v>114</v>
      </c>
      <c r="L1920" s="8" t="s">
        <v>8613</v>
      </c>
    </row>
    <row r="1921" customFormat="false" ht="23.25" hidden="false" customHeight="true" outlineLevel="0" collapsed="false">
      <c r="A1921" s="8" t="n">
        <v>1667</v>
      </c>
      <c r="B1921" s="8" t="s">
        <v>57</v>
      </c>
      <c r="C1921" s="8" t="s">
        <v>8614</v>
      </c>
      <c r="D1921" s="8" t="s">
        <v>8134</v>
      </c>
      <c r="E1921" s="8" t="s">
        <v>8615</v>
      </c>
      <c r="F1921" s="8" t="s">
        <v>143</v>
      </c>
      <c r="G1921" s="8" t="s">
        <v>8616</v>
      </c>
      <c r="H1921" s="8" t="s">
        <v>8617</v>
      </c>
      <c r="I1921" s="8" t="s">
        <v>153</v>
      </c>
      <c r="J1921" s="8" t="s">
        <v>8618</v>
      </c>
      <c r="K1921" s="8" t="s">
        <v>114</v>
      </c>
      <c r="L1921" s="8" t="s">
        <v>8619</v>
      </c>
    </row>
    <row r="1922" customFormat="false" ht="34.5" hidden="false" customHeight="true" outlineLevel="0" collapsed="false">
      <c r="A1922" s="8" t="n">
        <v>1668</v>
      </c>
      <c r="B1922" s="8" t="s">
        <v>57</v>
      </c>
      <c r="C1922" s="8" t="s">
        <v>8620</v>
      </c>
      <c r="D1922" s="8" t="s">
        <v>8182</v>
      </c>
      <c r="E1922" s="8" t="s">
        <v>8621</v>
      </c>
      <c r="F1922" s="8" t="s">
        <v>143</v>
      </c>
      <c r="G1922" s="8" t="s">
        <v>8622</v>
      </c>
      <c r="H1922" s="8" t="s">
        <v>3464</v>
      </c>
      <c r="I1922" s="8" t="s">
        <v>153</v>
      </c>
      <c r="J1922" s="8" t="s">
        <v>8623</v>
      </c>
      <c r="K1922" s="8" t="s">
        <v>112</v>
      </c>
      <c r="L1922" s="8" t="s">
        <v>8624</v>
      </c>
    </row>
    <row r="1923" customFormat="false" ht="23.25" hidden="false" customHeight="true" outlineLevel="0" collapsed="false">
      <c r="A1923" s="8" t="n">
        <v>1669</v>
      </c>
      <c r="B1923" s="8" t="s">
        <v>57</v>
      </c>
      <c r="C1923" s="8" t="s">
        <v>8625</v>
      </c>
      <c r="D1923" s="8" t="s">
        <v>8125</v>
      </c>
      <c r="E1923" s="8" t="s">
        <v>8626</v>
      </c>
      <c r="F1923" s="8" t="s">
        <v>143</v>
      </c>
      <c r="G1923" s="8" t="s">
        <v>8627</v>
      </c>
      <c r="H1923" s="8" t="s">
        <v>721</v>
      </c>
      <c r="I1923" s="8" t="s">
        <v>153</v>
      </c>
      <c r="J1923" s="8" t="s">
        <v>8628</v>
      </c>
      <c r="K1923" s="8" t="s">
        <v>114</v>
      </c>
      <c r="L1923" s="8" t="s">
        <v>8629</v>
      </c>
    </row>
    <row r="1924" customFormat="false" ht="23.25" hidden="false" customHeight="true" outlineLevel="0" collapsed="false">
      <c r="A1924" s="8" t="n">
        <v>1670</v>
      </c>
      <c r="B1924" s="8" t="s">
        <v>57</v>
      </c>
      <c r="C1924" s="8" t="s">
        <v>8630</v>
      </c>
      <c r="D1924" s="8" t="s">
        <v>8125</v>
      </c>
      <c r="E1924" s="8" t="s">
        <v>8631</v>
      </c>
      <c r="F1924" s="8" t="s">
        <v>143</v>
      </c>
      <c r="G1924" s="8" t="s">
        <v>8632</v>
      </c>
      <c r="H1924" s="8" t="s">
        <v>145</v>
      </c>
      <c r="I1924" s="8" t="s">
        <v>153</v>
      </c>
      <c r="J1924" s="8" t="s">
        <v>8633</v>
      </c>
      <c r="K1924" s="8" t="s">
        <v>114</v>
      </c>
      <c r="L1924" s="8" t="s">
        <v>8634</v>
      </c>
    </row>
    <row r="1925" customFormat="false" ht="23.25" hidden="false" customHeight="true" outlineLevel="0" collapsed="false">
      <c r="A1925" s="8" t="n">
        <v>1671</v>
      </c>
      <c r="B1925" s="8" t="s">
        <v>57</v>
      </c>
      <c r="C1925" s="8" t="s">
        <v>8635</v>
      </c>
      <c r="D1925" s="8" t="s">
        <v>8125</v>
      </c>
      <c r="E1925" s="8" t="s">
        <v>8636</v>
      </c>
      <c r="F1925" s="8" t="s">
        <v>143</v>
      </c>
      <c r="G1925" s="8" t="s">
        <v>8637</v>
      </c>
      <c r="H1925" s="8" t="s">
        <v>1319</v>
      </c>
      <c r="I1925" s="8" t="s">
        <v>153</v>
      </c>
      <c r="J1925" s="8" t="s">
        <v>8638</v>
      </c>
      <c r="K1925" s="8" t="s">
        <v>114</v>
      </c>
      <c r="L1925" s="8" t="s">
        <v>8639</v>
      </c>
    </row>
    <row r="1926" customFormat="false" ht="34.5" hidden="false" customHeight="true" outlineLevel="0" collapsed="false">
      <c r="A1926" s="8" t="n">
        <v>1672</v>
      </c>
      <c r="B1926" s="8" t="s">
        <v>57</v>
      </c>
      <c r="C1926" s="8" t="s">
        <v>8640</v>
      </c>
      <c r="D1926" s="8" t="s">
        <v>8182</v>
      </c>
      <c r="E1926" s="8" t="s">
        <v>8641</v>
      </c>
      <c r="F1926" s="8" t="s">
        <v>143</v>
      </c>
      <c r="G1926" s="8" t="s">
        <v>8642</v>
      </c>
      <c r="H1926" s="8" t="s">
        <v>423</v>
      </c>
      <c r="I1926" s="8" t="s">
        <v>153</v>
      </c>
      <c r="J1926" s="8" t="s">
        <v>8643</v>
      </c>
      <c r="K1926" s="8" t="s">
        <v>114</v>
      </c>
      <c r="L1926" s="8" t="s">
        <v>8644</v>
      </c>
    </row>
    <row r="1927" customFormat="false" ht="23.25" hidden="false" customHeight="true" outlineLevel="0" collapsed="false">
      <c r="A1927" s="8" t="n">
        <v>1673</v>
      </c>
      <c r="B1927" s="8" t="s">
        <v>57</v>
      </c>
      <c r="C1927" s="8" t="s">
        <v>8635</v>
      </c>
      <c r="D1927" s="8" t="s">
        <v>8134</v>
      </c>
      <c r="E1927" s="8" t="s">
        <v>8645</v>
      </c>
      <c r="F1927" s="8" t="s">
        <v>143</v>
      </c>
      <c r="G1927" s="8" t="s">
        <v>8646</v>
      </c>
      <c r="H1927" s="8" t="s">
        <v>145</v>
      </c>
      <c r="I1927" s="8" t="s">
        <v>153</v>
      </c>
      <c r="J1927" s="8" t="s">
        <v>8647</v>
      </c>
      <c r="K1927" s="8" t="s">
        <v>114</v>
      </c>
      <c r="L1927" s="8" t="s">
        <v>8648</v>
      </c>
    </row>
    <row r="1928" customFormat="false" ht="23.25" hidden="false" customHeight="true" outlineLevel="0" collapsed="false">
      <c r="A1928" s="8" t="n">
        <v>1674</v>
      </c>
      <c r="B1928" s="8" t="s">
        <v>57</v>
      </c>
      <c r="C1928" s="8" t="s">
        <v>2693</v>
      </c>
      <c r="D1928" s="8" t="s">
        <v>8134</v>
      </c>
      <c r="E1928" s="8" t="s">
        <v>8649</v>
      </c>
      <c r="F1928" s="8" t="s">
        <v>143</v>
      </c>
      <c r="G1928" s="8" t="s">
        <v>8650</v>
      </c>
      <c r="H1928" s="8" t="s">
        <v>145</v>
      </c>
      <c r="I1928" s="8" t="s">
        <v>153</v>
      </c>
      <c r="J1928" s="8" t="s">
        <v>8651</v>
      </c>
      <c r="K1928" s="8" t="s">
        <v>112</v>
      </c>
      <c r="L1928" s="8" t="s">
        <v>8652</v>
      </c>
    </row>
    <row r="1929" customFormat="false" ht="34.5" hidden="false" customHeight="true" outlineLevel="0" collapsed="false">
      <c r="A1929" s="8" t="n">
        <v>1675</v>
      </c>
      <c r="B1929" s="8" t="s">
        <v>57</v>
      </c>
      <c r="C1929" s="8" t="s">
        <v>2693</v>
      </c>
      <c r="D1929" s="8" t="s">
        <v>8140</v>
      </c>
      <c r="E1929" s="8" t="s">
        <v>8653</v>
      </c>
      <c r="F1929" s="8" t="s">
        <v>143</v>
      </c>
      <c r="G1929" s="8" t="s">
        <v>8650</v>
      </c>
      <c r="H1929" s="8" t="s">
        <v>145</v>
      </c>
      <c r="I1929" s="8" t="s">
        <v>153</v>
      </c>
      <c r="J1929" s="8" t="s">
        <v>8654</v>
      </c>
      <c r="K1929" s="8" t="s">
        <v>112</v>
      </c>
      <c r="L1929" s="8" t="s">
        <v>8655</v>
      </c>
    </row>
    <row r="1930" customFormat="false" ht="34.5" hidden="false" customHeight="true" outlineLevel="0" collapsed="false">
      <c r="A1930" s="8" t="n">
        <v>1676</v>
      </c>
      <c r="B1930" s="8" t="s">
        <v>57</v>
      </c>
      <c r="C1930" s="8" t="s">
        <v>8656</v>
      </c>
      <c r="D1930" s="8" t="s">
        <v>8172</v>
      </c>
      <c r="E1930" s="8" t="s">
        <v>8657</v>
      </c>
      <c r="F1930" s="8" t="s">
        <v>201</v>
      </c>
      <c r="G1930" s="8" t="s">
        <v>152</v>
      </c>
      <c r="H1930" s="8" t="s">
        <v>145</v>
      </c>
      <c r="I1930" s="8" t="s">
        <v>153</v>
      </c>
      <c r="J1930" s="8" t="s">
        <v>8175</v>
      </c>
      <c r="K1930" s="8" t="s">
        <v>112</v>
      </c>
      <c r="L1930" s="8" t="s">
        <v>8658</v>
      </c>
    </row>
    <row r="1931" customFormat="false" ht="34.5" hidden="false" customHeight="true" outlineLevel="0" collapsed="false">
      <c r="A1931" s="8" t="n">
        <v>1677</v>
      </c>
      <c r="B1931" s="8" t="s">
        <v>59</v>
      </c>
      <c r="C1931" s="8" t="s">
        <v>8659</v>
      </c>
      <c r="D1931" s="8" t="n">
        <v>2019</v>
      </c>
      <c r="E1931" s="8" t="s">
        <v>8660</v>
      </c>
      <c r="F1931" s="8" t="s">
        <v>143</v>
      </c>
      <c r="G1931" s="8" t="s">
        <v>4394</v>
      </c>
      <c r="H1931" s="8" t="s">
        <v>145</v>
      </c>
      <c r="I1931" s="8" t="s">
        <v>146</v>
      </c>
      <c r="J1931" s="8" t="s">
        <v>491</v>
      </c>
      <c r="K1931" s="8" t="s">
        <v>116</v>
      </c>
      <c r="L1931" s="8" t="s">
        <v>8661</v>
      </c>
    </row>
    <row r="1932" customFormat="false" ht="23.25" hidden="false" customHeight="true" outlineLevel="0" collapsed="false">
      <c r="A1932" s="8" t="n">
        <v>1678</v>
      </c>
      <c r="B1932" s="8" t="s">
        <v>59</v>
      </c>
      <c r="C1932" s="8" t="s">
        <v>8662</v>
      </c>
      <c r="D1932" s="8" t="n">
        <v>2021</v>
      </c>
      <c r="E1932" s="8" t="s">
        <v>8663</v>
      </c>
      <c r="F1932" s="8" t="s">
        <v>143</v>
      </c>
      <c r="G1932" s="8" t="s">
        <v>8664</v>
      </c>
      <c r="H1932" s="8" t="s">
        <v>8665</v>
      </c>
      <c r="I1932" s="8" t="s">
        <v>146</v>
      </c>
      <c r="J1932" s="8" t="s">
        <v>8666</v>
      </c>
      <c r="K1932" s="8" t="s">
        <v>114</v>
      </c>
      <c r="L1932" s="8" t="s">
        <v>8667</v>
      </c>
    </row>
    <row r="1933" customFormat="false" ht="34.5" hidden="false" customHeight="true" outlineLevel="0" collapsed="false">
      <c r="A1933" s="8" t="n">
        <v>1679</v>
      </c>
      <c r="B1933" s="8" t="s">
        <v>59</v>
      </c>
      <c r="C1933" s="8" t="s">
        <v>8668</v>
      </c>
      <c r="D1933" s="8" t="n">
        <v>2021</v>
      </c>
      <c r="E1933" s="8" t="s">
        <v>8669</v>
      </c>
      <c r="F1933" s="8" t="s">
        <v>201</v>
      </c>
      <c r="G1933" s="8" t="s">
        <v>8670</v>
      </c>
      <c r="H1933" s="8" t="s">
        <v>3749</v>
      </c>
      <c r="I1933" s="8" t="s">
        <v>146</v>
      </c>
      <c r="J1933" s="8" t="s">
        <v>8671</v>
      </c>
      <c r="K1933" s="8" t="s">
        <v>116</v>
      </c>
      <c r="L1933" s="8" t="s">
        <v>8672</v>
      </c>
    </row>
    <row r="1934" customFormat="false" ht="34.5" hidden="false" customHeight="true" outlineLevel="0" collapsed="false">
      <c r="A1934" s="8" t="n">
        <v>1680</v>
      </c>
      <c r="B1934" s="8" t="s">
        <v>59</v>
      </c>
      <c r="C1934" s="8" t="s">
        <v>8673</v>
      </c>
      <c r="D1934" s="8" t="n">
        <v>2019</v>
      </c>
      <c r="E1934" s="8" t="s">
        <v>8674</v>
      </c>
      <c r="F1934" s="8" t="s">
        <v>579</v>
      </c>
      <c r="G1934" s="8" t="s">
        <v>8675</v>
      </c>
      <c r="H1934" s="8" t="s">
        <v>8676</v>
      </c>
      <c r="I1934" s="8" t="s">
        <v>146</v>
      </c>
      <c r="J1934" s="8" t="s">
        <v>8677</v>
      </c>
      <c r="K1934" s="8" t="s">
        <v>114</v>
      </c>
      <c r="L1934" s="8" t="s">
        <v>8678</v>
      </c>
    </row>
    <row r="1935" customFormat="false" ht="34.5" hidden="false" customHeight="true" outlineLevel="0" collapsed="false">
      <c r="A1935" s="8" t="n">
        <v>1681</v>
      </c>
      <c r="B1935" s="8" t="s">
        <v>59</v>
      </c>
      <c r="C1935" s="8" t="s">
        <v>8679</v>
      </c>
      <c r="D1935" s="8" t="n">
        <v>2021</v>
      </c>
      <c r="E1935" s="8" t="s">
        <v>8680</v>
      </c>
      <c r="F1935" s="8" t="s">
        <v>143</v>
      </c>
      <c r="G1935" s="8" t="s">
        <v>8681</v>
      </c>
      <c r="H1935" s="8" t="s">
        <v>145</v>
      </c>
      <c r="I1935" s="8" t="s">
        <v>146</v>
      </c>
      <c r="J1935" s="8" t="s">
        <v>8682</v>
      </c>
      <c r="K1935" s="8" t="s">
        <v>110</v>
      </c>
      <c r="L1935" s="8" t="s">
        <v>8683</v>
      </c>
    </row>
    <row r="1936" customFormat="false" ht="34.5" hidden="false" customHeight="true" outlineLevel="0" collapsed="false">
      <c r="A1936" s="8" t="n">
        <v>1682</v>
      </c>
      <c r="B1936" s="8" t="s">
        <v>59</v>
      </c>
      <c r="C1936" s="8" t="s">
        <v>1558</v>
      </c>
      <c r="D1936" s="8" t="n">
        <v>2019</v>
      </c>
      <c r="E1936" s="8" t="s">
        <v>8684</v>
      </c>
      <c r="F1936" s="8" t="s">
        <v>579</v>
      </c>
      <c r="G1936" s="8" t="s">
        <v>832</v>
      </c>
      <c r="H1936" s="8" t="s">
        <v>8685</v>
      </c>
      <c r="I1936" s="8" t="s">
        <v>146</v>
      </c>
      <c r="J1936" s="8" t="s">
        <v>8686</v>
      </c>
      <c r="K1936" s="8" t="s">
        <v>116</v>
      </c>
      <c r="L1936" s="8" t="s">
        <v>8687</v>
      </c>
    </row>
    <row r="1937" customFormat="false" ht="34.5" hidden="false" customHeight="true" outlineLevel="0" collapsed="false">
      <c r="A1937" s="8" t="n">
        <v>1683</v>
      </c>
      <c r="B1937" s="8" t="s">
        <v>59</v>
      </c>
      <c r="C1937" s="8" t="s">
        <v>8688</v>
      </c>
      <c r="D1937" s="8" t="n">
        <v>2016</v>
      </c>
      <c r="E1937" s="8" t="s">
        <v>8689</v>
      </c>
      <c r="F1937" s="8" t="s">
        <v>151</v>
      </c>
      <c r="G1937" s="8" t="s">
        <v>8690</v>
      </c>
      <c r="H1937" s="8" t="s">
        <v>684</v>
      </c>
      <c r="I1937" s="8" t="s">
        <v>146</v>
      </c>
      <c r="J1937" s="8" t="s">
        <v>8691</v>
      </c>
      <c r="K1937" s="8" t="s">
        <v>116</v>
      </c>
      <c r="L1937" s="8" t="s">
        <v>8692</v>
      </c>
    </row>
    <row r="1938" customFormat="false" ht="23.25" hidden="false" customHeight="true" outlineLevel="0" collapsed="false">
      <c r="A1938" s="8" t="n">
        <v>1684</v>
      </c>
      <c r="B1938" s="8" t="s">
        <v>59</v>
      </c>
      <c r="C1938" s="8" t="s">
        <v>8693</v>
      </c>
      <c r="D1938" s="8" t="n">
        <v>2019</v>
      </c>
      <c r="E1938" s="8" t="s">
        <v>8694</v>
      </c>
      <c r="F1938" s="8" t="s">
        <v>201</v>
      </c>
      <c r="G1938" s="8" t="s">
        <v>3863</v>
      </c>
      <c r="H1938" s="8" t="s">
        <v>8695</v>
      </c>
      <c r="I1938" s="8" t="s">
        <v>146</v>
      </c>
      <c r="J1938" s="8" t="s">
        <v>8696</v>
      </c>
      <c r="K1938" s="8" t="s">
        <v>116</v>
      </c>
      <c r="L1938" s="8" t="s">
        <v>8697</v>
      </c>
    </row>
    <row r="1939" customFormat="false" ht="23.25" hidden="false" customHeight="true" outlineLevel="0" collapsed="false">
      <c r="A1939" s="8" t="n">
        <v>1685</v>
      </c>
      <c r="B1939" s="8" t="s">
        <v>59</v>
      </c>
      <c r="C1939" s="8" t="s">
        <v>8698</v>
      </c>
      <c r="D1939" s="8" t="n">
        <v>2007</v>
      </c>
      <c r="E1939" s="8" t="s">
        <v>8699</v>
      </c>
      <c r="F1939" s="8" t="s">
        <v>143</v>
      </c>
      <c r="G1939" s="8" t="s">
        <v>8700</v>
      </c>
      <c r="H1939" s="8" t="s">
        <v>684</v>
      </c>
      <c r="I1939" s="8" t="s">
        <v>146</v>
      </c>
      <c r="J1939" s="8" t="s">
        <v>8701</v>
      </c>
      <c r="K1939" s="8"/>
      <c r="L1939" s="8" t="s">
        <v>8702</v>
      </c>
    </row>
    <row r="1940" customFormat="false" ht="34.5" hidden="false" customHeight="true" outlineLevel="0" collapsed="false">
      <c r="A1940" s="8" t="n">
        <v>1686</v>
      </c>
      <c r="B1940" s="8" t="s">
        <v>59</v>
      </c>
      <c r="C1940" s="8" t="s">
        <v>8703</v>
      </c>
      <c r="D1940" s="8" t="n">
        <v>2018</v>
      </c>
      <c r="E1940" s="8" t="s">
        <v>8704</v>
      </c>
      <c r="F1940" s="8" t="s">
        <v>151</v>
      </c>
      <c r="G1940" s="8" t="s">
        <v>152</v>
      </c>
      <c r="H1940" s="8" t="s">
        <v>145</v>
      </c>
      <c r="I1940" s="8" t="s">
        <v>146</v>
      </c>
      <c r="J1940" s="8" t="s">
        <v>8705</v>
      </c>
      <c r="K1940" s="8"/>
      <c r="L1940" s="8" t="s">
        <v>8706</v>
      </c>
    </row>
    <row r="1941" customFormat="false" ht="34.5" hidden="false" customHeight="true" outlineLevel="0" collapsed="false">
      <c r="A1941" s="8" t="n">
        <v>1687</v>
      </c>
      <c r="B1941" s="8" t="s">
        <v>59</v>
      </c>
      <c r="C1941" s="8" t="s">
        <v>8707</v>
      </c>
      <c r="D1941" s="8" t="n">
        <v>2008</v>
      </c>
      <c r="E1941" s="8" t="s">
        <v>8708</v>
      </c>
      <c r="F1941" s="8" t="s">
        <v>143</v>
      </c>
      <c r="G1941" s="8" t="s">
        <v>8709</v>
      </c>
      <c r="H1941" s="8" t="s">
        <v>145</v>
      </c>
      <c r="I1941" s="8" t="s">
        <v>146</v>
      </c>
      <c r="J1941" s="8" t="s">
        <v>8710</v>
      </c>
      <c r="K1941" s="8"/>
      <c r="L1941" s="8" t="s">
        <v>8711</v>
      </c>
    </row>
    <row r="1942" customFormat="false" ht="34.5" hidden="false" customHeight="true" outlineLevel="0" collapsed="false">
      <c r="A1942" s="8" t="n">
        <v>1688</v>
      </c>
      <c r="B1942" s="8" t="s">
        <v>59</v>
      </c>
      <c r="C1942" s="8" t="s">
        <v>8712</v>
      </c>
      <c r="D1942" s="8" t="n">
        <v>2019</v>
      </c>
      <c r="E1942" s="8" t="s">
        <v>8713</v>
      </c>
      <c r="F1942" s="8" t="s">
        <v>201</v>
      </c>
      <c r="G1942" s="8" t="s">
        <v>364</v>
      </c>
      <c r="H1942" s="8" t="s">
        <v>145</v>
      </c>
      <c r="I1942" s="8" t="s">
        <v>153</v>
      </c>
      <c r="J1942" s="8" t="s">
        <v>8714</v>
      </c>
      <c r="K1942" s="8" t="s">
        <v>114</v>
      </c>
      <c r="L1942" s="8" t="s">
        <v>8715</v>
      </c>
    </row>
    <row r="1943" customFormat="false" ht="34.5" hidden="false" customHeight="true" outlineLevel="0" collapsed="false">
      <c r="A1943" s="9" t="n">
        <v>1689</v>
      </c>
      <c r="B1943" s="10" t="s">
        <v>59</v>
      </c>
      <c r="C1943" s="10" t="s">
        <v>8716</v>
      </c>
      <c r="D1943" s="10" t="n">
        <v>2019</v>
      </c>
      <c r="E1943" s="10" t="s">
        <v>8717</v>
      </c>
      <c r="F1943" s="10" t="s">
        <v>143</v>
      </c>
      <c r="G1943" s="10" t="s">
        <v>7630</v>
      </c>
      <c r="H1943" s="10" t="s">
        <v>145</v>
      </c>
      <c r="I1943" s="10" t="s">
        <v>153</v>
      </c>
      <c r="J1943" s="10" t="s">
        <v>4545</v>
      </c>
      <c r="K1943" s="10"/>
      <c r="L1943" s="10" t="s">
        <v>8718</v>
      </c>
    </row>
    <row r="1944" customFormat="false" ht="23.25" hidden="false" customHeight="true" outlineLevel="0" collapsed="false">
      <c r="A1944" s="11" t="n">
        <v>1689</v>
      </c>
      <c r="B1944" s="12" t="s">
        <v>89</v>
      </c>
      <c r="C1944" s="12" t="s">
        <v>8719</v>
      </c>
      <c r="D1944" s="12" t="n">
        <v>2019</v>
      </c>
      <c r="E1944" s="12" t="s">
        <v>8717</v>
      </c>
      <c r="F1944" s="12" t="s">
        <v>8720</v>
      </c>
      <c r="G1944" s="12" t="s">
        <v>8721</v>
      </c>
      <c r="H1944" s="12" t="s">
        <v>145</v>
      </c>
      <c r="I1944" s="12" t="s">
        <v>153</v>
      </c>
      <c r="J1944" s="12" t="s">
        <v>8722</v>
      </c>
      <c r="K1944" s="12"/>
      <c r="L1944" s="12" t="s">
        <v>8723</v>
      </c>
    </row>
    <row r="1945" customFormat="false" ht="23.25" hidden="false" customHeight="true" outlineLevel="0" collapsed="false">
      <c r="A1945" s="8" t="n">
        <v>1690</v>
      </c>
      <c r="B1945" s="8" t="s">
        <v>59</v>
      </c>
      <c r="C1945" s="8" t="s">
        <v>8724</v>
      </c>
      <c r="D1945" s="8" t="n">
        <v>2011</v>
      </c>
      <c r="E1945" s="8" t="s">
        <v>8725</v>
      </c>
      <c r="F1945" s="8" t="s">
        <v>151</v>
      </c>
      <c r="G1945" s="8" t="s">
        <v>152</v>
      </c>
      <c r="H1945" s="8" t="s">
        <v>3749</v>
      </c>
      <c r="I1945" s="8" t="s">
        <v>146</v>
      </c>
      <c r="J1945" s="8" t="s">
        <v>8726</v>
      </c>
      <c r="K1945" s="8"/>
      <c r="L1945" s="8" t="s">
        <v>8727</v>
      </c>
    </row>
    <row r="1946" customFormat="false" ht="34.5" hidden="false" customHeight="true" outlineLevel="0" collapsed="false">
      <c r="A1946" s="8" t="n">
        <v>1691</v>
      </c>
      <c r="B1946" s="8" t="s">
        <v>59</v>
      </c>
      <c r="C1946" s="8" t="s">
        <v>8728</v>
      </c>
      <c r="D1946" s="8" t="n">
        <v>2001</v>
      </c>
      <c r="E1946" s="8" t="s">
        <v>8729</v>
      </c>
      <c r="F1946" s="8" t="s">
        <v>579</v>
      </c>
      <c r="G1946" s="8" t="s">
        <v>348</v>
      </c>
      <c r="H1946" s="8" t="s">
        <v>145</v>
      </c>
      <c r="I1946" s="8" t="s">
        <v>146</v>
      </c>
      <c r="J1946" s="8" t="s">
        <v>8730</v>
      </c>
      <c r="K1946" s="8"/>
      <c r="L1946" s="8" t="s">
        <v>8731</v>
      </c>
    </row>
    <row r="1947" customFormat="false" ht="34.5" hidden="false" customHeight="true" outlineLevel="0" collapsed="false">
      <c r="A1947" s="8" t="n">
        <v>1692</v>
      </c>
      <c r="B1947" s="8" t="s">
        <v>59</v>
      </c>
      <c r="C1947" s="8" t="s">
        <v>8732</v>
      </c>
      <c r="D1947" s="8" t="n">
        <v>2015</v>
      </c>
      <c r="E1947" s="8" t="s">
        <v>8733</v>
      </c>
      <c r="F1947" s="8" t="s">
        <v>151</v>
      </c>
      <c r="G1947" s="8" t="s">
        <v>348</v>
      </c>
      <c r="H1947" s="8" t="s">
        <v>145</v>
      </c>
      <c r="I1947" s="8" t="s">
        <v>153</v>
      </c>
      <c r="J1947" s="8" t="s">
        <v>8734</v>
      </c>
      <c r="K1947" s="8"/>
      <c r="L1947" s="8" t="s">
        <v>8735</v>
      </c>
    </row>
    <row r="1948" customFormat="false" ht="34.5" hidden="false" customHeight="true" outlineLevel="0" collapsed="false">
      <c r="A1948" s="8" t="n">
        <v>1693</v>
      </c>
      <c r="B1948" s="8" t="s">
        <v>59</v>
      </c>
      <c r="C1948" s="8" t="s">
        <v>8736</v>
      </c>
      <c r="D1948" s="8" t="n">
        <v>1982</v>
      </c>
      <c r="E1948" s="8" t="s">
        <v>8737</v>
      </c>
      <c r="F1948" s="8" t="s">
        <v>151</v>
      </c>
      <c r="G1948" s="8" t="s">
        <v>8738</v>
      </c>
      <c r="H1948" s="8" t="s">
        <v>8739</v>
      </c>
      <c r="I1948" s="8" t="s">
        <v>748</v>
      </c>
      <c r="J1948" s="8" t="s">
        <v>8740</v>
      </c>
      <c r="K1948" s="8"/>
      <c r="L1948" s="8" t="s">
        <v>8741</v>
      </c>
    </row>
    <row r="1949" customFormat="false" ht="34.5" hidden="false" customHeight="true" outlineLevel="0" collapsed="false">
      <c r="A1949" s="8" t="n">
        <v>1694</v>
      </c>
      <c r="B1949" s="8" t="s">
        <v>59</v>
      </c>
      <c r="C1949" s="8" t="s">
        <v>6729</v>
      </c>
      <c r="D1949" s="8" t="n">
        <v>2020</v>
      </c>
      <c r="E1949" s="8" t="s">
        <v>8742</v>
      </c>
      <c r="F1949" s="8" t="s">
        <v>151</v>
      </c>
      <c r="G1949" s="8" t="s">
        <v>1568</v>
      </c>
      <c r="H1949" s="8" t="s">
        <v>8743</v>
      </c>
      <c r="I1949" s="8" t="s">
        <v>146</v>
      </c>
      <c r="J1949" s="8" t="s">
        <v>8744</v>
      </c>
      <c r="K1949" s="8"/>
      <c r="L1949" s="8" t="s">
        <v>8745</v>
      </c>
    </row>
    <row r="1950" customFormat="false" ht="34.5" hidden="false" customHeight="true" outlineLevel="0" collapsed="false">
      <c r="A1950" s="8" t="n">
        <v>1695</v>
      </c>
      <c r="B1950" s="8" t="s">
        <v>59</v>
      </c>
      <c r="C1950" s="8" t="s">
        <v>8554</v>
      </c>
      <c r="D1950" s="8" t="n">
        <v>2019</v>
      </c>
      <c r="E1950" s="8" t="s">
        <v>8746</v>
      </c>
      <c r="F1950" s="8" t="s">
        <v>151</v>
      </c>
      <c r="G1950" s="8" t="s">
        <v>832</v>
      </c>
      <c r="H1950" s="8" t="s">
        <v>3749</v>
      </c>
      <c r="I1950" s="8" t="s">
        <v>146</v>
      </c>
      <c r="J1950" s="8" t="s">
        <v>8747</v>
      </c>
      <c r="K1950" s="8" t="s">
        <v>116</v>
      </c>
      <c r="L1950" s="8" t="s">
        <v>8748</v>
      </c>
    </row>
    <row r="1951" customFormat="false" ht="23.25" hidden="false" customHeight="true" outlineLevel="0" collapsed="false">
      <c r="A1951" s="8" t="n">
        <v>1696</v>
      </c>
      <c r="B1951" s="8" t="s">
        <v>59</v>
      </c>
      <c r="C1951" s="8" t="s">
        <v>8749</v>
      </c>
      <c r="D1951" s="8" t="n">
        <v>2016</v>
      </c>
      <c r="E1951" s="8" t="s">
        <v>8750</v>
      </c>
      <c r="F1951" s="8" t="s">
        <v>151</v>
      </c>
      <c r="G1951" s="8" t="s">
        <v>8751</v>
      </c>
      <c r="H1951" s="8" t="s">
        <v>8752</v>
      </c>
      <c r="I1951" s="8" t="s">
        <v>748</v>
      </c>
      <c r="J1951" s="8" t="s">
        <v>8753</v>
      </c>
      <c r="K1951" s="8" t="s">
        <v>116</v>
      </c>
      <c r="L1951" s="8" t="s">
        <v>8754</v>
      </c>
    </row>
    <row r="1952" customFormat="false" ht="34.5" hidden="false" customHeight="true" outlineLevel="0" collapsed="false">
      <c r="A1952" s="8" t="n">
        <v>1697</v>
      </c>
      <c r="B1952" s="8" t="s">
        <v>59</v>
      </c>
      <c r="C1952" s="8" t="s">
        <v>8755</v>
      </c>
      <c r="D1952" s="8" t="n">
        <v>2010</v>
      </c>
      <c r="E1952" s="8" t="s">
        <v>8756</v>
      </c>
      <c r="F1952" s="8" t="s">
        <v>143</v>
      </c>
      <c r="G1952" s="8" t="s">
        <v>8757</v>
      </c>
      <c r="H1952" s="8" t="s">
        <v>145</v>
      </c>
      <c r="I1952" s="8" t="s">
        <v>146</v>
      </c>
      <c r="J1952" s="8" t="s">
        <v>8758</v>
      </c>
      <c r="K1952" s="8"/>
      <c r="L1952" s="8" t="s">
        <v>8759</v>
      </c>
    </row>
    <row r="1953" customFormat="false" ht="34.5" hidden="false" customHeight="true" outlineLevel="0" collapsed="false">
      <c r="A1953" s="8" t="n">
        <v>1698</v>
      </c>
      <c r="B1953" s="8" t="s">
        <v>59</v>
      </c>
      <c r="C1953" s="8" t="s">
        <v>898</v>
      </c>
      <c r="D1953" s="8" t="n">
        <v>2007</v>
      </c>
      <c r="E1953" s="8" t="s">
        <v>8760</v>
      </c>
      <c r="F1953" s="8" t="s">
        <v>151</v>
      </c>
      <c r="G1953" s="8" t="s">
        <v>8761</v>
      </c>
      <c r="H1953" s="8" t="s">
        <v>8762</v>
      </c>
      <c r="I1953" s="8" t="s">
        <v>146</v>
      </c>
      <c r="J1953" s="8" t="s">
        <v>8763</v>
      </c>
      <c r="K1953" s="8"/>
      <c r="L1953" s="8" t="s">
        <v>8764</v>
      </c>
    </row>
    <row r="1954" customFormat="false" ht="34.5" hidden="false" customHeight="true" outlineLevel="0" collapsed="false">
      <c r="A1954" s="8" t="n">
        <v>1699</v>
      </c>
      <c r="B1954" s="8" t="s">
        <v>59</v>
      </c>
      <c r="C1954" s="8" t="s">
        <v>8765</v>
      </c>
      <c r="D1954" s="8" t="n">
        <v>1992</v>
      </c>
      <c r="E1954" s="8" t="s">
        <v>8766</v>
      </c>
      <c r="F1954" s="8" t="s">
        <v>151</v>
      </c>
      <c r="G1954" s="8" t="s">
        <v>8767</v>
      </c>
      <c r="H1954" s="8" t="s">
        <v>8768</v>
      </c>
      <c r="I1954" s="8" t="s">
        <v>146</v>
      </c>
      <c r="J1954" s="8" t="s">
        <v>8769</v>
      </c>
      <c r="K1954" s="8"/>
      <c r="L1954" s="8" t="s">
        <v>8770</v>
      </c>
    </row>
    <row r="1955" customFormat="false" ht="34.5" hidden="false" customHeight="true" outlineLevel="0" collapsed="false">
      <c r="A1955" s="8" t="n">
        <v>1700</v>
      </c>
      <c r="B1955" s="8" t="s">
        <v>59</v>
      </c>
      <c r="C1955" s="8" t="s">
        <v>8771</v>
      </c>
      <c r="D1955" s="8" t="n">
        <v>2016</v>
      </c>
      <c r="E1955" s="8" t="s">
        <v>8772</v>
      </c>
      <c r="F1955" s="8" t="s">
        <v>143</v>
      </c>
      <c r="G1955" s="8" t="s">
        <v>7296</v>
      </c>
      <c r="H1955" s="8" t="s">
        <v>3749</v>
      </c>
      <c r="I1955" s="8" t="s">
        <v>146</v>
      </c>
      <c r="J1955" s="8" t="s">
        <v>8773</v>
      </c>
      <c r="K1955" s="8" t="s">
        <v>116</v>
      </c>
      <c r="L1955" s="8" t="s">
        <v>8774</v>
      </c>
    </row>
    <row r="1956" customFormat="false" ht="45.75" hidden="false" customHeight="true" outlineLevel="0" collapsed="false">
      <c r="A1956" s="8" t="n">
        <v>1701</v>
      </c>
      <c r="B1956" s="8" t="s">
        <v>59</v>
      </c>
      <c r="C1956" s="8" t="s">
        <v>8775</v>
      </c>
      <c r="D1956" s="8" t="n">
        <v>2010</v>
      </c>
      <c r="E1956" s="8" t="s">
        <v>8776</v>
      </c>
      <c r="F1956" s="8" t="s">
        <v>151</v>
      </c>
      <c r="G1956" s="8" t="s">
        <v>8777</v>
      </c>
      <c r="H1956" s="8" t="s">
        <v>8778</v>
      </c>
      <c r="I1956" s="8" t="s">
        <v>146</v>
      </c>
      <c r="J1956" s="8" t="s">
        <v>8779</v>
      </c>
      <c r="K1956" s="8" t="s">
        <v>112</v>
      </c>
      <c r="L1956" s="8" t="s">
        <v>8780</v>
      </c>
    </row>
    <row r="1957" customFormat="false" ht="34.5" hidden="false" customHeight="true" outlineLevel="0" collapsed="false">
      <c r="A1957" s="8" t="n">
        <v>1702</v>
      </c>
      <c r="B1957" s="8" t="s">
        <v>59</v>
      </c>
      <c r="C1957" s="8" t="s">
        <v>8781</v>
      </c>
      <c r="D1957" s="8" t="n">
        <v>2015</v>
      </c>
      <c r="E1957" s="8" t="s">
        <v>8782</v>
      </c>
      <c r="F1957" s="8" t="s">
        <v>201</v>
      </c>
      <c r="G1957" s="8" t="s">
        <v>8783</v>
      </c>
      <c r="H1957" s="8" t="s">
        <v>684</v>
      </c>
      <c r="I1957" s="8" t="s">
        <v>146</v>
      </c>
      <c r="J1957" s="8" t="s">
        <v>8784</v>
      </c>
      <c r="K1957" s="8" t="s">
        <v>116</v>
      </c>
      <c r="L1957" s="8" t="s">
        <v>8785</v>
      </c>
    </row>
    <row r="1958" customFormat="false" ht="23.25" hidden="false" customHeight="true" outlineLevel="0" collapsed="false">
      <c r="A1958" s="8" t="n">
        <v>1703</v>
      </c>
      <c r="B1958" s="8" t="s">
        <v>59</v>
      </c>
      <c r="C1958" s="8" t="s">
        <v>8786</v>
      </c>
      <c r="D1958" s="8" t="n">
        <v>2008</v>
      </c>
      <c r="E1958" s="8" t="s">
        <v>8787</v>
      </c>
      <c r="F1958" s="8" t="s">
        <v>143</v>
      </c>
      <c r="G1958" s="8" t="s">
        <v>8788</v>
      </c>
      <c r="H1958" s="8" t="s">
        <v>2886</v>
      </c>
      <c r="I1958" s="8" t="s">
        <v>146</v>
      </c>
      <c r="J1958" s="8" t="s">
        <v>8789</v>
      </c>
      <c r="K1958" s="8" t="s">
        <v>112</v>
      </c>
      <c r="L1958" s="8" t="s">
        <v>8790</v>
      </c>
    </row>
    <row r="1959" customFormat="false" ht="34.5" hidden="false" customHeight="true" outlineLevel="0" collapsed="false">
      <c r="A1959" s="8" t="n">
        <v>1704</v>
      </c>
      <c r="B1959" s="8" t="s">
        <v>59</v>
      </c>
      <c r="C1959" s="8" t="s">
        <v>8791</v>
      </c>
      <c r="D1959" s="8" t="n">
        <v>2020</v>
      </c>
      <c r="E1959" s="8" t="s">
        <v>8792</v>
      </c>
      <c r="F1959" s="8" t="s">
        <v>151</v>
      </c>
      <c r="G1959" s="8" t="s">
        <v>8335</v>
      </c>
      <c r="H1959" s="8" t="s">
        <v>8793</v>
      </c>
      <c r="I1959" s="8" t="s">
        <v>146</v>
      </c>
      <c r="J1959" s="8" t="s">
        <v>6365</v>
      </c>
      <c r="K1959" s="8" t="s">
        <v>116</v>
      </c>
      <c r="L1959" s="8" t="s">
        <v>8794</v>
      </c>
    </row>
    <row r="1960" customFormat="false" ht="34.5" hidden="false" customHeight="true" outlineLevel="0" collapsed="false">
      <c r="A1960" s="8" t="n">
        <v>1705</v>
      </c>
      <c r="B1960" s="8" t="s">
        <v>59</v>
      </c>
      <c r="C1960" s="8" t="s">
        <v>8554</v>
      </c>
      <c r="D1960" s="8" t="n">
        <v>2020</v>
      </c>
      <c r="E1960" s="8" t="s">
        <v>8795</v>
      </c>
      <c r="F1960" s="8" t="s">
        <v>201</v>
      </c>
      <c r="G1960" s="8" t="s">
        <v>8796</v>
      </c>
      <c r="H1960" s="8" t="s">
        <v>8797</v>
      </c>
      <c r="I1960" s="8" t="s">
        <v>146</v>
      </c>
      <c r="J1960" s="8" t="s">
        <v>8798</v>
      </c>
      <c r="K1960" s="8"/>
      <c r="L1960" s="8" t="s">
        <v>8799</v>
      </c>
    </row>
    <row r="1961" customFormat="false" ht="45.75" hidden="false" customHeight="true" outlineLevel="0" collapsed="false">
      <c r="A1961" s="8" t="n">
        <v>1706</v>
      </c>
      <c r="B1961" s="8" t="s">
        <v>59</v>
      </c>
      <c r="C1961" s="8" t="s">
        <v>8800</v>
      </c>
      <c r="D1961" s="8" t="n">
        <v>2021</v>
      </c>
      <c r="E1961" s="8" t="s">
        <v>8801</v>
      </c>
      <c r="F1961" s="8" t="s">
        <v>201</v>
      </c>
      <c r="G1961" s="8" t="s">
        <v>8802</v>
      </c>
      <c r="H1961" s="8" t="s">
        <v>145</v>
      </c>
      <c r="I1961" s="8" t="s">
        <v>146</v>
      </c>
      <c r="J1961" s="8" t="s">
        <v>8803</v>
      </c>
      <c r="K1961" s="8"/>
      <c r="L1961" s="8" t="s">
        <v>8804</v>
      </c>
    </row>
    <row r="1962" customFormat="false" ht="34.5" hidden="false" customHeight="true" outlineLevel="0" collapsed="false">
      <c r="A1962" s="8" t="n">
        <v>1707</v>
      </c>
      <c r="B1962" s="8" t="s">
        <v>59</v>
      </c>
      <c r="C1962" s="8" t="s">
        <v>8805</v>
      </c>
      <c r="D1962" s="8" t="n">
        <v>2010</v>
      </c>
      <c r="E1962" s="8" t="s">
        <v>8806</v>
      </c>
      <c r="F1962" s="8" t="s">
        <v>151</v>
      </c>
      <c r="G1962" s="8" t="s">
        <v>8807</v>
      </c>
      <c r="H1962" s="8" t="s">
        <v>5651</v>
      </c>
      <c r="I1962" s="8" t="s">
        <v>146</v>
      </c>
      <c r="J1962" s="8" t="s">
        <v>8808</v>
      </c>
      <c r="K1962" s="8" t="s">
        <v>116</v>
      </c>
      <c r="L1962" s="8" t="s">
        <v>8809</v>
      </c>
    </row>
    <row r="1963" customFormat="false" ht="23.25" hidden="false" customHeight="true" outlineLevel="0" collapsed="false">
      <c r="A1963" s="8" t="n">
        <v>1708</v>
      </c>
      <c r="B1963" s="8" t="s">
        <v>59</v>
      </c>
      <c r="C1963" s="8" t="s">
        <v>8810</v>
      </c>
      <c r="D1963" s="8" t="n">
        <v>2014</v>
      </c>
      <c r="E1963" s="8" t="s">
        <v>8811</v>
      </c>
      <c r="F1963" s="8" t="s">
        <v>201</v>
      </c>
      <c r="G1963" s="8" t="s">
        <v>8812</v>
      </c>
      <c r="H1963" s="8" t="s">
        <v>8813</v>
      </c>
      <c r="I1963" s="8" t="s">
        <v>146</v>
      </c>
      <c r="J1963" s="8" t="s">
        <v>8814</v>
      </c>
      <c r="K1963" s="8"/>
      <c r="L1963" s="8" t="s">
        <v>8815</v>
      </c>
    </row>
    <row r="1964" customFormat="false" ht="34.5" hidden="false" customHeight="true" outlineLevel="0" collapsed="false">
      <c r="A1964" s="8" t="n">
        <v>1709</v>
      </c>
      <c r="B1964" s="8" t="s">
        <v>59</v>
      </c>
      <c r="C1964" s="8" t="s">
        <v>8816</v>
      </c>
      <c r="D1964" s="8" t="n">
        <v>2021</v>
      </c>
      <c r="E1964" s="8" t="s">
        <v>8817</v>
      </c>
      <c r="F1964" s="8" t="s">
        <v>151</v>
      </c>
      <c r="G1964" s="8" t="s">
        <v>8818</v>
      </c>
      <c r="H1964" s="8" t="s">
        <v>8819</v>
      </c>
      <c r="I1964" s="8" t="s">
        <v>146</v>
      </c>
      <c r="J1964" s="8" t="s">
        <v>8820</v>
      </c>
      <c r="K1964" s="8" t="s">
        <v>116</v>
      </c>
      <c r="L1964" s="8" t="s">
        <v>8821</v>
      </c>
    </row>
    <row r="1965" customFormat="false" ht="23.25" hidden="false" customHeight="true" outlineLevel="0" collapsed="false">
      <c r="A1965" s="8" t="n">
        <v>1710</v>
      </c>
      <c r="B1965" s="8" t="s">
        <v>59</v>
      </c>
      <c r="C1965" s="8" t="s">
        <v>8822</v>
      </c>
      <c r="D1965" s="8" t="n">
        <v>2021</v>
      </c>
      <c r="E1965" s="8" t="s">
        <v>8823</v>
      </c>
      <c r="F1965" s="8" t="s">
        <v>143</v>
      </c>
      <c r="G1965" s="8" t="s">
        <v>4512</v>
      </c>
      <c r="H1965" s="8" t="s">
        <v>145</v>
      </c>
      <c r="I1965" s="8" t="s">
        <v>387</v>
      </c>
      <c r="J1965" s="8" t="s">
        <v>8824</v>
      </c>
      <c r="K1965" s="8" t="s">
        <v>116</v>
      </c>
      <c r="L1965" s="8" t="s">
        <v>8825</v>
      </c>
    </row>
    <row r="1966" customFormat="false" ht="34.5" hidden="false" customHeight="true" outlineLevel="0" collapsed="false">
      <c r="A1966" s="8" t="n">
        <v>1711</v>
      </c>
      <c r="B1966" s="8" t="s">
        <v>59</v>
      </c>
      <c r="C1966" s="8" t="s">
        <v>8826</v>
      </c>
      <c r="D1966" s="8" t="n">
        <v>2020</v>
      </c>
      <c r="E1966" s="8" t="s">
        <v>8827</v>
      </c>
      <c r="F1966" s="8" t="s">
        <v>579</v>
      </c>
      <c r="G1966" s="8" t="s">
        <v>364</v>
      </c>
      <c r="H1966" s="8" t="s">
        <v>8828</v>
      </c>
      <c r="I1966" s="8" t="s">
        <v>146</v>
      </c>
      <c r="J1966" s="8" t="s">
        <v>8829</v>
      </c>
      <c r="K1966" s="8" t="s">
        <v>114</v>
      </c>
      <c r="L1966" s="8" t="s">
        <v>8830</v>
      </c>
    </row>
    <row r="1967" customFormat="false" ht="23.25" hidden="false" customHeight="true" outlineLevel="0" collapsed="false">
      <c r="A1967" s="8" t="n">
        <v>1712</v>
      </c>
      <c r="B1967" s="8" t="s">
        <v>59</v>
      </c>
      <c r="C1967" s="8" t="s">
        <v>5932</v>
      </c>
      <c r="D1967" s="8" t="n">
        <v>2011</v>
      </c>
      <c r="E1967" s="8" t="s">
        <v>8831</v>
      </c>
      <c r="F1967" s="8" t="s">
        <v>151</v>
      </c>
      <c r="G1967" s="8" t="s">
        <v>8832</v>
      </c>
      <c r="H1967" s="8" t="s">
        <v>8833</v>
      </c>
      <c r="I1967" s="8" t="s">
        <v>748</v>
      </c>
      <c r="J1967" s="8" t="s">
        <v>8834</v>
      </c>
      <c r="K1967" s="8"/>
      <c r="L1967" s="8" t="s">
        <v>8835</v>
      </c>
    </row>
    <row r="1968" customFormat="false" ht="34.5" hidden="false" customHeight="true" outlineLevel="0" collapsed="false">
      <c r="A1968" s="8" t="n">
        <v>1713</v>
      </c>
      <c r="B1968" s="8" t="s">
        <v>59</v>
      </c>
      <c r="C1968" s="8" t="s">
        <v>8836</v>
      </c>
      <c r="D1968" s="8" t="n">
        <v>2019</v>
      </c>
      <c r="E1968" s="8" t="s">
        <v>8837</v>
      </c>
      <c r="F1968" s="8" t="s">
        <v>151</v>
      </c>
      <c r="G1968" s="8" t="s">
        <v>8838</v>
      </c>
      <c r="H1968" s="8" t="s">
        <v>359</v>
      </c>
      <c r="I1968" s="8" t="s">
        <v>748</v>
      </c>
      <c r="J1968" s="8" t="s">
        <v>8839</v>
      </c>
      <c r="K1968" s="8"/>
      <c r="L1968" s="8" t="s">
        <v>8840</v>
      </c>
    </row>
    <row r="1969" customFormat="false" ht="34.5" hidden="false" customHeight="true" outlineLevel="0" collapsed="false">
      <c r="A1969" s="8" t="n">
        <v>1714</v>
      </c>
      <c r="B1969" s="8" t="s">
        <v>59</v>
      </c>
      <c r="C1969" s="8" t="s">
        <v>4408</v>
      </c>
      <c r="D1969" s="8" t="n">
        <v>2017</v>
      </c>
      <c r="E1969" s="8" t="s">
        <v>8841</v>
      </c>
      <c r="F1969" s="8" t="s">
        <v>151</v>
      </c>
      <c r="G1969" s="8" t="s">
        <v>3552</v>
      </c>
      <c r="H1969" s="8" t="s">
        <v>3749</v>
      </c>
      <c r="I1969" s="8" t="s">
        <v>146</v>
      </c>
      <c r="J1969" s="8" t="s">
        <v>8842</v>
      </c>
      <c r="K1969" s="8" t="s">
        <v>116</v>
      </c>
      <c r="L1969" s="8" t="s">
        <v>8843</v>
      </c>
    </row>
    <row r="1970" customFormat="false" ht="23.25" hidden="false" customHeight="true" outlineLevel="0" collapsed="false">
      <c r="A1970" s="8" t="n">
        <v>1715</v>
      </c>
      <c r="B1970" s="8" t="s">
        <v>59</v>
      </c>
      <c r="C1970" s="8" t="s">
        <v>8844</v>
      </c>
      <c r="D1970" s="8" t="n">
        <v>2007</v>
      </c>
      <c r="E1970" s="8" t="s">
        <v>8845</v>
      </c>
      <c r="F1970" s="8" t="s">
        <v>151</v>
      </c>
      <c r="G1970" s="8" t="s">
        <v>152</v>
      </c>
      <c r="H1970" s="8" t="s">
        <v>2037</v>
      </c>
      <c r="I1970" s="8" t="s">
        <v>146</v>
      </c>
      <c r="J1970" s="8" t="s">
        <v>8846</v>
      </c>
      <c r="K1970" s="8"/>
      <c r="L1970" s="8" t="s">
        <v>8847</v>
      </c>
    </row>
    <row r="1971" customFormat="false" ht="34.5" hidden="false" customHeight="true" outlineLevel="0" collapsed="false">
      <c r="A1971" s="8" t="n">
        <v>1716</v>
      </c>
      <c r="B1971" s="8" t="s">
        <v>59</v>
      </c>
      <c r="C1971" s="8" t="s">
        <v>8848</v>
      </c>
      <c r="D1971" s="8" t="n">
        <v>2020</v>
      </c>
      <c r="E1971" s="8" t="s">
        <v>8849</v>
      </c>
      <c r="F1971" s="8" t="s">
        <v>151</v>
      </c>
      <c r="G1971" s="8" t="s">
        <v>8850</v>
      </c>
      <c r="H1971" s="8" t="s">
        <v>8851</v>
      </c>
      <c r="I1971" s="8" t="s">
        <v>146</v>
      </c>
      <c r="J1971" s="8" t="s">
        <v>8852</v>
      </c>
      <c r="K1971" s="8" t="s">
        <v>116</v>
      </c>
      <c r="L1971" s="8" t="s">
        <v>8853</v>
      </c>
    </row>
    <row r="1972" customFormat="false" ht="34.5" hidden="false" customHeight="true" outlineLevel="0" collapsed="false">
      <c r="A1972" s="8" t="n">
        <v>1717</v>
      </c>
      <c r="B1972" s="8" t="s">
        <v>59</v>
      </c>
      <c r="C1972" s="8" t="s">
        <v>8854</v>
      </c>
      <c r="D1972" s="8" t="n">
        <v>2017</v>
      </c>
      <c r="E1972" s="8" t="s">
        <v>8855</v>
      </c>
      <c r="F1972" s="8" t="s">
        <v>151</v>
      </c>
      <c r="G1972" s="8" t="s">
        <v>8856</v>
      </c>
      <c r="H1972" s="8" t="s">
        <v>1020</v>
      </c>
      <c r="I1972" s="8" t="s">
        <v>146</v>
      </c>
      <c r="J1972" s="8" t="s">
        <v>8857</v>
      </c>
      <c r="K1972" s="8"/>
      <c r="L1972" s="8" t="s">
        <v>8858</v>
      </c>
    </row>
    <row r="1973" customFormat="false" ht="34.5" hidden="false" customHeight="true" outlineLevel="0" collapsed="false">
      <c r="A1973" s="8" t="n">
        <v>1718</v>
      </c>
      <c r="B1973" s="8" t="s">
        <v>59</v>
      </c>
      <c r="C1973" s="8" t="s">
        <v>8859</v>
      </c>
      <c r="D1973" s="8" t="n">
        <v>2017</v>
      </c>
      <c r="E1973" s="8" t="s">
        <v>8860</v>
      </c>
      <c r="F1973" s="8" t="s">
        <v>579</v>
      </c>
      <c r="G1973" s="8" t="s">
        <v>152</v>
      </c>
      <c r="H1973" s="8" t="s">
        <v>145</v>
      </c>
      <c r="I1973" s="8" t="s">
        <v>748</v>
      </c>
      <c r="J1973" s="8" t="s">
        <v>8861</v>
      </c>
      <c r="K1973" s="8" t="s">
        <v>116</v>
      </c>
      <c r="L1973" s="8" t="s">
        <v>8862</v>
      </c>
    </row>
    <row r="1974" customFormat="false" ht="23.25" hidden="false" customHeight="true" outlineLevel="0" collapsed="false">
      <c r="A1974" s="8" t="n">
        <v>1719</v>
      </c>
      <c r="B1974" s="8" t="s">
        <v>59</v>
      </c>
      <c r="C1974" s="8" t="s">
        <v>8863</v>
      </c>
      <c r="D1974" s="8" t="n">
        <v>2005</v>
      </c>
      <c r="E1974" s="8" t="s">
        <v>8864</v>
      </c>
      <c r="F1974" s="8" t="s">
        <v>151</v>
      </c>
      <c r="G1974" s="8" t="s">
        <v>832</v>
      </c>
      <c r="H1974" s="8" t="s">
        <v>8865</v>
      </c>
      <c r="I1974" s="8" t="s">
        <v>748</v>
      </c>
      <c r="J1974" s="8" t="s">
        <v>8866</v>
      </c>
      <c r="K1974" s="8" t="s">
        <v>116</v>
      </c>
      <c r="L1974" s="8" t="s">
        <v>8867</v>
      </c>
    </row>
    <row r="1975" customFormat="false" ht="23.25" hidden="false" customHeight="true" outlineLevel="0" collapsed="false">
      <c r="A1975" s="8" t="n">
        <v>1720</v>
      </c>
      <c r="B1975" s="8" t="s">
        <v>59</v>
      </c>
      <c r="C1975" s="8" t="s">
        <v>8868</v>
      </c>
      <c r="D1975" s="8" t="n">
        <v>2005</v>
      </c>
      <c r="E1975" s="8" t="s">
        <v>8869</v>
      </c>
      <c r="F1975" s="8" t="s">
        <v>151</v>
      </c>
      <c r="G1975" s="8" t="s">
        <v>8870</v>
      </c>
      <c r="H1975" s="8" t="s">
        <v>145</v>
      </c>
      <c r="I1975" s="8" t="s">
        <v>748</v>
      </c>
      <c r="J1975" s="8" t="s">
        <v>8871</v>
      </c>
      <c r="K1975" s="8" t="s">
        <v>112</v>
      </c>
      <c r="L1975" s="8" t="s">
        <v>8872</v>
      </c>
    </row>
    <row r="1976" customFormat="false" ht="34.5" hidden="false" customHeight="true" outlineLevel="0" collapsed="false">
      <c r="A1976" s="8" t="n">
        <v>1721</v>
      </c>
      <c r="B1976" s="8" t="s">
        <v>61</v>
      </c>
      <c r="C1976" s="8" t="s">
        <v>8873</v>
      </c>
      <c r="D1976" s="8" t="n">
        <v>2014</v>
      </c>
      <c r="E1976" s="8" t="s">
        <v>8874</v>
      </c>
      <c r="F1976" s="8" t="s">
        <v>151</v>
      </c>
      <c r="G1976" s="8" t="s">
        <v>152</v>
      </c>
      <c r="H1976" s="8" t="s">
        <v>145</v>
      </c>
      <c r="I1976" s="8" t="s">
        <v>387</v>
      </c>
      <c r="J1976" s="8" t="s">
        <v>8875</v>
      </c>
      <c r="K1976" s="8"/>
      <c r="L1976" s="8" t="s">
        <v>8876</v>
      </c>
    </row>
    <row r="1977" customFormat="false" ht="34.5" hidden="false" customHeight="true" outlineLevel="0" collapsed="false">
      <c r="A1977" s="8" t="n">
        <v>1722</v>
      </c>
      <c r="B1977" s="8" t="s">
        <v>61</v>
      </c>
      <c r="C1977" s="8" t="s">
        <v>8877</v>
      </c>
      <c r="D1977" s="8" t="n">
        <v>1991</v>
      </c>
      <c r="E1977" s="8" t="s">
        <v>8878</v>
      </c>
      <c r="F1977" s="8" t="s">
        <v>579</v>
      </c>
      <c r="G1977" s="8" t="s">
        <v>8879</v>
      </c>
      <c r="H1977" s="8" t="s">
        <v>4711</v>
      </c>
      <c r="I1977" s="8" t="s">
        <v>4353</v>
      </c>
      <c r="J1977" s="8" t="s">
        <v>8880</v>
      </c>
      <c r="K1977" s="8"/>
      <c r="L1977" s="8" t="s">
        <v>8881</v>
      </c>
    </row>
    <row r="1978" customFormat="false" ht="34.5" hidden="false" customHeight="true" outlineLevel="0" collapsed="false">
      <c r="A1978" s="8" t="n">
        <v>1723</v>
      </c>
      <c r="B1978" s="8" t="s">
        <v>61</v>
      </c>
      <c r="C1978" s="8" t="s">
        <v>8882</v>
      </c>
      <c r="D1978" s="8" t="n">
        <v>2013</v>
      </c>
      <c r="E1978" s="8" t="s">
        <v>8883</v>
      </c>
      <c r="F1978" s="8" t="s">
        <v>201</v>
      </c>
      <c r="G1978" s="8" t="s">
        <v>1763</v>
      </c>
      <c r="H1978" s="8" t="s">
        <v>1213</v>
      </c>
      <c r="I1978" s="8" t="s">
        <v>146</v>
      </c>
      <c r="J1978" s="8" t="s">
        <v>8884</v>
      </c>
      <c r="K1978" s="8" t="s">
        <v>112</v>
      </c>
      <c r="L1978" s="8" t="s">
        <v>8885</v>
      </c>
    </row>
    <row r="1979" customFormat="false" ht="34.5" hidden="false" customHeight="true" outlineLevel="0" collapsed="false">
      <c r="A1979" s="8" t="n">
        <v>1724</v>
      </c>
      <c r="B1979" s="8" t="s">
        <v>61</v>
      </c>
      <c r="C1979" s="8" t="s">
        <v>8886</v>
      </c>
      <c r="D1979" s="8" t="n">
        <v>2007</v>
      </c>
      <c r="E1979" s="8" t="s">
        <v>8887</v>
      </c>
      <c r="F1979" s="8" t="s">
        <v>151</v>
      </c>
      <c r="G1979" s="8" t="s">
        <v>8888</v>
      </c>
      <c r="H1979" s="8" t="s">
        <v>4711</v>
      </c>
      <c r="I1979" s="8" t="s">
        <v>208</v>
      </c>
      <c r="J1979" s="8" t="s">
        <v>8889</v>
      </c>
      <c r="K1979" s="8" t="s">
        <v>112</v>
      </c>
      <c r="L1979" s="8" t="s">
        <v>8890</v>
      </c>
    </row>
    <row r="1980" customFormat="false" ht="34.5" hidden="false" customHeight="true" outlineLevel="0" collapsed="false">
      <c r="A1980" s="8" t="n">
        <v>1725</v>
      </c>
      <c r="B1980" s="8" t="s">
        <v>61</v>
      </c>
      <c r="C1980" s="8" t="s">
        <v>8891</v>
      </c>
      <c r="D1980" s="8" t="n">
        <v>2011</v>
      </c>
      <c r="E1980" s="8" t="s">
        <v>8892</v>
      </c>
      <c r="F1980" s="8" t="s">
        <v>579</v>
      </c>
      <c r="G1980" s="8" t="s">
        <v>8893</v>
      </c>
      <c r="H1980" s="8" t="s">
        <v>7672</v>
      </c>
      <c r="I1980" s="8" t="s">
        <v>208</v>
      </c>
      <c r="J1980" s="8" t="s">
        <v>8894</v>
      </c>
      <c r="K1980" s="8" t="s">
        <v>112</v>
      </c>
      <c r="L1980" s="8" t="s">
        <v>8895</v>
      </c>
    </row>
    <row r="1981" customFormat="false" ht="34.5" hidden="false" customHeight="true" outlineLevel="0" collapsed="false">
      <c r="A1981" s="8" t="n">
        <v>1726</v>
      </c>
      <c r="B1981" s="8" t="s">
        <v>61</v>
      </c>
      <c r="C1981" s="8" t="s">
        <v>1166</v>
      </c>
      <c r="D1981" s="8" t="n">
        <v>2015</v>
      </c>
      <c r="E1981" s="8" t="s">
        <v>8896</v>
      </c>
      <c r="F1981" s="8" t="s">
        <v>143</v>
      </c>
      <c r="G1981" s="8" t="s">
        <v>1264</v>
      </c>
      <c r="H1981" s="8" t="s">
        <v>145</v>
      </c>
      <c r="I1981" s="8" t="s">
        <v>387</v>
      </c>
      <c r="J1981" s="8" t="s">
        <v>8897</v>
      </c>
      <c r="K1981" s="8" t="s">
        <v>112</v>
      </c>
      <c r="L1981" s="8" t="s">
        <v>8898</v>
      </c>
    </row>
    <row r="1982" customFormat="false" ht="34.5" hidden="false" customHeight="true" outlineLevel="0" collapsed="false">
      <c r="A1982" s="8" t="n">
        <v>1727</v>
      </c>
      <c r="B1982" s="8" t="s">
        <v>61</v>
      </c>
      <c r="C1982" s="8" t="s">
        <v>8899</v>
      </c>
      <c r="D1982" s="8" t="n">
        <v>2017</v>
      </c>
      <c r="E1982" s="8" t="s">
        <v>8900</v>
      </c>
      <c r="F1982" s="8" t="s">
        <v>579</v>
      </c>
      <c r="G1982" s="8" t="s">
        <v>1264</v>
      </c>
      <c r="H1982" s="8" t="s">
        <v>145</v>
      </c>
      <c r="I1982" s="8" t="s">
        <v>387</v>
      </c>
      <c r="J1982" s="8" t="s">
        <v>8901</v>
      </c>
      <c r="K1982" s="8" t="s">
        <v>112</v>
      </c>
      <c r="L1982" s="8" t="s">
        <v>8902</v>
      </c>
    </row>
    <row r="1983" customFormat="false" ht="34.5" hidden="false" customHeight="true" outlineLevel="0" collapsed="false">
      <c r="A1983" s="8" t="n">
        <v>1728</v>
      </c>
      <c r="B1983" s="8" t="s">
        <v>61</v>
      </c>
      <c r="C1983" s="8" t="s">
        <v>8903</v>
      </c>
      <c r="D1983" s="8" t="n">
        <v>2017</v>
      </c>
      <c r="E1983" s="8" t="s">
        <v>8904</v>
      </c>
      <c r="F1983" s="8" t="s">
        <v>151</v>
      </c>
      <c r="G1983" s="8" t="s">
        <v>1535</v>
      </c>
      <c r="H1983" s="8" t="s">
        <v>4103</v>
      </c>
      <c r="I1983" s="8" t="s">
        <v>146</v>
      </c>
      <c r="J1983" s="8" t="s">
        <v>8905</v>
      </c>
      <c r="K1983" s="8" t="s">
        <v>112</v>
      </c>
      <c r="L1983" s="8" t="s">
        <v>8906</v>
      </c>
    </row>
    <row r="1984" customFormat="false" ht="34.5" hidden="false" customHeight="true" outlineLevel="0" collapsed="false">
      <c r="A1984" s="8" t="n">
        <v>1729</v>
      </c>
      <c r="B1984" s="8" t="s">
        <v>61</v>
      </c>
      <c r="C1984" s="8" t="s">
        <v>8907</v>
      </c>
      <c r="D1984" s="8" t="n">
        <v>2017</v>
      </c>
      <c r="E1984" s="8" t="s">
        <v>8908</v>
      </c>
      <c r="F1984" s="8" t="s">
        <v>143</v>
      </c>
      <c r="G1984" s="8" t="s">
        <v>8909</v>
      </c>
      <c r="H1984" s="8" t="s">
        <v>145</v>
      </c>
      <c r="I1984" s="8" t="s">
        <v>387</v>
      </c>
      <c r="J1984" s="8" t="s">
        <v>8910</v>
      </c>
      <c r="K1984" s="8" t="s">
        <v>114</v>
      </c>
      <c r="L1984" s="8" t="s">
        <v>8911</v>
      </c>
    </row>
    <row r="1985" customFormat="false" ht="34.5" hidden="false" customHeight="true" outlineLevel="0" collapsed="false">
      <c r="A1985" s="8" t="n">
        <v>1730</v>
      </c>
      <c r="B1985" s="8" t="s">
        <v>61</v>
      </c>
      <c r="C1985" s="8" t="s">
        <v>8912</v>
      </c>
      <c r="D1985" s="8" t="n">
        <v>2003</v>
      </c>
      <c r="E1985" s="8" t="s">
        <v>8913</v>
      </c>
      <c r="F1985" s="8" t="s">
        <v>8914</v>
      </c>
      <c r="G1985" s="8" t="s">
        <v>8915</v>
      </c>
      <c r="H1985" s="8" t="s">
        <v>8916</v>
      </c>
      <c r="I1985" s="8" t="s">
        <v>8917</v>
      </c>
      <c r="J1985" s="8" t="s">
        <v>8918</v>
      </c>
      <c r="K1985" s="8"/>
      <c r="L1985" s="8" t="s">
        <v>8919</v>
      </c>
    </row>
    <row r="1986" customFormat="false" ht="34.5" hidden="false" customHeight="true" outlineLevel="0" collapsed="false">
      <c r="A1986" s="8" t="n">
        <v>1731</v>
      </c>
      <c r="B1986" s="8" t="s">
        <v>61</v>
      </c>
      <c r="C1986" s="8" t="s">
        <v>8920</v>
      </c>
      <c r="D1986" s="8" t="n">
        <v>1966</v>
      </c>
      <c r="E1986" s="8" t="s">
        <v>8921</v>
      </c>
      <c r="F1986" s="8" t="s">
        <v>8922</v>
      </c>
      <c r="G1986" s="8" t="s">
        <v>8879</v>
      </c>
      <c r="H1986" s="8" t="s">
        <v>181</v>
      </c>
      <c r="I1986" s="8" t="s">
        <v>7537</v>
      </c>
      <c r="J1986" s="8" t="s">
        <v>8923</v>
      </c>
      <c r="K1986" s="8"/>
      <c r="L1986" s="8" t="s">
        <v>8924</v>
      </c>
    </row>
    <row r="1987" customFormat="false" ht="34.5" hidden="false" customHeight="true" outlineLevel="0" collapsed="false">
      <c r="A1987" s="8" t="n">
        <v>1732</v>
      </c>
      <c r="B1987" s="8" t="s">
        <v>61</v>
      </c>
      <c r="C1987" s="8" t="s">
        <v>8925</v>
      </c>
      <c r="D1987" s="8" t="n">
        <v>2016</v>
      </c>
      <c r="E1987" s="8" t="s">
        <v>8926</v>
      </c>
      <c r="F1987" s="8" t="s">
        <v>143</v>
      </c>
      <c r="G1987" s="8" t="s">
        <v>1264</v>
      </c>
      <c r="H1987" s="8" t="s">
        <v>145</v>
      </c>
      <c r="I1987" s="8" t="s">
        <v>8927</v>
      </c>
      <c r="J1987" s="8" t="s">
        <v>8928</v>
      </c>
      <c r="K1987" s="8" t="s">
        <v>114</v>
      </c>
      <c r="L1987" s="8" t="s">
        <v>8929</v>
      </c>
    </row>
    <row r="1988" customFormat="false" ht="34.5" hidden="false" customHeight="true" outlineLevel="0" collapsed="false">
      <c r="A1988" s="8" t="n">
        <v>1733</v>
      </c>
      <c r="B1988" s="8" t="s">
        <v>61</v>
      </c>
      <c r="C1988" s="8" t="s">
        <v>8930</v>
      </c>
      <c r="D1988" s="8" t="n">
        <v>2018</v>
      </c>
      <c r="E1988" s="8" t="s">
        <v>8931</v>
      </c>
      <c r="F1988" s="8" t="s">
        <v>201</v>
      </c>
      <c r="G1988" s="8" t="s">
        <v>3530</v>
      </c>
      <c r="H1988" s="8" t="s">
        <v>4711</v>
      </c>
      <c r="I1988" s="8" t="s">
        <v>748</v>
      </c>
      <c r="J1988" s="8" t="s">
        <v>8932</v>
      </c>
      <c r="K1988" s="8" t="s">
        <v>112</v>
      </c>
      <c r="L1988" s="8" t="s">
        <v>8933</v>
      </c>
    </row>
    <row r="1989" customFormat="false" ht="34.5" hidden="false" customHeight="true" outlineLevel="0" collapsed="false">
      <c r="A1989" s="8" t="n">
        <v>1734</v>
      </c>
      <c r="B1989" s="8" t="s">
        <v>61</v>
      </c>
      <c r="C1989" s="8" t="s">
        <v>8934</v>
      </c>
      <c r="D1989" s="8" t="n">
        <v>2013</v>
      </c>
      <c r="E1989" s="8" t="s">
        <v>8935</v>
      </c>
      <c r="F1989" s="8" t="s">
        <v>201</v>
      </c>
      <c r="G1989" s="8" t="s">
        <v>1424</v>
      </c>
      <c r="H1989" s="8" t="s">
        <v>4711</v>
      </c>
      <c r="I1989" s="8" t="s">
        <v>208</v>
      </c>
      <c r="J1989" s="8" t="s">
        <v>8936</v>
      </c>
      <c r="K1989" s="8"/>
      <c r="L1989" s="8" t="s">
        <v>8937</v>
      </c>
    </row>
    <row r="1990" customFormat="false" ht="34.5" hidden="false" customHeight="true" outlineLevel="0" collapsed="false">
      <c r="A1990" s="8" t="n">
        <v>1735</v>
      </c>
      <c r="B1990" s="8" t="s">
        <v>61</v>
      </c>
      <c r="C1990" s="8" t="s">
        <v>8938</v>
      </c>
      <c r="D1990" s="8" t="n">
        <v>2013</v>
      </c>
      <c r="E1990" s="8" t="s">
        <v>8939</v>
      </c>
      <c r="F1990" s="8" t="s">
        <v>151</v>
      </c>
      <c r="G1990" s="8" t="s">
        <v>8879</v>
      </c>
      <c r="H1990" s="8" t="s">
        <v>4711</v>
      </c>
      <c r="I1990" s="8" t="s">
        <v>7537</v>
      </c>
      <c r="J1990" s="8" t="s">
        <v>8940</v>
      </c>
      <c r="K1990" s="8"/>
      <c r="L1990" s="8" t="s">
        <v>8941</v>
      </c>
    </row>
    <row r="1991" customFormat="false" ht="34.5" hidden="false" customHeight="true" outlineLevel="0" collapsed="false">
      <c r="A1991" s="8" t="n">
        <v>1736</v>
      </c>
      <c r="B1991" s="8" t="s">
        <v>61</v>
      </c>
      <c r="C1991" s="8" t="s">
        <v>1219</v>
      </c>
      <c r="D1991" s="8" t="n">
        <v>2016</v>
      </c>
      <c r="E1991" s="8" t="s">
        <v>8942</v>
      </c>
      <c r="F1991" s="8" t="s">
        <v>151</v>
      </c>
      <c r="G1991" s="8" t="s">
        <v>1278</v>
      </c>
      <c r="H1991" s="8" t="s">
        <v>2886</v>
      </c>
      <c r="I1991" s="8" t="s">
        <v>146</v>
      </c>
      <c r="J1991" s="8" t="s">
        <v>8943</v>
      </c>
      <c r="K1991" s="8" t="s">
        <v>112</v>
      </c>
      <c r="L1991" s="8" t="s">
        <v>8944</v>
      </c>
    </row>
    <row r="1992" customFormat="false" ht="34.5" hidden="false" customHeight="true" outlineLevel="0" collapsed="false">
      <c r="A1992" s="8" t="n">
        <v>1737</v>
      </c>
      <c r="B1992" s="8" t="s">
        <v>61</v>
      </c>
      <c r="C1992" s="8" t="s">
        <v>8945</v>
      </c>
      <c r="D1992" s="8" t="n">
        <v>1989</v>
      </c>
      <c r="E1992" s="8" t="s">
        <v>8946</v>
      </c>
      <c r="F1992" s="8" t="s">
        <v>201</v>
      </c>
      <c r="G1992" s="8" t="s">
        <v>8947</v>
      </c>
      <c r="H1992" s="8" t="s">
        <v>4711</v>
      </c>
      <c r="I1992" s="8" t="s">
        <v>7537</v>
      </c>
      <c r="J1992" s="8" t="s">
        <v>8948</v>
      </c>
      <c r="K1992" s="8"/>
      <c r="L1992" s="8" t="s">
        <v>8949</v>
      </c>
    </row>
    <row r="1993" customFormat="false" ht="34.5" hidden="false" customHeight="true" outlineLevel="0" collapsed="false">
      <c r="A1993" s="8" t="n">
        <v>1738</v>
      </c>
      <c r="B1993" s="8" t="s">
        <v>61</v>
      </c>
      <c r="C1993" s="8" t="s">
        <v>718</v>
      </c>
      <c r="D1993" s="8" t="n">
        <v>1998</v>
      </c>
      <c r="E1993" s="8" t="s">
        <v>8950</v>
      </c>
      <c r="F1993" s="8" t="s">
        <v>151</v>
      </c>
      <c r="G1993" s="8" t="s">
        <v>8951</v>
      </c>
      <c r="H1993" s="8" t="s">
        <v>8952</v>
      </c>
      <c r="I1993" s="8" t="s">
        <v>208</v>
      </c>
      <c r="J1993" s="8" t="s">
        <v>8953</v>
      </c>
      <c r="K1993" s="8"/>
      <c r="L1993" s="8" t="s">
        <v>8954</v>
      </c>
    </row>
    <row r="1994" customFormat="false" ht="34.5" hidden="false" customHeight="true" outlineLevel="0" collapsed="false">
      <c r="A1994" s="8" t="n">
        <v>1739</v>
      </c>
      <c r="B1994" s="8" t="s">
        <v>61</v>
      </c>
      <c r="C1994" s="8" t="s">
        <v>8955</v>
      </c>
      <c r="D1994" s="8" t="n">
        <v>2013</v>
      </c>
      <c r="E1994" s="8" t="s">
        <v>8956</v>
      </c>
      <c r="F1994" s="8" t="s">
        <v>8957</v>
      </c>
      <c r="G1994" s="8" t="s">
        <v>1938</v>
      </c>
      <c r="H1994" s="8" t="s">
        <v>145</v>
      </c>
      <c r="I1994" s="8" t="s">
        <v>646</v>
      </c>
      <c r="J1994" s="8" t="s">
        <v>8958</v>
      </c>
      <c r="K1994" s="8" t="s">
        <v>114</v>
      </c>
      <c r="L1994" s="8" t="s">
        <v>8959</v>
      </c>
    </row>
    <row r="1995" customFormat="false" ht="34.5" hidden="false" customHeight="true" outlineLevel="0" collapsed="false">
      <c r="A1995" s="8" t="n">
        <v>1740</v>
      </c>
      <c r="B1995" s="8" t="s">
        <v>61</v>
      </c>
      <c r="C1995" s="8" t="s">
        <v>8960</v>
      </c>
      <c r="D1995" s="8" t="n">
        <v>2011</v>
      </c>
      <c r="E1995" s="8" t="s">
        <v>8961</v>
      </c>
      <c r="F1995" s="8" t="s">
        <v>579</v>
      </c>
      <c r="G1995" s="8" t="s">
        <v>8962</v>
      </c>
      <c r="H1995" s="8" t="s">
        <v>4711</v>
      </c>
      <c r="I1995" s="8" t="s">
        <v>208</v>
      </c>
      <c r="J1995" s="8" t="s">
        <v>8963</v>
      </c>
      <c r="K1995" s="8" t="s">
        <v>116</v>
      </c>
      <c r="L1995" s="8" t="s">
        <v>8964</v>
      </c>
    </row>
    <row r="1996" customFormat="false" ht="23.25" hidden="false" customHeight="true" outlineLevel="0" collapsed="false">
      <c r="A1996" s="8" t="n">
        <v>1741</v>
      </c>
      <c r="B1996" s="8" t="s">
        <v>61</v>
      </c>
      <c r="C1996" s="8" t="s">
        <v>8965</v>
      </c>
      <c r="D1996" s="8" t="n">
        <v>2009</v>
      </c>
      <c r="E1996" s="8" t="s">
        <v>8966</v>
      </c>
      <c r="F1996" s="8" t="s">
        <v>143</v>
      </c>
      <c r="G1996" s="8" t="s">
        <v>8967</v>
      </c>
      <c r="H1996" s="8" t="s">
        <v>4711</v>
      </c>
      <c r="I1996" s="8" t="s">
        <v>208</v>
      </c>
      <c r="J1996" s="8" t="s">
        <v>8968</v>
      </c>
      <c r="K1996" s="8" t="s">
        <v>112</v>
      </c>
      <c r="L1996" s="8" t="s">
        <v>8969</v>
      </c>
    </row>
    <row r="1997" customFormat="false" ht="34.5" hidden="false" customHeight="true" outlineLevel="0" collapsed="false">
      <c r="A1997" s="8" t="n">
        <v>1742</v>
      </c>
      <c r="B1997" s="8" t="s">
        <v>61</v>
      </c>
      <c r="C1997" s="8" t="s">
        <v>8970</v>
      </c>
      <c r="D1997" s="8" t="n">
        <v>2003</v>
      </c>
      <c r="E1997" s="8" t="s">
        <v>8971</v>
      </c>
      <c r="F1997" s="8" t="s">
        <v>151</v>
      </c>
      <c r="G1997" s="8" t="s">
        <v>8972</v>
      </c>
      <c r="H1997" s="8" t="s">
        <v>4711</v>
      </c>
      <c r="I1997" s="8" t="s">
        <v>4353</v>
      </c>
      <c r="J1997" s="8" t="s">
        <v>8973</v>
      </c>
      <c r="K1997" s="8"/>
      <c r="L1997" s="8" t="s">
        <v>8974</v>
      </c>
    </row>
    <row r="1998" customFormat="false" ht="34.5" hidden="false" customHeight="true" outlineLevel="0" collapsed="false">
      <c r="A1998" s="8" t="n">
        <v>1743</v>
      </c>
      <c r="B1998" s="8" t="s">
        <v>61</v>
      </c>
      <c r="C1998" s="8" t="s">
        <v>8975</v>
      </c>
      <c r="D1998" s="8" t="n">
        <v>2014</v>
      </c>
      <c r="E1998" s="8" t="s">
        <v>8976</v>
      </c>
      <c r="F1998" s="8" t="s">
        <v>151</v>
      </c>
      <c r="G1998" s="8" t="s">
        <v>1264</v>
      </c>
      <c r="H1998" s="8" t="s">
        <v>145</v>
      </c>
      <c r="I1998" s="8" t="s">
        <v>387</v>
      </c>
      <c r="J1998" s="8" t="s">
        <v>8977</v>
      </c>
      <c r="K1998" s="8" t="s">
        <v>112</v>
      </c>
      <c r="L1998" s="8" t="s">
        <v>8978</v>
      </c>
    </row>
    <row r="1999" customFormat="false" ht="34.5" hidden="false" customHeight="true" outlineLevel="0" collapsed="false">
      <c r="A1999" s="8" t="n">
        <v>1744</v>
      </c>
      <c r="B1999" s="8" t="s">
        <v>61</v>
      </c>
      <c r="C1999" s="8" t="s">
        <v>8979</v>
      </c>
      <c r="D1999" s="8" t="n">
        <v>2017</v>
      </c>
      <c r="E1999" s="8" t="s">
        <v>8980</v>
      </c>
      <c r="F1999" s="8" t="s">
        <v>579</v>
      </c>
      <c r="G1999" s="8" t="s">
        <v>8981</v>
      </c>
      <c r="H1999" s="8" t="s">
        <v>8982</v>
      </c>
      <c r="I1999" s="8" t="s">
        <v>208</v>
      </c>
      <c r="J1999" s="8" t="s">
        <v>8983</v>
      </c>
      <c r="K1999" s="8" t="s">
        <v>112</v>
      </c>
      <c r="L1999" s="8" t="s">
        <v>8984</v>
      </c>
    </row>
    <row r="2000" customFormat="false" ht="34.5" hidden="false" customHeight="true" outlineLevel="0" collapsed="false">
      <c r="A2000" s="9" t="n">
        <v>1745</v>
      </c>
      <c r="B2000" s="10" t="s">
        <v>61</v>
      </c>
      <c r="C2000" s="10" t="s">
        <v>1261</v>
      </c>
      <c r="D2000" s="10" t="n">
        <v>2016</v>
      </c>
      <c r="E2000" s="10" t="s">
        <v>8985</v>
      </c>
      <c r="F2000" s="10" t="s">
        <v>143</v>
      </c>
      <c r="G2000" s="10" t="s">
        <v>8986</v>
      </c>
      <c r="H2000" s="10" t="s">
        <v>145</v>
      </c>
      <c r="I2000" s="10" t="s">
        <v>387</v>
      </c>
      <c r="J2000" s="10" t="s">
        <v>8987</v>
      </c>
      <c r="K2000" s="10" t="s">
        <v>112</v>
      </c>
      <c r="L2000" s="10" t="s">
        <v>8988</v>
      </c>
    </row>
    <row r="2001" customFormat="false" ht="34.5" hidden="false" customHeight="true" outlineLevel="0" collapsed="false">
      <c r="A2001" s="11" t="n">
        <v>1745</v>
      </c>
      <c r="B2001" s="12" t="s">
        <v>87</v>
      </c>
      <c r="C2001" s="12" t="s">
        <v>8989</v>
      </c>
      <c r="D2001" s="12" t="n">
        <v>2016</v>
      </c>
      <c r="E2001" s="12" t="s">
        <v>8990</v>
      </c>
      <c r="F2001" s="12" t="s">
        <v>8991</v>
      </c>
      <c r="G2001" s="12" t="s">
        <v>1359</v>
      </c>
      <c r="H2001" s="12" t="s">
        <v>145</v>
      </c>
      <c r="I2001" s="12" t="s">
        <v>146</v>
      </c>
      <c r="J2001" s="12" t="s">
        <v>8992</v>
      </c>
      <c r="K2001" s="12" t="s">
        <v>112</v>
      </c>
      <c r="L2001" s="12" t="s">
        <v>8993</v>
      </c>
    </row>
    <row r="2002" customFormat="false" ht="34.5" hidden="false" customHeight="true" outlineLevel="0" collapsed="false">
      <c r="A2002" s="8" t="n">
        <v>1746</v>
      </c>
      <c r="B2002" s="8" t="s">
        <v>61</v>
      </c>
      <c r="C2002" s="8" t="s">
        <v>8994</v>
      </c>
      <c r="D2002" s="8" t="n">
        <v>2013</v>
      </c>
      <c r="E2002" s="8" t="s">
        <v>8995</v>
      </c>
      <c r="F2002" s="8" t="s">
        <v>201</v>
      </c>
      <c r="G2002" s="8" t="s">
        <v>8996</v>
      </c>
      <c r="H2002" s="8" t="s">
        <v>2899</v>
      </c>
      <c r="I2002" s="8" t="s">
        <v>146</v>
      </c>
      <c r="J2002" s="8" t="s">
        <v>8997</v>
      </c>
      <c r="K2002" s="8" t="s">
        <v>112</v>
      </c>
      <c r="L2002" s="8" t="s">
        <v>8998</v>
      </c>
    </row>
    <row r="2003" customFormat="false" ht="34.5" hidden="false" customHeight="true" outlineLevel="0" collapsed="false">
      <c r="A2003" s="8" t="n">
        <v>1747</v>
      </c>
      <c r="B2003" s="8" t="s">
        <v>61</v>
      </c>
      <c r="C2003" s="8" t="s">
        <v>8999</v>
      </c>
      <c r="D2003" s="8" t="n">
        <v>2014</v>
      </c>
      <c r="E2003" s="8" t="s">
        <v>9000</v>
      </c>
      <c r="F2003" s="8" t="s">
        <v>143</v>
      </c>
      <c r="G2003" s="8" t="s">
        <v>3646</v>
      </c>
      <c r="H2003" s="8" t="s">
        <v>871</v>
      </c>
      <c r="I2003" s="8" t="s">
        <v>387</v>
      </c>
      <c r="J2003" s="8" t="s">
        <v>9001</v>
      </c>
      <c r="K2003" s="8" t="s">
        <v>112</v>
      </c>
      <c r="L2003" s="8" t="s">
        <v>9002</v>
      </c>
    </row>
    <row r="2004" customFormat="false" ht="34.5" hidden="false" customHeight="true" outlineLevel="0" collapsed="false">
      <c r="A2004" s="8" t="n">
        <v>1748</v>
      </c>
      <c r="B2004" s="8" t="s">
        <v>61</v>
      </c>
      <c r="C2004" s="8" t="s">
        <v>9003</v>
      </c>
      <c r="D2004" s="8" t="n">
        <v>2010</v>
      </c>
      <c r="E2004" s="8" t="s">
        <v>9004</v>
      </c>
      <c r="F2004" s="8" t="s">
        <v>143</v>
      </c>
      <c r="G2004" s="8" t="s">
        <v>364</v>
      </c>
      <c r="H2004" s="8" t="s">
        <v>145</v>
      </c>
      <c r="I2004" s="8" t="s">
        <v>9005</v>
      </c>
      <c r="J2004" s="8" t="s">
        <v>6742</v>
      </c>
      <c r="K2004" s="8" t="s">
        <v>114</v>
      </c>
      <c r="L2004" s="8" t="s">
        <v>9006</v>
      </c>
    </row>
    <row r="2005" customFormat="false" ht="23.25" hidden="false" customHeight="true" outlineLevel="0" collapsed="false">
      <c r="A2005" s="8" t="n">
        <v>1749</v>
      </c>
      <c r="B2005" s="8" t="s">
        <v>61</v>
      </c>
      <c r="C2005" s="8" t="s">
        <v>3672</v>
      </c>
      <c r="D2005" s="8" t="n">
        <v>2006</v>
      </c>
      <c r="E2005" s="8" t="s">
        <v>9007</v>
      </c>
      <c r="F2005" s="8" t="s">
        <v>3677</v>
      </c>
      <c r="G2005" s="8" t="s">
        <v>1424</v>
      </c>
      <c r="H2005" s="8" t="s">
        <v>4711</v>
      </c>
      <c r="I2005" s="8" t="s">
        <v>208</v>
      </c>
      <c r="J2005" s="8" t="s">
        <v>9008</v>
      </c>
      <c r="K2005" s="8" t="s">
        <v>112</v>
      </c>
      <c r="L2005" s="8" t="s">
        <v>9009</v>
      </c>
    </row>
    <row r="2006" customFormat="false" ht="34.5" hidden="false" customHeight="true" outlineLevel="0" collapsed="false">
      <c r="A2006" s="8" t="n">
        <v>1750</v>
      </c>
      <c r="B2006" s="8" t="s">
        <v>61</v>
      </c>
      <c r="C2006" s="8" t="s">
        <v>9010</v>
      </c>
      <c r="D2006" s="8" t="n">
        <v>2013</v>
      </c>
      <c r="E2006" s="8" t="s">
        <v>9011</v>
      </c>
      <c r="F2006" s="8" t="s">
        <v>201</v>
      </c>
      <c r="G2006" s="8" t="s">
        <v>9012</v>
      </c>
      <c r="H2006" s="8" t="s">
        <v>4711</v>
      </c>
      <c r="I2006" s="8" t="s">
        <v>7537</v>
      </c>
      <c r="J2006" s="8" t="s">
        <v>9013</v>
      </c>
      <c r="K2006" s="8"/>
      <c r="L2006" s="8" t="s">
        <v>9014</v>
      </c>
    </row>
    <row r="2007" customFormat="false" ht="34.5" hidden="false" customHeight="true" outlineLevel="0" collapsed="false">
      <c r="A2007" s="8" t="n">
        <v>1751</v>
      </c>
      <c r="B2007" s="8" t="s">
        <v>61</v>
      </c>
      <c r="C2007" s="8" t="s">
        <v>9015</v>
      </c>
      <c r="D2007" s="8" t="n">
        <v>2014</v>
      </c>
      <c r="E2007" s="8" t="s">
        <v>9016</v>
      </c>
      <c r="F2007" s="8" t="s">
        <v>201</v>
      </c>
      <c r="G2007" s="8" t="s">
        <v>9017</v>
      </c>
      <c r="H2007" s="8" t="s">
        <v>9018</v>
      </c>
      <c r="I2007" s="8" t="s">
        <v>208</v>
      </c>
      <c r="J2007" s="8" t="s">
        <v>9019</v>
      </c>
      <c r="K2007" s="8" t="s">
        <v>112</v>
      </c>
      <c r="L2007" s="8" t="s">
        <v>9020</v>
      </c>
    </row>
    <row r="2008" customFormat="false" ht="34.5" hidden="false" customHeight="true" outlineLevel="0" collapsed="false">
      <c r="A2008" s="8" t="n">
        <v>1752</v>
      </c>
      <c r="B2008" s="8" t="s">
        <v>61</v>
      </c>
      <c r="C2008" s="8" t="s">
        <v>9015</v>
      </c>
      <c r="D2008" s="8" t="n">
        <v>2018</v>
      </c>
      <c r="E2008" s="8" t="s">
        <v>9021</v>
      </c>
      <c r="F2008" s="8" t="s">
        <v>579</v>
      </c>
      <c r="G2008" s="8" t="s">
        <v>9022</v>
      </c>
      <c r="H2008" s="8" t="s">
        <v>9018</v>
      </c>
      <c r="I2008" s="8" t="s">
        <v>208</v>
      </c>
      <c r="J2008" s="8" t="s">
        <v>9023</v>
      </c>
      <c r="K2008" s="8" t="s">
        <v>112</v>
      </c>
      <c r="L2008" s="8" t="s">
        <v>9024</v>
      </c>
    </row>
    <row r="2009" customFormat="false" ht="34.5" hidden="false" customHeight="true" outlineLevel="0" collapsed="false">
      <c r="A2009" s="8" t="n">
        <v>1753</v>
      </c>
      <c r="B2009" s="8" t="s">
        <v>61</v>
      </c>
      <c r="C2009" s="8" t="s">
        <v>9025</v>
      </c>
      <c r="D2009" s="8" t="n">
        <v>1995</v>
      </c>
      <c r="E2009" s="8" t="s">
        <v>9026</v>
      </c>
      <c r="F2009" s="8" t="s">
        <v>579</v>
      </c>
      <c r="G2009" s="8" t="s">
        <v>1264</v>
      </c>
      <c r="H2009" s="8" t="s">
        <v>145</v>
      </c>
      <c r="I2009" s="8" t="s">
        <v>8917</v>
      </c>
      <c r="J2009" s="8" t="s">
        <v>9027</v>
      </c>
      <c r="K2009" s="8"/>
      <c r="L2009" s="8" t="s">
        <v>9028</v>
      </c>
    </row>
    <row r="2010" customFormat="false" ht="34.5" hidden="false" customHeight="true" outlineLevel="0" collapsed="false">
      <c r="A2010" s="8" t="n">
        <v>1754</v>
      </c>
      <c r="B2010" s="8" t="s">
        <v>61</v>
      </c>
      <c r="C2010" s="8" t="s">
        <v>9025</v>
      </c>
      <c r="D2010" s="8" t="n">
        <v>1998</v>
      </c>
      <c r="E2010" s="8" t="s">
        <v>9029</v>
      </c>
      <c r="F2010" s="8" t="s">
        <v>201</v>
      </c>
      <c r="G2010" s="8" t="s">
        <v>9030</v>
      </c>
      <c r="H2010" s="8" t="s">
        <v>4711</v>
      </c>
      <c r="I2010" s="8" t="s">
        <v>7537</v>
      </c>
      <c r="J2010" s="8" t="s">
        <v>9031</v>
      </c>
      <c r="K2010" s="8"/>
      <c r="L2010" s="8" t="s">
        <v>9032</v>
      </c>
    </row>
    <row r="2011" customFormat="false" ht="34.5" hidden="false" customHeight="true" outlineLevel="0" collapsed="false">
      <c r="A2011" s="8" t="n">
        <v>1755</v>
      </c>
      <c r="B2011" s="8" t="s">
        <v>61</v>
      </c>
      <c r="C2011" s="8" t="s">
        <v>6506</v>
      </c>
      <c r="D2011" s="8" t="n">
        <v>2014</v>
      </c>
      <c r="E2011" s="8" t="s">
        <v>9033</v>
      </c>
      <c r="F2011" s="8" t="s">
        <v>143</v>
      </c>
      <c r="G2011" s="8" t="s">
        <v>3773</v>
      </c>
      <c r="H2011" s="8" t="s">
        <v>145</v>
      </c>
      <c r="I2011" s="8" t="s">
        <v>387</v>
      </c>
      <c r="J2011" s="8" t="s">
        <v>9034</v>
      </c>
      <c r="K2011" s="8" t="s">
        <v>112</v>
      </c>
      <c r="L2011" s="8" t="s">
        <v>9035</v>
      </c>
    </row>
    <row r="2012" customFormat="false" ht="34.5" hidden="false" customHeight="true" outlineLevel="0" collapsed="false">
      <c r="A2012" s="8" t="n">
        <v>1756</v>
      </c>
      <c r="B2012" s="8" t="s">
        <v>61</v>
      </c>
      <c r="C2012" s="8" t="s">
        <v>9036</v>
      </c>
      <c r="D2012" s="8" t="n">
        <v>2010</v>
      </c>
      <c r="E2012" s="8" t="s">
        <v>9037</v>
      </c>
      <c r="F2012" s="8" t="s">
        <v>201</v>
      </c>
      <c r="G2012" s="8" t="s">
        <v>4903</v>
      </c>
      <c r="H2012" s="8" t="s">
        <v>4711</v>
      </c>
      <c r="I2012" s="8" t="s">
        <v>387</v>
      </c>
      <c r="J2012" s="8" t="s">
        <v>9038</v>
      </c>
      <c r="K2012" s="8" t="s">
        <v>116</v>
      </c>
      <c r="L2012" s="8" t="s">
        <v>9039</v>
      </c>
    </row>
    <row r="2013" customFormat="false" ht="34.5" hidden="false" customHeight="true" outlineLevel="0" collapsed="false">
      <c r="A2013" s="8" t="n">
        <v>1757</v>
      </c>
      <c r="B2013" s="8" t="s">
        <v>61</v>
      </c>
      <c r="C2013" s="8" t="s">
        <v>9040</v>
      </c>
      <c r="D2013" s="8" t="n">
        <v>2010</v>
      </c>
      <c r="E2013" s="8" t="s">
        <v>9041</v>
      </c>
      <c r="F2013" s="8" t="s">
        <v>143</v>
      </c>
      <c r="G2013" s="8" t="s">
        <v>4903</v>
      </c>
      <c r="H2013" s="8" t="s">
        <v>145</v>
      </c>
      <c r="I2013" s="8" t="s">
        <v>146</v>
      </c>
      <c r="J2013" s="8" t="s">
        <v>9042</v>
      </c>
      <c r="K2013" s="8" t="s">
        <v>112</v>
      </c>
      <c r="L2013" s="8" t="s">
        <v>9043</v>
      </c>
    </row>
    <row r="2014" customFormat="false" ht="34.5" hidden="false" customHeight="true" outlineLevel="0" collapsed="false">
      <c r="A2014" s="8" t="n">
        <v>1758</v>
      </c>
      <c r="B2014" s="8" t="s">
        <v>61</v>
      </c>
      <c r="C2014" s="8" t="s">
        <v>9044</v>
      </c>
      <c r="D2014" s="8" t="n">
        <v>2003</v>
      </c>
      <c r="E2014" s="8" t="s">
        <v>9045</v>
      </c>
      <c r="F2014" s="8" t="s">
        <v>201</v>
      </c>
      <c r="G2014" s="8" t="s">
        <v>1683</v>
      </c>
      <c r="H2014" s="8" t="s">
        <v>9046</v>
      </c>
      <c r="I2014" s="8" t="s">
        <v>208</v>
      </c>
      <c r="J2014" s="8" t="s">
        <v>9047</v>
      </c>
      <c r="K2014" s="8"/>
      <c r="L2014" s="8" t="s">
        <v>9048</v>
      </c>
    </row>
    <row r="2015" customFormat="false" ht="34.5" hidden="false" customHeight="true" outlineLevel="0" collapsed="false">
      <c r="A2015" s="8" t="n">
        <v>1759</v>
      </c>
      <c r="B2015" s="8" t="s">
        <v>61</v>
      </c>
      <c r="C2015" s="8" t="s">
        <v>9049</v>
      </c>
      <c r="D2015" s="8" t="n">
        <v>2002</v>
      </c>
      <c r="E2015" s="8" t="s">
        <v>9050</v>
      </c>
      <c r="F2015" s="8" t="s">
        <v>143</v>
      </c>
      <c r="G2015" s="8" t="s">
        <v>9051</v>
      </c>
      <c r="H2015" s="8" t="s">
        <v>4711</v>
      </c>
      <c r="I2015" s="8" t="s">
        <v>208</v>
      </c>
      <c r="J2015" s="8" t="s">
        <v>9052</v>
      </c>
      <c r="K2015" s="8"/>
      <c r="L2015" s="8" t="s">
        <v>9053</v>
      </c>
    </row>
    <row r="2016" customFormat="false" ht="102" hidden="false" customHeight="true" outlineLevel="0" collapsed="false">
      <c r="A2016" s="8" t="n">
        <v>1760</v>
      </c>
      <c r="B2016" s="8" t="s">
        <v>63</v>
      </c>
      <c r="C2016" s="8" t="s">
        <v>9054</v>
      </c>
      <c r="D2016" s="8" t="n">
        <v>2023</v>
      </c>
      <c r="E2016" s="8" t="s">
        <v>9055</v>
      </c>
      <c r="F2016" s="8" t="s">
        <v>143</v>
      </c>
      <c r="G2016" s="8" t="s">
        <v>9056</v>
      </c>
      <c r="H2016" s="8" t="s">
        <v>9057</v>
      </c>
      <c r="I2016" s="8" t="s">
        <v>153</v>
      </c>
      <c r="J2016" s="8" t="s">
        <v>9058</v>
      </c>
      <c r="K2016" s="8" t="s">
        <v>110</v>
      </c>
      <c r="L2016" s="8" t="s">
        <v>9059</v>
      </c>
    </row>
    <row r="2017" customFormat="false" ht="34.5" hidden="false" customHeight="true" outlineLevel="0" collapsed="false">
      <c r="A2017" s="8" t="n">
        <v>1761</v>
      </c>
      <c r="B2017" s="8" t="s">
        <v>65</v>
      </c>
      <c r="C2017" s="8" t="s">
        <v>9060</v>
      </c>
      <c r="D2017" s="8" t="s">
        <v>9061</v>
      </c>
      <c r="E2017" s="8" t="s">
        <v>9062</v>
      </c>
      <c r="F2017" s="8" t="s">
        <v>151</v>
      </c>
      <c r="G2017" s="8" t="s">
        <v>9063</v>
      </c>
      <c r="H2017" s="8" t="s">
        <v>145</v>
      </c>
      <c r="I2017" s="8" t="s">
        <v>153</v>
      </c>
      <c r="J2017" s="8" t="s">
        <v>9064</v>
      </c>
      <c r="K2017" s="8"/>
      <c r="L2017" s="8" t="s">
        <v>9065</v>
      </c>
    </row>
    <row r="2018" customFormat="false" ht="34.5" hidden="false" customHeight="true" outlineLevel="0" collapsed="false">
      <c r="A2018" s="8" t="n">
        <v>1762</v>
      </c>
      <c r="B2018" s="8" t="s">
        <v>65</v>
      </c>
      <c r="C2018" s="8" t="s">
        <v>9066</v>
      </c>
      <c r="D2018" s="8" t="s">
        <v>9061</v>
      </c>
      <c r="E2018" s="8" t="s">
        <v>9067</v>
      </c>
      <c r="F2018" s="8" t="s">
        <v>151</v>
      </c>
      <c r="G2018" s="8" t="s">
        <v>9068</v>
      </c>
      <c r="H2018" s="8" t="s">
        <v>145</v>
      </c>
      <c r="I2018" s="8" t="s">
        <v>153</v>
      </c>
      <c r="J2018" s="8" t="s">
        <v>9069</v>
      </c>
      <c r="K2018" s="8"/>
      <c r="L2018" s="8" t="s">
        <v>9070</v>
      </c>
    </row>
    <row r="2019" customFormat="false" ht="34.5" hidden="false" customHeight="true" outlineLevel="0" collapsed="false">
      <c r="A2019" s="8" t="n">
        <v>1763</v>
      </c>
      <c r="B2019" s="8" t="s">
        <v>65</v>
      </c>
      <c r="C2019" s="8" t="s">
        <v>9071</v>
      </c>
      <c r="D2019" s="8" t="s">
        <v>9061</v>
      </c>
      <c r="E2019" s="8" t="s">
        <v>9072</v>
      </c>
      <c r="F2019" s="8" t="s">
        <v>151</v>
      </c>
      <c r="G2019" s="8" t="s">
        <v>9073</v>
      </c>
      <c r="H2019" s="8" t="s">
        <v>145</v>
      </c>
      <c r="I2019" s="8" t="s">
        <v>153</v>
      </c>
      <c r="J2019" s="8" t="s">
        <v>9074</v>
      </c>
      <c r="K2019" s="8"/>
      <c r="L2019" s="8" t="s">
        <v>9075</v>
      </c>
    </row>
    <row r="2020" customFormat="false" ht="23.25" hidden="false" customHeight="true" outlineLevel="0" collapsed="false">
      <c r="A2020" s="8" t="n">
        <v>1764</v>
      </c>
      <c r="B2020" s="8" t="s">
        <v>65</v>
      </c>
      <c r="C2020" s="8" t="s">
        <v>9076</v>
      </c>
      <c r="D2020" s="8" t="s">
        <v>9061</v>
      </c>
      <c r="E2020" s="8" t="s">
        <v>9077</v>
      </c>
      <c r="F2020" s="8" t="s">
        <v>151</v>
      </c>
      <c r="G2020" s="8" t="s">
        <v>9078</v>
      </c>
      <c r="H2020" s="8" t="s">
        <v>145</v>
      </c>
      <c r="I2020" s="8" t="s">
        <v>153</v>
      </c>
      <c r="J2020" s="8" t="s">
        <v>9079</v>
      </c>
      <c r="K2020" s="8"/>
      <c r="L2020" s="8" t="s">
        <v>9080</v>
      </c>
    </row>
    <row r="2021" customFormat="false" ht="34.5" hidden="false" customHeight="true" outlineLevel="0" collapsed="false">
      <c r="A2021" s="8" t="n">
        <v>1765</v>
      </c>
      <c r="B2021" s="8" t="s">
        <v>65</v>
      </c>
      <c r="C2021" s="8" t="s">
        <v>9081</v>
      </c>
      <c r="D2021" s="8" t="s">
        <v>8134</v>
      </c>
      <c r="E2021" s="8" t="s">
        <v>9082</v>
      </c>
      <c r="F2021" s="8" t="s">
        <v>201</v>
      </c>
      <c r="G2021" s="8" t="s">
        <v>364</v>
      </c>
      <c r="H2021" s="8" t="s">
        <v>145</v>
      </c>
      <c r="I2021" s="8" t="s">
        <v>153</v>
      </c>
      <c r="J2021" s="8" t="s">
        <v>9083</v>
      </c>
      <c r="K2021" s="8"/>
      <c r="L2021" s="8" t="s">
        <v>9084</v>
      </c>
    </row>
    <row r="2022" customFormat="false" ht="34.5" hidden="false" customHeight="true" outlineLevel="0" collapsed="false">
      <c r="A2022" s="8" t="n">
        <v>1766</v>
      </c>
      <c r="B2022" s="8" t="s">
        <v>65</v>
      </c>
      <c r="C2022" s="8" t="s">
        <v>9085</v>
      </c>
      <c r="D2022" s="8" t="s">
        <v>8134</v>
      </c>
      <c r="E2022" s="8" t="s">
        <v>9086</v>
      </c>
      <c r="F2022" s="8" t="s">
        <v>143</v>
      </c>
      <c r="G2022" s="8" t="s">
        <v>2671</v>
      </c>
      <c r="H2022" s="8" t="s">
        <v>145</v>
      </c>
      <c r="I2022" s="8" t="s">
        <v>153</v>
      </c>
      <c r="J2022" s="8" t="s">
        <v>9087</v>
      </c>
      <c r="K2022" s="8" t="s">
        <v>110</v>
      </c>
      <c r="L2022" s="8" t="s">
        <v>9088</v>
      </c>
    </row>
    <row r="2023" customFormat="false" ht="34.5" hidden="false" customHeight="true" outlineLevel="0" collapsed="false">
      <c r="A2023" s="8" t="n">
        <v>1767</v>
      </c>
      <c r="B2023" s="8" t="s">
        <v>65</v>
      </c>
      <c r="C2023" s="8" t="s">
        <v>9089</v>
      </c>
      <c r="D2023" s="8" t="s">
        <v>8134</v>
      </c>
      <c r="E2023" s="8" t="s">
        <v>9090</v>
      </c>
      <c r="F2023" s="8" t="s">
        <v>151</v>
      </c>
      <c r="G2023" s="8" t="s">
        <v>152</v>
      </c>
      <c r="H2023" s="8" t="s">
        <v>145</v>
      </c>
      <c r="I2023" s="8" t="s">
        <v>153</v>
      </c>
      <c r="J2023" s="8" t="s">
        <v>9091</v>
      </c>
      <c r="K2023" s="8"/>
      <c r="L2023" s="8" t="s">
        <v>9092</v>
      </c>
    </row>
    <row r="2024" customFormat="false" ht="34.5" hidden="false" customHeight="true" outlineLevel="0" collapsed="false">
      <c r="A2024" s="8" t="n">
        <v>1768</v>
      </c>
      <c r="B2024" s="8" t="s">
        <v>65</v>
      </c>
      <c r="C2024" s="8" t="s">
        <v>9093</v>
      </c>
      <c r="D2024" s="8" t="s">
        <v>9094</v>
      </c>
      <c r="E2024" s="8" t="s">
        <v>9095</v>
      </c>
      <c r="F2024" s="8" t="s">
        <v>201</v>
      </c>
      <c r="G2024" s="8" t="s">
        <v>9096</v>
      </c>
      <c r="H2024" s="8" t="s">
        <v>9097</v>
      </c>
      <c r="I2024" s="8" t="s">
        <v>153</v>
      </c>
      <c r="J2024" s="8" t="s">
        <v>9098</v>
      </c>
      <c r="K2024" s="8" t="s">
        <v>112</v>
      </c>
      <c r="L2024" s="8" t="s">
        <v>9099</v>
      </c>
    </row>
    <row r="2025" customFormat="false" ht="34.5" hidden="false" customHeight="true" outlineLevel="0" collapsed="false">
      <c r="A2025" s="8" t="n">
        <v>1769</v>
      </c>
      <c r="B2025" s="8" t="s">
        <v>65</v>
      </c>
      <c r="C2025" s="8" t="s">
        <v>9100</v>
      </c>
      <c r="D2025" s="8" t="s">
        <v>8140</v>
      </c>
      <c r="E2025" s="8" t="s">
        <v>9101</v>
      </c>
      <c r="F2025" s="8" t="s">
        <v>579</v>
      </c>
      <c r="G2025" s="8" t="s">
        <v>9102</v>
      </c>
      <c r="H2025" s="8" t="s">
        <v>145</v>
      </c>
      <c r="I2025" s="8" t="s">
        <v>153</v>
      </c>
      <c r="J2025" s="8" t="s">
        <v>9103</v>
      </c>
      <c r="K2025" s="8" t="s">
        <v>112</v>
      </c>
      <c r="L2025" s="8" t="s">
        <v>9104</v>
      </c>
    </row>
    <row r="2026" customFormat="false" ht="34.5" hidden="false" customHeight="true" outlineLevel="0" collapsed="false">
      <c r="A2026" s="8" t="n">
        <v>1770</v>
      </c>
      <c r="B2026" s="8" t="s">
        <v>65</v>
      </c>
      <c r="C2026" s="8" t="s">
        <v>9105</v>
      </c>
      <c r="D2026" s="8" t="s">
        <v>9094</v>
      </c>
      <c r="E2026" s="8" t="s">
        <v>9106</v>
      </c>
      <c r="F2026" s="8" t="s">
        <v>587</v>
      </c>
      <c r="G2026" s="8" t="s">
        <v>9107</v>
      </c>
      <c r="H2026" s="8" t="s">
        <v>9108</v>
      </c>
      <c r="I2026" s="8" t="s">
        <v>153</v>
      </c>
      <c r="J2026" s="8" t="s">
        <v>9109</v>
      </c>
      <c r="K2026" s="8" t="s">
        <v>116</v>
      </c>
      <c r="L2026" s="8" t="s">
        <v>9110</v>
      </c>
    </row>
    <row r="2027" customFormat="false" ht="34.5" hidden="false" customHeight="true" outlineLevel="0" collapsed="false">
      <c r="A2027" s="8" t="n">
        <v>1771</v>
      </c>
      <c r="B2027" s="8" t="s">
        <v>65</v>
      </c>
      <c r="C2027" s="8" t="s">
        <v>9111</v>
      </c>
      <c r="D2027" s="8" t="s">
        <v>8134</v>
      </c>
      <c r="E2027" s="8" t="s">
        <v>9112</v>
      </c>
      <c r="F2027" s="8" t="s">
        <v>151</v>
      </c>
      <c r="G2027" s="8" t="s">
        <v>9113</v>
      </c>
      <c r="H2027" s="8" t="s">
        <v>145</v>
      </c>
      <c r="I2027" s="8" t="s">
        <v>153</v>
      </c>
      <c r="J2027" s="8" t="s">
        <v>9114</v>
      </c>
      <c r="K2027" s="8"/>
      <c r="L2027" s="8" t="s">
        <v>9115</v>
      </c>
    </row>
    <row r="2028" customFormat="false" ht="34.5" hidden="false" customHeight="true" outlineLevel="0" collapsed="false">
      <c r="A2028" s="8" t="n">
        <v>1772</v>
      </c>
      <c r="B2028" s="8" t="s">
        <v>65</v>
      </c>
      <c r="C2028" s="8" t="s">
        <v>9116</v>
      </c>
      <c r="D2028" s="8" t="s">
        <v>9061</v>
      </c>
      <c r="E2028" s="8" t="s">
        <v>9117</v>
      </c>
      <c r="F2028" s="8" t="s">
        <v>587</v>
      </c>
      <c r="G2028" s="8" t="s">
        <v>9118</v>
      </c>
      <c r="H2028" s="8" t="s">
        <v>145</v>
      </c>
      <c r="I2028" s="8" t="s">
        <v>153</v>
      </c>
      <c r="J2028" s="8" t="s">
        <v>9119</v>
      </c>
      <c r="K2028" s="8"/>
      <c r="L2028" s="8" t="s">
        <v>9120</v>
      </c>
    </row>
    <row r="2029" customFormat="false" ht="34.5" hidden="false" customHeight="true" outlineLevel="0" collapsed="false">
      <c r="A2029" s="8" t="n">
        <v>1773</v>
      </c>
      <c r="B2029" s="8" t="s">
        <v>65</v>
      </c>
      <c r="C2029" s="8" t="s">
        <v>9121</v>
      </c>
      <c r="D2029" s="8" t="s">
        <v>9094</v>
      </c>
      <c r="E2029" s="8" t="s">
        <v>9122</v>
      </c>
      <c r="F2029" s="8" t="s">
        <v>201</v>
      </c>
      <c r="G2029" s="8" t="s">
        <v>9123</v>
      </c>
      <c r="H2029" s="8" t="s">
        <v>9124</v>
      </c>
      <c r="I2029" s="8" t="s">
        <v>522</v>
      </c>
      <c r="J2029" s="8" t="s">
        <v>9125</v>
      </c>
      <c r="K2029" s="8" t="s">
        <v>114</v>
      </c>
      <c r="L2029" s="8" t="s">
        <v>9126</v>
      </c>
    </row>
    <row r="2030" customFormat="false" ht="34.5" hidden="false" customHeight="true" outlineLevel="0" collapsed="false">
      <c r="A2030" s="8" t="n">
        <v>1774</v>
      </c>
      <c r="B2030" s="8" t="s">
        <v>65</v>
      </c>
      <c r="C2030" s="8" t="s">
        <v>9127</v>
      </c>
      <c r="D2030" s="8" t="s">
        <v>9094</v>
      </c>
      <c r="E2030" s="8" t="s">
        <v>9128</v>
      </c>
      <c r="F2030" s="8" t="s">
        <v>143</v>
      </c>
      <c r="G2030" s="8" t="s">
        <v>9129</v>
      </c>
      <c r="H2030" s="8" t="s">
        <v>9130</v>
      </c>
      <c r="I2030" s="8" t="s">
        <v>153</v>
      </c>
      <c r="J2030" s="8" t="s">
        <v>9131</v>
      </c>
      <c r="K2030" s="8" t="s">
        <v>114</v>
      </c>
      <c r="L2030" s="8" t="s">
        <v>9132</v>
      </c>
    </row>
    <row r="2031" customFormat="false" ht="34.5" hidden="false" customHeight="true" outlineLevel="0" collapsed="false">
      <c r="A2031" s="8" t="n">
        <v>1775</v>
      </c>
      <c r="B2031" s="8" t="s">
        <v>65</v>
      </c>
      <c r="C2031" s="8" t="s">
        <v>9133</v>
      </c>
      <c r="D2031" s="8" t="s">
        <v>8236</v>
      </c>
      <c r="E2031" s="8" t="s">
        <v>9134</v>
      </c>
      <c r="F2031" s="8" t="s">
        <v>201</v>
      </c>
      <c r="G2031" s="8" t="s">
        <v>197</v>
      </c>
      <c r="H2031" s="8" t="s">
        <v>145</v>
      </c>
      <c r="I2031" s="8" t="s">
        <v>153</v>
      </c>
      <c r="J2031" s="8" t="s">
        <v>9135</v>
      </c>
      <c r="K2031" s="8"/>
      <c r="L2031" s="8" t="s">
        <v>9136</v>
      </c>
    </row>
    <row r="2032" customFormat="false" ht="34.5" hidden="false" customHeight="true" outlineLevel="0" collapsed="false">
      <c r="A2032" s="8" t="n">
        <v>1776</v>
      </c>
      <c r="B2032" s="8" t="s">
        <v>65</v>
      </c>
      <c r="C2032" s="8" t="s">
        <v>9137</v>
      </c>
      <c r="D2032" s="8" t="s">
        <v>9094</v>
      </c>
      <c r="E2032" s="8" t="s">
        <v>9138</v>
      </c>
      <c r="F2032" s="8" t="s">
        <v>9139</v>
      </c>
      <c r="G2032" s="8" t="s">
        <v>9140</v>
      </c>
      <c r="H2032" s="8" t="s">
        <v>9141</v>
      </c>
      <c r="I2032" s="8" t="s">
        <v>153</v>
      </c>
      <c r="J2032" s="8" t="s">
        <v>9142</v>
      </c>
      <c r="K2032" s="8" t="s">
        <v>112</v>
      </c>
      <c r="L2032" s="8" t="s">
        <v>9143</v>
      </c>
    </row>
    <row r="2033" customFormat="false" ht="45.75" hidden="false" customHeight="true" outlineLevel="0" collapsed="false">
      <c r="A2033" s="8" t="n">
        <v>1777</v>
      </c>
      <c r="B2033" s="8" t="s">
        <v>65</v>
      </c>
      <c r="C2033" s="8" t="s">
        <v>9144</v>
      </c>
      <c r="D2033" s="8" t="s">
        <v>9094</v>
      </c>
      <c r="E2033" s="8" t="s">
        <v>9145</v>
      </c>
      <c r="F2033" s="8" t="s">
        <v>542</v>
      </c>
      <c r="G2033" s="8" t="s">
        <v>9146</v>
      </c>
      <c r="H2033" s="8" t="s">
        <v>9147</v>
      </c>
      <c r="I2033" s="8" t="s">
        <v>387</v>
      </c>
      <c r="J2033" s="8" t="s">
        <v>9148</v>
      </c>
      <c r="K2033" s="8" t="s">
        <v>110</v>
      </c>
      <c r="L2033" s="8" t="s">
        <v>9149</v>
      </c>
    </row>
    <row r="2034" customFormat="false" ht="45.75" hidden="false" customHeight="true" outlineLevel="0" collapsed="false">
      <c r="A2034" s="8" t="n">
        <v>1778</v>
      </c>
      <c r="B2034" s="8" t="s">
        <v>65</v>
      </c>
      <c r="C2034" s="8" t="s">
        <v>9150</v>
      </c>
      <c r="D2034" s="8" t="s">
        <v>9094</v>
      </c>
      <c r="E2034" s="8" t="s">
        <v>9151</v>
      </c>
      <c r="F2034" s="8" t="s">
        <v>9152</v>
      </c>
      <c r="G2034" s="8" t="s">
        <v>9153</v>
      </c>
      <c r="H2034" s="8" t="s">
        <v>9154</v>
      </c>
      <c r="I2034" s="8" t="s">
        <v>146</v>
      </c>
      <c r="J2034" s="8" t="s">
        <v>9155</v>
      </c>
      <c r="K2034" s="8" t="s">
        <v>116</v>
      </c>
      <c r="L2034" s="8" t="s">
        <v>9156</v>
      </c>
    </row>
    <row r="2035" customFormat="false" ht="34.5" hidden="false" customHeight="true" outlineLevel="0" collapsed="false">
      <c r="A2035" s="8" t="n">
        <v>1779</v>
      </c>
      <c r="B2035" s="8" t="s">
        <v>65</v>
      </c>
      <c r="C2035" s="8" t="s">
        <v>9157</v>
      </c>
      <c r="D2035" s="8" t="s">
        <v>9061</v>
      </c>
      <c r="E2035" s="8" t="s">
        <v>9158</v>
      </c>
      <c r="F2035" s="8" t="s">
        <v>143</v>
      </c>
      <c r="G2035" s="8" t="s">
        <v>1619</v>
      </c>
      <c r="H2035" s="8" t="s">
        <v>145</v>
      </c>
      <c r="I2035" s="8" t="s">
        <v>153</v>
      </c>
      <c r="J2035" s="8" t="s">
        <v>9159</v>
      </c>
      <c r="K2035" s="8" t="s">
        <v>114</v>
      </c>
      <c r="L2035" s="8" t="s">
        <v>9160</v>
      </c>
    </row>
    <row r="2036" customFormat="false" ht="34.5" hidden="false" customHeight="true" outlineLevel="0" collapsed="false">
      <c r="A2036" s="8" t="n">
        <v>1780</v>
      </c>
      <c r="B2036" s="8" t="s">
        <v>65</v>
      </c>
      <c r="C2036" s="8" t="s">
        <v>9161</v>
      </c>
      <c r="D2036" s="8" t="s">
        <v>9094</v>
      </c>
      <c r="E2036" s="8" t="s">
        <v>9162</v>
      </c>
      <c r="F2036" s="8" t="s">
        <v>143</v>
      </c>
      <c r="G2036" s="8" t="s">
        <v>9163</v>
      </c>
      <c r="H2036" s="8" t="s">
        <v>512</v>
      </c>
      <c r="I2036" s="8" t="s">
        <v>153</v>
      </c>
      <c r="J2036" s="8" t="s">
        <v>9164</v>
      </c>
      <c r="K2036" s="8" t="s">
        <v>114</v>
      </c>
      <c r="L2036" s="8" t="s">
        <v>9165</v>
      </c>
    </row>
    <row r="2037" customFormat="false" ht="34.5" hidden="false" customHeight="true" outlineLevel="0" collapsed="false">
      <c r="A2037" s="8" t="n">
        <v>1781</v>
      </c>
      <c r="B2037" s="8" t="s">
        <v>65</v>
      </c>
      <c r="C2037" s="8" t="s">
        <v>9166</v>
      </c>
      <c r="D2037" s="8" t="s">
        <v>8140</v>
      </c>
      <c r="E2037" s="8" t="s">
        <v>531</v>
      </c>
      <c r="F2037" s="8" t="s">
        <v>542</v>
      </c>
      <c r="G2037" s="8" t="s">
        <v>9167</v>
      </c>
      <c r="H2037" s="8" t="s">
        <v>145</v>
      </c>
      <c r="I2037" s="8" t="s">
        <v>153</v>
      </c>
      <c r="J2037" s="8" t="s">
        <v>544</v>
      </c>
      <c r="K2037" s="8" t="s">
        <v>114</v>
      </c>
      <c r="L2037" s="8" t="s">
        <v>9168</v>
      </c>
    </row>
    <row r="2038" customFormat="false" ht="34.5" hidden="false" customHeight="true" outlineLevel="0" collapsed="false">
      <c r="A2038" s="8" t="n">
        <v>1782</v>
      </c>
      <c r="B2038" s="8" t="s">
        <v>65</v>
      </c>
      <c r="C2038" s="8" t="s">
        <v>9169</v>
      </c>
      <c r="D2038" s="8" t="s">
        <v>9170</v>
      </c>
      <c r="E2038" s="8" t="s">
        <v>9171</v>
      </c>
      <c r="F2038" s="8" t="s">
        <v>8922</v>
      </c>
      <c r="G2038" s="8" t="s">
        <v>9172</v>
      </c>
      <c r="H2038" s="8" t="s">
        <v>145</v>
      </c>
      <c r="I2038" s="8" t="s">
        <v>153</v>
      </c>
      <c r="J2038" s="8" t="s">
        <v>9173</v>
      </c>
      <c r="K2038" s="8"/>
      <c r="L2038" s="8" t="s">
        <v>9174</v>
      </c>
    </row>
    <row r="2039" customFormat="false" ht="34.5" hidden="false" customHeight="true" outlineLevel="0" collapsed="false">
      <c r="A2039" s="8" t="n">
        <v>1783</v>
      </c>
      <c r="B2039" s="8" t="s">
        <v>65</v>
      </c>
      <c r="C2039" s="8" t="s">
        <v>9175</v>
      </c>
      <c r="D2039" s="8" t="s">
        <v>9176</v>
      </c>
      <c r="E2039" s="8" t="s">
        <v>9177</v>
      </c>
      <c r="F2039" s="8" t="s">
        <v>8922</v>
      </c>
      <c r="G2039" s="8" t="s">
        <v>213</v>
      </c>
      <c r="H2039" s="8" t="s">
        <v>145</v>
      </c>
      <c r="I2039" s="8" t="s">
        <v>153</v>
      </c>
      <c r="J2039" s="8" t="s">
        <v>9178</v>
      </c>
      <c r="K2039" s="8"/>
      <c r="L2039" s="8" t="s">
        <v>9179</v>
      </c>
    </row>
    <row r="2040" customFormat="false" ht="34.5" hidden="false" customHeight="true" outlineLevel="0" collapsed="false">
      <c r="A2040" s="8" t="n">
        <v>1784</v>
      </c>
      <c r="B2040" s="8" t="s">
        <v>65</v>
      </c>
      <c r="C2040" s="8" t="s">
        <v>9180</v>
      </c>
      <c r="D2040" s="8" t="s">
        <v>8125</v>
      </c>
      <c r="E2040" s="8" t="s">
        <v>9181</v>
      </c>
      <c r="F2040" s="8" t="s">
        <v>151</v>
      </c>
      <c r="G2040" s="8" t="s">
        <v>152</v>
      </c>
      <c r="H2040" s="8" t="s">
        <v>145</v>
      </c>
      <c r="I2040" s="8" t="s">
        <v>153</v>
      </c>
      <c r="J2040" s="8" t="s">
        <v>9182</v>
      </c>
      <c r="K2040" s="8"/>
      <c r="L2040" s="8" t="s">
        <v>9183</v>
      </c>
    </row>
    <row r="2041" customFormat="false" ht="34.5" hidden="false" customHeight="true" outlineLevel="0" collapsed="false">
      <c r="A2041" s="8" t="n">
        <v>1785</v>
      </c>
      <c r="B2041" s="8" t="s">
        <v>65</v>
      </c>
      <c r="C2041" s="8" t="s">
        <v>9184</v>
      </c>
      <c r="D2041" s="8" t="s">
        <v>9061</v>
      </c>
      <c r="E2041" s="8" t="s">
        <v>9185</v>
      </c>
      <c r="F2041" s="8" t="s">
        <v>579</v>
      </c>
      <c r="G2041" s="8" t="s">
        <v>9186</v>
      </c>
      <c r="H2041" s="8" t="s">
        <v>9187</v>
      </c>
      <c r="I2041" s="8" t="s">
        <v>153</v>
      </c>
      <c r="J2041" s="8" t="s">
        <v>9188</v>
      </c>
      <c r="K2041" s="8" t="s">
        <v>114</v>
      </c>
      <c r="L2041" s="8" t="s">
        <v>9189</v>
      </c>
    </row>
    <row r="2042" customFormat="false" ht="34.5" hidden="false" customHeight="true" outlineLevel="0" collapsed="false">
      <c r="A2042" s="8" t="n">
        <v>1786</v>
      </c>
      <c r="B2042" s="8" t="s">
        <v>65</v>
      </c>
      <c r="C2042" s="8" t="s">
        <v>9190</v>
      </c>
      <c r="D2042" s="8" t="s">
        <v>9061</v>
      </c>
      <c r="E2042" s="8" t="s">
        <v>9191</v>
      </c>
      <c r="F2042" s="8" t="s">
        <v>151</v>
      </c>
      <c r="G2042" s="8" t="s">
        <v>9192</v>
      </c>
      <c r="H2042" s="8" t="s">
        <v>145</v>
      </c>
      <c r="I2042" s="8" t="s">
        <v>153</v>
      </c>
      <c r="J2042" s="8" t="s">
        <v>9193</v>
      </c>
      <c r="K2042" s="8" t="s">
        <v>114</v>
      </c>
      <c r="L2042" s="8" t="s">
        <v>9194</v>
      </c>
    </row>
    <row r="2043" customFormat="false" ht="34.5" hidden="false" customHeight="true" outlineLevel="0" collapsed="false">
      <c r="A2043" s="8" t="n">
        <v>1787</v>
      </c>
      <c r="B2043" s="8" t="s">
        <v>65</v>
      </c>
      <c r="C2043" s="8" t="s">
        <v>9195</v>
      </c>
      <c r="D2043" s="8" t="s">
        <v>9196</v>
      </c>
      <c r="E2043" s="8" t="s">
        <v>9197</v>
      </c>
      <c r="F2043" s="8" t="s">
        <v>9198</v>
      </c>
      <c r="G2043" s="8" t="s">
        <v>197</v>
      </c>
      <c r="H2043" s="8" t="s">
        <v>145</v>
      </c>
      <c r="I2043" s="8" t="s">
        <v>153</v>
      </c>
      <c r="J2043" s="8" t="s">
        <v>9199</v>
      </c>
      <c r="K2043" s="8"/>
      <c r="L2043" s="8" t="s">
        <v>9200</v>
      </c>
    </row>
    <row r="2044" customFormat="false" ht="34.5" hidden="false" customHeight="true" outlineLevel="0" collapsed="false">
      <c r="A2044" s="8" t="n">
        <v>1788</v>
      </c>
      <c r="B2044" s="8" t="s">
        <v>65</v>
      </c>
      <c r="C2044" s="8" t="s">
        <v>9201</v>
      </c>
      <c r="D2044" s="8" t="s">
        <v>8125</v>
      </c>
      <c r="E2044" s="8" t="s">
        <v>9202</v>
      </c>
      <c r="F2044" s="8" t="s">
        <v>9203</v>
      </c>
      <c r="G2044" s="8" t="s">
        <v>8232</v>
      </c>
      <c r="H2044" s="8" t="s">
        <v>145</v>
      </c>
      <c r="I2044" s="8" t="s">
        <v>153</v>
      </c>
      <c r="J2044" s="8" t="s">
        <v>9204</v>
      </c>
      <c r="K2044" s="8" t="s">
        <v>114</v>
      </c>
      <c r="L2044" s="8" t="s">
        <v>9205</v>
      </c>
    </row>
    <row r="2045" customFormat="false" ht="34.5" hidden="false" customHeight="true" outlineLevel="0" collapsed="false">
      <c r="A2045" s="9" t="n">
        <v>1789</v>
      </c>
      <c r="B2045" s="10" t="s">
        <v>65</v>
      </c>
      <c r="C2045" s="10" t="s">
        <v>9206</v>
      </c>
      <c r="D2045" s="10" t="s">
        <v>8140</v>
      </c>
      <c r="E2045" s="10" t="s">
        <v>9207</v>
      </c>
      <c r="F2045" s="10" t="s">
        <v>579</v>
      </c>
      <c r="G2045" s="10" t="s">
        <v>4052</v>
      </c>
      <c r="H2045" s="10" t="s">
        <v>145</v>
      </c>
      <c r="I2045" s="10" t="s">
        <v>153</v>
      </c>
      <c r="J2045" s="10" t="s">
        <v>9208</v>
      </c>
      <c r="K2045" s="10" t="s">
        <v>114</v>
      </c>
      <c r="L2045" s="10" t="s">
        <v>9209</v>
      </c>
    </row>
    <row r="2046" customFormat="false" ht="34.5" hidden="false" customHeight="true" outlineLevel="0" collapsed="false">
      <c r="A2046" s="11" t="n">
        <v>1789</v>
      </c>
      <c r="B2046" s="12" t="s">
        <v>75</v>
      </c>
      <c r="C2046" s="12" t="s">
        <v>9210</v>
      </c>
      <c r="D2046" s="12" t="s">
        <v>8140</v>
      </c>
      <c r="E2046" s="12" t="s">
        <v>9211</v>
      </c>
      <c r="F2046" s="12" t="s">
        <v>579</v>
      </c>
      <c r="G2046" s="12" t="s">
        <v>9212</v>
      </c>
      <c r="H2046" s="12" t="s">
        <v>145</v>
      </c>
      <c r="I2046" s="12" t="s">
        <v>153</v>
      </c>
      <c r="J2046" s="12" t="s">
        <v>9213</v>
      </c>
      <c r="K2046" s="12" t="s">
        <v>114</v>
      </c>
      <c r="L2046" s="12" t="s">
        <v>9214</v>
      </c>
    </row>
    <row r="2047" customFormat="false" ht="34.5" hidden="false" customHeight="true" outlineLevel="0" collapsed="false">
      <c r="A2047" s="8" t="n">
        <v>1790</v>
      </c>
      <c r="B2047" s="8" t="s">
        <v>65</v>
      </c>
      <c r="C2047" s="8" t="s">
        <v>9215</v>
      </c>
      <c r="D2047" s="8" t="s">
        <v>8140</v>
      </c>
      <c r="E2047" s="8" t="s">
        <v>9216</v>
      </c>
      <c r="F2047" s="8" t="s">
        <v>151</v>
      </c>
      <c r="G2047" s="8" t="s">
        <v>9217</v>
      </c>
      <c r="H2047" s="8" t="s">
        <v>145</v>
      </c>
      <c r="I2047" s="8" t="s">
        <v>146</v>
      </c>
      <c r="J2047" s="8" t="s">
        <v>9218</v>
      </c>
      <c r="K2047" s="8"/>
      <c r="L2047" s="8" t="s">
        <v>9219</v>
      </c>
    </row>
    <row r="2048" customFormat="false" ht="34.5" hidden="false" customHeight="true" outlineLevel="0" collapsed="false">
      <c r="A2048" s="8" t="n">
        <v>1791</v>
      </c>
      <c r="B2048" s="8" t="s">
        <v>65</v>
      </c>
      <c r="C2048" s="8" t="s">
        <v>9220</v>
      </c>
      <c r="D2048" s="8" t="s">
        <v>8240</v>
      </c>
      <c r="E2048" s="8" t="s">
        <v>9221</v>
      </c>
      <c r="F2048" s="8" t="s">
        <v>151</v>
      </c>
      <c r="G2048" s="8" t="s">
        <v>9222</v>
      </c>
      <c r="H2048" s="8" t="s">
        <v>244</v>
      </c>
      <c r="I2048" s="8" t="s">
        <v>146</v>
      </c>
      <c r="J2048" s="8" t="s">
        <v>9223</v>
      </c>
      <c r="K2048" s="8"/>
      <c r="L2048" s="8" t="s">
        <v>9224</v>
      </c>
    </row>
    <row r="2049" customFormat="false" ht="34.5" hidden="false" customHeight="true" outlineLevel="0" collapsed="false">
      <c r="A2049" s="8" t="n">
        <v>1792</v>
      </c>
      <c r="B2049" s="8" t="s">
        <v>65</v>
      </c>
      <c r="C2049" s="8" t="s">
        <v>598</v>
      </c>
      <c r="D2049" s="8" t="s">
        <v>8172</v>
      </c>
      <c r="E2049" s="8" t="s">
        <v>592</v>
      </c>
      <c r="F2049" s="8" t="s">
        <v>201</v>
      </c>
      <c r="G2049" s="8" t="s">
        <v>364</v>
      </c>
      <c r="H2049" s="8" t="s">
        <v>145</v>
      </c>
      <c r="I2049" s="8" t="s">
        <v>153</v>
      </c>
      <c r="J2049" s="8" t="s">
        <v>3954</v>
      </c>
      <c r="K2049" s="8"/>
      <c r="L2049" s="8" t="s">
        <v>9225</v>
      </c>
    </row>
    <row r="2050" customFormat="false" ht="34.5" hidden="false" customHeight="true" outlineLevel="0" collapsed="false">
      <c r="A2050" s="8" t="n">
        <v>1793</v>
      </c>
      <c r="B2050" s="8" t="s">
        <v>65</v>
      </c>
      <c r="C2050" s="8" t="s">
        <v>9226</v>
      </c>
      <c r="D2050" s="8" t="s">
        <v>8125</v>
      </c>
      <c r="E2050" s="8" t="s">
        <v>4155</v>
      </c>
      <c r="F2050" s="8" t="s">
        <v>151</v>
      </c>
      <c r="G2050" s="8" t="s">
        <v>152</v>
      </c>
      <c r="H2050" s="8" t="s">
        <v>145</v>
      </c>
      <c r="I2050" s="8" t="s">
        <v>153</v>
      </c>
      <c r="J2050" s="8" t="s">
        <v>9227</v>
      </c>
      <c r="K2050" s="8"/>
      <c r="L2050" s="8" t="s">
        <v>9228</v>
      </c>
    </row>
    <row r="2051" customFormat="false" ht="34.5" hidden="false" customHeight="true" outlineLevel="0" collapsed="false">
      <c r="A2051" s="8" t="n">
        <v>1794</v>
      </c>
      <c r="B2051" s="8" t="s">
        <v>65</v>
      </c>
      <c r="C2051" s="8" t="s">
        <v>9229</v>
      </c>
      <c r="D2051" s="8" t="s">
        <v>8125</v>
      </c>
      <c r="E2051" s="8" t="s">
        <v>9230</v>
      </c>
      <c r="F2051" s="8" t="s">
        <v>151</v>
      </c>
      <c r="G2051" s="8" t="s">
        <v>9231</v>
      </c>
      <c r="H2051" s="8" t="s">
        <v>145</v>
      </c>
      <c r="I2051" s="8" t="s">
        <v>153</v>
      </c>
      <c r="J2051" s="8" t="s">
        <v>9232</v>
      </c>
      <c r="K2051" s="8" t="s">
        <v>116</v>
      </c>
      <c r="L2051" s="8" t="s">
        <v>9233</v>
      </c>
    </row>
    <row r="2052" customFormat="false" ht="34.5" hidden="false" customHeight="true" outlineLevel="0" collapsed="false">
      <c r="A2052" s="8" t="n">
        <v>1795</v>
      </c>
      <c r="B2052" s="8" t="s">
        <v>65</v>
      </c>
      <c r="C2052" s="8" t="s">
        <v>9234</v>
      </c>
      <c r="D2052" s="8" t="s">
        <v>9061</v>
      </c>
      <c r="E2052" s="8" t="s">
        <v>9235</v>
      </c>
      <c r="F2052" s="8" t="s">
        <v>151</v>
      </c>
      <c r="G2052" s="8" t="s">
        <v>1665</v>
      </c>
      <c r="H2052" s="8" t="s">
        <v>145</v>
      </c>
      <c r="I2052" s="8" t="s">
        <v>153</v>
      </c>
      <c r="J2052" s="8" t="s">
        <v>9236</v>
      </c>
      <c r="K2052" s="8" t="s">
        <v>114</v>
      </c>
      <c r="L2052" s="8" t="s">
        <v>9237</v>
      </c>
    </row>
    <row r="2053" customFormat="false" ht="34.5" hidden="false" customHeight="true" outlineLevel="0" collapsed="false">
      <c r="A2053" s="8" t="n">
        <v>1796</v>
      </c>
      <c r="B2053" s="8" t="s">
        <v>65</v>
      </c>
      <c r="C2053" s="8" t="s">
        <v>9238</v>
      </c>
      <c r="D2053" s="8" t="s">
        <v>8182</v>
      </c>
      <c r="E2053" s="8" t="s">
        <v>9239</v>
      </c>
      <c r="F2053" s="8" t="s">
        <v>9240</v>
      </c>
      <c r="G2053" s="8" t="s">
        <v>152</v>
      </c>
      <c r="H2053" s="8" t="s">
        <v>145</v>
      </c>
      <c r="I2053" s="8" t="s">
        <v>153</v>
      </c>
      <c r="J2053" s="8" t="s">
        <v>9241</v>
      </c>
      <c r="K2053" s="8"/>
      <c r="L2053" s="8" t="s">
        <v>9242</v>
      </c>
    </row>
    <row r="2054" customFormat="false" ht="34.5" hidden="false" customHeight="true" outlineLevel="0" collapsed="false">
      <c r="A2054" s="8" t="n">
        <v>1797</v>
      </c>
      <c r="B2054" s="8" t="s">
        <v>65</v>
      </c>
      <c r="C2054" s="8" t="s">
        <v>9243</v>
      </c>
      <c r="D2054" s="8" t="s">
        <v>9061</v>
      </c>
      <c r="E2054" s="8" t="s">
        <v>9244</v>
      </c>
      <c r="F2054" s="8" t="s">
        <v>579</v>
      </c>
      <c r="G2054" s="8" t="s">
        <v>9245</v>
      </c>
      <c r="H2054" s="8" t="s">
        <v>145</v>
      </c>
      <c r="I2054" s="8" t="s">
        <v>153</v>
      </c>
      <c r="J2054" s="8" t="s">
        <v>9246</v>
      </c>
      <c r="K2054" s="8" t="s">
        <v>114</v>
      </c>
      <c r="L2054" s="8" t="s">
        <v>9247</v>
      </c>
    </row>
    <row r="2055" customFormat="false" ht="34.5" hidden="false" customHeight="true" outlineLevel="0" collapsed="false">
      <c r="A2055" s="8" t="n">
        <v>1798</v>
      </c>
      <c r="B2055" s="8" t="s">
        <v>65</v>
      </c>
      <c r="C2055" s="8" t="s">
        <v>9248</v>
      </c>
      <c r="D2055" s="8" t="s">
        <v>9061</v>
      </c>
      <c r="E2055" s="8" t="s">
        <v>9249</v>
      </c>
      <c r="F2055" s="8" t="s">
        <v>151</v>
      </c>
      <c r="G2055" s="8" t="s">
        <v>152</v>
      </c>
      <c r="H2055" s="8" t="s">
        <v>145</v>
      </c>
      <c r="I2055" s="8" t="s">
        <v>146</v>
      </c>
      <c r="J2055" s="8" t="s">
        <v>9250</v>
      </c>
      <c r="K2055" s="8"/>
      <c r="L2055" s="8" t="s">
        <v>9251</v>
      </c>
    </row>
    <row r="2056" customFormat="false" ht="34.5" hidden="false" customHeight="true" outlineLevel="0" collapsed="false">
      <c r="A2056" s="8" t="n">
        <v>1799</v>
      </c>
      <c r="B2056" s="8" t="s">
        <v>65</v>
      </c>
      <c r="C2056" s="8" t="s">
        <v>9252</v>
      </c>
      <c r="D2056" s="8" t="s">
        <v>8298</v>
      </c>
      <c r="E2056" s="8" t="s">
        <v>9253</v>
      </c>
      <c r="F2056" s="8" t="s">
        <v>9139</v>
      </c>
      <c r="G2056" s="8" t="s">
        <v>9254</v>
      </c>
      <c r="H2056" s="8" t="s">
        <v>145</v>
      </c>
      <c r="I2056" s="8" t="s">
        <v>153</v>
      </c>
      <c r="J2056" s="8" t="s">
        <v>9255</v>
      </c>
      <c r="K2056" s="8" t="s">
        <v>112</v>
      </c>
      <c r="L2056" s="8" t="s">
        <v>9256</v>
      </c>
    </row>
    <row r="2057" customFormat="false" ht="34.5" hidden="false" customHeight="true" outlineLevel="0" collapsed="false">
      <c r="A2057" s="8" t="n">
        <v>1800</v>
      </c>
      <c r="B2057" s="8" t="s">
        <v>65</v>
      </c>
      <c r="C2057" s="8" t="s">
        <v>9257</v>
      </c>
      <c r="D2057" s="8" t="s">
        <v>9061</v>
      </c>
      <c r="E2057" s="8" t="s">
        <v>9258</v>
      </c>
      <c r="F2057" s="8" t="s">
        <v>579</v>
      </c>
      <c r="G2057" s="8" t="s">
        <v>9259</v>
      </c>
      <c r="H2057" s="8" t="s">
        <v>9260</v>
      </c>
      <c r="I2057" s="8" t="s">
        <v>153</v>
      </c>
      <c r="J2057" s="8" t="s">
        <v>9261</v>
      </c>
      <c r="K2057" s="8" t="s">
        <v>114</v>
      </c>
      <c r="L2057" s="8" t="s">
        <v>9262</v>
      </c>
    </row>
    <row r="2058" customFormat="false" ht="34.5" hidden="false" customHeight="true" outlineLevel="0" collapsed="false">
      <c r="A2058" s="8" t="n">
        <v>1801</v>
      </c>
      <c r="B2058" s="8" t="s">
        <v>65</v>
      </c>
      <c r="C2058" s="8" t="s">
        <v>9263</v>
      </c>
      <c r="D2058" s="8" t="s">
        <v>9094</v>
      </c>
      <c r="E2058" s="8" t="s">
        <v>9264</v>
      </c>
      <c r="F2058" s="8" t="s">
        <v>587</v>
      </c>
      <c r="G2058" s="8" t="s">
        <v>9265</v>
      </c>
      <c r="H2058" s="8" t="s">
        <v>187</v>
      </c>
      <c r="I2058" s="8" t="s">
        <v>522</v>
      </c>
      <c r="J2058" s="8" t="s">
        <v>9266</v>
      </c>
      <c r="K2058" s="8" t="s">
        <v>114</v>
      </c>
      <c r="L2058" s="8" t="s">
        <v>9267</v>
      </c>
    </row>
    <row r="2059" customFormat="false" ht="34.5" hidden="false" customHeight="true" outlineLevel="0" collapsed="false">
      <c r="A2059" s="8" t="n">
        <v>1802</v>
      </c>
      <c r="B2059" s="8" t="s">
        <v>65</v>
      </c>
      <c r="C2059" s="8" t="s">
        <v>9268</v>
      </c>
      <c r="D2059" s="8" t="s">
        <v>8253</v>
      </c>
      <c r="E2059" s="8" t="s">
        <v>9269</v>
      </c>
      <c r="F2059" s="8" t="s">
        <v>201</v>
      </c>
      <c r="G2059" s="8" t="s">
        <v>1619</v>
      </c>
      <c r="H2059" s="8" t="s">
        <v>145</v>
      </c>
      <c r="I2059" s="8" t="s">
        <v>153</v>
      </c>
      <c r="J2059" s="8" t="s">
        <v>9270</v>
      </c>
      <c r="K2059" s="8" t="s">
        <v>114</v>
      </c>
      <c r="L2059" s="8" t="s">
        <v>9271</v>
      </c>
    </row>
    <row r="2060" customFormat="false" ht="34.5" hidden="false" customHeight="true" outlineLevel="0" collapsed="false">
      <c r="A2060" s="8" t="n">
        <v>1803</v>
      </c>
      <c r="B2060" s="8" t="s">
        <v>65</v>
      </c>
      <c r="C2060" s="8" t="s">
        <v>9272</v>
      </c>
      <c r="D2060" s="8" t="s">
        <v>9061</v>
      </c>
      <c r="E2060" s="8" t="s">
        <v>9273</v>
      </c>
      <c r="F2060" s="8" t="s">
        <v>579</v>
      </c>
      <c r="G2060" s="8" t="s">
        <v>9274</v>
      </c>
      <c r="H2060" s="8" t="s">
        <v>145</v>
      </c>
      <c r="I2060" s="8" t="s">
        <v>153</v>
      </c>
      <c r="J2060" s="8" t="s">
        <v>9275</v>
      </c>
      <c r="K2060" s="8" t="s">
        <v>114</v>
      </c>
      <c r="L2060" s="8" t="s">
        <v>9276</v>
      </c>
    </row>
    <row r="2061" customFormat="false" ht="34.5" hidden="false" customHeight="true" outlineLevel="0" collapsed="false">
      <c r="A2061" s="8" t="n">
        <v>1804</v>
      </c>
      <c r="B2061" s="8" t="s">
        <v>65</v>
      </c>
      <c r="C2061" s="8" t="s">
        <v>9277</v>
      </c>
      <c r="D2061" s="8" t="s">
        <v>8134</v>
      </c>
      <c r="E2061" s="8" t="s">
        <v>9278</v>
      </c>
      <c r="F2061" s="8" t="s">
        <v>587</v>
      </c>
      <c r="G2061" s="8" t="s">
        <v>9279</v>
      </c>
      <c r="H2061" s="8" t="s">
        <v>145</v>
      </c>
      <c r="I2061" s="8" t="s">
        <v>153</v>
      </c>
      <c r="J2061" s="8" t="s">
        <v>9280</v>
      </c>
      <c r="K2061" s="8" t="s">
        <v>116</v>
      </c>
      <c r="L2061" s="8" t="s">
        <v>9281</v>
      </c>
    </row>
    <row r="2062" customFormat="false" ht="34.5" hidden="false" customHeight="true" outlineLevel="0" collapsed="false">
      <c r="A2062" s="8" t="n">
        <v>1805</v>
      </c>
      <c r="B2062" s="8" t="s">
        <v>65</v>
      </c>
      <c r="C2062" s="8" t="s">
        <v>9282</v>
      </c>
      <c r="D2062" s="8" t="s">
        <v>8125</v>
      </c>
      <c r="E2062" s="8" t="s">
        <v>9283</v>
      </c>
      <c r="F2062" s="8" t="s">
        <v>587</v>
      </c>
      <c r="G2062" s="8" t="s">
        <v>8664</v>
      </c>
      <c r="H2062" s="8" t="s">
        <v>678</v>
      </c>
      <c r="I2062" s="8" t="s">
        <v>153</v>
      </c>
      <c r="J2062" s="8" t="s">
        <v>9284</v>
      </c>
      <c r="K2062" s="8" t="s">
        <v>112</v>
      </c>
      <c r="L2062" s="8" t="s">
        <v>9285</v>
      </c>
    </row>
    <row r="2063" customFormat="false" ht="34.5" hidden="false" customHeight="true" outlineLevel="0" collapsed="false">
      <c r="A2063" s="8" t="n">
        <v>1806</v>
      </c>
      <c r="B2063" s="8" t="s">
        <v>65</v>
      </c>
      <c r="C2063" s="8" t="s">
        <v>9286</v>
      </c>
      <c r="D2063" s="8" t="s">
        <v>9061</v>
      </c>
      <c r="E2063" s="8" t="s">
        <v>9287</v>
      </c>
      <c r="F2063" s="8" t="s">
        <v>9288</v>
      </c>
      <c r="G2063" s="8" t="s">
        <v>9289</v>
      </c>
      <c r="H2063" s="8" t="s">
        <v>678</v>
      </c>
      <c r="I2063" s="8" t="s">
        <v>153</v>
      </c>
      <c r="J2063" s="8" t="s">
        <v>9290</v>
      </c>
      <c r="K2063" s="8" t="s">
        <v>114</v>
      </c>
      <c r="L2063" s="8" t="s">
        <v>9291</v>
      </c>
    </row>
    <row r="2064" customFormat="false" ht="34.5" hidden="false" customHeight="true" outlineLevel="0" collapsed="false">
      <c r="A2064" s="8" t="n">
        <v>1807</v>
      </c>
      <c r="B2064" s="8" t="s">
        <v>65</v>
      </c>
      <c r="C2064" s="8" t="s">
        <v>9292</v>
      </c>
      <c r="D2064" s="8" t="s">
        <v>9061</v>
      </c>
      <c r="E2064" s="8" t="s">
        <v>9293</v>
      </c>
      <c r="F2064" s="8" t="s">
        <v>3817</v>
      </c>
      <c r="G2064" s="8" t="s">
        <v>9294</v>
      </c>
      <c r="H2064" s="8" t="s">
        <v>5410</v>
      </c>
      <c r="I2064" s="8" t="s">
        <v>153</v>
      </c>
      <c r="J2064" s="8" t="s">
        <v>9295</v>
      </c>
      <c r="K2064" s="8" t="s">
        <v>114</v>
      </c>
      <c r="L2064" s="8" t="s">
        <v>9296</v>
      </c>
    </row>
    <row r="2065" customFormat="false" ht="34.5" hidden="false" customHeight="true" outlineLevel="0" collapsed="false">
      <c r="A2065" s="8" t="n">
        <v>1808</v>
      </c>
      <c r="B2065" s="8" t="s">
        <v>65</v>
      </c>
      <c r="C2065" s="8" t="s">
        <v>9297</v>
      </c>
      <c r="D2065" s="8" t="s">
        <v>9061</v>
      </c>
      <c r="E2065" s="8" t="s">
        <v>9298</v>
      </c>
      <c r="F2065" s="8" t="s">
        <v>9299</v>
      </c>
      <c r="G2065" s="8" t="s">
        <v>8870</v>
      </c>
      <c r="H2065" s="8" t="s">
        <v>145</v>
      </c>
      <c r="I2065" s="8" t="s">
        <v>153</v>
      </c>
      <c r="J2065" s="8" t="s">
        <v>9300</v>
      </c>
      <c r="K2065" s="8" t="s">
        <v>112</v>
      </c>
      <c r="L2065" s="8" t="s">
        <v>9301</v>
      </c>
    </row>
    <row r="2066" customFormat="false" ht="34.5" hidden="false" customHeight="true" outlineLevel="0" collapsed="false">
      <c r="A2066" s="8" t="n">
        <v>1809</v>
      </c>
      <c r="B2066" s="8" t="s">
        <v>65</v>
      </c>
      <c r="C2066" s="8" t="s">
        <v>9302</v>
      </c>
      <c r="D2066" s="8" t="s">
        <v>8140</v>
      </c>
      <c r="E2066" s="8" t="s">
        <v>9303</v>
      </c>
      <c r="F2066" s="8" t="s">
        <v>143</v>
      </c>
      <c r="G2066" s="8" t="s">
        <v>9304</v>
      </c>
      <c r="H2066" s="8" t="s">
        <v>2741</v>
      </c>
      <c r="I2066" s="8" t="s">
        <v>146</v>
      </c>
      <c r="J2066" s="8" t="s">
        <v>9305</v>
      </c>
      <c r="K2066" s="8" t="s">
        <v>114</v>
      </c>
      <c r="L2066" s="8" t="s">
        <v>9306</v>
      </c>
    </row>
    <row r="2067" customFormat="false" ht="34.5" hidden="false" customHeight="true" outlineLevel="0" collapsed="false">
      <c r="A2067" s="8" t="n">
        <v>1810</v>
      </c>
      <c r="B2067" s="8" t="s">
        <v>65</v>
      </c>
      <c r="C2067" s="8" t="s">
        <v>9307</v>
      </c>
      <c r="D2067" s="8" t="s">
        <v>8134</v>
      </c>
      <c r="E2067" s="8" t="s">
        <v>3229</v>
      </c>
      <c r="F2067" s="8" t="s">
        <v>9203</v>
      </c>
      <c r="G2067" s="8" t="s">
        <v>9308</v>
      </c>
      <c r="H2067" s="8" t="s">
        <v>338</v>
      </c>
      <c r="I2067" s="8" t="s">
        <v>146</v>
      </c>
      <c r="J2067" s="8" t="s">
        <v>9309</v>
      </c>
      <c r="K2067" s="8" t="s">
        <v>112</v>
      </c>
      <c r="L2067" s="8" t="s">
        <v>9310</v>
      </c>
    </row>
    <row r="2068" customFormat="false" ht="34.5" hidden="false" customHeight="true" outlineLevel="0" collapsed="false">
      <c r="A2068" s="8" t="n">
        <v>1811</v>
      </c>
      <c r="B2068" s="8" t="s">
        <v>65</v>
      </c>
      <c r="C2068" s="8" t="s">
        <v>9311</v>
      </c>
      <c r="D2068" s="8" t="s">
        <v>8182</v>
      </c>
      <c r="E2068" s="8" t="s">
        <v>9312</v>
      </c>
      <c r="F2068" s="8" t="s">
        <v>587</v>
      </c>
      <c r="G2068" s="8" t="s">
        <v>2048</v>
      </c>
      <c r="H2068" s="8" t="s">
        <v>2037</v>
      </c>
      <c r="I2068" s="8" t="s">
        <v>146</v>
      </c>
      <c r="J2068" s="8" t="s">
        <v>9313</v>
      </c>
      <c r="K2068" s="8" t="s">
        <v>116</v>
      </c>
      <c r="L2068" s="8" t="s">
        <v>9314</v>
      </c>
    </row>
    <row r="2069" customFormat="false" ht="34.5" hidden="false" customHeight="true" outlineLevel="0" collapsed="false">
      <c r="A2069" s="8" t="n">
        <v>1812</v>
      </c>
      <c r="B2069" s="8" t="s">
        <v>65</v>
      </c>
      <c r="C2069" s="8" t="s">
        <v>9315</v>
      </c>
      <c r="D2069" s="8" t="s">
        <v>8125</v>
      </c>
      <c r="E2069" s="8" t="s">
        <v>9316</v>
      </c>
      <c r="F2069" s="8" t="s">
        <v>9240</v>
      </c>
      <c r="G2069" s="8" t="s">
        <v>152</v>
      </c>
      <c r="H2069" s="8" t="s">
        <v>9317</v>
      </c>
      <c r="I2069" s="8" t="s">
        <v>146</v>
      </c>
      <c r="J2069" s="8" t="s">
        <v>9318</v>
      </c>
      <c r="K2069" s="8"/>
      <c r="L2069" s="8" t="s">
        <v>9319</v>
      </c>
    </row>
    <row r="2070" customFormat="false" ht="34.5" hidden="false" customHeight="true" outlineLevel="0" collapsed="false">
      <c r="A2070" s="8" t="n">
        <v>1813</v>
      </c>
      <c r="B2070" s="8" t="s">
        <v>65</v>
      </c>
      <c r="C2070" s="8" t="s">
        <v>9320</v>
      </c>
      <c r="D2070" s="8" t="s">
        <v>9061</v>
      </c>
      <c r="E2070" s="8" t="s">
        <v>9321</v>
      </c>
      <c r="F2070" s="8" t="s">
        <v>9288</v>
      </c>
      <c r="G2070" s="8" t="s">
        <v>9322</v>
      </c>
      <c r="H2070" s="8" t="s">
        <v>9323</v>
      </c>
      <c r="I2070" s="8" t="s">
        <v>153</v>
      </c>
      <c r="J2070" s="8" t="s">
        <v>9324</v>
      </c>
      <c r="K2070" s="8" t="s">
        <v>112</v>
      </c>
      <c r="L2070" s="8" t="s">
        <v>9325</v>
      </c>
    </row>
    <row r="2071" customFormat="false" ht="34.5" hidden="false" customHeight="true" outlineLevel="0" collapsed="false">
      <c r="A2071" s="8" t="n">
        <v>1814</v>
      </c>
      <c r="B2071" s="8" t="s">
        <v>65</v>
      </c>
      <c r="C2071" s="8" t="s">
        <v>9326</v>
      </c>
      <c r="D2071" s="8" t="s">
        <v>9061</v>
      </c>
      <c r="E2071" s="8" t="s">
        <v>9327</v>
      </c>
      <c r="F2071" s="8" t="s">
        <v>143</v>
      </c>
      <c r="G2071" s="8" t="s">
        <v>9328</v>
      </c>
      <c r="H2071" s="8" t="s">
        <v>856</v>
      </c>
      <c r="I2071" s="8" t="s">
        <v>153</v>
      </c>
      <c r="J2071" s="8" t="s">
        <v>9329</v>
      </c>
      <c r="K2071" s="8" t="s">
        <v>114</v>
      </c>
      <c r="L2071" s="8" t="s">
        <v>9330</v>
      </c>
    </row>
    <row r="2072" customFormat="false" ht="45.75" hidden="false" customHeight="true" outlineLevel="0" collapsed="false">
      <c r="A2072" s="8" t="n">
        <v>1815</v>
      </c>
      <c r="B2072" s="8" t="s">
        <v>67</v>
      </c>
      <c r="C2072" s="8" t="s">
        <v>9331</v>
      </c>
      <c r="D2072" s="8" t="s">
        <v>9332</v>
      </c>
      <c r="E2072" s="8" t="s">
        <v>9333</v>
      </c>
      <c r="F2072" s="8" t="s">
        <v>151</v>
      </c>
      <c r="G2072" s="8" t="s">
        <v>9334</v>
      </c>
      <c r="H2072" s="8" t="s">
        <v>2037</v>
      </c>
      <c r="I2072" s="8" t="s">
        <v>146</v>
      </c>
      <c r="J2072" s="8" t="s">
        <v>9335</v>
      </c>
      <c r="K2072" s="8"/>
      <c r="L2072" s="8" t="s">
        <v>9336</v>
      </c>
    </row>
    <row r="2073" customFormat="false" ht="34.5" hidden="false" customHeight="true" outlineLevel="0" collapsed="false">
      <c r="A2073" s="8" t="n">
        <v>1816</v>
      </c>
      <c r="B2073" s="8" t="s">
        <v>67</v>
      </c>
      <c r="C2073" s="8" t="s">
        <v>9337</v>
      </c>
      <c r="D2073" s="8" t="s">
        <v>9338</v>
      </c>
      <c r="E2073" s="8" t="s">
        <v>9339</v>
      </c>
      <c r="F2073" s="8" t="s">
        <v>201</v>
      </c>
      <c r="G2073" s="8" t="s">
        <v>515</v>
      </c>
      <c r="H2073" s="8" t="s">
        <v>3279</v>
      </c>
      <c r="I2073" s="8" t="s">
        <v>146</v>
      </c>
      <c r="J2073" s="8" t="s">
        <v>9340</v>
      </c>
      <c r="K2073" s="8"/>
      <c r="L2073" s="8" t="s">
        <v>9341</v>
      </c>
    </row>
    <row r="2074" customFormat="false" ht="34.5" hidden="false" customHeight="true" outlineLevel="0" collapsed="false">
      <c r="A2074" s="8" t="n">
        <v>1817</v>
      </c>
      <c r="B2074" s="8" t="s">
        <v>67</v>
      </c>
      <c r="C2074" s="8" t="s">
        <v>9342</v>
      </c>
      <c r="D2074" s="8" t="s">
        <v>9332</v>
      </c>
      <c r="E2074" s="8" t="s">
        <v>9343</v>
      </c>
      <c r="F2074" s="8" t="s">
        <v>579</v>
      </c>
      <c r="G2074" s="8" t="s">
        <v>197</v>
      </c>
      <c r="H2074" s="8" t="s">
        <v>145</v>
      </c>
      <c r="I2074" s="8" t="s">
        <v>153</v>
      </c>
      <c r="J2074" s="8" t="s">
        <v>9344</v>
      </c>
      <c r="K2074" s="8" t="s">
        <v>116</v>
      </c>
      <c r="L2074" s="8" t="s">
        <v>9345</v>
      </c>
    </row>
    <row r="2075" customFormat="false" ht="34.5" hidden="false" customHeight="true" outlineLevel="0" collapsed="false">
      <c r="A2075" s="8" t="n">
        <v>1818</v>
      </c>
      <c r="B2075" s="8" t="s">
        <v>67</v>
      </c>
      <c r="C2075" s="8" t="s">
        <v>9346</v>
      </c>
      <c r="D2075" s="8" t="s">
        <v>9347</v>
      </c>
      <c r="E2075" s="8" t="s">
        <v>9348</v>
      </c>
      <c r="F2075" s="8" t="s">
        <v>151</v>
      </c>
      <c r="G2075" s="8" t="s">
        <v>2332</v>
      </c>
      <c r="H2075" s="8" t="s">
        <v>145</v>
      </c>
      <c r="I2075" s="8" t="s">
        <v>146</v>
      </c>
      <c r="J2075" s="8" t="s">
        <v>9349</v>
      </c>
      <c r="K2075" s="8" t="s">
        <v>114</v>
      </c>
      <c r="L2075" s="8" t="s">
        <v>9350</v>
      </c>
    </row>
    <row r="2076" customFormat="false" ht="34.5" hidden="false" customHeight="true" outlineLevel="0" collapsed="false">
      <c r="A2076" s="8" t="n">
        <v>1819</v>
      </c>
      <c r="B2076" s="8" t="s">
        <v>67</v>
      </c>
      <c r="C2076" s="8" t="s">
        <v>9351</v>
      </c>
      <c r="D2076" s="8" t="s">
        <v>9352</v>
      </c>
      <c r="E2076" s="8" t="s">
        <v>9353</v>
      </c>
      <c r="F2076" s="8" t="s">
        <v>579</v>
      </c>
      <c r="G2076" s="8" t="s">
        <v>9354</v>
      </c>
      <c r="H2076" s="8" t="s">
        <v>3279</v>
      </c>
      <c r="I2076" s="8" t="s">
        <v>146</v>
      </c>
      <c r="J2076" s="8" t="s">
        <v>3666</v>
      </c>
      <c r="K2076" s="8"/>
      <c r="L2076" s="8" t="s">
        <v>9355</v>
      </c>
    </row>
    <row r="2077" customFormat="false" ht="23.25" hidden="false" customHeight="true" outlineLevel="0" collapsed="false">
      <c r="A2077" s="8" t="n">
        <v>1820</v>
      </c>
      <c r="B2077" s="8" t="s">
        <v>67</v>
      </c>
      <c r="C2077" s="8" t="s">
        <v>9356</v>
      </c>
      <c r="D2077" s="8" t="s">
        <v>9170</v>
      </c>
      <c r="E2077" s="8" t="s">
        <v>9357</v>
      </c>
      <c r="F2077" s="8" t="s">
        <v>143</v>
      </c>
      <c r="G2077" s="8" t="s">
        <v>9358</v>
      </c>
      <c r="H2077" s="8" t="s">
        <v>1020</v>
      </c>
      <c r="I2077" s="8" t="s">
        <v>146</v>
      </c>
      <c r="J2077" s="8" t="s">
        <v>9359</v>
      </c>
      <c r="K2077" s="8" t="s">
        <v>114</v>
      </c>
      <c r="L2077" s="8" t="s">
        <v>9360</v>
      </c>
    </row>
    <row r="2078" customFormat="false" ht="45.75" hidden="false" customHeight="true" outlineLevel="0" collapsed="false">
      <c r="A2078" s="8" t="n">
        <v>1821</v>
      </c>
      <c r="B2078" s="8" t="s">
        <v>67</v>
      </c>
      <c r="C2078" s="8" t="s">
        <v>9361</v>
      </c>
      <c r="D2078" s="8" t="s">
        <v>9332</v>
      </c>
      <c r="E2078" s="8" t="s">
        <v>9362</v>
      </c>
      <c r="F2078" s="8" t="s">
        <v>579</v>
      </c>
      <c r="G2078" s="8" t="s">
        <v>9363</v>
      </c>
      <c r="H2078" s="8" t="s">
        <v>9364</v>
      </c>
      <c r="I2078" s="8" t="s">
        <v>146</v>
      </c>
      <c r="J2078" s="8" t="s">
        <v>9365</v>
      </c>
      <c r="K2078" s="8" t="s">
        <v>116</v>
      </c>
      <c r="L2078" s="8" t="s">
        <v>9366</v>
      </c>
    </row>
    <row r="2079" customFormat="false" ht="34.5" hidden="false" customHeight="true" outlineLevel="0" collapsed="false">
      <c r="A2079" s="8" t="n">
        <v>1822</v>
      </c>
      <c r="B2079" s="8" t="s">
        <v>67</v>
      </c>
      <c r="C2079" s="8" t="s">
        <v>9367</v>
      </c>
      <c r="D2079" s="8" t="s">
        <v>9347</v>
      </c>
      <c r="E2079" s="8" t="s">
        <v>9368</v>
      </c>
      <c r="F2079" s="8" t="s">
        <v>201</v>
      </c>
      <c r="G2079" s="8" t="s">
        <v>9369</v>
      </c>
      <c r="H2079" s="8" t="s">
        <v>2168</v>
      </c>
      <c r="I2079" s="8" t="s">
        <v>153</v>
      </c>
      <c r="J2079" s="8" t="s">
        <v>9370</v>
      </c>
      <c r="K2079" s="8" t="s">
        <v>114</v>
      </c>
      <c r="L2079" s="8" t="s">
        <v>9371</v>
      </c>
    </row>
    <row r="2080" customFormat="false" ht="34.5" hidden="false" customHeight="true" outlineLevel="0" collapsed="false">
      <c r="A2080" s="8" t="n">
        <v>1823</v>
      </c>
      <c r="B2080" s="8" t="s">
        <v>67</v>
      </c>
      <c r="C2080" s="8" t="s">
        <v>9372</v>
      </c>
      <c r="D2080" s="8" t="s">
        <v>9352</v>
      </c>
      <c r="E2080" s="8" t="s">
        <v>9373</v>
      </c>
      <c r="F2080" s="8" t="s">
        <v>201</v>
      </c>
      <c r="G2080" s="8" t="s">
        <v>3552</v>
      </c>
      <c r="H2080" s="8" t="s">
        <v>3279</v>
      </c>
      <c r="I2080" s="8" t="s">
        <v>146</v>
      </c>
      <c r="J2080" s="8" t="s">
        <v>9374</v>
      </c>
      <c r="K2080" s="8"/>
      <c r="L2080" s="8" t="s">
        <v>9375</v>
      </c>
    </row>
    <row r="2081" customFormat="false" ht="34.5" hidden="false" customHeight="true" outlineLevel="0" collapsed="false">
      <c r="A2081" s="8" t="n">
        <v>1824</v>
      </c>
      <c r="B2081" s="8" t="s">
        <v>67</v>
      </c>
      <c r="C2081" s="8" t="s">
        <v>9376</v>
      </c>
      <c r="D2081" s="8" t="s">
        <v>9170</v>
      </c>
      <c r="E2081" s="8" t="s">
        <v>9377</v>
      </c>
      <c r="F2081" s="8" t="s">
        <v>579</v>
      </c>
      <c r="G2081" s="8" t="s">
        <v>9378</v>
      </c>
      <c r="H2081" s="8" t="s">
        <v>9379</v>
      </c>
      <c r="I2081" s="8" t="s">
        <v>146</v>
      </c>
      <c r="J2081" s="8" t="s">
        <v>9380</v>
      </c>
      <c r="K2081" s="8" t="s">
        <v>112</v>
      </c>
      <c r="L2081" s="8" t="s">
        <v>9381</v>
      </c>
    </row>
    <row r="2082" customFormat="false" ht="34.5" hidden="false" customHeight="true" outlineLevel="0" collapsed="false">
      <c r="A2082" s="8" t="n">
        <v>1825</v>
      </c>
      <c r="B2082" s="8" t="s">
        <v>67</v>
      </c>
      <c r="C2082" s="8" t="s">
        <v>9382</v>
      </c>
      <c r="D2082" s="8" t="s">
        <v>9347</v>
      </c>
      <c r="E2082" s="8" t="s">
        <v>9383</v>
      </c>
      <c r="F2082" s="8" t="s">
        <v>151</v>
      </c>
      <c r="G2082" s="8" t="s">
        <v>9384</v>
      </c>
      <c r="H2082" s="8" t="s">
        <v>2168</v>
      </c>
      <c r="I2082" s="8" t="s">
        <v>146</v>
      </c>
      <c r="J2082" s="8" t="s">
        <v>9385</v>
      </c>
      <c r="K2082" s="8"/>
      <c r="L2082" s="8" t="s">
        <v>9386</v>
      </c>
    </row>
    <row r="2083" customFormat="false" ht="34.5" hidden="false" customHeight="true" outlineLevel="0" collapsed="false">
      <c r="A2083" s="8" t="n">
        <v>1826</v>
      </c>
      <c r="B2083" s="8" t="s">
        <v>67</v>
      </c>
      <c r="C2083" s="8" t="s">
        <v>9387</v>
      </c>
      <c r="D2083" s="8" t="s">
        <v>9338</v>
      </c>
      <c r="E2083" s="8" t="s">
        <v>9388</v>
      </c>
      <c r="F2083" s="8" t="s">
        <v>151</v>
      </c>
      <c r="G2083" s="8" t="s">
        <v>152</v>
      </c>
      <c r="H2083" s="8" t="s">
        <v>9389</v>
      </c>
      <c r="I2083" s="8" t="s">
        <v>146</v>
      </c>
      <c r="J2083" s="8" t="s">
        <v>9390</v>
      </c>
      <c r="K2083" s="8"/>
      <c r="L2083" s="8" t="s">
        <v>9391</v>
      </c>
    </row>
    <row r="2084" customFormat="false" ht="23.25" hidden="false" customHeight="true" outlineLevel="0" collapsed="false">
      <c r="A2084" s="8" t="n">
        <v>1827</v>
      </c>
      <c r="B2084" s="8" t="s">
        <v>67</v>
      </c>
      <c r="C2084" s="8" t="s">
        <v>9392</v>
      </c>
      <c r="D2084" s="8" t="s">
        <v>9170</v>
      </c>
      <c r="E2084" s="8" t="s">
        <v>9393</v>
      </c>
      <c r="F2084" s="8" t="s">
        <v>151</v>
      </c>
      <c r="G2084" s="8" t="s">
        <v>9394</v>
      </c>
      <c r="H2084" s="8" t="s">
        <v>8695</v>
      </c>
      <c r="I2084" s="8" t="s">
        <v>153</v>
      </c>
      <c r="J2084" s="8" t="s">
        <v>9395</v>
      </c>
      <c r="K2084" s="8" t="s">
        <v>114</v>
      </c>
      <c r="L2084" s="8" t="s">
        <v>9396</v>
      </c>
    </row>
    <row r="2085" customFormat="false" ht="34.5" hidden="false" customHeight="true" outlineLevel="0" collapsed="false">
      <c r="A2085" s="8" t="n">
        <v>1828</v>
      </c>
      <c r="B2085" s="8" t="s">
        <v>67</v>
      </c>
      <c r="C2085" s="8" t="s">
        <v>9397</v>
      </c>
      <c r="D2085" s="8" t="s">
        <v>9347</v>
      </c>
      <c r="E2085" s="8" t="s">
        <v>9398</v>
      </c>
      <c r="F2085" s="8" t="s">
        <v>143</v>
      </c>
      <c r="G2085" s="8" t="s">
        <v>9399</v>
      </c>
      <c r="H2085" s="8" t="s">
        <v>145</v>
      </c>
      <c r="I2085" s="8" t="s">
        <v>153</v>
      </c>
      <c r="J2085" s="8" t="s">
        <v>9400</v>
      </c>
      <c r="K2085" s="8" t="s">
        <v>114</v>
      </c>
      <c r="L2085" s="8" t="s">
        <v>9401</v>
      </c>
    </row>
    <row r="2086" customFormat="false" ht="34.5" hidden="false" customHeight="true" outlineLevel="0" collapsed="false">
      <c r="A2086" s="8" t="n">
        <v>1829</v>
      </c>
      <c r="B2086" s="8" t="s">
        <v>67</v>
      </c>
      <c r="C2086" s="8" t="s">
        <v>9402</v>
      </c>
      <c r="D2086" s="8" t="s">
        <v>9347</v>
      </c>
      <c r="E2086" s="8" t="s">
        <v>9403</v>
      </c>
      <c r="F2086" s="8" t="s">
        <v>201</v>
      </c>
      <c r="G2086" s="8" t="s">
        <v>9404</v>
      </c>
      <c r="H2086" s="8" t="s">
        <v>9405</v>
      </c>
      <c r="I2086" s="8" t="s">
        <v>153</v>
      </c>
      <c r="J2086" s="8" t="s">
        <v>9406</v>
      </c>
      <c r="K2086" s="8" t="s">
        <v>114</v>
      </c>
      <c r="L2086" s="8" t="s">
        <v>9407</v>
      </c>
    </row>
    <row r="2087" customFormat="false" ht="34.5" hidden="false" customHeight="true" outlineLevel="0" collapsed="false">
      <c r="A2087" s="8" t="n">
        <v>1830</v>
      </c>
      <c r="B2087" s="8" t="s">
        <v>67</v>
      </c>
      <c r="C2087" s="8" t="s">
        <v>9402</v>
      </c>
      <c r="D2087" s="8" t="s">
        <v>9408</v>
      </c>
      <c r="E2087" s="8" t="s">
        <v>9409</v>
      </c>
      <c r="F2087" s="8" t="s">
        <v>143</v>
      </c>
      <c r="G2087" s="8" t="s">
        <v>9410</v>
      </c>
      <c r="H2087" s="8" t="s">
        <v>145</v>
      </c>
      <c r="I2087" s="8" t="s">
        <v>153</v>
      </c>
      <c r="J2087" s="8" t="s">
        <v>9411</v>
      </c>
      <c r="K2087" s="8" t="s">
        <v>116</v>
      </c>
      <c r="L2087" s="8" t="s">
        <v>9412</v>
      </c>
    </row>
    <row r="2088" customFormat="false" ht="34.5" hidden="false" customHeight="true" outlineLevel="0" collapsed="false">
      <c r="A2088" s="8" t="n">
        <v>1831</v>
      </c>
      <c r="B2088" s="8" t="s">
        <v>67</v>
      </c>
      <c r="C2088" s="8" t="s">
        <v>9413</v>
      </c>
      <c r="D2088" s="8" t="s">
        <v>9347</v>
      </c>
      <c r="E2088" s="8" t="s">
        <v>9414</v>
      </c>
      <c r="F2088" s="8" t="s">
        <v>151</v>
      </c>
      <c r="G2088" s="8" t="s">
        <v>9415</v>
      </c>
      <c r="H2088" s="8" t="s">
        <v>9416</v>
      </c>
      <c r="I2088" s="8" t="s">
        <v>153</v>
      </c>
      <c r="J2088" s="8" t="s">
        <v>9417</v>
      </c>
      <c r="K2088" s="8" t="s">
        <v>114</v>
      </c>
      <c r="L2088" s="8" t="s">
        <v>9418</v>
      </c>
    </row>
    <row r="2089" customFormat="false" ht="23.25" hidden="false" customHeight="true" outlineLevel="0" collapsed="false">
      <c r="A2089" s="8" t="n">
        <v>1832</v>
      </c>
      <c r="B2089" s="8" t="s">
        <v>67</v>
      </c>
      <c r="C2089" s="8" t="s">
        <v>9419</v>
      </c>
      <c r="D2089" s="8" t="s">
        <v>9420</v>
      </c>
      <c r="E2089" s="8" t="s">
        <v>9421</v>
      </c>
      <c r="F2089" s="8" t="s">
        <v>151</v>
      </c>
      <c r="G2089" s="8" t="s">
        <v>152</v>
      </c>
      <c r="H2089" s="8" t="s">
        <v>145</v>
      </c>
      <c r="I2089" s="8" t="s">
        <v>153</v>
      </c>
      <c r="J2089" s="8" t="s">
        <v>9422</v>
      </c>
      <c r="K2089" s="8"/>
      <c r="L2089" s="8" t="s">
        <v>9423</v>
      </c>
    </row>
    <row r="2090" customFormat="false" ht="23.25" hidden="false" customHeight="true" outlineLevel="0" collapsed="false">
      <c r="A2090" s="8" t="n">
        <v>1833</v>
      </c>
      <c r="B2090" s="8" t="s">
        <v>67</v>
      </c>
      <c r="C2090" s="8" t="s">
        <v>9424</v>
      </c>
      <c r="D2090" s="8" t="s">
        <v>9425</v>
      </c>
      <c r="E2090" s="8" t="s">
        <v>9426</v>
      </c>
      <c r="F2090" s="8" t="s">
        <v>587</v>
      </c>
      <c r="G2090" s="8" t="s">
        <v>4489</v>
      </c>
      <c r="H2090" s="8" t="s">
        <v>889</v>
      </c>
      <c r="I2090" s="8" t="s">
        <v>146</v>
      </c>
      <c r="J2090" s="8" t="s">
        <v>9427</v>
      </c>
      <c r="K2090" s="8"/>
      <c r="L2090" s="8" t="s">
        <v>9428</v>
      </c>
    </row>
    <row r="2091" customFormat="false" ht="34.5" hidden="false" customHeight="true" outlineLevel="0" collapsed="false">
      <c r="A2091" s="8" t="n">
        <v>1834</v>
      </c>
      <c r="B2091" s="8" t="s">
        <v>67</v>
      </c>
      <c r="C2091" s="8" t="s">
        <v>9429</v>
      </c>
      <c r="D2091" s="8" t="s">
        <v>9425</v>
      </c>
      <c r="E2091" s="8" t="s">
        <v>9430</v>
      </c>
      <c r="F2091" s="8" t="s">
        <v>201</v>
      </c>
      <c r="G2091" s="8" t="s">
        <v>9431</v>
      </c>
      <c r="H2091" s="8" t="s">
        <v>4711</v>
      </c>
      <c r="I2091" s="8" t="s">
        <v>146</v>
      </c>
      <c r="J2091" s="8" t="s">
        <v>9432</v>
      </c>
      <c r="K2091" s="8" t="s">
        <v>116</v>
      </c>
      <c r="L2091" s="8" t="s">
        <v>9433</v>
      </c>
    </row>
    <row r="2092" customFormat="false" ht="23.25" hidden="false" customHeight="true" outlineLevel="0" collapsed="false">
      <c r="A2092" s="8" t="n">
        <v>1835</v>
      </c>
      <c r="B2092" s="8" t="s">
        <v>67</v>
      </c>
      <c r="C2092" s="8" t="s">
        <v>9434</v>
      </c>
      <c r="D2092" s="8" t="s">
        <v>9332</v>
      </c>
      <c r="E2092" s="8" t="s">
        <v>9435</v>
      </c>
      <c r="F2092" s="8" t="s">
        <v>201</v>
      </c>
      <c r="G2092" s="8" t="s">
        <v>9436</v>
      </c>
      <c r="H2092" s="8" t="s">
        <v>1075</v>
      </c>
      <c r="I2092" s="8" t="s">
        <v>146</v>
      </c>
      <c r="J2092" s="8" t="s">
        <v>9437</v>
      </c>
      <c r="K2092" s="8" t="s">
        <v>114</v>
      </c>
      <c r="L2092" s="8" t="s">
        <v>9438</v>
      </c>
    </row>
    <row r="2093" customFormat="false" ht="34.5" hidden="false" customHeight="true" outlineLevel="0" collapsed="false">
      <c r="A2093" s="8" t="n">
        <v>1836</v>
      </c>
      <c r="B2093" s="8" t="s">
        <v>67</v>
      </c>
      <c r="C2093" s="8" t="s">
        <v>9439</v>
      </c>
      <c r="D2093" s="8" t="s">
        <v>9332</v>
      </c>
      <c r="E2093" s="8" t="s">
        <v>9440</v>
      </c>
      <c r="F2093" s="8" t="s">
        <v>201</v>
      </c>
      <c r="G2093" s="8" t="s">
        <v>9441</v>
      </c>
      <c r="H2093" s="8" t="s">
        <v>145</v>
      </c>
      <c r="I2093" s="8" t="s">
        <v>146</v>
      </c>
      <c r="J2093" s="8" t="s">
        <v>9442</v>
      </c>
      <c r="K2093" s="8" t="s">
        <v>112</v>
      </c>
      <c r="L2093" s="8" t="s">
        <v>9443</v>
      </c>
    </row>
    <row r="2094" customFormat="false" ht="34.5" hidden="false" customHeight="true" outlineLevel="0" collapsed="false">
      <c r="A2094" s="8" t="n">
        <v>1837</v>
      </c>
      <c r="B2094" s="8" t="s">
        <v>67</v>
      </c>
      <c r="C2094" s="8" t="s">
        <v>9444</v>
      </c>
      <c r="D2094" s="8" t="s">
        <v>9196</v>
      </c>
      <c r="E2094" s="8" t="s">
        <v>9445</v>
      </c>
      <c r="F2094" s="8" t="s">
        <v>201</v>
      </c>
      <c r="G2094" s="8" t="s">
        <v>197</v>
      </c>
      <c r="H2094" s="8" t="s">
        <v>145</v>
      </c>
      <c r="I2094" s="8" t="s">
        <v>153</v>
      </c>
      <c r="J2094" s="8" t="s">
        <v>9446</v>
      </c>
      <c r="K2094" s="8" t="s">
        <v>116</v>
      </c>
      <c r="L2094" s="8" t="s">
        <v>9447</v>
      </c>
    </row>
    <row r="2095" customFormat="false" ht="34.5" hidden="false" customHeight="true" outlineLevel="0" collapsed="false">
      <c r="A2095" s="8" t="n">
        <v>1838</v>
      </c>
      <c r="B2095" s="8" t="s">
        <v>67</v>
      </c>
      <c r="C2095" s="8" t="s">
        <v>9448</v>
      </c>
      <c r="D2095" s="8" t="s">
        <v>9332</v>
      </c>
      <c r="E2095" s="8" t="s">
        <v>9449</v>
      </c>
      <c r="F2095" s="8" t="s">
        <v>143</v>
      </c>
      <c r="G2095" s="8" t="s">
        <v>1495</v>
      </c>
      <c r="H2095" s="8" t="s">
        <v>9450</v>
      </c>
      <c r="I2095" s="8" t="s">
        <v>153</v>
      </c>
      <c r="J2095" s="8" t="s">
        <v>9451</v>
      </c>
      <c r="K2095" s="8" t="s">
        <v>116</v>
      </c>
      <c r="L2095" s="8" t="s">
        <v>9452</v>
      </c>
    </row>
    <row r="2096" customFormat="false" ht="34.5" hidden="false" customHeight="true" outlineLevel="0" collapsed="false">
      <c r="A2096" s="8" t="n">
        <v>1839</v>
      </c>
      <c r="B2096" s="8" t="s">
        <v>67</v>
      </c>
      <c r="C2096" s="8" t="s">
        <v>9453</v>
      </c>
      <c r="D2096" s="8" t="s">
        <v>9170</v>
      </c>
      <c r="E2096" s="8" t="s">
        <v>9454</v>
      </c>
      <c r="F2096" s="8" t="s">
        <v>201</v>
      </c>
      <c r="G2096" s="8" t="s">
        <v>9455</v>
      </c>
      <c r="H2096" s="8" t="s">
        <v>9456</v>
      </c>
      <c r="I2096" s="8" t="s">
        <v>146</v>
      </c>
      <c r="J2096" s="8" t="s">
        <v>9457</v>
      </c>
      <c r="K2096" s="8" t="s">
        <v>114</v>
      </c>
      <c r="L2096" s="8" t="s">
        <v>9458</v>
      </c>
    </row>
    <row r="2097" customFormat="false" ht="34.5" hidden="false" customHeight="true" outlineLevel="0" collapsed="false">
      <c r="A2097" s="8" t="n">
        <v>1840</v>
      </c>
      <c r="B2097" s="8" t="s">
        <v>67</v>
      </c>
      <c r="C2097" s="8" t="s">
        <v>9459</v>
      </c>
      <c r="D2097" s="8" t="s">
        <v>9460</v>
      </c>
      <c r="E2097" s="8" t="s">
        <v>9461</v>
      </c>
      <c r="F2097" s="8" t="s">
        <v>579</v>
      </c>
      <c r="G2097" s="8" t="s">
        <v>9462</v>
      </c>
      <c r="H2097" s="8" t="s">
        <v>9463</v>
      </c>
      <c r="I2097" s="8" t="s">
        <v>146</v>
      </c>
      <c r="J2097" s="8" t="s">
        <v>9464</v>
      </c>
      <c r="K2097" s="8"/>
      <c r="L2097" s="8" t="s">
        <v>9465</v>
      </c>
    </row>
    <row r="2098" customFormat="false" ht="23.25" hidden="false" customHeight="true" outlineLevel="0" collapsed="false">
      <c r="A2098" s="8" t="n">
        <v>1841</v>
      </c>
      <c r="B2098" s="8" t="s">
        <v>67</v>
      </c>
      <c r="C2098" s="8" t="s">
        <v>9466</v>
      </c>
      <c r="D2098" s="8" t="s">
        <v>9467</v>
      </c>
      <c r="E2098" s="8" t="s">
        <v>9468</v>
      </c>
      <c r="F2098" s="8" t="s">
        <v>201</v>
      </c>
      <c r="G2098" s="8" t="s">
        <v>9469</v>
      </c>
      <c r="H2098" s="8" t="s">
        <v>9470</v>
      </c>
      <c r="I2098" s="8" t="s">
        <v>146</v>
      </c>
      <c r="J2098" s="8" t="s">
        <v>9471</v>
      </c>
      <c r="K2098" s="8" t="s">
        <v>116</v>
      </c>
      <c r="L2098" s="8" t="s">
        <v>9472</v>
      </c>
    </row>
    <row r="2099" customFormat="false" ht="34.5" hidden="false" customHeight="true" outlineLevel="0" collapsed="false">
      <c r="A2099" s="8" t="n">
        <v>1842</v>
      </c>
      <c r="B2099" s="8" t="s">
        <v>67</v>
      </c>
      <c r="C2099" s="8" t="s">
        <v>9466</v>
      </c>
      <c r="D2099" s="8" t="s">
        <v>9338</v>
      </c>
      <c r="E2099" s="8" t="s">
        <v>9473</v>
      </c>
      <c r="F2099" s="8" t="s">
        <v>201</v>
      </c>
      <c r="G2099" s="8" t="s">
        <v>9474</v>
      </c>
      <c r="H2099" s="8" t="s">
        <v>145</v>
      </c>
      <c r="I2099" s="8" t="s">
        <v>153</v>
      </c>
      <c r="J2099" s="8" t="s">
        <v>9475</v>
      </c>
      <c r="K2099" s="8" t="s">
        <v>116</v>
      </c>
      <c r="L2099" s="8" t="s">
        <v>9476</v>
      </c>
    </row>
    <row r="2100" customFormat="false" ht="34.5" hidden="false" customHeight="true" outlineLevel="0" collapsed="false">
      <c r="A2100" s="8" t="n">
        <v>1843</v>
      </c>
      <c r="B2100" s="8" t="s">
        <v>67</v>
      </c>
      <c r="C2100" s="8" t="s">
        <v>9477</v>
      </c>
      <c r="D2100" s="8" t="s">
        <v>9347</v>
      </c>
      <c r="E2100" s="8" t="s">
        <v>9478</v>
      </c>
      <c r="F2100" s="8" t="s">
        <v>143</v>
      </c>
      <c r="G2100" s="8" t="s">
        <v>9479</v>
      </c>
      <c r="H2100" s="8" t="s">
        <v>9480</v>
      </c>
      <c r="I2100" s="8" t="s">
        <v>146</v>
      </c>
      <c r="J2100" s="8" t="s">
        <v>9481</v>
      </c>
      <c r="K2100" s="8" t="s">
        <v>116</v>
      </c>
      <c r="L2100" s="8" t="s">
        <v>9482</v>
      </c>
    </row>
    <row r="2101" customFormat="false" ht="34.5" hidden="false" customHeight="true" outlineLevel="0" collapsed="false">
      <c r="A2101" s="8" t="n">
        <v>1844</v>
      </c>
      <c r="B2101" s="8" t="s">
        <v>67</v>
      </c>
      <c r="C2101" s="8" t="s">
        <v>9483</v>
      </c>
      <c r="D2101" s="8" t="s">
        <v>9196</v>
      </c>
      <c r="E2101" s="8" t="s">
        <v>9484</v>
      </c>
      <c r="F2101" s="8" t="s">
        <v>579</v>
      </c>
      <c r="G2101" s="8" t="s">
        <v>9485</v>
      </c>
      <c r="H2101" s="8" t="s">
        <v>9486</v>
      </c>
      <c r="I2101" s="8" t="s">
        <v>146</v>
      </c>
      <c r="J2101" s="8" t="s">
        <v>9487</v>
      </c>
      <c r="K2101" s="8" t="s">
        <v>116</v>
      </c>
      <c r="L2101" s="8" t="s">
        <v>9488</v>
      </c>
    </row>
    <row r="2102" customFormat="false" ht="34.5" hidden="false" customHeight="true" outlineLevel="0" collapsed="false">
      <c r="A2102" s="8" t="n">
        <v>1845</v>
      </c>
      <c r="B2102" s="8" t="s">
        <v>67</v>
      </c>
      <c r="C2102" s="8" t="s">
        <v>9483</v>
      </c>
      <c r="D2102" s="8" t="s">
        <v>9489</v>
      </c>
      <c r="E2102" s="8" t="s">
        <v>9490</v>
      </c>
      <c r="F2102" s="8" t="s">
        <v>151</v>
      </c>
      <c r="G2102" s="8" t="s">
        <v>9491</v>
      </c>
      <c r="H2102" s="8" t="s">
        <v>9492</v>
      </c>
      <c r="I2102" s="8" t="s">
        <v>387</v>
      </c>
      <c r="J2102" s="8" t="s">
        <v>9493</v>
      </c>
      <c r="K2102" s="8" t="s">
        <v>116</v>
      </c>
      <c r="L2102" s="8" t="s">
        <v>9494</v>
      </c>
    </row>
    <row r="2103" customFormat="false" ht="34.5" hidden="false" customHeight="true" outlineLevel="0" collapsed="false">
      <c r="A2103" s="8" t="n">
        <v>1846</v>
      </c>
      <c r="B2103" s="8" t="s">
        <v>67</v>
      </c>
      <c r="C2103" s="8" t="s">
        <v>9483</v>
      </c>
      <c r="D2103" s="8" t="s">
        <v>9467</v>
      </c>
      <c r="E2103" s="8" t="s">
        <v>9495</v>
      </c>
      <c r="F2103" s="8" t="s">
        <v>143</v>
      </c>
      <c r="G2103" s="8" t="s">
        <v>9496</v>
      </c>
      <c r="H2103" s="8" t="s">
        <v>9486</v>
      </c>
      <c r="I2103" s="8" t="s">
        <v>153</v>
      </c>
      <c r="J2103" s="8" t="s">
        <v>9497</v>
      </c>
      <c r="K2103" s="8" t="s">
        <v>114</v>
      </c>
      <c r="L2103" s="8" t="s">
        <v>9498</v>
      </c>
    </row>
    <row r="2104" customFormat="false" ht="34.5" hidden="false" customHeight="true" outlineLevel="0" collapsed="false">
      <c r="A2104" s="8" t="n">
        <v>1847</v>
      </c>
      <c r="B2104" s="8" t="s">
        <v>67</v>
      </c>
      <c r="C2104" s="8" t="s">
        <v>9483</v>
      </c>
      <c r="D2104" s="8" t="s">
        <v>9499</v>
      </c>
      <c r="E2104" s="8" t="s">
        <v>9500</v>
      </c>
      <c r="F2104" s="8" t="s">
        <v>579</v>
      </c>
      <c r="G2104" s="8" t="s">
        <v>364</v>
      </c>
      <c r="H2104" s="8" t="s">
        <v>9463</v>
      </c>
      <c r="I2104" s="8" t="s">
        <v>146</v>
      </c>
      <c r="J2104" s="8" t="s">
        <v>9501</v>
      </c>
      <c r="K2104" s="8" t="s">
        <v>116</v>
      </c>
      <c r="L2104" s="8" t="s">
        <v>9502</v>
      </c>
    </row>
    <row r="2105" customFormat="false" ht="34.5" hidden="false" customHeight="true" outlineLevel="0" collapsed="false">
      <c r="A2105" s="8" t="n">
        <v>1848</v>
      </c>
      <c r="B2105" s="8" t="s">
        <v>67</v>
      </c>
      <c r="C2105" s="8" t="s">
        <v>9483</v>
      </c>
      <c r="D2105" s="8" t="s">
        <v>9503</v>
      </c>
      <c r="E2105" s="8" t="s">
        <v>9504</v>
      </c>
      <c r="F2105" s="8" t="s">
        <v>201</v>
      </c>
      <c r="G2105" s="8" t="s">
        <v>9505</v>
      </c>
      <c r="H2105" s="8" t="s">
        <v>856</v>
      </c>
      <c r="I2105" s="8" t="s">
        <v>146</v>
      </c>
      <c r="J2105" s="8" t="s">
        <v>9506</v>
      </c>
      <c r="K2105" s="8" t="s">
        <v>116</v>
      </c>
      <c r="L2105" s="8" t="s">
        <v>9507</v>
      </c>
    </row>
    <row r="2106" customFormat="false" ht="34.5" hidden="false" customHeight="true" outlineLevel="0" collapsed="false">
      <c r="A2106" s="8" t="n">
        <v>1849</v>
      </c>
      <c r="B2106" s="8" t="s">
        <v>67</v>
      </c>
      <c r="C2106" s="8" t="s">
        <v>9483</v>
      </c>
      <c r="D2106" s="8" t="s">
        <v>9332</v>
      </c>
      <c r="E2106" s="8" t="s">
        <v>9508</v>
      </c>
      <c r="F2106" s="8" t="s">
        <v>143</v>
      </c>
      <c r="G2106" s="8" t="s">
        <v>9509</v>
      </c>
      <c r="H2106" s="8" t="s">
        <v>9510</v>
      </c>
      <c r="I2106" s="8" t="s">
        <v>153</v>
      </c>
      <c r="J2106" s="8" t="s">
        <v>9511</v>
      </c>
      <c r="K2106" s="8" t="s">
        <v>114</v>
      </c>
      <c r="L2106" s="8" t="s">
        <v>9512</v>
      </c>
    </row>
    <row r="2107" customFormat="false" ht="34.5" hidden="false" customHeight="true" outlineLevel="0" collapsed="false">
      <c r="A2107" s="8" t="n">
        <v>1850</v>
      </c>
      <c r="B2107" s="8" t="s">
        <v>67</v>
      </c>
      <c r="C2107" s="8" t="s">
        <v>9513</v>
      </c>
      <c r="D2107" s="8" t="s">
        <v>9467</v>
      </c>
      <c r="E2107" s="8" t="s">
        <v>9514</v>
      </c>
      <c r="F2107" s="8" t="s">
        <v>579</v>
      </c>
      <c r="G2107" s="8" t="s">
        <v>9515</v>
      </c>
      <c r="H2107" s="8" t="s">
        <v>9516</v>
      </c>
      <c r="I2107" s="8" t="s">
        <v>146</v>
      </c>
      <c r="J2107" s="8" t="s">
        <v>9517</v>
      </c>
      <c r="K2107" s="8" t="s">
        <v>116</v>
      </c>
      <c r="L2107" s="8" t="s">
        <v>9518</v>
      </c>
    </row>
    <row r="2108" customFormat="false" ht="34.5" hidden="false" customHeight="true" outlineLevel="0" collapsed="false">
      <c r="A2108" s="8" t="n">
        <v>1851</v>
      </c>
      <c r="B2108" s="8" t="s">
        <v>67</v>
      </c>
      <c r="C2108" s="8" t="s">
        <v>9519</v>
      </c>
      <c r="D2108" s="8" t="s">
        <v>9338</v>
      </c>
      <c r="E2108" s="8" t="s">
        <v>9520</v>
      </c>
      <c r="F2108" s="8" t="s">
        <v>579</v>
      </c>
      <c r="G2108" s="8" t="s">
        <v>9521</v>
      </c>
      <c r="H2108" s="8" t="s">
        <v>9522</v>
      </c>
      <c r="I2108" s="8" t="s">
        <v>208</v>
      </c>
      <c r="J2108" s="8" t="s">
        <v>9523</v>
      </c>
      <c r="K2108" s="8" t="s">
        <v>116</v>
      </c>
      <c r="L2108" s="8" t="s">
        <v>9524</v>
      </c>
    </row>
    <row r="2109" customFormat="false" ht="34.5" hidden="false" customHeight="true" outlineLevel="0" collapsed="false">
      <c r="A2109" s="8" t="n">
        <v>1852</v>
      </c>
      <c r="B2109" s="8" t="s">
        <v>67</v>
      </c>
      <c r="C2109" s="8" t="s">
        <v>9525</v>
      </c>
      <c r="D2109" s="8" t="s">
        <v>9332</v>
      </c>
      <c r="E2109" s="8" t="s">
        <v>9526</v>
      </c>
      <c r="F2109" s="8" t="s">
        <v>201</v>
      </c>
      <c r="G2109" s="8" t="s">
        <v>9527</v>
      </c>
      <c r="H2109" s="8" t="s">
        <v>9528</v>
      </c>
      <c r="I2109" s="8" t="s">
        <v>146</v>
      </c>
      <c r="J2109" s="8" t="s">
        <v>9529</v>
      </c>
      <c r="K2109" s="8" t="s">
        <v>116</v>
      </c>
      <c r="L2109" s="8" t="s">
        <v>9530</v>
      </c>
    </row>
    <row r="2110" customFormat="false" ht="34.5" hidden="false" customHeight="true" outlineLevel="0" collapsed="false">
      <c r="A2110" s="8" t="n">
        <v>1853</v>
      </c>
      <c r="B2110" s="8" t="s">
        <v>67</v>
      </c>
      <c r="C2110" s="8" t="s">
        <v>9531</v>
      </c>
      <c r="D2110" s="8" t="s">
        <v>9347</v>
      </c>
      <c r="E2110" s="8" t="s">
        <v>9532</v>
      </c>
      <c r="F2110" s="8" t="s">
        <v>579</v>
      </c>
      <c r="G2110" s="8" t="s">
        <v>9533</v>
      </c>
      <c r="H2110" s="8" t="s">
        <v>9534</v>
      </c>
      <c r="I2110" s="8" t="s">
        <v>146</v>
      </c>
      <c r="J2110" s="8" t="s">
        <v>9535</v>
      </c>
      <c r="K2110" s="8" t="s">
        <v>114</v>
      </c>
      <c r="L2110" s="8" t="s">
        <v>9536</v>
      </c>
    </row>
    <row r="2111" customFormat="false" ht="34.5" hidden="false" customHeight="true" outlineLevel="0" collapsed="false">
      <c r="A2111" s="8" t="n">
        <v>1854</v>
      </c>
      <c r="B2111" s="8" t="s">
        <v>67</v>
      </c>
      <c r="C2111" s="8" t="s">
        <v>9537</v>
      </c>
      <c r="D2111" s="8" t="s">
        <v>9347</v>
      </c>
      <c r="E2111" s="8" t="s">
        <v>9538</v>
      </c>
      <c r="F2111" s="8" t="s">
        <v>201</v>
      </c>
      <c r="G2111" s="8" t="s">
        <v>9539</v>
      </c>
      <c r="H2111" s="8" t="s">
        <v>9540</v>
      </c>
      <c r="I2111" s="8" t="s">
        <v>208</v>
      </c>
      <c r="J2111" s="8" t="s">
        <v>9541</v>
      </c>
      <c r="K2111" s="8" t="s">
        <v>116</v>
      </c>
      <c r="L2111" s="8" t="s">
        <v>9542</v>
      </c>
    </row>
    <row r="2112" customFormat="false" ht="34.5" hidden="false" customHeight="true" outlineLevel="0" collapsed="false">
      <c r="A2112" s="8" t="n">
        <v>1855</v>
      </c>
      <c r="B2112" s="8" t="s">
        <v>67</v>
      </c>
      <c r="C2112" s="8" t="s">
        <v>9543</v>
      </c>
      <c r="D2112" s="8" t="s">
        <v>9347</v>
      </c>
      <c r="E2112" s="8" t="s">
        <v>9544</v>
      </c>
      <c r="F2112" s="8" t="s">
        <v>579</v>
      </c>
      <c r="G2112" s="8" t="s">
        <v>9545</v>
      </c>
      <c r="H2112" s="8" t="s">
        <v>9546</v>
      </c>
      <c r="I2112" s="8" t="s">
        <v>146</v>
      </c>
      <c r="J2112" s="8" t="s">
        <v>9547</v>
      </c>
      <c r="K2112" s="8" t="s">
        <v>114</v>
      </c>
      <c r="L2112" s="8" t="s">
        <v>9548</v>
      </c>
    </row>
    <row r="2113" customFormat="false" ht="34.5" hidden="false" customHeight="true" outlineLevel="0" collapsed="false">
      <c r="A2113" s="8" t="n">
        <v>1856</v>
      </c>
      <c r="B2113" s="8" t="s">
        <v>67</v>
      </c>
      <c r="C2113" s="8" t="s">
        <v>9549</v>
      </c>
      <c r="D2113" s="8" t="s">
        <v>9332</v>
      </c>
      <c r="E2113" s="8" t="s">
        <v>9550</v>
      </c>
      <c r="F2113" s="8" t="s">
        <v>201</v>
      </c>
      <c r="G2113" s="8" t="s">
        <v>9551</v>
      </c>
      <c r="H2113" s="8" t="s">
        <v>145</v>
      </c>
      <c r="I2113" s="8" t="s">
        <v>153</v>
      </c>
      <c r="J2113" s="8" t="s">
        <v>9552</v>
      </c>
      <c r="K2113" s="8" t="s">
        <v>116</v>
      </c>
      <c r="L2113" s="8" t="s">
        <v>9553</v>
      </c>
    </row>
    <row r="2114" customFormat="false" ht="34.5" hidden="false" customHeight="true" outlineLevel="0" collapsed="false">
      <c r="A2114" s="8" t="n">
        <v>1857</v>
      </c>
      <c r="B2114" s="8" t="s">
        <v>67</v>
      </c>
      <c r="C2114" s="8" t="s">
        <v>9554</v>
      </c>
      <c r="D2114" s="8" t="s">
        <v>9170</v>
      </c>
      <c r="E2114" s="8" t="s">
        <v>9555</v>
      </c>
      <c r="F2114" s="8" t="s">
        <v>143</v>
      </c>
      <c r="G2114" s="8" t="s">
        <v>9556</v>
      </c>
      <c r="H2114" s="8" t="s">
        <v>145</v>
      </c>
      <c r="I2114" s="8" t="s">
        <v>153</v>
      </c>
      <c r="J2114" s="8" t="s">
        <v>9557</v>
      </c>
      <c r="K2114" s="8" t="s">
        <v>114</v>
      </c>
      <c r="L2114" s="8" t="s">
        <v>9558</v>
      </c>
    </row>
    <row r="2115" customFormat="false" ht="34.5" hidden="false" customHeight="true" outlineLevel="0" collapsed="false">
      <c r="A2115" s="8" t="n">
        <v>1858</v>
      </c>
      <c r="B2115" s="8" t="s">
        <v>67</v>
      </c>
      <c r="C2115" s="8" t="s">
        <v>9559</v>
      </c>
      <c r="D2115" s="8" t="s">
        <v>9420</v>
      </c>
      <c r="E2115" s="8" t="s">
        <v>9560</v>
      </c>
      <c r="F2115" s="8" t="s">
        <v>579</v>
      </c>
      <c r="G2115" s="8" t="s">
        <v>9561</v>
      </c>
      <c r="H2115" s="8" t="s">
        <v>9562</v>
      </c>
      <c r="I2115" s="8" t="s">
        <v>146</v>
      </c>
      <c r="J2115" s="8" t="s">
        <v>9563</v>
      </c>
      <c r="K2115" s="8" t="s">
        <v>112</v>
      </c>
      <c r="L2115" s="8" t="s">
        <v>9564</v>
      </c>
    </row>
    <row r="2116" customFormat="false" ht="23.25" hidden="false" customHeight="true" outlineLevel="0" collapsed="false">
      <c r="A2116" s="8" t="n">
        <v>1859</v>
      </c>
      <c r="B2116" s="8" t="s">
        <v>67</v>
      </c>
      <c r="C2116" s="8" t="s">
        <v>9565</v>
      </c>
      <c r="D2116" s="8" t="s">
        <v>9170</v>
      </c>
      <c r="E2116" s="8" t="s">
        <v>9566</v>
      </c>
      <c r="F2116" s="8" t="s">
        <v>143</v>
      </c>
      <c r="G2116" s="8" t="s">
        <v>9567</v>
      </c>
      <c r="H2116" s="8" t="s">
        <v>9568</v>
      </c>
      <c r="I2116" s="8" t="s">
        <v>153</v>
      </c>
      <c r="J2116" s="8" t="s">
        <v>9569</v>
      </c>
      <c r="K2116" s="8" t="s">
        <v>114</v>
      </c>
      <c r="L2116" s="8" t="s">
        <v>9570</v>
      </c>
    </row>
    <row r="2117" customFormat="false" ht="34.5" hidden="false" customHeight="true" outlineLevel="0" collapsed="false">
      <c r="A2117" s="8" t="n">
        <v>1860</v>
      </c>
      <c r="B2117" s="8" t="s">
        <v>67</v>
      </c>
      <c r="C2117" s="8" t="s">
        <v>9571</v>
      </c>
      <c r="D2117" s="8" t="s">
        <v>9489</v>
      </c>
      <c r="E2117" s="8" t="s">
        <v>9572</v>
      </c>
      <c r="F2117" s="8" t="s">
        <v>201</v>
      </c>
      <c r="G2117" s="8" t="s">
        <v>9573</v>
      </c>
      <c r="H2117" s="8" t="s">
        <v>9574</v>
      </c>
      <c r="I2117" s="8" t="s">
        <v>153</v>
      </c>
      <c r="J2117" s="8" t="s">
        <v>9575</v>
      </c>
      <c r="K2117" s="8" t="s">
        <v>114</v>
      </c>
      <c r="L2117" s="8" t="s">
        <v>9576</v>
      </c>
    </row>
    <row r="2118" customFormat="false" ht="34.5" hidden="false" customHeight="true" outlineLevel="0" collapsed="false">
      <c r="A2118" s="8" t="n">
        <v>1861</v>
      </c>
      <c r="B2118" s="8" t="s">
        <v>67</v>
      </c>
      <c r="C2118" s="8" t="s">
        <v>9577</v>
      </c>
      <c r="D2118" s="8" t="s">
        <v>9578</v>
      </c>
      <c r="E2118" s="8" t="s">
        <v>9579</v>
      </c>
      <c r="F2118" s="8" t="s">
        <v>143</v>
      </c>
      <c r="G2118" s="8" t="s">
        <v>9580</v>
      </c>
      <c r="H2118" s="8" t="s">
        <v>9581</v>
      </c>
      <c r="I2118" s="8" t="s">
        <v>208</v>
      </c>
      <c r="J2118" s="8" t="s">
        <v>9582</v>
      </c>
      <c r="K2118" s="8" t="s">
        <v>116</v>
      </c>
      <c r="L2118" s="8" t="s">
        <v>9583</v>
      </c>
    </row>
    <row r="2119" customFormat="false" ht="34.5" hidden="false" customHeight="true" outlineLevel="0" collapsed="false">
      <c r="A2119" s="8" t="n">
        <v>1862</v>
      </c>
      <c r="B2119" s="8" t="s">
        <v>67</v>
      </c>
      <c r="C2119" s="8" t="s">
        <v>9584</v>
      </c>
      <c r="D2119" s="8" t="s">
        <v>9408</v>
      </c>
      <c r="E2119" s="8" t="s">
        <v>9585</v>
      </c>
      <c r="F2119" s="8" t="s">
        <v>8922</v>
      </c>
      <c r="G2119" s="8" t="s">
        <v>9586</v>
      </c>
      <c r="H2119" s="8" t="s">
        <v>145</v>
      </c>
      <c r="I2119" s="8" t="s">
        <v>153</v>
      </c>
      <c r="J2119" s="8" t="s">
        <v>9587</v>
      </c>
      <c r="K2119" s="8" t="s">
        <v>114</v>
      </c>
      <c r="L2119" s="8" t="s">
        <v>9588</v>
      </c>
    </row>
    <row r="2120" customFormat="false" ht="34.5" hidden="false" customHeight="true" outlineLevel="0" collapsed="false">
      <c r="A2120" s="8" t="n">
        <v>1863</v>
      </c>
      <c r="B2120" s="8" t="s">
        <v>67</v>
      </c>
      <c r="C2120" s="8" t="s">
        <v>9589</v>
      </c>
      <c r="D2120" s="8" t="s">
        <v>9332</v>
      </c>
      <c r="E2120" s="8" t="s">
        <v>9590</v>
      </c>
      <c r="F2120" s="8" t="s">
        <v>201</v>
      </c>
      <c r="G2120" s="8" t="s">
        <v>1264</v>
      </c>
      <c r="H2120" s="8" t="s">
        <v>145</v>
      </c>
      <c r="I2120" s="8" t="s">
        <v>153</v>
      </c>
      <c r="J2120" s="8" t="s">
        <v>9591</v>
      </c>
      <c r="K2120" s="8" t="s">
        <v>116</v>
      </c>
      <c r="L2120" s="8" t="s">
        <v>9592</v>
      </c>
    </row>
    <row r="2121" customFormat="false" ht="34.5" hidden="false" customHeight="true" outlineLevel="0" collapsed="false">
      <c r="A2121" s="8" t="n">
        <v>1864</v>
      </c>
      <c r="B2121" s="8" t="s">
        <v>67</v>
      </c>
      <c r="C2121" s="8" t="s">
        <v>9593</v>
      </c>
      <c r="D2121" s="8" t="s">
        <v>9332</v>
      </c>
      <c r="E2121" s="8" t="s">
        <v>9594</v>
      </c>
      <c r="F2121" s="8" t="s">
        <v>151</v>
      </c>
      <c r="G2121" s="8" t="s">
        <v>9595</v>
      </c>
      <c r="H2121" s="8" t="s">
        <v>9596</v>
      </c>
      <c r="I2121" s="8" t="s">
        <v>208</v>
      </c>
      <c r="J2121" s="8" t="s">
        <v>2635</v>
      </c>
      <c r="K2121" s="8"/>
      <c r="L2121" s="8" t="s">
        <v>9597</v>
      </c>
    </row>
    <row r="2122" customFormat="false" ht="34.5" hidden="false" customHeight="true" outlineLevel="0" collapsed="false">
      <c r="A2122" s="8" t="n">
        <v>1865</v>
      </c>
      <c r="B2122" s="8" t="s">
        <v>67</v>
      </c>
      <c r="C2122" s="8" t="s">
        <v>9598</v>
      </c>
      <c r="D2122" s="8" t="s">
        <v>9347</v>
      </c>
      <c r="E2122" s="8" t="s">
        <v>9599</v>
      </c>
      <c r="F2122" s="8" t="s">
        <v>201</v>
      </c>
      <c r="G2122" s="8" t="s">
        <v>9600</v>
      </c>
      <c r="H2122" s="8" t="s">
        <v>2168</v>
      </c>
      <c r="I2122" s="8" t="s">
        <v>153</v>
      </c>
      <c r="J2122" s="8" t="s">
        <v>9601</v>
      </c>
      <c r="K2122" s="8" t="s">
        <v>116</v>
      </c>
      <c r="L2122" s="8" t="s">
        <v>9602</v>
      </c>
    </row>
    <row r="2123" customFormat="false" ht="23.25" hidden="false" customHeight="true" outlineLevel="0" collapsed="false">
      <c r="A2123" s="8" t="n">
        <v>1866</v>
      </c>
      <c r="B2123" s="8" t="s">
        <v>67</v>
      </c>
      <c r="C2123" s="8" t="s">
        <v>9603</v>
      </c>
      <c r="D2123" s="8" t="s">
        <v>9338</v>
      </c>
      <c r="E2123" s="8" t="s">
        <v>9604</v>
      </c>
      <c r="F2123" s="8" t="s">
        <v>143</v>
      </c>
      <c r="G2123" s="8" t="s">
        <v>9605</v>
      </c>
      <c r="H2123" s="8" t="s">
        <v>1373</v>
      </c>
      <c r="I2123" s="8" t="s">
        <v>153</v>
      </c>
      <c r="J2123" s="8" t="s">
        <v>9606</v>
      </c>
      <c r="K2123" s="8" t="s">
        <v>114</v>
      </c>
      <c r="L2123" s="8" t="s">
        <v>9607</v>
      </c>
    </row>
    <row r="2124" customFormat="false" ht="34.5" hidden="false" customHeight="true" outlineLevel="0" collapsed="false">
      <c r="A2124" s="8" t="n">
        <v>1867</v>
      </c>
      <c r="B2124" s="8" t="s">
        <v>67</v>
      </c>
      <c r="C2124" s="8" t="s">
        <v>9608</v>
      </c>
      <c r="D2124" s="8" t="s">
        <v>9460</v>
      </c>
      <c r="E2124" s="8" t="s">
        <v>9609</v>
      </c>
      <c r="F2124" s="8" t="s">
        <v>587</v>
      </c>
      <c r="G2124" s="8" t="s">
        <v>9610</v>
      </c>
      <c r="H2124" s="8" t="s">
        <v>5271</v>
      </c>
      <c r="I2124" s="8" t="s">
        <v>146</v>
      </c>
      <c r="J2124" s="8" t="s">
        <v>9611</v>
      </c>
      <c r="K2124" s="8" t="s">
        <v>114</v>
      </c>
      <c r="L2124" s="8" t="s">
        <v>9612</v>
      </c>
    </row>
    <row r="2125" customFormat="false" ht="23.25" hidden="false" customHeight="true" outlineLevel="0" collapsed="false">
      <c r="A2125" s="8" t="n">
        <v>1868</v>
      </c>
      <c r="B2125" s="8" t="s">
        <v>67</v>
      </c>
      <c r="C2125" s="8" t="s">
        <v>9613</v>
      </c>
      <c r="D2125" s="8" t="s">
        <v>9338</v>
      </c>
      <c r="E2125" s="8" t="s">
        <v>9614</v>
      </c>
      <c r="F2125" s="8" t="s">
        <v>201</v>
      </c>
      <c r="G2125" s="8" t="s">
        <v>9615</v>
      </c>
      <c r="H2125" s="8" t="s">
        <v>9463</v>
      </c>
      <c r="I2125" s="8" t="s">
        <v>146</v>
      </c>
      <c r="J2125" s="8" t="s">
        <v>9616</v>
      </c>
      <c r="K2125" s="8" t="s">
        <v>116</v>
      </c>
      <c r="L2125" s="8" t="s">
        <v>9617</v>
      </c>
    </row>
    <row r="2126" customFormat="false" ht="23.25" hidden="false" customHeight="true" outlineLevel="0" collapsed="false">
      <c r="A2126" s="8" t="n">
        <v>1869</v>
      </c>
      <c r="B2126" s="8" t="s">
        <v>67</v>
      </c>
      <c r="C2126" s="8" t="s">
        <v>9618</v>
      </c>
      <c r="D2126" s="8" t="s">
        <v>9467</v>
      </c>
      <c r="E2126" s="8" t="s">
        <v>9619</v>
      </c>
      <c r="F2126" s="8" t="s">
        <v>201</v>
      </c>
      <c r="G2126" s="8" t="s">
        <v>6640</v>
      </c>
      <c r="H2126" s="8" t="s">
        <v>145</v>
      </c>
      <c r="I2126" s="8" t="s">
        <v>146</v>
      </c>
      <c r="J2126" s="8" t="s">
        <v>9620</v>
      </c>
      <c r="K2126" s="8"/>
      <c r="L2126" s="8" t="s">
        <v>9621</v>
      </c>
    </row>
    <row r="2127" customFormat="false" ht="23.25" hidden="false" customHeight="true" outlineLevel="0" collapsed="false">
      <c r="A2127" s="8" t="n">
        <v>1870</v>
      </c>
      <c r="B2127" s="8" t="s">
        <v>67</v>
      </c>
      <c r="C2127" s="8" t="s">
        <v>9622</v>
      </c>
      <c r="D2127" s="8" t="s">
        <v>9332</v>
      </c>
      <c r="E2127" s="8" t="s">
        <v>9623</v>
      </c>
      <c r="F2127" s="8" t="s">
        <v>143</v>
      </c>
      <c r="G2127" s="8" t="s">
        <v>9624</v>
      </c>
      <c r="H2127" s="8" t="s">
        <v>9625</v>
      </c>
      <c r="I2127" s="8" t="s">
        <v>153</v>
      </c>
      <c r="J2127" s="8" t="s">
        <v>9626</v>
      </c>
      <c r="K2127" s="8" t="s">
        <v>114</v>
      </c>
      <c r="L2127" s="8" t="s">
        <v>9627</v>
      </c>
    </row>
    <row r="2128" customFormat="false" ht="23.25" hidden="false" customHeight="true" outlineLevel="0" collapsed="false">
      <c r="A2128" s="8" t="n">
        <v>1871</v>
      </c>
      <c r="B2128" s="8" t="s">
        <v>67</v>
      </c>
      <c r="C2128" s="8" t="s">
        <v>9628</v>
      </c>
      <c r="D2128" s="8" t="s">
        <v>9467</v>
      </c>
      <c r="E2128" s="8" t="s">
        <v>9629</v>
      </c>
      <c r="F2128" s="8" t="s">
        <v>151</v>
      </c>
      <c r="G2128" s="8" t="s">
        <v>9630</v>
      </c>
      <c r="H2128" s="8" t="s">
        <v>145</v>
      </c>
      <c r="I2128" s="8" t="s">
        <v>153</v>
      </c>
      <c r="J2128" s="8" t="s">
        <v>9631</v>
      </c>
      <c r="K2128" s="8"/>
      <c r="L2128" s="8" t="s">
        <v>9632</v>
      </c>
    </row>
    <row r="2129" customFormat="false" ht="34.5" hidden="false" customHeight="true" outlineLevel="0" collapsed="false">
      <c r="A2129" s="8" t="n">
        <v>1872</v>
      </c>
      <c r="B2129" s="8" t="s">
        <v>67</v>
      </c>
      <c r="C2129" s="8" t="s">
        <v>9633</v>
      </c>
      <c r="D2129" s="8" t="s">
        <v>9338</v>
      </c>
      <c r="E2129" s="8" t="s">
        <v>9634</v>
      </c>
      <c r="F2129" s="8" t="s">
        <v>151</v>
      </c>
      <c r="G2129" s="8" t="s">
        <v>197</v>
      </c>
      <c r="H2129" s="8" t="s">
        <v>145</v>
      </c>
      <c r="I2129" s="8" t="s">
        <v>153</v>
      </c>
      <c r="J2129" s="8" t="s">
        <v>9635</v>
      </c>
      <c r="K2129" s="8"/>
      <c r="L2129" s="8" t="s">
        <v>9636</v>
      </c>
    </row>
    <row r="2130" customFormat="false" ht="34.5" hidden="false" customHeight="true" outlineLevel="0" collapsed="false">
      <c r="A2130" s="8" t="n">
        <v>1873</v>
      </c>
      <c r="B2130" s="8" t="s">
        <v>67</v>
      </c>
      <c r="C2130" s="8" t="s">
        <v>9637</v>
      </c>
      <c r="D2130" s="8" t="s">
        <v>9467</v>
      </c>
      <c r="E2130" s="8" t="s">
        <v>9638</v>
      </c>
      <c r="F2130" s="8" t="s">
        <v>151</v>
      </c>
      <c r="G2130" s="8" t="s">
        <v>9639</v>
      </c>
      <c r="H2130" s="8" t="s">
        <v>9640</v>
      </c>
      <c r="I2130" s="8" t="s">
        <v>153</v>
      </c>
      <c r="J2130" s="8" t="s">
        <v>9641</v>
      </c>
      <c r="K2130" s="8"/>
      <c r="L2130" s="8" t="s">
        <v>9642</v>
      </c>
    </row>
    <row r="2131" customFormat="false" ht="23.25" hidden="false" customHeight="true" outlineLevel="0" collapsed="false">
      <c r="A2131" s="8" t="n">
        <v>1874</v>
      </c>
      <c r="B2131" s="8" t="s">
        <v>67</v>
      </c>
      <c r="C2131" s="8" t="s">
        <v>9643</v>
      </c>
      <c r="D2131" s="8" t="s">
        <v>9408</v>
      </c>
      <c r="E2131" s="8" t="s">
        <v>9644</v>
      </c>
      <c r="F2131" s="8" t="s">
        <v>143</v>
      </c>
      <c r="G2131" s="8" t="s">
        <v>9645</v>
      </c>
      <c r="H2131" s="8" t="s">
        <v>145</v>
      </c>
      <c r="I2131" s="8" t="s">
        <v>146</v>
      </c>
      <c r="J2131" s="8" t="s">
        <v>9646</v>
      </c>
      <c r="K2131" s="8" t="s">
        <v>116</v>
      </c>
      <c r="L2131" s="8" t="s">
        <v>9647</v>
      </c>
    </row>
    <row r="2132" customFormat="false" ht="34.5" hidden="false" customHeight="true" outlineLevel="0" collapsed="false">
      <c r="A2132" s="8" t="n">
        <v>1875</v>
      </c>
      <c r="B2132" s="8" t="s">
        <v>67</v>
      </c>
      <c r="C2132" s="8" t="s">
        <v>9648</v>
      </c>
      <c r="D2132" s="8" t="s">
        <v>9338</v>
      </c>
      <c r="E2132" s="8" t="s">
        <v>9649</v>
      </c>
      <c r="F2132" s="8" t="s">
        <v>201</v>
      </c>
      <c r="G2132" s="8" t="s">
        <v>9650</v>
      </c>
      <c r="H2132" s="8" t="s">
        <v>145</v>
      </c>
      <c r="I2132" s="8" t="s">
        <v>387</v>
      </c>
      <c r="J2132" s="8" t="s">
        <v>9651</v>
      </c>
      <c r="K2132" s="8" t="s">
        <v>116</v>
      </c>
      <c r="L2132" s="8" t="s">
        <v>9652</v>
      </c>
    </row>
    <row r="2133" customFormat="false" ht="34.5" hidden="false" customHeight="true" outlineLevel="0" collapsed="false">
      <c r="A2133" s="8" t="n">
        <v>1876</v>
      </c>
      <c r="B2133" s="8" t="s">
        <v>67</v>
      </c>
      <c r="C2133" s="8" t="s">
        <v>9653</v>
      </c>
      <c r="D2133" s="8" t="s">
        <v>9338</v>
      </c>
      <c r="E2133" s="8" t="s">
        <v>9654</v>
      </c>
      <c r="F2133" s="8" t="s">
        <v>201</v>
      </c>
      <c r="G2133" s="8" t="s">
        <v>9655</v>
      </c>
      <c r="H2133" s="8" t="s">
        <v>9656</v>
      </c>
      <c r="I2133" s="8" t="s">
        <v>146</v>
      </c>
      <c r="J2133" s="8" t="s">
        <v>9657</v>
      </c>
      <c r="K2133" s="8" t="s">
        <v>116</v>
      </c>
      <c r="L2133" s="8" t="s">
        <v>9658</v>
      </c>
    </row>
    <row r="2134" customFormat="false" ht="23.25" hidden="false" customHeight="true" outlineLevel="0" collapsed="false">
      <c r="A2134" s="8" t="n">
        <v>1877</v>
      </c>
      <c r="B2134" s="8" t="s">
        <v>67</v>
      </c>
      <c r="C2134" s="8" t="s">
        <v>9659</v>
      </c>
      <c r="D2134" s="8" t="s">
        <v>9338</v>
      </c>
      <c r="E2134" s="8" t="s">
        <v>9660</v>
      </c>
      <c r="F2134" s="8" t="s">
        <v>143</v>
      </c>
      <c r="G2134" s="8" t="s">
        <v>9661</v>
      </c>
      <c r="H2134" s="8" t="s">
        <v>145</v>
      </c>
      <c r="I2134" s="8" t="s">
        <v>153</v>
      </c>
      <c r="J2134" s="8" t="s">
        <v>9662</v>
      </c>
      <c r="K2134" s="8" t="s">
        <v>114</v>
      </c>
      <c r="L2134" s="8" t="s">
        <v>9663</v>
      </c>
    </row>
    <row r="2135" customFormat="false" ht="34.5" hidden="false" customHeight="true" outlineLevel="0" collapsed="false">
      <c r="A2135" s="8" t="n">
        <v>1878</v>
      </c>
      <c r="B2135" s="8" t="s">
        <v>67</v>
      </c>
      <c r="C2135" s="8" t="s">
        <v>9664</v>
      </c>
      <c r="D2135" s="8" t="s">
        <v>9420</v>
      </c>
      <c r="E2135" s="8" t="s">
        <v>9665</v>
      </c>
      <c r="F2135" s="8" t="s">
        <v>143</v>
      </c>
      <c r="G2135" s="8" t="s">
        <v>9666</v>
      </c>
      <c r="H2135" s="8" t="s">
        <v>9667</v>
      </c>
      <c r="I2135" s="8" t="s">
        <v>153</v>
      </c>
      <c r="J2135" s="8" t="s">
        <v>9668</v>
      </c>
      <c r="K2135" s="8" t="s">
        <v>114</v>
      </c>
      <c r="L2135" s="8" t="s">
        <v>9669</v>
      </c>
    </row>
    <row r="2136" customFormat="false" ht="34.5" hidden="false" customHeight="true" outlineLevel="0" collapsed="false">
      <c r="A2136" s="8" t="n">
        <v>1879</v>
      </c>
      <c r="B2136" s="8" t="s">
        <v>67</v>
      </c>
      <c r="C2136" s="8" t="s">
        <v>9670</v>
      </c>
      <c r="D2136" s="8" t="s">
        <v>9408</v>
      </c>
      <c r="E2136" s="8" t="s">
        <v>9671</v>
      </c>
      <c r="F2136" s="8" t="s">
        <v>201</v>
      </c>
      <c r="G2136" s="8" t="s">
        <v>9672</v>
      </c>
      <c r="H2136" s="8" t="s">
        <v>181</v>
      </c>
      <c r="I2136" s="8" t="s">
        <v>153</v>
      </c>
      <c r="J2136" s="8" t="s">
        <v>9673</v>
      </c>
      <c r="K2136" s="8" t="s">
        <v>116</v>
      </c>
      <c r="L2136" s="8" t="s">
        <v>9674</v>
      </c>
    </row>
    <row r="2137" customFormat="false" ht="34.5" hidden="false" customHeight="true" outlineLevel="0" collapsed="false">
      <c r="A2137" s="8" t="n">
        <v>1880</v>
      </c>
      <c r="B2137" s="8" t="s">
        <v>67</v>
      </c>
      <c r="C2137" s="8" t="s">
        <v>9675</v>
      </c>
      <c r="D2137" s="8" t="s">
        <v>9489</v>
      </c>
      <c r="E2137" s="8" t="s">
        <v>9676</v>
      </c>
      <c r="F2137" s="8" t="s">
        <v>143</v>
      </c>
      <c r="G2137" s="8" t="s">
        <v>9677</v>
      </c>
      <c r="H2137" s="8" t="s">
        <v>9678</v>
      </c>
      <c r="I2137" s="8" t="s">
        <v>146</v>
      </c>
      <c r="J2137" s="8" t="s">
        <v>9679</v>
      </c>
      <c r="K2137" s="8" t="s">
        <v>114</v>
      </c>
      <c r="L2137" s="8" t="s">
        <v>9680</v>
      </c>
    </row>
    <row r="2138" customFormat="false" ht="34.5" hidden="false" customHeight="true" outlineLevel="0" collapsed="false">
      <c r="A2138" s="8" t="n">
        <v>1881</v>
      </c>
      <c r="B2138" s="8" t="s">
        <v>67</v>
      </c>
      <c r="C2138" s="8" t="s">
        <v>9681</v>
      </c>
      <c r="D2138" s="8" t="s">
        <v>9338</v>
      </c>
      <c r="E2138" s="8" t="s">
        <v>9682</v>
      </c>
      <c r="F2138" s="8" t="s">
        <v>201</v>
      </c>
      <c r="G2138" s="8" t="s">
        <v>9683</v>
      </c>
      <c r="H2138" s="8" t="s">
        <v>9684</v>
      </c>
      <c r="I2138" s="8" t="s">
        <v>146</v>
      </c>
      <c r="J2138" s="8" t="s">
        <v>9685</v>
      </c>
      <c r="K2138" s="8" t="s">
        <v>114</v>
      </c>
      <c r="L2138" s="8" t="s">
        <v>9686</v>
      </c>
    </row>
    <row r="2139" customFormat="false" ht="34.5" hidden="false" customHeight="true" outlineLevel="0" collapsed="false">
      <c r="A2139" s="8" t="n">
        <v>1882</v>
      </c>
      <c r="B2139" s="8" t="s">
        <v>67</v>
      </c>
      <c r="C2139" s="8" t="s">
        <v>9687</v>
      </c>
      <c r="D2139" s="8" t="s">
        <v>9332</v>
      </c>
      <c r="E2139" s="8" t="s">
        <v>9688</v>
      </c>
      <c r="F2139" s="8" t="s">
        <v>151</v>
      </c>
      <c r="G2139" s="8" t="s">
        <v>9689</v>
      </c>
      <c r="H2139" s="8" t="s">
        <v>9690</v>
      </c>
      <c r="I2139" s="8" t="s">
        <v>146</v>
      </c>
      <c r="J2139" s="8" t="s">
        <v>9691</v>
      </c>
      <c r="K2139" s="8" t="s">
        <v>116</v>
      </c>
      <c r="L2139" s="8" t="s">
        <v>9692</v>
      </c>
    </row>
    <row r="2140" customFormat="false" ht="34.5" hidden="false" customHeight="true" outlineLevel="0" collapsed="false">
      <c r="A2140" s="8" t="n">
        <v>1883</v>
      </c>
      <c r="B2140" s="8" t="s">
        <v>67</v>
      </c>
      <c r="C2140" s="8" t="s">
        <v>9693</v>
      </c>
      <c r="D2140" s="8" t="s">
        <v>9408</v>
      </c>
      <c r="E2140" s="8" t="s">
        <v>9694</v>
      </c>
      <c r="F2140" s="8" t="s">
        <v>201</v>
      </c>
      <c r="G2140" s="8" t="s">
        <v>9695</v>
      </c>
      <c r="H2140" s="8" t="s">
        <v>9696</v>
      </c>
      <c r="I2140" s="8" t="s">
        <v>153</v>
      </c>
      <c r="J2140" s="8" t="s">
        <v>9697</v>
      </c>
      <c r="K2140" s="8" t="s">
        <v>114</v>
      </c>
      <c r="L2140" s="8" t="s">
        <v>9698</v>
      </c>
    </row>
    <row r="2141" customFormat="false" ht="23.25" hidden="false" customHeight="true" outlineLevel="0" collapsed="false">
      <c r="A2141" s="8" t="n">
        <v>1884</v>
      </c>
      <c r="B2141" s="8" t="s">
        <v>67</v>
      </c>
      <c r="C2141" s="8" t="s">
        <v>9699</v>
      </c>
      <c r="D2141" s="8" t="s">
        <v>9332</v>
      </c>
      <c r="E2141" s="8" t="s">
        <v>9700</v>
      </c>
      <c r="F2141" s="8" t="s">
        <v>201</v>
      </c>
      <c r="G2141" s="8" t="s">
        <v>9701</v>
      </c>
      <c r="H2141" s="8" t="s">
        <v>9702</v>
      </c>
      <c r="I2141" s="8" t="s">
        <v>146</v>
      </c>
      <c r="J2141" s="8" t="s">
        <v>9703</v>
      </c>
      <c r="K2141" s="8" t="s">
        <v>116</v>
      </c>
      <c r="L2141" s="8" t="s">
        <v>9704</v>
      </c>
    </row>
    <row r="2142" customFormat="false" ht="34.5" hidden="false" customHeight="true" outlineLevel="0" collapsed="false">
      <c r="A2142" s="8" t="n">
        <v>1885</v>
      </c>
      <c r="B2142" s="8" t="s">
        <v>67</v>
      </c>
      <c r="C2142" s="8" t="s">
        <v>9705</v>
      </c>
      <c r="D2142" s="8" t="s">
        <v>9347</v>
      </c>
      <c r="E2142" s="8" t="s">
        <v>9706</v>
      </c>
      <c r="F2142" s="8" t="s">
        <v>201</v>
      </c>
      <c r="G2142" s="8" t="s">
        <v>9707</v>
      </c>
      <c r="H2142" s="8" t="s">
        <v>145</v>
      </c>
      <c r="I2142" s="8" t="s">
        <v>153</v>
      </c>
      <c r="J2142" s="8" t="s">
        <v>9708</v>
      </c>
      <c r="K2142" s="8" t="s">
        <v>114</v>
      </c>
      <c r="L2142" s="8" t="s">
        <v>9709</v>
      </c>
    </row>
    <row r="2143" customFormat="false" ht="23.25" hidden="false" customHeight="true" outlineLevel="0" collapsed="false">
      <c r="A2143" s="8" t="n">
        <v>1886</v>
      </c>
      <c r="B2143" s="8" t="s">
        <v>67</v>
      </c>
      <c r="C2143" s="8" t="s">
        <v>9710</v>
      </c>
      <c r="D2143" s="8" t="s">
        <v>9408</v>
      </c>
      <c r="E2143" s="8" t="s">
        <v>9711</v>
      </c>
      <c r="F2143" s="8" t="s">
        <v>151</v>
      </c>
      <c r="G2143" s="8" t="s">
        <v>9712</v>
      </c>
      <c r="H2143" s="8" t="s">
        <v>145</v>
      </c>
      <c r="I2143" s="8" t="s">
        <v>153</v>
      </c>
      <c r="J2143" s="8" t="s">
        <v>9713</v>
      </c>
      <c r="K2143" s="8" t="s">
        <v>112</v>
      </c>
      <c r="L2143" s="8" t="s">
        <v>9714</v>
      </c>
    </row>
    <row r="2144" customFormat="false" ht="34.5" hidden="false" customHeight="true" outlineLevel="0" collapsed="false">
      <c r="A2144" s="8" t="n">
        <v>1887</v>
      </c>
      <c r="B2144" s="8" t="s">
        <v>67</v>
      </c>
      <c r="C2144" s="8" t="s">
        <v>9715</v>
      </c>
      <c r="D2144" s="8" t="s">
        <v>9467</v>
      </c>
      <c r="E2144" s="8" t="s">
        <v>9716</v>
      </c>
      <c r="F2144" s="8" t="s">
        <v>3817</v>
      </c>
      <c r="G2144" s="8" t="s">
        <v>152</v>
      </c>
      <c r="H2144" s="8" t="s">
        <v>145</v>
      </c>
      <c r="I2144" s="8" t="s">
        <v>153</v>
      </c>
      <c r="J2144" s="8" t="s">
        <v>9717</v>
      </c>
      <c r="K2144" s="8"/>
      <c r="L2144" s="8" t="s">
        <v>9718</v>
      </c>
    </row>
    <row r="2145" customFormat="false" ht="34.5" hidden="false" customHeight="true" outlineLevel="0" collapsed="false">
      <c r="A2145" s="8" t="n">
        <v>1888</v>
      </c>
      <c r="B2145" s="8" t="s">
        <v>67</v>
      </c>
      <c r="C2145" s="8" t="s">
        <v>9719</v>
      </c>
      <c r="D2145" s="8" t="s">
        <v>9196</v>
      </c>
      <c r="E2145" s="8" t="s">
        <v>9720</v>
      </c>
      <c r="F2145" s="8" t="s">
        <v>587</v>
      </c>
      <c r="G2145" s="8" t="s">
        <v>9721</v>
      </c>
      <c r="H2145" s="8" t="s">
        <v>4711</v>
      </c>
      <c r="I2145" s="8" t="s">
        <v>153</v>
      </c>
      <c r="J2145" s="8" t="s">
        <v>9722</v>
      </c>
      <c r="K2145" s="8" t="s">
        <v>116</v>
      </c>
      <c r="L2145" s="8" t="s">
        <v>9723</v>
      </c>
    </row>
    <row r="2146" customFormat="false" ht="23.25" hidden="false" customHeight="true" outlineLevel="0" collapsed="false">
      <c r="A2146" s="8" t="n">
        <v>1889</v>
      </c>
      <c r="B2146" s="8" t="s">
        <v>67</v>
      </c>
      <c r="C2146" s="8" t="s">
        <v>9724</v>
      </c>
      <c r="D2146" s="8" t="s">
        <v>9489</v>
      </c>
      <c r="E2146" s="8" t="s">
        <v>9725</v>
      </c>
      <c r="F2146" s="8" t="s">
        <v>201</v>
      </c>
      <c r="G2146" s="8" t="s">
        <v>152</v>
      </c>
      <c r="H2146" s="8" t="s">
        <v>145</v>
      </c>
      <c r="I2146" s="8" t="s">
        <v>153</v>
      </c>
      <c r="J2146" s="8" t="s">
        <v>9726</v>
      </c>
      <c r="K2146" s="8"/>
      <c r="L2146" s="8" t="s">
        <v>9727</v>
      </c>
    </row>
    <row r="2147" customFormat="false" ht="34.5" hidden="false" customHeight="true" outlineLevel="0" collapsed="false">
      <c r="A2147" s="8" t="n">
        <v>1890</v>
      </c>
      <c r="B2147" s="8" t="s">
        <v>67</v>
      </c>
      <c r="C2147" s="8" t="s">
        <v>9728</v>
      </c>
      <c r="D2147" s="8" t="s">
        <v>9338</v>
      </c>
      <c r="E2147" s="8" t="s">
        <v>9729</v>
      </c>
      <c r="F2147" s="8" t="s">
        <v>201</v>
      </c>
      <c r="G2147" s="8" t="s">
        <v>9730</v>
      </c>
      <c r="H2147" s="8" t="s">
        <v>678</v>
      </c>
      <c r="I2147" s="8" t="s">
        <v>146</v>
      </c>
      <c r="J2147" s="8" t="s">
        <v>9731</v>
      </c>
      <c r="K2147" s="8" t="s">
        <v>116</v>
      </c>
      <c r="L2147" s="8" t="s">
        <v>9732</v>
      </c>
    </row>
    <row r="2148" customFormat="false" ht="34.5" hidden="false" customHeight="true" outlineLevel="0" collapsed="false">
      <c r="A2148" s="8" t="n">
        <v>1891</v>
      </c>
      <c r="B2148" s="8" t="s">
        <v>67</v>
      </c>
      <c r="C2148" s="8" t="s">
        <v>9733</v>
      </c>
      <c r="D2148" s="8" t="s">
        <v>9408</v>
      </c>
      <c r="E2148" s="8" t="s">
        <v>9734</v>
      </c>
      <c r="F2148" s="8" t="s">
        <v>587</v>
      </c>
      <c r="G2148" s="8" t="s">
        <v>9735</v>
      </c>
      <c r="H2148" s="8" t="s">
        <v>2037</v>
      </c>
      <c r="I2148" s="8" t="s">
        <v>146</v>
      </c>
      <c r="J2148" s="8" t="s">
        <v>9736</v>
      </c>
      <c r="K2148" s="8"/>
      <c r="L2148" s="8" t="s">
        <v>9737</v>
      </c>
    </row>
    <row r="2149" customFormat="false" ht="34.5" hidden="false" customHeight="true" outlineLevel="0" collapsed="false">
      <c r="A2149" s="8" t="n">
        <v>1892</v>
      </c>
      <c r="B2149" s="8" t="s">
        <v>67</v>
      </c>
      <c r="C2149" s="8" t="s">
        <v>9738</v>
      </c>
      <c r="D2149" s="8" t="s">
        <v>9347</v>
      </c>
      <c r="E2149" s="8" t="s">
        <v>9739</v>
      </c>
      <c r="F2149" s="8" t="s">
        <v>579</v>
      </c>
      <c r="G2149" s="8" t="s">
        <v>9740</v>
      </c>
      <c r="H2149" s="8" t="s">
        <v>9741</v>
      </c>
      <c r="I2149" s="8" t="s">
        <v>387</v>
      </c>
      <c r="J2149" s="8" t="s">
        <v>9742</v>
      </c>
      <c r="K2149" s="8" t="s">
        <v>116</v>
      </c>
      <c r="L2149" s="8" t="s">
        <v>9743</v>
      </c>
    </row>
    <row r="2150" customFormat="false" ht="34.5" hidden="false" customHeight="true" outlineLevel="0" collapsed="false">
      <c r="A2150" s="8" t="n">
        <v>1893</v>
      </c>
      <c r="B2150" s="8" t="s">
        <v>67</v>
      </c>
      <c r="C2150" s="8" t="s">
        <v>9744</v>
      </c>
      <c r="D2150" s="8" t="s">
        <v>9467</v>
      </c>
      <c r="E2150" s="8" t="s">
        <v>9745</v>
      </c>
      <c r="F2150" s="8" t="s">
        <v>143</v>
      </c>
      <c r="G2150" s="8" t="s">
        <v>9746</v>
      </c>
      <c r="H2150" s="8" t="s">
        <v>6682</v>
      </c>
      <c r="I2150" s="8" t="s">
        <v>153</v>
      </c>
      <c r="J2150" s="8" t="s">
        <v>9747</v>
      </c>
      <c r="K2150" s="8" t="s">
        <v>114</v>
      </c>
      <c r="L2150" s="8" t="s">
        <v>9748</v>
      </c>
    </row>
    <row r="2151" customFormat="false" ht="34.5" hidden="false" customHeight="true" outlineLevel="0" collapsed="false">
      <c r="A2151" s="8" t="n">
        <v>1894</v>
      </c>
      <c r="B2151" s="8" t="s">
        <v>67</v>
      </c>
      <c r="C2151" s="8" t="s">
        <v>9749</v>
      </c>
      <c r="D2151" s="8" t="s">
        <v>9347</v>
      </c>
      <c r="E2151" s="8" t="s">
        <v>9750</v>
      </c>
      <c r="F2151" s="8" t="s">
        <v>201</v>
      </c>
      <c r="G2151" s="8" t="s">
        <v>4532</v>
      </c>
      <c r="H2151" s="8" t="s">
        <v>145</v>
      </c>
      <c r="I2151" s="8" t="s">
        <v>146</v>
      </c>
      <c r="J2151" s="8" t="s">
        <v>9751</v>
      </c>
      <c r="K2151" s="8" t="s">
        <v>116</v>
      </c>
      <c r="L2151" s="8" t="s">
        <v>9752</v>
      </c>
    </row>
    <row r="2152" customFormat="false" ht="34.5" hidden="false" customHeight="true" outlineLevel="0" collapsed="false">
      <c r="A2152" s="8" t="n">
        <v>1895</v>
      </c>
      <c r="B2152" s="8" t="s">
        <v>67</v>
      </c>
      <c r="C2152" s="8" t="s">
        <v>9753</v>
      </c>
      <c r="D2152" s="8" t="s">
        <v>9408</v>
      </c>
      <c r="E2152" s="8" t="s">
        <v>9754</v>
      </c>
      <c r="F2152" s="8" t="s">
        <v>579</v>
      </c>
      <c r="G2152" s="8" t="s">
        <v>9755</v>
      </c>
      <c r="H2152" s="8" t="s">
        <v>2168</v>
      </c>
      <c r="I2152" s="8" t="s">
        <v>146</v>
      </c>
      <c r="J2152" s="8" t="s">
        <v>9756</v>
      </c>
      <c r="K2152" s="8" t="s">
        <v>114</v>
      </c>
      <c r="L2152" s="8" t="s">
        <v>9757</v>
      </c>
    </row>
    <row r="2153" customFormat="false" ht="34.5" hidden="false" customHeight="true" outlineLevel="0" collapsed="false">
      <c r="A2153" s="8" t="n">
        <v>1896</v>
      </c>
      <c r="B2153" s="8" t="s">
        <v>67</v>
      </c>
      <c r="C2153" s="8" t="s">
        <v>9758</v>
      </c>
      <c r="D2153" s="8" t="s">
        <v>9408</v>
      </c>
      <c r="E2153" s="8" t="s">
        <v>9759</v>
      </c>
      <c r="F2153" s="8" t="s">
        <v>201</v>
      </c>
      <c r="G2153" s="8" t="s">
        <v>9760</v>
      </c>
      <c r="H2153" s="8" t="s">
        <v>9761</v>
      </c>
      <c r="I2153" s="8" t="s">
        <v>208</v>
      </c>
      <c r="J2153" s="8" t="s">
        <v>9762</v>
      </c>
      <c r="K2153" s="8"/>
      <c r="L2153" s="8" t="s">
        <v>9763</v>
      </c>
    </row>
    <row r="2154" customFormat="false" ht="34.5" hidden="false" customHeight="true" outlineLevel="0" collapsed="false">
      <c r="A2154" s="8" t="n">
        <v>1897</v>
      </c>
      <c r="B2154" s="8" t="s">
        <v>67</v>
      </c>
      <c r="C2154" s="8" t="s">
        <v>9764</v>
      </c>
      <c r="D2154" s="8" t="s">
        <v>9460</v>
      </c>
      <c r="E2154" s="8" t="s">
        <v>9765</v>
      </c>
      <c r="F2154" s="8" t="s">
        <v>587</v>
      </c>
      <c r="G2154" s="8" t="s">
        <v>9766</v>
      </c>
      <c r="H2154" s="8" t="s">
        <v>9767</v>
      </c>
      <c r="I2154" s="8" t="s">
        <v>146</v>
      </c>
      <c r="J2154" s="8" t="s">
        <v>9768</v>
      </c>
      <c r="K2154" s="8" t="s">
        <v>116</v>
      </c>
      <c r="L2154" s="8" t="s">
        <v>9769</v>
      </c>
    </row>
    <row r="2155" customFormat="false" ht="34.5" hidden="false" customHeight="true" outlineLevel="0" collapsed="false">
      <c r="A2155" s="8" t="n">
        <v>1898</v>
      </c>
      <c r="B2155" s="8" t="s">
        <v>67</v>
      </c>
      <c r="C2155" s="8" t="s">
        <v>9770</v>
      </c>
      <c r="D2155" s="8" t="s">
        <v>9460</v>
      </c>
      <c r="E2155" s="8" t="s">
        <v>9771</v>
      </c>
      <c r="F2155" s="8" t="s">
        <v>587</v>
      </c>
      <c r="G2155" s="8" t="s">
        <v>9772</v>
      </c>
      <c r="H2155" s="8" t="s">
        <v>1138</v>
      </c>
      <c r="I2155" s="8" t="s">
        <v>146</v>
      </c>
      <c r="J2155" s="8" t="s">
        <v>9773</v>
      </c>
      <c r="K2155" s="8"/>
      <c r="L2155" s="8" t="s">
        <v>9774</v>
      </c>
    </row>
    <row r="2156" customFormat="false" ht="34.5" hidden="false" customHeight="true" outlineLevel="0" collapsed="false">
      <c r="A2156" s="8" t="n">
        <v>1899</v>
      </c>
      <c r="B2156" s="8" t="s">
        <v>67</v>
      </c>
      <c r="C2156" s="8" t="s">
        <v>9775</v>
      </c>
      <c r="D2156" s="8" t="s">
        <v>9332</v>
      </c>
      <c r="E2156" s="8" t="s">
        <v>9776</v>
      </c>
      <c r="F2156" s="8" t="s">
        <v>151</v>
      </c>
      <c r="G2156" s="8" t="s">
        <v>9777</v>
      </c>
      <c r="H2156" s="8" t="s">
        <v>1373</v>
      </c>
      <c r="I2156" s="8" t="s">
        <v>153</v>
      </c>
      <c r="J2156" s="8" t="s">
        <v>9778</v>
      </c>
      <c r="K2156" s="8" t="s">
        <v>114</v>
      </c>
      <c r="L2156" s="8" t="s">
        <v>9779</v>
      </c>
    </row>
    <row r="2157" customFormat="false" ht="34.5" hidden="false" customHeight="true" outlineLevel="0" collapsed="false">
      <c r="A2157" s="8" t="n">
        <v>1900</v>
      </c>
      <c r="B2157" s="8" t="s">
        <v>67</v>
      </c>
      <c r="C2157" s="8" t="s">
        <v>9775</v>
      </c>
      <c r="D2157" s="8" t="s">
        <v>9420</v>
      </c>
      <c r="E2157" s="8" t="s">
        <v>9780</v>
      </c>
      <c r="F2157" s="8" t="s">
        <v>201</v>
      </c>
      <c r="G2157" s="8" t="s">
        <v>9781</v>
      </c>
      <c r="H2157" s="8" t="s">
        <v>2168</v>
      </c>
      <c r="I2157" s="8" t="s">
        <v>153</v>
      </c>
      <c r="J2157" s="8" t="s">
        <v>9782</v>
      </c>
      <c r="K2157" s="8" t="s">
        <v>116</v>
      </c>
      <c r="L2157" s="8" t="s">
        <v>9783</v>
      </c>
    </row>
    <row r="2158" customFormat="false" ht="34.5" hidden="false" customHeight="true" outlineLevel="0" collapsed="false">
      <c r="A2158" s="8" t="n">
        <v>1901</v>
      </c>
      <c r="B2158" s="8" t="s">
        <v>67</v>
      </c>
      <c r="C2158" s="8" t="s">
        <v>9784</v>
      </c>
      <c r="D2158" s="8" t="s">
        <v>9460</v>
      </c>
      <c r="E2158" s="8" t="s">
        <v>9785</v>
      </c>
      <c r="F2158" s="8" t="s">
        <v>587</v>
      </c>
      <c r="G2158" s="8" t="s">
        <v>9786</v>
      </c>
      <c r="H2158" s="8" t="s">
        <v>2037</v>
      </c>
      <c r="I2158" s="8" t="s">
        <v>146</v>
      </c>
      <c r="J2158" s="8" t="s">
        <v>9787</v>
      </c>
      <c r="K2158" s="8"/>
      <c r="L2158" s="8" t="s">
        <v>9788</v>
      </c>
    </row>
    <row r="2159" customFormat="false" ht="34.5" hidden="false" customHeight="true" outlineLevel="0" collapsed="false">
      <c r="A2159" s="8" t="n">
        <v>1902</v>
      </c>
      <c r="B2159" s="8" t="s">
        <v>67</v>
      </c>
      <c r="C2159" s="8" t="s">
        <v>9789</v>
      </c>
      <c r="D2159" s="8" t="s">
        <v>9332</v>
      </c>
      <c r="E2159" s="8" t="s">
        <v>9790</v>
      </c>
      <c r="F2159" s="8" t="s">
        <v>201</v>
      </c>
      <c r="G2159" s="8" t="s">
        <v>9791</v>
      </c>
      <c r="H2159" s="8" t="s">
        <v>9792</v>
      </c>
      <c r="I2159" s="8" t="s">
        <v>387</v>
      </c>
      <c r="J2159" s="8" t="s">
        <v>9793</v>
      </c>
      <c r="K2159" s="8" t="s">
        <v>116</v>
      </c>
      <c r="L2159" s="8" t="s">
        <v>9794</v>
      </c>
    </row>
    <row r="2160" customFormat="false" ht="34.5" hidden="false" customHeight="true" outlineLevel="0" collapsed="false">
      <c r="A2160" s="8" t="n">
        <v>1903</v>
      </c>
      <c r="B2160" s="8" t="s">
        <v>67</v>
      </c>
      <c r="C2160" s="8" t="s">
        <v>9795</v>
      </c>
      <c r="D2160" s="8" t="s">
        <v>9332</v>
      </c>
      <c r="E2160" s="8" t="s">
        <v>9796</v>
      </c>
      <c r="F2160" s="8" t="s">
        <v>201</v>
      </c>
      <c r="G2160" s="8" t="s">
        <v>9797</v>
      </c>
      <c r="H2160" s="8" t="s">
        <v>9574</v>
      </c>
      <c r="I2160" s="8" t="s">
        <v>146</v>
      </c>
      <c r="J2160" s="8" t="s">
        <v>9798</v>
      </c>
      <c r="K2160" s="8" t="s">
        <v>116</v>
      </c>
      <c r="L2160" s="8" t="s">
        <v>9799</v>
      </c>
    </row>
    <row r="2161" customFormat="false" ht="23.25" hidden="false" customHeight="true" outlineLevel="0" collapsed="false">
      <c r="A2161" s="8" t="n">
        <v>1904</v>
      </c>
      <c r="B2161" s="8" t="s">
        <v>67</v>
      </c>
      <c r="C2161" s="8" t="s">
        <v>9800</v>
      </c>
      <c r="D2161" s="8" t="s">
        <v>9408</v>
      </c>
      <c r="E2161" s="8" t="s">
        <v>9801</v>
      </c>
      <c r="F2161" s="8" t="s">
        <v>201</v>
      </c>
      <c r="G2161" s="8" t="s">
        <v>9802</v>
      </c>
      <c r="H2161" s="8" t="s">
        <v>145</v>
      </c>
      <c r="I2161" s="8" t="s">
        <v>153</v>
      </c>
      <c r="J2161" s="8" t="s">
        <v>9803</v>
      </c>
      <c r="K2161" s="8" t="s">
        <v>116</v>
      </c>
      <c r="L2161" s="8" t="s">
        <v>9804</v>
      </c>
    </row>
    <row r="2162" customFormat="false" ht="34.5" hidden="false" customHeight="true" outlineLevel="0" collapsed="false">
      <c r="A2162" s="8" t="n">
        <v>1905</v>
      </c>
      <c r="B2162" s="8" t="s">
        <v>67</v>
      </c>
      <c r="C2162" s="8" t="s">
        <v>9805</v>
      </c>
      <c r="D2162" s="8" t="s">
        <v>9196</v>
      </c>
      <c r="E2162" s="8" t="s">
        <v>9806</v>
      </c>
      <c r="F2162" s="8" t="s">
        <v>201</v>
      </c>
      <c r="G2162" s="8" t="s">
        <v>9630</v>
      </c>
      <c r="H2162" s="8" t="s">
        <v>145</v>
      </c>
      <c r="I2162" s="8" t="s">
        <v>146</v>
      </c>
      <c r="J2162" s="8" t="s">
        <v>9807</v>
      </c>
      <c r="K2162" s="8" t="s">
        <v>116</v>
      </c>
      <c r="L2162" s="8" t="s">
        <v>9808</v>
      </c>
    </row>
    <row r="2163" customFormat="false" ht="34.5" hidden="false" customHeight="true" outlineLevel="0" collapsed="false">
      <c r="A2163" s="8" t="n">
        <v>1906</v>
      </c>
      <c r="B2163" s="8" t="s">
        <v>67</v>
      </c>
      <c r="C2163" s="8" t="s">
        <v>9809</v>
      </c>
      <c r="D2163" s="8" t="s">
        <v>9408</v>
      </c>
      <c r="E2163" s="8" t="s">
        <v>9810</v>
      </c>
      <c r="F2163" s="8" t="s">
        <v>201</v>
      </c>
      <c r="G2163" s="8" t="s">
        <v>9811</v>
      </c>
      <c r="H2163" s="8" t="s">
        <v>9812</v>
      </c>
      <c r="I2163" s="8" t="s">
        <v>153</v>
      </c>
      <c r="J2163" s="8" t="s">
        <v>9813</v>
      </c>
      <c r="K2163" s="8" t="s">
        <v>114</v>
      </c>
      <c r="L2163" s="8" t="s">
        <v>9814</v>
      </c>
    </row>
    <row r="2164" customFormat="false" ht="34.5" hidden="false" customHeight="true" outlineLevel="0" collapsed="false">
      <c r="A2164" s="8" t="n">
        <v>1907</v>
      </c>
      <c r="B2164" s="8" t="s">
        <v>67</v>
      </c>
      <c r="C2164" s="8" t="s">
        <v>9815</v>
      </c>
      <c r="D2164" s="8" t="s">
        <v>9816</v>
      </c>
      <c r="E2164" s="8" t="s">
        <v>9817</v>
      </c>
      <c r="F2164" s="8" t="s">
        <v>201</v>
      </c>
      <c r="G2164" s="8" t="s">
        <v>9818</v>
      </c>
      <c r="H2164" s="8" t="s">
        <v>9819</v>
      </c>
      <c r="I2164" s="8" t="s">
        <v>146</v>
      </c>
      <c r="J2164" s="8" t="s">
        <v>9820</v>
      </c>
      <c r="K2164" s="8"/>
      <c r="L2164" s="8" t="s">
        <v>9821</v>
      </c>
    </row>
    <row r="2165" customFormat="false" ht="34.5" hidden="false" customHeight="true" outlineLevel="0" collapsed="false">
      <c r="A2165" s="8" t="n">
        <v>1908</v>
      </c>
      <c r="B2165" s="8" t="s">
        <v>67</v>
      </c>
      <c r="C2165" s="8" t="s">
        <v>9822</v>
      </c>
      <c r="D2165" s="8" t="s">
        <v>9489</v>
      </c>
      <c r="E2165" s="8" t="s">
        <v>9823</v>
      </c>
      <c r="F2165" s="8" t="s">
        <v>201</v>
      </c>
      <c r="G2165" s="8" t="s">
        <v>9824</v>
      </c>
      <c r="H2165" s="8" t="s">
        <v>9825</v>
      </c>
      <c r="I2165" s="8" t="s">
        <v>208</v>
      </c>
      <c r="J2165" s="8" t="s">
        <v>9826</v>
      </c>
      <c r="K2165" s="8" t="s">
        <v>116</v>
      </c>
      <c r="L2165" s="8" t="s">
        <v>9827</v>
      </c>
    </row>
    <row r="2166" customFormat="false" ht="23.25" hidden="false" customHeight="true" outlineLevel="0" collapsed="false">
      <c r="A2166" s="8" t="n">
        <v>1909</v>
      </c>
      <c r="B2166" s="8" t="s">
        <v>67</v>
      </c>
      <c r="C2166" s="8" t="s">
        <v>9822</v>
      </c>
      <c r="D2166" s="8" t="s">
        <v>9347</v>
      </c>
      <c r="E2166" s="8" t="s">
        <v>9828</v>
      </c>
      <c r="F2166" s="8" t="s">
        <v>201</v>
      </c>
      <c r="G2166" s="8" t="s">
        <v>9829</v>
      </c>
      <c r="H2166" s="8" t="s">
        <v>9830</v>
      </c>
      <c r="I2166" s="8" t="s">
        <v>208</v>
      </c>
      <c r="J2166" s="8" t="s">
        <v>9831</v>
      </c>
      <c r="K2166" s="8" t="s">
        <v>114</v>
      </c>
      <c r="L2166" s="8" t="s">
        <v>9832</v>
      </c>
    </row>
    <row r="2167" customFormat="false" ht="23.25" hidden="false" customHeight="true" outlineLevel="0" collapsed="false">
      <c r="A2167" s="8" t="n">
        <v>1910</v>
      </c>
      <c r="B2167" s="8" t="s">
        <v>67</v>
      </c>
      <c r="C2167" s="8" t="s">
        <v>9833</v>
      </c>
      <c r="D2167" s="8" t="s">
        <v>9170</v>
      </c>
      <c r="E2167" s="8" t="s">
        <v>9834</v>
      </c>
      <c r="F2167" s="8" t="s">
        <v>201</v>
      </c>
      <c r="G2167" s="8" t="s">
        <v>9835</v>
      </c>
      <c r="H2167" s="8" t="s">
        <v>9836</v>
      </c>
      <c r="I2167" s="8" t="s">
        <v>146</v>
      </c>
      <c r="J2167" s="8" t="s">
        <v>9837</v>
      </c>
      <c r="K2167" s="8" t="s">
        <v>116</v>
      </c>
      <c r="L2167" s="8" t="s">
        <v>9838</v>
      </c>
    </row>
    <row r="2168" customFormat="false" ht="34.5" hidden="false" customHeight="true" outlineLevel="0" collapsed="false">
      <c r="A2168" s="8" t="n">
        <v>1911</v>
      </c>
      <c r="B2168" s="8" t="s">
        <v>67</v>
      </c>
      <c r="C2168" s="8" t="s">
        <v>9839</v>
      </c>
      <c r="D2168" s="8" t="s">
        <v>9489</v>
      </c>
      <c r="E2168" s="8" t="s">
        <v>9840</v>
      </c>
      <c r="F2168" s="8" t="s">
        <v>143</v>
      </c>
      <c r="G2168" s="8" t="s">
        <v>9841</v>
      </c>
      <c r="H2168" s="8" t="s">
        <v>9842</v>
      </c>
      <c r="I2168" s="8" t="s">
        <v>208</v>
      </c>
      <c r="J2168" s="8" t="s">
        <v>9843</v>
      </c>
      <c r="K2168" s="8" t="s">
        <v>114</v>
      </c>
      <c r="L2168" s="8" t="s">
        <v>9844</v>
      </c>
    </row>
    <row r="2169" customFormat="false" ht="34.5" hidden="false" customHeight="true" outlineLevel="0" collapsed="false">
      <c r="A2169" s="8" t="n">
        <v>1912</v>
      </c>
      <c r="B2169" s="8" t="s">
        <v>67</v>
      </c>
      <c r="C2169" s="8" t="s">
        <v>9845</v>
      </c>
      <c r="D2169" s="8" t="s">
        <v>9338</v>
      </c>
      <c r="E2169" s="8" t="s">
        <v>9846</v>
      </c>
      <c r="F2169" s="8" t="s">
        <v>8922</v>
      </c>
      <c r="G2169" s="8" t="s">
        <v>9847</v>
      </c>
      <c r="H2169" s="8" t="s">
        <v>145</v>
      </c>
      <c r="I2169" s="8" t="s">
        <v>153</v>
      </c>
      <c r="J2169" s="8" t="s">
        <v>9848</v>
      </c>
      <c r="K2169" s="8" t="s">
        <v>114</v>
      </c>
      <c r="L2169" s="8" t="s">
        <v>9849</v>
      </c>
    </row>
    <row r="2170" customFormat="false" ht="34.5" hidden="false" customHeight="true" outlineLevel="0" collapsed="false">
      <c r="A2170" s="8" t="n">
        <v>1913</v>
      </c>
      <c r="B2170" s="8" t="s">
        <v>67</v>
      </c>
      <c r="C2170" s="8" t="s">
        <v>9850</v>
      </c>
      <c r="D2170" s="8" t="s">
        <v>9347</v>
      </c>
      <c r="E2170" s="8" t="s">
        <v>9851</v>
      </c>
      <c r="F2170" s="8" t="s">
        <v>542</v>
      </c>
      <c r="G2170" s="8" t="s">
        <v>9852</v>
      </c>
      <c r="H2170" s="8" t="s">
        <v>1373</v>
      </c>
      <c r="I2170" s="8" t="s">
        <v>153</v>
      </c>
      <c r="J2170" s="8" t="s">
        <v>9853</v>
      </c>
      <c r="K2170" s="8" t="s">
        <v>116</v>
      </c>
      <c r="L2170" s="8" t="s">
        <v>9854</v>
      </c>
    </row>
    <row r="2171" customFormat="false" ht="34.5" hidden="false" customHeight="true" outlineLevel="0" collapsed="false">
      <c r="A2171" s="8" t="n">
        <v>1914</v>
      </c>
      <c r="B2171" s="8" t="s">
        <v>67</v>
      </c>
      <c r="C2171" s="8" t="s">
        <v>9855</v>
      </c>
      <c r="D2171" s="8" t="s">
        <v>9408</v>
      </c>
      <c r="E2171" s="8" t="s">
        <v>9856</v>
      </c>
      <c r="F2171" s="8" t="s">
        <v>201</v>
      </c>
      <c r="G2171" s="8" t="s">
        <v>9857</v>
      </c>
      <c r="H2171" s="8" t="s">
        <v>2168</v>
      </c>
      <c r="I2171" s="8" t="s">
        <v>153</v>
      </c>
      <c r="J2171" s="8" t="s">
        <v>9858</v>
      </c>
      <c r="K2171" s="8" t="s">
        <v>114</v>
      </c>
      <c r="L2171" s="8" t="s">
        <v>9859</v>
      </c>
    </row>
    <row r="2172" customFormat="false" ht="34.5" hidden="false" customHeight="true" outlineLevel="0" collapsed="false">
      <c r="A2172" s="8" t="n">
        <v>1915</v>
      </c>
      <c r="B2172" s="8" t="s">
        <v>67</v>
      </c>
      <c r="C2172" s="8" t="s">
        <v>9860</v>
      </c>
      <c r="D2172" s="8" t="s">
        <v>9408</v>
      </c>
      <c r="E2172" s="8" t="s">
        <v>9861</v>
      </c>
      <c r="F2172" s="8" t="s">
        <v>201</v>
      </c>
      <c r="G2172" s="8" t="s">
        <v>9862</v>
      </c>
      <c r="H2172" s="8" t="s">
        <v>9863</v>
      </c>
      <c r="I2172" s="8" t="s">
        <v>146</v>
      </c>
      <c r="J2172" s="8" t="s">
        <v>4068</v>
      </c>
      <c r="K2172" s="8" t="s">
        <v>116</v>
      </c>
      <c r="L2172" s="8" t="s">
        <v>9864</v>
      </c>
    </row>
    <row r="2173" customFormat="false" ht="34.5" hidden="false" customHeight="true" outlineLevel="0" collapsed="false">
      <c r="A2173" s="8" t="n">
        <v>1916</v>
      </c>
      <c r="B2173" s="8" t="s">
        <v>67</v>
      </c>
      <c r="C2173" s="8" t="s">
        <v>9865</v>
      </c>
      <c r="D2173" s="8" t="s">
        <v>9489</v>
      </c>
      <c r="E2173" s="8" t="s">
        <v>9866</v>
      </c>
      <c r="F2173" s="8" t="s">
        <v>201</v>
      </c>
      <c r="G2173" s="8" t="s">
        <v>9867</v>
      </c>
      <c r="H2173" s="8" t="s">
        <v>9868</v>
      </c>
      <c r="I2173" s="8" t="s">
        <v>748</v>
      </c>
      <c r="J2173" s="8" t="s">
        <v>9869</v>
      </c>
      <c r="K2173" s="8" t="s">
        <v>116</v>
      </c>
      <c r="L2173" s="8" t="s">
        <v>9870</v>
      </c>
    </row>
    <row r="2174" customFormat="false" ht="34.5" hidden="false" customHeight="true" outlineLevel="0" collapsed="false">
      <c r="A2174" s="8" t="n">
        <v>1917</v>
      </c>
      <c r="B2174" s="8" t="s">
        <v>67</v>
      </c>
      <c r="C2174" s="8" t="s">
        <v>9871</v>
      </c>
      <c r="D2174" s="8" t="s">
        <v>9425</v>
      </c>
      <c r="E2174" s="8" t="s">
        <v>9872</v>
      </c>
      <c r="F2174" s="8" t="s">
        <v>587</v>
      </c>
      <c r="G2174" s="8" t="s">
        <v>9873</v>
      </c>
      <c r="H2174" s="8" t="s">
        <v>9874</v>
      </c>
      <c r="I2174" s="8" t="s">
        <v>146</v>
      </c>
      <c r="J2174" s="8" t="s">
        <v>9875</v>
      </c>
      <c r="K2174" s="8"/>
      <c r="L2174" s="8" t="s">
        <v>9876</v>
      </c>
    </row>
    <row r="2175" customFormat="false" ht="34.5" hidden="false" customHeight="true" outlineLevel="0" collapsed="false">
      <c r="A2175" s="8" t="n">
        <v>1918</v>
      </c>
      <c r="B2175" s="8" t="s">
        <v>67</v>
      </c>
      <c r="C2175" s="8" t="s">
        <v>9877</v>
      </c>
      <c r="D2175" s="8" t="s">
        <v>9460</v>
      </c>
      <c r="E2175" s="8" t="s">
        <v>9878</v>
      </c>
      <c r="F2175" s="8" t="s">
        <v>201</v>
      </c>
      <c r="G2175" s="8" t="s">
        <v>3552</v>
      </c>
      <c r="H2175" s="8" t="s">
        <v>9879</v>
      </c>
      <c r="I2175" s="8" t="s">
        <v>146</v>
      </c>
      <c r="J2175" s="8" t="s">
        <v>9880</v>
      </c>
      <c r="K2175" s="8"/>
      <c r="L2175" s="8" t="s">
        <v>9881</v>
      </c>
    </row>
    <row r="2176" customFormat="false" ht="34.5" hidden="false" customHeight="true" outlineLevel="0" collapsed="false">
      <c r="A2176" s="8" t="n">
        <v>1919</v>
      </c>
      <c r="B2176" s="8" t="s">
        <v>67</v>
      </c>
      <c r="C2176" s="8" t="s">
        <v>9882</v>
      </c>
      <c r="D2176" s="8" t="s">
        <v>9347</v>
      </c>
      <c r="E2176" s="8" t="s">
        <v>9883</v>
      </c>
      <c r="F2176" s="8" t="s">
        <v>201</v>
      </c>
      <c r="G2176" s="8" t="s">
        <v>9884</v>
      </c>
      <c r="H2176" s="8" t="s">
        <v>501</v>
      </c>
      <c r="I2176" s="8" t="s">
        <v>146</v>
      </c>
      <c r="J2176" s="8" t="s">
        <v>9885</v>
      </c>
      <c r="K2176" s="8" t="s">
        <v>116</v>
      </c>
      <c r="L2176" s="8" t="s">
        <v>9886</v>
      </c>
    </row>
    <row r="2177" customFormat="false" ht="23.25" hidden="false" customHeight="true" outlineLevel="0" collapsed="false">
      <c r="A2177" s="8" t="n">
        <v>1920</v>
      </c>
      <c r="B2177" s="8" t="s">
        <v>67</v>
      </c>
      <c r="C2177" s="8" t="s">
        <v>8093</v>
      </c>
      <c r="D2177" s="8" t="s">
        <v>9338</v>
      </c>
      <c r="E2177" s="8" t="s">
        <v>9887</v>
      </c>
      <c r="F2177" s="8" t="s">
        <v>143</v>
      </c>
      <c r="G2177" s="8" t="s">
        <v>9556</v>
      </c>
      <c r="H2177" s="8" t="s">
        <v>145</v>
      </c>
      <c r="I2177" s="8" t="s">
        <v>153</v>
      </c>
      <c r="J2177" s="8" t="s">
        <v>9888</v>
      </c>
      <c r="K2177" s="8" t="s">
        <v>114</v>
      </c>
      <c r="L2177" s="8" t="s">
        <v>9889</v>
      </c>
    </row>
    <row r="2178" customFormat="false" ht="34.5" hidden="false" customHeight="true" outlineLevel="0" collapsed="false">
      <c r="A2178" s="8" t="n">
        <v>1921</v>
      </c>
      <c r="B2178" s="8" t="s">
        <v>67</v>
      </c>
      <c r="C2178" s="8" t="s">
        <v>9890</v>
      </c>
      <c r="D2178" s="8" t="s">
        <v>9170</v>
      </c>
      <c r="E2178" s="8" t="s">
        <v>9891</v>
      </c>
      <c r="F2178" s="8" t="s">
        <v>201</v>
      </c>
      <c r="G2178" s="8" t="s">
        <v>9892</v>
      </c>
      <c r="H2178" s="8" t="s">
        <v>9893</v>
      </c>
      <c r="I2178" s="8" t="s">
        <v>146</v>
      </c>
      <c r="J2178" s="8" t="s">
        <v>9894</v>
      </c>
      <c r="K2178" s="8" t="s">
        <v>114</v>
      </c>
      <c r="L2178" s="8" t="s">
        <v>9895</v>
      </c>
    </row>
    <row r="2179" customFormat="false" ht="34.5" hidden="false" customHeight="true" outlineLevel="0" collapsed="false">
      <c r="A2179" s="8" t="n">
        <v>1922</v>
      </c>
      <c r="B2179" s="8" t="s">
        <v>67</v>
      </c>
      <c r="C2179" s="8" t="s">
        <v>9896</v>
      </c>
      <c r="D2179" s="8" t="s">
        <v>9170</v>
      </c>
      <c r="E2179" s="8" t="s">
        <v>9897</v>
      </c>
      <c r="F2179" s="8" t="s">
        <v>143</v>
      </c>
      <c r="G2179" s="8" t="s">
        <v>9898</v>
      </c>
      <c r="H2179" s="8" t="s">
        <v>914</v>
      </c>
      <c r="I2179" s="8" t="s">
        <v>387</v>
      </c>
      <c r="J2179" s="8" t="s">
        <v>9899</v>
      </c>
      <c r="K2179" s="8" t="s">
        <v>114</v>
      </c>
      <c r="L2179" s="8" t="s">
        <v>9900</v>
      </c>
    </row>
    <row r="2180" customFormat="false" ht="23.25" hidden="false" customHeight="true" outlineLevel="0" collapsed="false">
      <c r="A2180" s="8" t="n">
        <v>1923</v>
      </c>
      <c r="B2180" s="8" t="s">
        <v>67</v>
      </c>
      <c r="C2180" s="8" t="s">
        <v>9901</v>
      </c>
      <c r="D2180" s="8" t="s">
        <v>9347</v>
      </c>
      <c r="E2180" s="8" t="s">
        <v>9902</v>
      </c>
      <c r="F2180" s="8" t="s">
        <v>201</v>
      </c>
      <c r="G2180" s="8" t="s">
        <v>9903</v>
      </c>
      <c r="H2180" s="8" t="s">
        <v>2168</v>
      </c>
      <c r="I2180" s="8" t="s">
        <v>153</v>
      </c>
      <c r="J2180" s="8" t="s">
        <v>9904</v>
      </c>
      <c r="K2180" s="8" t="s">
        <v>114</v>
      </c>
      <c r="L2180" s="8" t="s">
        <v>9905</v>
      </c>
    </row>
    <row r="2181" customFormat="false" ht="23.25" hidden="false" customHeight="true" outlineLevel="0" collapsed="false">
      <c r="A2181" s="8" t="n">
        <v>1924</v>
      </c>
      <c r="B2181" s="8" t="s">
        <v>67</v>
      </c>
      <c r="C2181" s="8" t="s">
        <v>9906</v>
      </c>
      <c r="D2181" s="8" t="s">
        <v>9332</v>
      </c>
      <c r="E2181" s="8" t="s">
        <v>9907</v>
      </c>
      <c r="F2181" s="8" t="s">
        <v>201</v>
      </c>
      <c r="G2181" s="8" t="s">
        <v>9908</v>
      </c>
      <c r="H2181" s="8" t="s">
        <v>145</v>
      </c>
      <c r="I2181" s="8" t="s">
        <v>146</v>
      </c>
      <c r="J2181" s="8" t="s">
        <v>9909</v>
      </c>
      <c r="K2181" s="8" t="s">
        <v>112</v>
      </c>
      <c r="L2181" s="8" t="s">
        <v>9910</v>
      </c>
    </row>
    <row r="2182" customFormat="false" ht="34.5" hidden="false" customHeight="true" outlineLevel="0" collapsed="false">
      <c r="A2182" s="8" t="n">
        <v>1925</v>
      </c>
      <c r="B2182" s="8" t="s">
        <v>67</v>
      </c>
      <c r="C2182" s="8" t="s">
        <v>9911</v>
      </c>
      <c r="D2182" s="8" t="s">
        <v>9408</v>
      </c>
      <c r="E2182" s="8" t="s">
        <v>6512</v>
      </c>
      <c r="F2182" s="8" t="s">
        <v>201</v>
      </c>
      <c r="G2182" s="8" t="s">
        <v>9912</v>
      </c>
      <c r="H2182" s="8" t="s">
        <v>145</v>
      </c>
      <c r="I2182" s="8" t="s">
        <v>153</v>
      </c>
      <c r="J2182" s="8" t="s">
        <v>9913</v>
      </c>
      <c r="K2182" s="8" t="s">
        <v>112</v>
      </c>
      <c r="L2182" s="8" t="s">
        <v>9914</v>
      </c>
    </row>
    <row r="2183" customFormat="false" ht="34.5" hidden="false" customHeight="true" outlineLevel="0" collapsed="false">
      <c r="A2183" s="8" t="n">
        <v>1926</v>
      </c>
      <c r="B2183" s="8" t="s">
        <v>67</v>
      </c>
      <c r="C2183" s="8" t="s">
        <v>9915</v>
      </c>
      <c r="D2183" s="8" t="s">
        <v>9347</v>
      </c>
      <c r="E2183" s="8" t="s">
        <v>9916</v>
      </c>
      <c r="F2183" s="8" t="s">
        <v>201</v>
      </c>
      <c r="G2183" s="8" t="s">
        <v>9917</v>
      </c>
      <c r="H2183" s="8" t="s">
        <v>9918</v>
      </c>
      <c r="I2183" s="8" t="s">
        <v>146</v>
      </c>
      <c r="J2183" s="8" t="s">
        <v>9919</v>
      </c>
      <c r="K2183" s="8" t="s">
        <v>114</v>
      </c>
      <c r="L2183" s="8" t="s">
        <v>9920</v>
      </c>
    </row>
    <row r="2184" customFormat="false" ht="34.5" hidden="false" customHeight="true" outlineLevel="0" collapsed="false">
      <c r="A2184" s="8" t="n">
        <v>1927</v>
      </c>
      <c r="B2184" s="8" t="s">
        <v>67</v>
      </c>
      <c r="C2184" s="8" t="s">
        <v>9921</v>
      </c>
      <c r="D2184" s="8" t="s">
        <v>9467</v>
      </c>
      <c r="E2184" s="8" t="s">
        <v>9922</v>
      </c>
      <c r="F2184" s="8" t="s">
        <v>201</v>
      </c>
      <c r="G2184" s="8" t="s">
        <v>1495</v>
      </c>
      <c r="H2184" s="8" t="s">
        <v>145</v>
      </c>
      <c r="I2184" s="8" t="s">
        <v>146</v>
      </c>
      <c r="J2184" s="8" t="s">
        <v>9923</v>
      </c>
      <c r="K2184" s="8" t="s">
        <v>112</v>
      </c>
      <c r="L2184" s="8" t="s">
        <v>9924</v>
      </c>
    </row>
    <row r="2185" customFormat="false" ht="23.25" hidden="false" customHeight="true" outlineLevel="0" collapsed="false">
      <c r="A2185" s="8" t="n">
        <v>1928</v>
      </c>
      <c r="B2185" s="8" t="s">
        <v>67</v>
      </c>
      <c r="C2185" s="8" t="s">
        <v>9925</v>
      </c>
      <c r="D2185" s="8" t="s">
        <v>9460</v>
      </c>
      <c r="E2185" s="8" t="s">
        <v>9926</v>
      </c>
      <c r="F2185" s="8" t="s">
        <v>151</v>
      </c>
      <c r="G2185" s="8" t="s">
        <v>9927</v>
      </c>
      <c r="H2185" s="8" t="s">
        <v>145</v>
      </c>
      <c r="I2185" s="8" t="s">
        <v>153</v>
      </c>
      <c r="J2185" s="8" t="s">
        <v>9928</v>
      </c>
      <c r="K2185" s="8"/>
      <c r="L2185" s="8" t="s">
        <v>9929</v>
      </c>
    </row>
    <row r="2186" customFormat="false" ht="23.25" hidden="false" customHeight="true" outlineLevel="0" collapsed="false">
      <c r="A2186" s="8" t="n">
        <v>1929</v>
      </c>
      <c r="B2186" s="8" t="s">
        <v>67</v>
      </c>
      <c r="C2186" s="8" t="s">
        <v>9930</v>
      </c>
      <c r="D2186" s="8" t="s">
        <v>9170</v>
      </c>
      <c r="E2186" s="8" t="s">
        <v>9931</v>
      </c>
      <c r="F2186" s="8" t="s">
        <v>143</v>
      </c>
      <c r="G2186" s="8" t="s">
        <v>9932</v>
      </c>
      <c r="H2186" s="8" t="s">
        <v>9933</v>
      </c>
      <c r="I2186" s="8" t="s">
        <v>748</v>
      </c>
      <c r="J2186" s="8" t="s">
        <v>9934</v>
      </c>
      <c r="K2186" s="8" t="s">
        <v>114</v>
      </c>
      <c r="L2186" s="8" t="s">
        <v>9935</v>
      </c>
    </row>
    <row r="2187" customFormat="false" ht="34.5" hidden="false" customHeight="true" outlineLevel="0" collapsed="false">
      <c r="A2187" s="8" t="n">
        <v>1930</v>
      </c>
      <c r="B2187" s="8" t="s">
        <v>67</v>
      </c>
      <c r="C2187" s="8" t="s">
        <v>9936</v>
      </c>
      <c r="D2187" s="8" t="s">
        <v>9347</v>
      </c>
      <c r="E2187" s="8" t="s">
        <v>9937</v>
      </c>
      <c r="F2187" s="8" t="s">
        <v>201</v>
      </c>
      <c r="G2187" s="8" t="s">
        <v>9938</v>
      </c>
      <c r="H2187" s="8" t="s">
        <v>779</v>
      </c>
      <c r="I2187" s="8" t="s">
        <v>387</v>
      </c>
      <c r="J2187" s="8" t="s">
        <v>9939</v>
      </c>
      <c r="K2187" s="8" t="s">
        <v>116</v>
      </c>
      <c r="L2187" s="8" t="s">
        <v>9940</v>
      </c>
    </row>
    <row r="2188" customFormat="false" ht="34.5" hidden="false" customHeight="true" outlineLevel="0" collapsed="false">
      <c r="A2188" s="8" t="n">
        <v>1931</v>
      </c>
      <c r="B2188" s="8" t="s">
        <v>67</v>
      </c>
      <c r="C2188" s="8" t="s">
        <v>9941</v>
      </c>
      <c r="D2188" s="8" t="s">
        <v>9489</v>
      </c>
      <c r="E2188" s="8" t="s">
        <v>9942</v>
      </c>
      <c r="F2188" s="8" t="s">
        <v>2840</v>
      </c>
      <c r="G2188" s="8" t="s">
        <v>152</v>
      </c>
      <c r="H2188" s="8" t="s">
        <v>3279</v>
      </c>
      <c r="I2188" s="8" t="s">
        <v>146</v>
      </c>
      <c r="J2188" s="8" t="s">
        <v>9943</v>
      </c>
      <c r="K2188" s="8"/>
      <c r="L2188" s="8" t="s">
        <v>9944</v>
      </c>
    </row>
    <row r="2189" customFormat="false" ht="34.5" hidden="false" customHeight="true" outlineLevel="0" collapsed="false">
      <c r="A2189" s="8" t="n">
        <v>1932</v>
      </c>
      <c r="B2189" s="8" t="s">
        <v>67</v>
      </c>
      <c r="C2189" s="8" t="s">
        <v>9945</v>
      </c>
      <c r="D2189" s="8" t="s">
        <v>9338</v>
      </c>
      <c r="E2189" s="8" t="s">
        <v>9946</v>
      </c>
      <c r="F2189" s="8" t="s">
        <v>151</v>
      </c>
      <c r="G2189" s="8" t="s">
        <v>9947</v>
      </c>
      <c r="H2189" s="8" t="s">
        <v>9948</v>
      </c>
      <c r="I2189" s="8" t="s">
        <v>387</v>
      </c>
      <c r="J2189" s="8" t="s">
        <v>9949</v>
      </c>
      <c r="K2189" s="8" t="s">
        <v>116</v>
      </c>
      <c r="L2189" s="8" t="s">
        <v>9950</v>
      </c>
    </row>
    <row r="2190" customFormat="false" ht="34.5" hidden="false" customHeight="true" outlineLevel="0" collapsed="false">
      <c r="A2190" s="8" t="n">
        <v>1933</v>
      </c>
      <c r="B2190" s="8" t="s">
        <v>67</v>
      </c>
      <c r="C2190" s="8" t="s">
        <v>9951</v>
      </c>
      <c r="D2190" s="8" t="s">
        <v>9196</v>
      </c>
      <c r="E2190" s="8" t="s">
        <v>9952</v>
      </c>
      <c r="F2190" s="8" t="s">
        <v>201</v>
      </c>
      <c r="G2190" s="8" t="s">
        <v>9953</v>
      </c>
      <c r="H2190" s="8" t="s">
        <v>2168</v>
      </c>
      <c r="I2190" s="8" t="s">
        <v>153</v>
      </c>
      <c r="J2190" s="8" t="s">
        <v>9954</v>
      </c>
      <c r="K2190" s="8" t="s">
        <v>116</v>
      </c>
      <c r="L2190" s="8" t="s">
        <v>9955</v>
      </c>
    </row>
    <row r="2191" customFormat="false" ht="34.5" hidden="false" customHeight="true" outlineLevel="0" collapsed="false">
      <c r="A2191" s="8" t="n">
        <v>1934</v>
      </c>
      <c r="B2191" s="8" t="s">
        <v>67</v>
      </c>
      <c r="C2191" s="8" t="s">
        <v>9956</v>
      </c>
      <c r="D2191" s="8" t="s">
        <v>9332</v>
      </c>
      <c r="E2191" s="8" t="s">
        <v>9957</v>
      </c>
      <c r="F2191" s="8" t="s">
        <v>579</v>
      </c>
      <c r="G2191" s="8" t="s">
        <v>9958</v>
      </c>
      <c r="H2191" s="8" t="s">
        <v>9959</v>
      </c>
      <c r="I2191" s="8" t="s">
        <v>208</v>
      </c>
      <c r="J2191" s="8" t="s">
        <v>9960</v>
      </c>
      <c r="K2191" s="8" t="s">
        <v>112</v>
      </c>
      <c r="L2191" s="8" t="s">
        <v>9961</v>
      </c>
    </row>
    <row r="2192" customFormat="false" ht="34.5" hidden="false" customHeight="true" outlineLevel="0" collapsed="false">
      <c r="A2192" s="8" t="n">
        <v>1935</v>
      </c>
      <c r="B2192" s="8" t="s">
        <v>67</v>
      </c>
      <c r="C2192" s="8" t="s">
        <v>9962</v>
      </c>
      <c r="D2192" s="8" t="s">
        <v>9347</v>
      </c>
      <c r="E2192" s="8" t="s">
        <v>9963</v>
      </c>
      <c r="F2192" s="8" t="s">
        <v>201</v>
      </c>
      <c r="G2192" s="8" t="s">
        <v>1619</v>
      </c>
      <c r="H2192" s="8" t="s">
        <v>9964</v>
      </c>
      <c r="I2192" s="8" t="s">
        <v>146</v>
      </c>
      <c r="J2192" s="8" t="s">
        <v>9965</v>
      </c>
      <c r="K2192" s="8"/>
      <c r="L2192" s="8" t="s">
        <v>9966</v>
      </c>
    </row>
    <row r="2193" customFormat="false" ht="34.5" hidden="false" customHeight="true" outlineLevel="0" collapsed="false">
      <c r="A2193" s="8" t="n">
        <v>1936</v>
      </c>
      <c r="B2193" s="8" t="s">
        <v>67</v>
      </c>
      <c r="C2193" s="8" t="s">
        <v>8119</v>
      </c>
      <c r="D2193" s="8" t="s">
        <v>9408</v>
      </c>
      <c r="E2193" s="8" t="s">
        <v>9967</v>
      </c>
      <c r="F2193" s="8" t="s">
        <v>201</v>
      </c>
      <c r="G2193" s="8" t="s">
        <v>9968</v>
      </c>
      <c r="H2193" s="8" t="s">
        <v>9969</v>
      </c>
      <c r="I2193" s="8" t="s">
        <v>146</v>
      </c>
      <c r="J2193" s="8" t="s">
        <v>9970</v>
      </c>
      <c r="K2193" s="8" t="s">
        <v>114</v>
      </c>
      <c r="L2193" s="8" t="s">
        <v>9971</v>
      </c>
    </row>
    <row r="2194" customFormat="false" ht="34.5" hidden="false" customHeight="true" outlineLevel="0" collapsed="false">
      <c r="A2194" s="8" t="n">
        <v>1937</v>
      </c>
      <c r="B2194" s="8" t="s">
        <v>69</v>
      </c>
      <c r="C2194" s="8" t="s">
        <v>9972</v>
      </c>
      <c r="D2194" s="8" t="n">
        <v>2024</v>
      </c>
      <c r="E2194" s="8" t="s">
        <v>9973</v>
      </c>
      <c r="F2194" s="8" t="s">
        <v>143</v>
      </c>
      <c r="G2194" s="8" t="s">
        <v>9974</v>
      </c>
      <c r="H2194" s="8" t="s">
        <v>145</v>
      </c>
      <c r="I2194" s="8" t="s">
        <v>153</v>
      </c>
      <c r="J2194" s="8" t="s">
        <v>9975</v>
      </c>
      <c r="K2194" s="8" t="s">
        <v>110</v>
      </c>
      <c r="L2194" s="8" t="s">
        <v>9976</v>
      </c>
    </row>
    <row r="2195" customFormat="false" ht="45.75" hidden="false" customHeight="true" outlineLevel="0" collapsed="false">
      <c r="A2195" s="8" t="n">
        <v>1938</v>
      </c>
      <c r="B2195" s="8" t="s">
        <v>69</v>
      </c>
      <c r="C2195" s="8" t="s">
        <v>9977</v>
      </c>
      <c r="D2195" s="8" t="n">
        <v>2023</v>
      </c>
      <c r="E2195" s="8" t="s">
        <v>9978</v>
      </c>
      <c r="F2195" s="8" t="s">
        <v>151</v>
      </c>
      <c r="G2195" s="8" t="s">
        <v>9979</v>
      </c>
      <c r="H2195" s="8" t="s">
        <v>9980</v>
      </c>
      <c r="I2195" s="8" t="s">
        <v>153</v>
      </c>
      <c r="J2195" s="8" t="s">
        <v>9981</v>
      </c>
      <c r="K2195" s="8" t="s">
        <v>114</v>
      </c>
      <c r="L2195" s="8" t="s">
        <v>9982</v>
      </c>
    </row>
    <row r="2196" customFormat="false" ht="34.5" hidden="false" customHeight="true" outlineLevel="0" collapsed="false">
      <c r="A2196" s="8" t="n">
        <v>1939</v>
      </c>
      <c r="B2196" s="8" t="s">
        <v>69</v>
      </c>
      <c r="C2196" s="8" t="s">
        <v>9983</v>
      </c>
      <c r="D2196" s="8" t="n">
        <v>2024</v>
      </c>
      <c r="E2196" s="8" t="s">
        <v>9984</v>
      </c>
      <c r="F2196" s="8" t="s">
        <v>151</v>
      </c>
      <c r="G2196" s="8" t="s">
        <v>2218</v>
      </c>
      <c r="H2196" s="8" t="s">
        <v>145</v>
      </c>
      <c r="I2196" s="8" t="s">
        <v>153</v>
      </c>
      <c r="J2196" s="8" t="s">
        <v>9985</v>
      </c>
      <c r="K2196" s="8" t="s">
        <v>114</v>
      </c>
      <c r="L2196" s="8" t="s">
        <v>9986</v>
      </c>
    </row>
    <row r="2197" customFormat="false" ht="34.5" hidden="false" customHeight="true" outlineLevel="0" collapsed="false">
      <c r="A2197" s="8" t="n">
        <v>1940</v>
      </c>
      <c r="B2197" s="8" t="s">
        <v>69</v>
      </c>
      <c r="C2197" s="8" t="s">
        <v>1918</v>
      </c>
      <c r="D2197" s="8" t="n">
        <v>2024</v>
      </c>
      <c r="E2197" s="8" t="s">
        <v>9987</v>
      </c>
      <c r="F2197" s="8" t="s">
        <v>143</v>
      </c>
      <c r="G2197" s="8" t="s">
        <v>626</v>
      </c>
      <c r="H2197" s="8" t="s">
        <v>145</v>
      </c>
      <c r="I2197" s="8" t="s">
        <v>153</v>
      </c>
      <c r="J2197" s="8" t="s">
        <v>9988</v>
      </c>
      <c r="K2197" s="8" t="s">
        <v>114</v>
      </c>
      <c r="L2197" s="8" t="s">
        <v>9989</v>
      </c>
    </row>
    <row r="2198" customFormat="false" ht="34.5" hidden="false" customHeight="true" outlineLevel="0" collapsed="false">
      <c r="A2198" s="8" t="n">
        <v>1941</v>
      </c>
      <c r="B2198" s="8" t="s">
        <v>69</v>
      </c>
      <c r="C2198" s="8" t="s">
        <v>9990</v>
      </c>
      <c r="D2198" s="8" t="n">
        <v>2025</v>
      </c>
      <c r="E2198" s="8" t="s">
        <v>9991</v>
      </c>
      <c r="F2198" s="8" t="s">
        <v>143</v>
      </c>
      <c r="G2198" s="8" t="s">
        <v>9992</v>
      </c>
      <c r="H2198" s="8" t="s">
        <v>9993</v>
      </c>
      <c r="I2198" s="8" t="s">
        <v>153</v>
      </c>
      <c r="J2198" s="8" t="s">
        <v>9994</v>
      </c>
      <c r="K2198" s="8" t="s">
        <v>110</v>
      </c>
      <c r="L2198" s="8" t="s">
        <v>9995</v>
      </c>
    </row>
    <row r="2199" customFormat="false" ht="34.5" hidden="false" customHeight="true" outlineLevel="0" collapsed="false">
      <c r="A2199" s="8" t="n">
        <v>1942</v>
      </c>
      <c r="B2199" s="8" t="s">
        <v>69</v>
      </c>
      <c r="C2199" s="8" t="s">
        <v>9996</v>
      </c>
      <c r="D2199" s="8" t="n">
        <v>2022</v>
      </c>
      <c r="E2199" s="8" t="s">
        <v>9997</v>
      </c>
      <c r="F2199" s="8" t="s">
        <v>143</v>
      </c>
      <c r="G2199" s="8" t="s">
        <v>9998</v>
      </c>
      <c r="H2199" s="8" t="s">
        <v>145</v>
      </c>
      <c r="I2199" s="8" t="s">
        <v>153</v>
      </c>
      <c r="J2199" s="8" t="s">
        <v>3954</v>
      </c>
      <c r="K2199" s="8" t="s">
        <v>110</v>
      </c>
      <c r="L2199" s="8" t="s">
        <v>9999</v>
      </c>
    </row>
    <row r="2200" customFormat="false" ht="34.5" hidden="false" customHeight="true" outlineLevel="0" collapsed="false">
      <c r="A2200" s="8" t="n">
        <v>1943</v>
      </c>
      <c r="B2200" s="8" t="s">
        <v>69</v>
      </c>
      <c r="C2200" s="8" t="s">
        <v>10000</v>
      </c>
      <c r="D2200" s="8" t="n">
        <v>2024</v>
      </c>
      <c r="E2200" s="8" t="s">
        <v>10001</v>
      </c>
      <c r="F2200" s="8" t="s">
        <v>143</v>
      </c>
      <c r="G2200" s="8" t="s">
        <v>1424</v>
      </c>
      <c r="H2200" s="8" t="s">
        <v>145</v>
      </c>
      <c r="I2200" s="8" t="s">
        <v>153</v>
      </c>
      <c r="J2200" s="8" t="s">
        <v>10002</v>
      </c>
      <c r="K2200" s="8"/>
      <c r="L2200" s="8" t="s">
        <v>10003</v>
      </c>
    </row>
    <row r="2201" customFormat="false" ht="34.5" hidden="false" customHeight="true" outlineLevel="0" collapsed="false">
      <c r="A2201" s="8" t="n">
        <v>1944</v>
      </c>
      <c r="B2201" s="8" t="s">
        <v>69</v>
      </c>
      <c r="C2201" s="8" t="s">
        <v>10004</v>
      </c>
      <c r="D2201" s="8" t="n">
        <v>2021</v>
      </c>
      <c r="E2201" s="8" t="s">
        <v>10005</v>
      </c>
      <c r="F2201" s="8" t="s">
        <v>143</v>
      </c>
      <c r="G2201" s="8" t="s">
        <v>10006</v>
      </c>
      <c r="H2201" s="8" t="s">
        <v>145</v>
      </c>
      <c r="I2201" s="8" t="s">
        <v>153</v>
      </c>
      <c r="J2201" s="8" t="s">
        <v>10007</v>
      </c>
      <c r="K2201" s="8" t="s">
        <v>116</v>
      </c>
      <c r="L2201" s="8" t="s">
        <v>10008</v>
      </c>
    </row>
    <row r="2202" customFormat="false" ht="34.5" hidden="false" customHeight="true" outlineLevel="0" collapsed="false">
      <c r="A2202" s="8" t="n">
        <v>1945</v>
      </c>
      <c r="B2202" s="8" t="s">
        <v>69</v>
      </c>
      <c r="C2202" s="8" t="s">
        <v>10009</v>
      </c>
      <c r="D2202" s="8" t="n">
        <v>2025</v>
      </c>
      <c r="E2202" s="8" t="s">
        <v>10010</v>
      </c>
      <c r="F2202" s="8" t="s">
        <v>143</v>
      </c>
      <c r="G2202" s="8" t="s">
        <v>10011</v>
      </c>
      <c r="H2202" s="8" t="s">
        <v>327</v>
      </c>
      <c r="I2202" s="8" t="s">
        <v>153</v>
      </c>
      <c r="J2202" s="8" t="s">
        <v>10012</v>
      </c>
      <c r="K2202" s="8"/>
      <c r="L2202" s="8" t="s">
        <v>10013</v>
      </c>
    </row>
    <row r="2203" customFormat="false" ht="34.5" hidden="false" customHeight="true" outlineLevel="0" collapsed="false">
      <c r="A2203" s="8" t="n">
        <v>1946</v>
      </c>
      <c r="B2203" s="8" t="s">
        <v>69</v>
      </c>
      <c r="C2203" s="8" t="s">
        <v>1611</v>
      </c>
      <c r="D2203" s="8" t="n">
        <v>2020</v>
      </c>
      <c r="E2203" s="8" t="s">
        <v>10014</v>
      </c>
      <c r="F2203" s="8" t="s">
        <v>143</v>
      </c>
      <c r="G2203" s="8" t="s">
        <v>9979</v>
      </c>
      <c r="H2203" s="8" t="s">
        <v>9980</v>
      </c>
      <c r="I2203" s="8" t="s">
        <v>153</v>
      </c>
      <c r="J2203" s="8" t="s">
        <v>10015</v>
      </c>
      <c r="K2203" s="8" t="s">
        <v>114</v>
      </c>
      <c r="L2203" s="8" t="s">
        <v>10016</v>
      </c>
    </row>
    <row r="2204" customFormat="false" ht="34.5" hidden="false" customHeight="true" outlineLevel="0" collapsed="false">
      <c r="A2204" s="8" t="n">
        <v>1947</v>
      </c>
      <c r="B2204" s="8" t="s">
        <v>69</v>
      </c>
      <c r="C2204" s="8" t="s">
        <v>10017</v>
      </c>
      <c r="D2204" s="8" t="n">
        <v>2020</v>
      </c>
      <c r="E2204" s="8" t="s">
        <v>10018</v>
      </c>
      <c r="F2204" s="8" t="s">
        <v>151</v>
      </c>
      <c r="G2204" s="8" t="s">
        <v>364</v>
      </c>
      <c r="H2204" s="8" t="s">
        <v>327</v>
      </c>
      <c r="I2204" s="8" t="s">
        <v>387</v>
      </c>
      <c r="J2204" s="8" t="s">
        <v>10019</v>
      </c>
      <c r="K2204" s="8"/>
      <c r="L2204" s="8" t="s">
        <v>10020</v>
      </c>
    </row>
    <row r="2205" customFormat="false" ht="34.5" hidden="false" customHeight="true" outlineLevel="0" collapsed="false">
      <c r="A2205" s="8" t="n">
        <v>1948</v>
      </c>
      <c r="B2205" s="8" t="s">
        <v>69</v>
      </c>
      <c r="C2205" s="8" t="s">
        <v>1622</v>
      </c>
      <c r="D2205" s="8" t="n">
        <v>2020</v>
      </c>
      <c r="E2205" s="8" t="s">
        <v>10021</v>
      </c>
      <c r="F2205" s="8" t="s">
        <v>143</v>
      </c>
      <c r="G2205" s="8" t="s">
        <v>10022</v>
      </c>
      <c r="H2205" s="8" t="s">
        <v>327</v>
      </c>
      <c r="I2205" s="8" t="s">
        <v>153</v>
      </c>
      <c r="J2205" s="8" t="s">
        <v>10023</v>
      </c>
      <c r="K2205" s="8"/>
      <c r="L2205" s="8" t="s">
        <v>10024</v>
      </c>
    </row>
    <row r="2206" customFormat="false" ht="34.5" hidden="false" customHeight="true" outlineLevel="0" collapsed="false">
      <c r="A2206" s="8" t="n">
        <v>1949</v>
      </c>
      <c r="B2206" s="8" t="s">
        <v>69</v>
      </c>
      <c r="C2206" s="8" t="s">
        <v>1622</v>
      </c>
      <c r="D2206" s="8" t="n">
        <v>2022</v>
      </c>
      <c r="E2206" s="8" t="s">
        <v>10025</v>
      </c>
      <c r="F2206" s="8" t="s">
        <v>151</v>
      </c>
      <c r="G2206" s="8" t="s">
        <v>1678</v>
      </c>
      <c r="H2206" s="8" t="s">
        <v>327</v>
      </c>
      <c r="I2206" s="8" t="s">
        <v>153</v>
      </c>
      <c r="J2206" s="8" t="s">
        <v>10026</v>
      </c>
      <c r="K2206" s="8"/>
      <c r="L2206" s="8" t="s">
        <v>10027</v>
      </c>
    </row>
    <row r="2207" customFormat="false" ht="34.5" hidden="false" customHeight="true" outlineLevel="0" collapsed="false">
      <c r="A2207" s="8" t="n">
        <v>1950</v>
      </c>
      <c r="B2207" s="8" t="s">
        <v>69</v>
      </c>
      <c r="C2207" s="8" t="s">
        <v>1622</v>
      </c>
      <c r="D2207" s="8" t="n">
        <v>2025</v>
      </c>
      <c r="E2207" s="8" t="s">
        <v>10028</v>
      </c>
      <c r="F2207" s="8" t="s">
        <v>143</v>
      </c>
      <c r="G2207" s="8" t="s">
        <v>10029</v>
      </c>
      <c r="H2207" s="8" t="s">
        <v>327</v>
      </c>
      <c r="I2207" s="8" t="s">
        <v>153</v>
      </c>
      <c r="J2207" s="8" t="s">
        <v>10030</v>
      </c>
      <c r="K2207" s="8" t="s">
        <v>110</v>
      </c>
      <c r="L2207" s="8" t="s">
        <v>10031</v>
      </c>
    </row>
    <row r="2208" customFormat="false" ht="34.5" hidden="false" customHeight="true" outlineLevel="0" collapsed="false">
      <c r="A2208" s="8" t="n">
        <v>1951</v>
      </c>
      <c r="B2208" s="8" t="s">
        <v>69</v>
      </c>
      <c r="C2208" s="8" t="s">
        <v>10032</v>
      </c>
      <c r="D2208" s="8" t="n">
        <v>2025</v>
      </c>
      <c r="E2208" s="8" t="s">
        <v>10033</v>
      </c>
      <c r="F2208" s="8" t="s">
        <v>143</v>
      </c>
      <c r="G2208" s="8" t="s">
        <v>1264</v>
      </c>
      <c r="H2208" s="8" t="s">
        <v>9993</v>
      </c>
      <c r="I2208" s="8" t="s">
        <v>153</v>
      </c>
      <c r="J2208" s="8" t="s">
        <v>10034</v>
      </c>
      <c r="K2208" s="8"/>
      <c r="L2208" s="8" t="s">
        <v>10035</v>
      </c>
    </row>
    <row r="2209" customFormat="false" ht="34.5" hidden="false" customHeight="true" outlineLevel="0" collapsed="false">
      <c r="A2209" s="8" t="n">
        <v>1952</v>
      </c>
      <c r="B2209" s="8" t="s">
        <v>69</v>
      </c>
      <c r="C2209" s="8" t="s">
        <v>10036</v>
      </c>
      <c r="D2209" s="8" t="n">
        <v>2025</v>
      </c>
      <c r="E2209" s="8" t="s">
        <v>10037</v>
      </c>
      <c r="F2209" s="8" t="s">
        <v>143</v>
      </c>
      <c r="G2209" s="8" t="s">
        <v>10038</v>
      </c>
      <c r="H2209" s="8" t="s">
        <v>327</v>
      </c>
      <c r="I2209" s="8" t="s">
        <v>387</v>
      </c>
      <c r="J2209" s="8" t="s">
        <v>10039</v>
      </c>
      <c r="K2209" s="8"/>
      <c r="L2209" s="8" t="s">
        <v>10040</v>
      </c>
    </row>
    <row r="2210" customFormat="false" ht="34.5" hidden="false" customHeight="true" outlineLevel="0" collapsed="false">
      <c r="A2210" s="8" t="n">
        <v>1953</v>
      </c>
      <c r="B2210" s="8" t="s">
        <v>69</v>
      </c>
      <c r="C2210" s="8" t="s">
        <v>591</v>
      </c>
      <c r="D2210" s="8" t="n">
        <v>2024</v>
      </c>
      <c r="E2210" s="8" t="s">
        <v>10041</v>
      </c>
      <c r="F2210" s="8" t="s">
        <v>143</v>
      </c>
      <c r="G2210" s="8" t="s">
        <v>364</v>
      </c>
      <c r="H2210" s="8" t="s">
        <v>145</v>
      </c>
      <c r="I2210" s="8" t="s">
        <v>153</v>
      </c>
      <c r="J2210" s="8" t="s">
        <v>10042</v>
      </c>
      <c r="K2210" s="8"/>
      <c r="L2210" s="8" t="s">
        <v>10043</v>
      </c>
    </row>
    <row r="2211" customFormat="false" ht="34.5" hidden="false" customHeight="true" outlineLevel="0" collapsed="false">
      <c r="A2211" s="8" t="n">
        <v>1954</v>
      </c>
      <c r="B2211" s="8" t="s">
        <v>69</v>
      </c>
      <c r="C2211" s="8" t="s">
        <v>10044</v>
      </c>
      <c r="D2211" s="8" t="n">
        <v>2023</v>
      </c>
      <c r="E2211" s="8" t="s">
        <v>10045</v>
      </c>
      <c r="F2211" s="8" t="s">
        <v>143</v>
      </c>
      <c r="G2211" s="8" t="s">
        <v>3439</v>
      </c>
      <c r="H2211" s="8" t="s">
        <v>145</v>
      </c>
      <c r="I2211" s="8" t="s">
        <v>153</v>
      </c>
      <c r="J2211" s="8" t="s">
        <v>10046</v>
      </c>
      <c r="K2211" s="8" t="s">
        <v>114</v>
      </c>
      <c r="L2211" s="8" t="s">
        <v>10047</v>
      </c>
    </row>
    <row r="2212" customFormat="false" ht="34.5" hidden="false" customHeight="true" outlineLevel="0" collapsed="false">
      <c r="A2212" s="8" t="n">
        <v>1955</v>
      </c>
      <c r="B2212" s="8" t="s">
        <v>69</v>
      </c>
      <c r="C2212" s="8" t="s">
        <v>10044</v>
      </c>
      <c r="D2212" s="8" t="n">
        <v>2022</v>
      </c>
      <c r="E2212" s="8" t="s">
        <v>10048</v>
      </c>
      <c r="F2212" s="8" t="s">
        <v>143</v>
      </c>
      <c r="G2212" s="8" t="s">
        <v>9118</v>
      </c>
      <c r="H2212" s="8" t="s">
        <v>145</v>
      </c>
      <c r="I2212" s="8" t="s">
        <v>153</v>
      </c>
      <c r="J2212" s="8" t="s">
        <v>10049</v>
      </c>
      <c r="K2212" s="8" t="s">
        <v>114</v>
      </c>
      <c r="L2212" s="8" t="s">
        <v>10050</v>
      </c>
    </row>
    <row r="2213" customFormat="false" ht="34.5" hidden="false" customHeight="true" outlineLevel="0" collapsed="false">
      <c r="A2213" s="8" t="n">
        <v>1956</v>
      </c>
      <c r="B2213" s="8" t="s">
        <v>69</v>
      </c>
      <c r="C2213" s="8" t="s">
        <v>10051</v>
      </c>
      <c r="D2213" s="8" t="n">
        <v>2021</v>
      </c>
      <c r="E2213" s="8" t="s">
        <v>9211</v>
      </c>
      <c r="F2213" s="8" t="s">
        <v>151</v>
      </c>
      <c r="G2213" s="8" t="s">
        <v>1499</v>
      </c>
      <c r="H2213" s="8" t="s">
        <v>145</v>
      </c>
      <c r="I2213" s="8" t="s">
        <v>153</v>
      </c>
      <c r="J2213" s="8" t="s">
        <v>10052</v>
      </c>
      <c r="K2213" s="8" t="s">
        <v>114</v>
      </c>
      <c r="L2213" s="8" t="s">
        <v>10053</v>
      </c>
    </row>
    <row r="2214" customFormat="false" ht="34.5" hidden="false" customHeight="true" outlineLevel="0" collapsed="false">
      <c r="A2214" s="8" t="n">
        <v>1957</v>
      </c>
      <c r="B2214" s="8" t="s">
        <v>69</v>
      </c>
      <c r="C2214" s="8" t="s">
        <v>10054</v>
      </c>
      <c r="D2214" s="8" t="n">
        <v>2024</v>
      </c>
      <c r="E2214" s="8" t="s">
        <v>10055</v>
      </c>
      <c r="F2214" s="8" t="s">
        <v>143</v>
      </c>
      <c r="G2214" s="8" t="s">
        <v>10056</v>
      </c>
      <c r="H2214" s="8" t="s">
        <v>1373</v>
      </c>
      <c r="I2214" s="8" t="s">
        <v>146</v>
      </c>
      <c r="J2214" s="8" t="s">
        <v>10057</v>
      </c>
      <c r="K2214" s="8" t="s">
        <v>116</v>
      </c>
      <c r="L2214" s="8" t="s">
        <v>10058</v>
      </c>
    </row>
    <row r="2215" customFormat="false" ht="34.5" hidden="false" customHeight="true" outlineLevel="0" collapsed="false">
      <c r="A2215" s="8" t="n">
        <v>1958</v>
      </c>
      <c r="B2215" s="8" t="s">
        <v>69</v>
      </c>
      <c r="C2215" s="8" t="s">
        <v>10059</v>
      </c>
      <c r="D2215" s="8" t="n">
        <v>2022</v>
      </c>
      <c r="E2215" s="8" t="s">
        <v>10060</v>
      </c>
      <c r="F2215" s="8" t="s">
        <v>151</v>
      </c>
      <c r="G2215" s="8" t="s">
        <v>10061</v>
      </c>
      <c r="H2215" s="8" t="s">
        <v>327</v>
      </c>
      <c r="I2215" s="8" t="s">
        <v>153</v>
      </c>
      <c r="J2215" s="8" t="s">
        <v>10062</v>
      </c>
      <c r="K2215" s="8"/>
      <c r="L2215" s="8" t="s">
        <v>10063</v>
      </c>
    </row>
    <row r="2216" customFormat="false" ht="34.5" hidden="false" customHeight="true" outlineLevel="0" collapsed="false">
      <c r="A2216" s="8" t="n">
        <v>1959</v>
      </c>
      <c r="B2216" s="8" t="s">
        <v>69</v>
      </c>
      <c r="C2216" s="8" t="s">
        <v>10064</v>
      </c>
      <c r="D2216" s="8" t="n">
        <v>2023</v>
      </c>
      <c r="E2216" s="8" t="s">
        <v>10065</v>
      </c>
      <c r="F2216" s="8" t="s">
        <v>151</v>
      </c>
      <c r="G2216" s="8" t="s">
        <v>10066</v>
      </c>
      <c r="H2216" s="8" t="s">
        <v>145</v>
      </c>
      <c r="I2216" s="8" t="s">
        <v>153</v>
      </c>
      <c r="J2216" s="8" t="s">
        <v>10067</v>
      </c>
      <c r="K2216" s="8" t="s">
        <v>114</v>
      </c>
      <c r="L2216" s="8" t="s">
        <v>10068</v>
      </c>
    </row>
    <row r="2217" customFormat="false" ht="45.75" hidden="false" customHeight="true" outlineLevel="0" collapsed="false">
      <c r="A2217" s="8" t="n">
        <v>1960</v>
      </c>
      <c r="B2217" s="8" t="s">
        <v>69</v>
      </c>
      <c r="C2217" s="8" t="s">
        <v>2633</v>
      </c>
      <c r="D2217" s="8" t="n">
        <v>2024</v>
      </c>
      <c r="E2217" s="8" t="s">
        <v>10069</v>
      </c>
      <c r="F2217" s="8" t="s">
        <v>151</v>
      </c>
      <c r="G2217" s="8" t="s">
        <v>10070</v>
      </c>
      <c r="H2217" s="8" t="s">
        <v>327</v>
      </c>
      <c r="I2217" s="8" t="s">
        <v>387</v>
      </c>
      <c r="J2217" s="8" t="s">
        <v>10071</v>
      </c>
      <c r="K2217" s="8"/>
      <c r="L2217" s="8" t="s">
        <v>10072</v>
      </c>
    </row>
    <row r="2218" customFormat="false" ht="34.5" hidden="false" customHeight="true" outlineLevel="0" collapsed="false">
      <c r="A2218" s="8" t="n">
        <v>1961</v>
      </c>
      <c r="B2218" s="8" t="s">
        <v>69</v>
      </c>
      <c r="C2218" s="8" t="s">
        <v>10073</v>
      </c>
      <c r="D2218" s="8" t="n">
        <v>2024</v>
      </c>
      <c r="E2218" s="8" t="s">
        <v>10074</v>
      </c>
      <c r="F2218" s="8" t="s">
        <v>143</v>
      </c>
      <c r="G2218" s="8" t="s">
        <v>10075</v>
      </c>
      <c r="H2218" s="8" t="s">
        <v>327</v>
      </c>
      <c r="I2218" s="8" t="s">
        <v>153</v>
      </c>
      <c r="J2218" s="8" t="s">
        <v>10076</v>
      </c>
      <c r="K2218" s="8"/>
      <c r="L2218" s="8" t="s">
        <v>10077</v>
      </c>
    </row>
    <row r="2219" customFormat="false" ht="45.75" hidden="false" customHeight="true" outlineLevel="0" collapsed="false">
      <c r="A2219" s="8" t="n">
        <v>1962</v>
      </c>
      <c r="B2219" s="8" t="s">
        <v>69</v>
      </c>
      <c r="C2219" s="8" t="s">
        <v>1331</v>
      </c>
      <c r="D2219" s="8" t="n">
        <v>2025</v>
      </c>
      <c r="E2219" s="8" t="s">
        <v>10078</v>
      </c>
      <c r="F2219" s="8" t="s">
        <v>143</v>
      </c>
      <c r="G2219" s="8" t="s">
        <v>1461</v>
      </c>
      <c r="H2219" s="8" t="s">
        <v>9993</v>
      </c>
      <c r="I2219" s="8" t="s">
        <v>153</v>
      </c>
      <c r="J2219" s="8" t="s">
        <v>10079</v>
      </c>
      <c r="K2219" s="8" t="s">
        <v>110</v>
      </c>
      <c r="L2219" s="8" t="s">
        <v>10080</v>
      </c>
    </row>
    <row r="2220" customFormat="false" ht="23.25" hidden="false" customHeight="true" outlineLevel="0" collapsed="false">
      <c r="A2220" s="8" t="n">
        <v>1963</v>
      </c>
      <c r="B2220" s="8" t="s">
        <v>71</v>
      </c>
      <c r="C2220" s="8" t="s">
        <v>10081</v>
      </c>
      <c r="D2220" s="8" t="n">
        <v>2019</v>
      </c>
      <c r="E2220" s="8" t="s">
        <v>10082</v>
      </c>
      <c r="F2220" s="8" t="s">
        <v>579</v>
      </c>
      <c r="G2220" s="8" t="s">
        <v>10083</v>
      </c>
      <c r="H2220" s="8" t="s">
        <v>10084</v>
      </c>
      <c r="I2220" s="8" t="s">
        <v>146</v>
      </c>
      <c r="J2220" s="8" t="s">
        <v>10085</v>
      </c>
      <c r="K2220" s="8"/>
      <c r="L2220" s="8" t="s">
        <v>10086</v>
      </c>
    </row>
    <row r="2221" customFormat="false" ht="23.25" hidden="false" customHeight="true" outlineLevel="0" collapsed="false">
      <c r="A2221" s="8" t="n">
        <v>1964</v>
      </c>
      <c r="B2221" s="8" t="s">
        <v>71</v>
      </c>
      <c r="C2221" s="8" t="s">
        <v>10087</v>
      </c>
      <c r="D2221" s="8" t="n">
        <v>2019</v>
      </c>
      <c r="E2221" s="8" t="s">
        <v>10088</v>
      </c>
      <c r="F2221" s="8" t="s">
        <v>151</v>
      </c>
      <c r="G2221" s="8" t="s">
        <v>1678</v>
      </c>
      <c r="H2221" s="8" t="s">
        <v>10089</v>
      </c>
      <c r="I2221" s="8" t="s">
        <v>146</v>
      </c>
      <c r="J2221" s="8" t="s">
        <v>10090</v>
      </c>
      <c r="K2221" s="8"/>
      <c r="L2221" s="8" t="s">
        <v>10091</v>
      </c>
    </row>
    <row r="2222" customFormat="false" ht="23.25" hidden="false" customHeight="true" outlineLevel="0" collapsed="false">
      <c r="A2222" s="8" t="n">
        <v>1965</v>
      </c>
      <c r="B2222" s="8" t="s">
        <v>71</v>
      </c>
      <c r="C2222" s="8" t="s">
        <v>10092</v>
      </c>
      <c r="D2222" s="8" t="n">
        <v>2005</v>
      </c>
      <c r="E2222" s="8" t="s">
        <v>10093</v>
      </c>
      <c r="F2222" s="8" t="s">
        <v>143</v>
      </c>
      <c r="G2222" s="8" t="s">
        <v>348</v>
      </c>
      <c r="H2222" s="8" t="s">
        <v>5094</v>
      </c>
      <c r="I2222" s="8" t="s">
        <v>153</v>
      </c>
      <c r="J2222" s="8" t="s">
        <v>10094</v>
      </c>
      <c r="K2222" s="8"/>
      <c r="L2222" s="8" t="s">
        <v>10095</v>
      </c>
    </row>
    <row r="2223" customFormat="false" ht="23.25" hidden="false" customHeight="true" outlineLevel="0" collapsed="false">
      <c r="A2223" s="8" t="n">
        <v>1966</v>
      </c>
      <c r="B2223" s="8" t="s">
        <v>71</v>
      </c>
      <c r="C2223" s="8" t="s">
        <v>10096</v>
      </c>
      <c r="D2223" s="8" t="n">
        <v>2017</v>
      </c>
      <c r="E2223" s="8" t="s">
        <v>10097</v>
      </c>
      <c r="F2223" s="8" t="s">
        <v>151</v>
      </c>
      <c r="G2223" s="8" t="s">
        <v>10098</v>
      </c>
      <c r="H2223" s="8" t="s">
        <v>10099</v>
      </c>
      <c r="I2223" s="8" t="s">
        <v>146</v>
      </c>
      <c r="J2223" s="8" t="s">
        <v>10100</v>
      </c>
      <c r="K2223" s="8"/>
      <c r="L2223" s="8" t="s">
        <v>10101</v>
      </c>
    </row>
    <row r="2224" customFormat="false" ht="34.5" hidden="false" customHeight="true" outlineLevel="0" collapsed="false">
      <c r="A2224" s="8" t="n">
        <v>1967</v>
      </c>
      <c r="B2224" s="8" t="s">
        <v>71</v>
      </c>
      <c r="C2224" s="8" t="s">
        <v>10102</v>
      </c>
      <c r="D2224" s="8" t="n">
        <v>2010</v>
      </c>
      <c r="E2224" s="8" t="s">
        <v>10103</v>
      </c>
      <c r="F2224" s="8" t="s">
        <v>201</v>
      </c>
      <c r="G2224" s="8" t="s">
        <v>1619</v>
      </c>
      <c r="H2224" s="8" t="s">
        <v>4711</v>
      </c>
      <c r="I2224" s="8" t="s">
        <v>146</v>
      </c>
      <c r="J2224" s="8" t="s">
        <v>10104</v>
      </c>
      <c r="K2224" s="8"/>
      <c r="L2224" s="8" t="s">
        <v>10105</v>
      </c>
    </row>
    <row r="2225" customFormat="false" ht="23.25" hidden="false" customHeight="true" outlineLevel="0" collapsed="false">
      <c r="A2225" s="8" t="n">
        <v>1968</v>
      </c>
      <c r="B2225" s="8" t="s">
        <v>71</v>
      </c>
      <c r="C2225" s="8" t="s">
        <v>10106</v>
      </c>
      <c r="D2225" s="8" t="n">
        <v>2017</v>
      </c>
      <c r="E2225" s="8" t="s">
        <v>10107</v>
      </c>
      <c r="F2225" s="8" t="s">
        <v>143</v>
      </c>
      <c r="G2225" s="8" t="s">
        <v>152</v>
      </c>
      <c r="H2225" s="8" t="s">
        <v>4711</v>
      </c>
      <c r="I2225" s="8" t="s">
        <v>146</v>
      </c>
      <c r="J2225" s="8" t="s">
        <v>10108</v>
      </c>
      <c r="K2225" s="8"/>
      <c r="L2225" s="8" t="s">
        <v>10109</v>
      </c>
    </row>
    <row r="2226" customFormat="false" ht="34.5" hidden="false" customHeight="true" outlineLevel="0" collapsed="false">
      <c r="A2226" s="8" t="n">
        <v>1969</v>
      </c>
      <c r="B2226" s="8" t="s">
        <v>71</v>
      </c>
      <c r="C2226" s="8" t="s">
        <v>10110</v>
      </c>
      <c r="D2226" s="8" t="n">
        <v>2015</v>
      </c>
      <c r="E2226" s="8" t="s">
        <v>10111</v>
      </c>
      <c r="F2226" s="8" t="s">
        <v>579</v>
      </c>
      <c r="G2226" s="8" t="s">
        <v>10112</v>
      </c>
      <c r="H2226" s="8" t="s">
        <v>10113</v>
      </c>
      <c r="I2226" s="8" t="s">
        <v>387</v>
      </c>
      <c r="J2226" s="8" t="s">
        <v>10114</v>
      </c>
      <c r="K2226" s="8"/>
      <c r="L2226" s="8" t="s">
        <v>10115</v>
      </c>
    </row>
    <row r="2227" customFormat="false" ht="23.25" hidden="false" customHeight="true" outlineLevel="0" collapsed="false">
      <c r="A2227" s="8" t="n">
        <v>1970</v>
      </c>
      <c r="B2227" s="8" t="s">
        <v>71</v>
      </c>
      <c r="C2227" s="8" t="s">
        <v>5068</v>
      </c>
      <c r="D2227" s="8" t="n">
        <v>2020</v>
      </c>
      <c r="E2227" s="8" t="s">
        <v>10116</v>
      </c>
      <c r="F2227" s="8" t="s">
        <v>143</v>
      </c>
      <c r="G2227" s="8" t="s">
        <v>10117</v>
      </c>
      <c r="H2227" s="8" t="s">
        <v>4711</v>
      </c>
      <c r="I2227" s="8" t="s">
        <v>146</v>
      </c>
      <c r="J2227" s="8" t="s">
        <v>10118</v>
      </c>
      <c r="K2227" s="8"/>
      <c r="L2227" s="8" t="s">
        <v>10119</v>
      </c>
    </row>
    <row r="2228" customFormat="false" ht="23.25" hidden="false" customHeight="true" outlineLevel="0" collapsed="false">
      <c r="A2228" s="8" t="n">
        <v>1971</v>
      </c>
      <c r="B2228" s="8" t="s">
        <v>71</v>
      </c>
      <c r="C2228" s="8" t="s">
        <v>10120</v>
      </c>
      <c r="D2228" s="8" t="n">
        <v>2019</v>
      </c>
      <c r="E2228" s="8" t="s">
        <v>10121</v>
      </c>
      <c r="F2228" s="8" t="s">
        <v>151</v>
      </c>
      <c r="G2228" s="8" t="s">
        <v>10122</v>
      </c>
      <c r="H2228" s="8" t="s">
        <v>4711</v>
      </c>
      <c r="I2228" s="8" t="s">
        <v>146</v>
      </c>
      <c r="J2228" s="8" t="s">
        <v>10123</v>
      </c>
      <c r="K2228" s="8"/>
      <c r="L2228" s="8" t="s">
        <v>10124</v>
      </c>
    </row>
    <row r="2229" customFormat="false" ht="34.5" hidden="false" customHeight="true" outlineLevel="0" collapsed="false">
      <c r="A2229" s="8" t="n">
        <v>1972</v>
      </c>
      <c r="B2229" s="8" t="s">
        <v>71</v>
      </c>
      <c r="C2229" s="8" t="s">
        <v>6729</v>
      </c>
      <c r="D2229" s="8" t="n">
        <v>2020</v>
      </c>
      <c r="E2229" s="8" t="s">
        <v>10125</v>
      </c>
      <c r="F2229" s="8" t="s">
        <v>151</v>
      </c>
      <c r="G2229" s="8" t="s">
        <v>10126</v>
      </c>
      <c r="H2229" s="8" t="s">
        <v>10089</v>
      </c>
      <c r="I2229" s="8" t="s">
        <v>146</v>
      </c>
      <c r="J2229" s="8" t="s">
        <v>10127</v>
      </c>
      <c r="K2229" s="8"/>
      <c r="L2229" s="8" t="s">
        <v>10128</v>
      </c>
    </row>
    <row r="2230" customFormat="false" ht="34.5" hidden="false" customHeight="true" outlineLevel="0" collapsed="false">
      <c r="A2230" s="8" t="n">
        <v>1973</v>
      </c>
      <c r="B2230" s="8" t="s">
        <v>71</v>
      </c>
      <c r="C2230" s="8" t="s">
        <v>10129</v>
      </c>
      <c r="D2230" s="8" t="n">
        <v>2020</v>
      </c>
      <c r="E2230" s="8" t="s">
        <v>10130</v>
      </c>
      <c r="F2230" s="8" t="s">
        <v>151</v>
      </c>
      <c r="G2230" s="8" t="s">
        <v>10131</v>
      </c>
      <c r="H2230" s="8" t="s">
        <v>4711</v>
      </c>
      <c r="I2230" s="8" t="s">
        <v>146</v>
      </c>
      <c r="J2230" s="8" t="s">
        <v>10132</v>
      </c>
      <c r="K2230" s="8"/>
      <c r="L2230" s="8" t="s">
        <v>10133</v>
      </c>
    </row>
    <row r="2231" customFormat="false" ht="23.25" hidden="false" customHeight="true" outlineLevel="0" collapsed="false">
      <c r="A2231" s="8" t="n">
        <v>1974</v>
      </c>
      <c r="B2231" s="8" t="s">
        <v>71</v>
      </c>
      <c r="C2231" s="8" t="s">
        <v>10134</v>
      </c>
      <c r="D2231" s="8" t="n">
        <v>2018</v>
      </c>
      <c r="E2231" s="8" t="s">
        <v>10135</v>
      </c>
      <c r="F2231" s="8" t="s">
        <v>151</v>
      </c>
      <c r="G2231" s="8" t="s">
        <v>10136</v>
      </c>
      <c r="H2231" s="8" t="s">
        <v>10137</v>
      </c>
      <c r="I2231" s="8" t="s">
        <v>146</v>
      </c>
      <c r="J2231" s="8" t="s">
        <v>10138</v>
      </c>
      <c r="K2231" s="8"/>
      <c r="L2231" s="8" t="s">
        <v>10139</v>
      </c>
    </row>
    <row r="2232" customFormat="false" ht="34.5" hidden="false" customHeight="true" outlineLevel="0" collapsed="false">
      <c r="A2232" s="8" t="n">
        <v>1975</v>
      </c>
      <c r="B2232" s="8" t="s">
        <v>71</v>
      </c>
      <c r="C2232" s="8" t="s">
        <v>10140</v>
      </c>
      <c r="D2232" s="8" t="n">
        <v>2016</v>
      </c>
      <c r="E2232" s="8" t="s">
        <v>10141</v>
      </c>
      <c r="F2232" s="8" t="s">
        <v>3817</v>
      </c>
      <c r="G2232" s="8" t="s">
        <v>1619</v>
      </c>
      <c r="H2232" s="8" t="s">
        <v>10142</v>
      </c>
      <c r="I2232" s="8" t="s">
        <v>748</v>
      </c>
      <c r="J2232" s="8" t="s">
        <v>10143</v>
      </c>
      <c r="K2232" s="8"/>
      <c r="L2232" s="8" t="s">
        <v>10144</v>
      </c>
    </row>
    <row r="2233" customFormat="false" ht="34.5" hidden="false" customHeight="true" outlineLevel="0" collapsed="false">
      <c r="A2233" s="8" t="n">
        <v>1976</v>
      </c>
      <c r="B2233" s="8" t="s">
        <v>71</v>
      </c>
      <c r="C2233" s="8" t="s">
        <v>10145</v>
      </c>
      <c r="D2233" s="8" t="n">
        <v>2020</v>
      </c>
      <c r="E2233" s="8" t="s">
        <v>10146</v>
      </c>
      <c r="F2233" s="8" t="s">
        <v>151</v>
      </c>
      <c r="G2233" s="8" t="s">
        <v>10147</v>
      </c>
      <c r="H2233" s="8" t="s">
        <v>10148</v>
      </c>
      <c r="I2233" s="8" t="s">
        <v>146</v>
      </c>
      <c r="J2233" s="8" t="s">
        <v>10149</v>
      </c>
      <c r="K2233" s="8"/>
      <c r="L2233" s="8" t="s">
        <v>10150</v>
      </c>
    </row>
    <row r="2234" customFormat="false" ht="23.25" hidden="false" customHeight="true" outlineLevel="0" collapsed="false">
      <c r="A2234" s="8" t="n">
        <v>1977</v>
      </c>
      <c r="B2234" s="8" t="s">
        <v>71</v>
      </c>
      <c r="C2234" s="8" t="s">
        <v>10151</v>
      </c>
      <c r="D2234" s="8" t="n">
        <v>2019</v>
      </c>
      <c r="E2234" s="8" t="s">
        <v>10152</v>
      </c>
      <c r="F2234" s="8" t="s">
        <v>201</v>
      </c>
      <c r="G2234" s="8" t="s">
        <v>10153</v>
      </c>
      <c r="H2234" s="8" t="s">
        <v>10154</v>
      </c>
      <c r="I2234" s="8" t="s">
        <v>146</v>
      </c>
      <c r="J2234" s="8" t="s">
        <v>10155</v>
      </c>
      <c r="K2234" s="8"/>
      <c r="L2234" s="8" t="s">
        <v>10156</v>
      </c>
    </row>
    <row r="2235" customFormat="false" ht="23.25" hidden="false" customHeight="true" outlineLevel="0" collapsed="false">
      <c r="A2235" s="8" t="n">
        <v>1978</v>
      </c>
      <c r="B2235" s="8" t="s">
        <v>71</v>
      </c>
      <c r="C2235" s="8" t="s">
        <v>10157</v>
      </c>
      <c r="D2235" s="8" t="n">
        <v>2022</v>
      </c>
      <c r="E2235" s="8" t="s">
        <v>10158</v>
      </c>
      <c r="F2235" s="8" t="s">
        <v>143</v>
      </c>
      <c r="G2235" s="8" t="s">
        <v>572</v>
      </c>
      <c r="H2235" s="8" t="s">
        <v>4711</v>
      </c>
      <c r="I2235" s="8" t="s">
        <v>153</v>
      </c>
      <c r="J2235" s="8" t="s">
        <v>10159</v>
      </c>
      <c r="K2235" s="8" t="s">
        <v>114</v>
      </c>
      <c r="L2235" s="8" t="s">
        <v>10160</v>
      </c>
    </row>
    <row r="2236" customFormat="false" ht="34.5" hidden="false" customHeight="true" outlineLevel="0" collapsed="false">
      <c r="A2236" s="8" t="n">
        <v>1979</v>
      </c>
      <c r="B2236" s="8" t="s">
        <v>71</v>
      </c>
      <c r="C2236" s="8" t="s">
        <v>681</v>
      </c>
      <c r="D2236" s="8" t="n">
        <v>2020</v>
      </c>
      <c r="E2236" s="8" t="s">
        <v>10161</v>
      </c>
      <c r="F2236" s="8" t="s">
        <v>7375</v>
      </c>
      <c r="G2236" s="8" t="s">
        <v>152</v>
      </c>
      <c r="H2236" s="8" t="s">
        <v>10162</v>
      </c>
      <c r="I2236" s="8" t="s">
        <v>146</v>
      </c>
      <c r="J2236" s="8" t="s">
        <v>10163</v>
      </c>
      <c r="K2236" s="8"/>
      <c r="L2236" s="8" t="s">
        <v>10164</v>
      </c>
    </row>
    <row r="2237" customFormat="false" ht="34.5" hidden="false" customHeight="true" outlineLevel="0" collapsed="false">
      <c r="A2237" s="8" t="n">
        <v>1980</v>
      </c>
      <c r="B2237" s="8" t="s">
        <v>71</v>
      </c>
      <c r="C2237" s="8" t="s">
        <v>10165</v>
      </c>
      <c r="D2237" s="8" t="n">
        <v>2020</v>
      </c>
      <c r="E2237" s="8" t="s">
        <v>10166</v>
      </c>
      <c r="F2237" s="8" t="s">
        <v>151</v>
      </c>
      <c r="G2237" s="8" t="s">
        <v>10167</v>
      </c>
      <c r="H2237" s="8" t="s">
        <v>4711</v>
      </c>
      <c r="I2237" s="8" t="s">
        <v>387</v>
      </c>
      <c r="J2237" s="8" t="s">
        <v>10168</v>
      </c>
      <c r="K2237" s="8"/>
      <c r="L2237" s="8" t="s">
        <v>10169</v>
      </c>
    </row>
    <row r="2238" customFormat="false" ht="34.5" hidden="false" customHeight="true" outlineLevel="0" collapsed="false">
      <c r="A2238" s="8" t="n">
        <v>1981</v>
      </c>
      <c r="B2238" s="8" t="s">
        <v>71</v>
      </c>
      <c r="C2238" s="8" t="s">
        <v>10170</v>
      </c>
      <c r="D2238" s="8" t="n">
        <v>2018</v>
      </c>
      <c r="E2238" s="8" t="s">
        <v>10171</v>
      </c>
      <c r="F2238" s="8" t="s">
        <v>151</v>
      </c>
      <c r="G2238" s="8" t="s">
        <v>10131</v>
      </c>
      <c r="H2238" s="8" t="s">
        <v>10172</v>
      </c>
      <c r="I2238" s="8" t="s">
        <v>146</v>
      </c>
      <c r="J2238" s="8" t="s">
        <v>10173</v>
      </c>
      <c r="K2238" s="8"/>
      <c r="L2238" s="8" t="s">
        <v>10174</v>
      </c>
    </row>
    <row r="2239" customFormat="false" ht="34.5" hidden="false" customHeight="true" outlineLevel="0" collapsed="false">
      <c r="A2239" s="8" t="n">
        <v>1982</v>
      </c>
      <c r="B2239" s="8" t="s">
        <v>71</v>
      </c>
      <c r="C2239" s="8" t="s">
        <v>1930</v>
      </c>
      <c r="D2239" s="8" t="n">
        <v>1997</v>
      </c>
      <c r="E2239" s="8" t="s">
        <v>10175</v>
      </c>
      <c r="F2239" s="8" t="s">
        <v>10176</v>
      </c>
      <c r="G2239" s="8" t="s">
        <v>1938</v>
      </c>
      <c r="H2239" s="8" t="s">
        <v>145</v>
      </c>
      <c r="I2239" s="8" t="s">
        <v>153</v>
      </c>
      <c r="J2239" s="8" t="s">
        <v>10177</v>
      </c>
      <c r="K2239" s="8" t="s">
        <v>116</v>
      </c>
      <c r="L2239" s="8" t="s">
        <v>10178</v>
      </c>
    </row>
    <row r="2240" customFormat="false" ht="23.25" hidden="false" customHeight="true" outlineLevel="0" collapsed="false">
      <c r="A2240" s="8" t="n">
        <v>1983</v>
      </c>
      <c r="B2240" s="8" t="s">
        <v>71</v>
      </c>
      <c r="C2240" s="8" t="s">
        <v>10179</v>
      </c>
      <c r="D2240" s="8" t="n">
        <v>2018</v>
      </c>
      <c r="E2240" s="8" t="s">
        <v>10180</v>
      </c>
      <c r="F2240" s="8" t="s">
        <v>143</v>
      </c>
      <c r="G2240" s="8" t="s">
        <v>348</v>
      </c>
      <c r="H2240" s="8" t="s">
        <v>5094</v>
      </c>
      <c r="I2240" s="8" t="s">
        <v>153</v>
      </c>
      <c r="J2240" s="8" t="s">
        <v>10181</v>
      </c>
      <c r="K2240" s="8"/>
      <c r="L2240" s="8" t="s">
        <v>10182</v>
      </c>
    </row>
    <row r="2241" customFormat="false" ht="34.5" hidden="false" customHeight="true" outlineLevel="0" collapsed="false">
      <c r="A2241" s="8" t="n">
        <v>1984</v>
      </c>
      <c r="B2241" s="8" t="s">
        <v>71</v>
      </c>
      <c r="C2241" s="8" t="s">
        <v>10183</v>
      </c>
      <c r="D2241" s="8" t="n">
        <v>2007</v>
      </c>
      <c r="E2241" s="8" t="s">
        <v>10184</v>
      </c>
      <c r="F2241" s="8" t="s">
        <v>4790</v>
      </c>
      <c r="G2241" s="8" t="s">
        <v>1678</v>
      </c>
      <c r="H2241" s="8" t="s">
        <v>4711</v>
      </c>
      <c r="I2241" s="8" t="s">
        <v>146</v>
      </c>
      <c r="J2241" s="8" t="s">
        <v>10185</v>
      </c>
      <c r="K2241" s="8"/>
      <c r="L2241" s="8" t="s">
        <v>10186</v>
      </c>
    </row>
    <row r="2242" customFormat="false" ht="34.5" hidden="false" customHeight="true" outlineLevel="0" collapsed="false">
      <c r="A2242" s="8" t="n">
        <v>1985</v>
      </c>
      <c r="B2242" s="8" t="s">
        <v>71</v>
      </c>
      <c r="C2242" s="8" t="s">
        <v>10183</v>
      </c>
      <c r="D2242" s="8" t="n">
        <v>2010</v>
      </c>
      <c r="E2242" s="8" t="s">
        <v>10187</v>
      </c>
      <c r="F2242" s="8" t="s">
        <v>143</v>
      </c>
      <c r="G2242" s="8" t="s">
        <v>10188</v>
      </c>
      <c r="H2242" s="8" t="s">
        <v>4711</v>
      </c>
      <c r="I2242" s="8" t="s">
        <v>146</v>
      </c>
      <c r="J2242" s="8" t="s">
        <v>10189</v>
      </c>
      <c r="K2242" s="8"/>
      <c r="L2242" s="8" t="s">
        <v>10190</v>
      </c>
    </row>
    <row r="2243" customFormat="false" ht="34.5" hidden="false" customHeight="true" outlineLevel="0" collapsed="false">
      <c r="A2243" s="8" t="n">
        <v>1986</v>
      </c>
      <c r="B2243" s="8" t="s">
        <v>71</v>
      </c>
      <c r="C2243" s="8" t="s">
        <v>10183</v>
      </c>
      <c r="D2243" s="8" t="n">
        <v>2020</v>
      </c>
      <c r="E2243" s="8" t="s">
        <v>10191</v>
      </c>
      <c r="F2243" s="8" t="s">
        <v>143</v>
      </c>
      <c r="G2243" s="8" t="s">
        <v>10192</v>
      </c>
      <c r="H2243" s="8" t="s">
        <v>4711</v>
      </c>
      <c r="I2243" s="8" t="s">
        <v>146</v>
      </c>
      <c r="J2243" s="8" t="s">
        <v>10193</v>
      </c>
      <c r="K2243" s="8"/>
      <c r="L2243" s="8" t="s">
        <v>10194</v>
      </c>
    </row>
    <row r="2244" customFormat="false" ht="34.5" hidden="false" customHeight="true" outlineLevel="0" collapsed="false">
      <c r="A2244" s="8" t="n">
        <v>1987</v>
      </c>
      <c r="B2244" s="8" t="s">
        <v>71</v>
      </c>
      <c r="C2244" s="8" t="s">
        <v>10195</v>
      </c>
      <c r="D2244" s="8" t="n">
        <v>2014</v>
      </c>
      <c r="E2244" s="8" t="s">
        <v>10196</v>
      </c>
      <c r="F2244" s="8" t="s">
        <v>151</v>
      </c>
      <c r="G2244" s="8" t="s">
        <v>10197</v>
      </c>
      <c r="H2244" s="8" t="s">
        <v>10198</v>
      </c>
      <c r="I2244" s="8" t="s">
        <v>146</v>
      </c>
      <c r="J2244" s="8" t="s">
        <v>10199</v>
      </c>
      <c r="K2244" s="8"/>
      <c r="L2244" s="8" t="s">
        <v>10200</v>
      </c>
    </row>
    <row r="2245" customFormat="false" ht="34.5" hidden="false" customHeight="true" outlineLevel="0" collapsed="false">
      <c r="A2245" s="8" t="n">
        <v>1988</v>
      </c>
      <c r="B2245" s="8" t="s">
        <v>71</v>
      </c>
      <c r="C2245" s="8" t="s">
        <v>10201</v>
      </c>
      <c r="D2245" s="8" t="n">
        <v>2019</v>
      </c>
      <c r="E2245" s="8" t="s">
        <v>10202</v>
      </c>
      <c r="F2245" s="8" t="s">
        <v>151</v>
      </c>
      <c r="G2245" s="8" t="s">
        <v>152</v>
      </c>
      <c r="H2245" s="8" t="s">
        <v>4711</v>
      </c>
      <c r="I2245" s="8" t="s">
        <v>146</v>
      </c>
      <c r="J2245" s="8" t="s">
        <v>10203</v>
      </c>
      <c r="K2245" s="8"/>
      <c r="L2245" s="8" t="s">
        <v>10204</v>
      </c>
    </row>
    <row r="2246" customFormat="false" ht="34.5" hidden="false" customHeight="true" outlineLevel="0" collapsed="false">
      <c r="A2246" s="8" t="n">
        <v>1989</v>
      </c>
      <c r="B2246" s="8" t="s">
        <v>71</v>
      </c>
      <c r="C2246" s="8" t="s">
        <v>10205</v>
      </c>
      <c r="D2246" s="8" t="n">
        <v>2018</v>
      </c>
      <c r="E2246" s="8" t="s">
        <v>10206</v>
      </c>
      <c r="F2246" s="8" t="s">
        <v>143</v>
      </c>
      <c r="G2246" s="8" t="s">
        <v>10207</v>
      </c>
      <c r="H2246" s="8" t="s">
        <v>4711</v>
      </c>
      <c r="I2246" s="8" t="s">
        <v>146</v>
      </c>
      <c r="J2246" s="8" t="s">
        <v>10208</v>
      </c>
      <c r="K2246" s="8"/>
      <c r="L2246" s="8" t="s">
        <v>10209</v>
      </c>
    </row>
    <row r="2247" customFormat="false" ht="34.5" hidden="false" customHeight="true" outlineLevel="0" collapsed="false">
      <c r="A2247" s="8" t="n">
        <v>1990</v>
      </c>
      <c r="B2247" s="8" t="s">
        <v>71</v>
      </c>
      <c r="C2247" s="8" t="s">
        <v>10210</v>
      </c>
      <c r="D2247" s="8" t="n">
        <v>2020</v>
      </c>
      <c r="E2247" s="8" t="s">
        <v>10211</v>
      </c>
      <c r="F2247" s="8" t="s">
        <v>143</v>
      </c>
      <c r="G2247" s="8" t="s">
        <v>10147</v>
      </c>
      <c r="H2247" s="8" t="s">
        <v>10212</v>
      </c>
      <c r="I2247" s="8" t="s">
        <v>387</v>
      </c>
      <c r="J2247" s="8" t="s">
        <v>10114</v>
      </c>
      <c r="K2247" s="8"/>
      <c r="L2247" s="8" t="s">
        <v>10213</v>
      </c>
    </row>
    <row r="2248" customFormat="false" ht="34.5" hidden="false" customHeight="true" outlineLevel="0" collapsed="false">
      <c r="A2248" s="8" t="n">
        <v>1991</v>
      </c>
      <c r="B2248" s="8" t="s">
        <v>71</v>
      </c>
      <c r="C2248" s="8" t="s">
        <v>10214</v>
      </c>
      <c r="D2248" s="8" t="n">
        <v>2019</v>
      </c>
      <c r="E2248" s="8" t="s">
        <v>10215</v>
      </c>
      <c r="F2248" s="8" t="s">
        <v>143</v>
      </c>
      <c r="G2248" s="8" t="s">
        <v>152</v>
      </c>
      <c r="H2248" s="8" t="s">
        <v>181</v>
      </c>
      <c r="I2248" s="8" t="s">
        <v>146</v>
      </c>
      <c r="J2248" s="8" t="s">
        <v>10216</v>
      </c>
      <c r="K2248" s="8" t="s">
        <v>114</v>
      </c>
      <c r="L2248" s="8" t="s">
        <v>10217</v>
      </c>
    </row>
    <row r="2249" customFormat="false" ht="34.5" hidden="false" customHeight="true" outlineLevel="0" collapsed="false">
      <c r="A2249" s="8" t="n">
        <v>1992</v>
      </c>
      <c r="B2249" s="8" t="s">
        <v>71</v>
      </c>
      <c r="C2249" s="8" t="s">
        <v>8749</v>
      </c>
      <c r="D2249" s="8" t="n">
        <v>2016</v>
      </c>
      <c r="E2249" s="8" t="s">
        <v>10218</v>
      </c>
      <c r="F2249" s="8" t="s">
        <v>10219</v>
      </c>
      <c r="G2249" s="8" t="s">
        <v>1619</v>
      </c>
      <c r="H2249" s="8" t="s">
        <v>10220</v>
      </c>
      <c r="I2249" s="8" t="s">
        <v>748</v>
      </c>
      <c r="J2249" s="8" t="s">
        <v>10221</v>
      </c>
      <c r="K2249" s="8"/>
      <c r="L2249" s="8" t="s">
        <v>10222</v>
      </c>
    </row>
    <row r="2250" customFormat="false" ht="34.5" hidden="false" customHeight="true" outlineLevel="0" collapsed="false">
      <c r="A2250" s="8" t="n">
        <v>1993</v>
      </c>
      <c r="B2250" s="8" t="s">
        <v>71</v>
      </c>
      <c r="C2250" s="8" t="s">
        <v>10223</v>
      </c>
      <c r="D2250" s="8" t="n">
        <v>2019</v>
      </c>
      <c r="E2250" s="8" t="s">
        <v>10224</v>
      </c>
      <c r="F2250" s="8" t="s">
        <v>143</v>
      </c>
      <c r="G2250" s="8" t="s">
        <v>10225</v>
      </c>
      <c r="H2250" s="8" t="s">
        <v>10226</v>
      </c>
      <c r="I2250" s="8" t="s">
        <v>387</v>
      </c>
      <c r="J2250" s="8" t="s">
        <v>10227</v>
      </c>
      <c r="K2250" s="8"/>
      <c r="L2250" s="8" t="s">
        <v>10228</v>
      </c>
    </row>
    <row r="2251" customFormat="false" ht="34.5" hidden="false" customHeight="true" outlineLevel="0" collapsed="false">
      <c r="A2251" s="8" t="n">
        <v>1994</v>
      </c>
      <c r="B2251" s="8" t="s">
        <v>71</v>
      </c>
      <c r="C2251" s="8" t="s">
        <v>10229</v>
      </c>
      <c r="D2251" s="8" t="n">
        <v>2009</v>
      </c>
      <c r="E2251" s="8" t="s">
        <v>10230</v>
      </c>
      <c r="F2251" s="8" t="s">
        <v>143</v>
      </c>
      <c r="G2251" s="8" t="s">
        <v>152</v>
      </c>
      <c r="H2251" s="8" t="s">
        <v>2841</v>
      </c>
      <c r="I2251" s="8" t="s">
        <v>153</v>
      </c>
      <c r="J2251" s="8" t="s">
        <v>10231</v>
      </c>
      <c r="K2251" s="8" t="s">
        <v>114</v>
      </c>
      <c r="L2251" s="8" t="s">
        <v>10232</v>
      </c>
    </row>
    <row r="2252" customFormat="false" ht="34.5" hidden="false" customHeight="true" outlineLevel="0" collapsed="false">
      <c r="A2252" s="8" t="n">
        <v>1995</v>
      </c>
      <c r="B2252" s="8" t="s">
        <v>71</v>
      </c>
      <c r="C2252" s="8" t="s">
        <v>10233</v>
      </c>
      <c r="D2252" s="8" t="n">
        <v>2012</v>
      </c>
      <c r="E2252" s="8" t="s">
        <v>10234</v>
      </c>
      <c r="F2252" s="8" t="s">
        <v>10235</v>
      </c>
      <c r="G2252" s="8" t="s">
        <v>10236</v>
      </c>
      <c r="H2252" s="8" t="s">
        <v>10148</v>
      </c>
      <c r="I2252" s="8" t="s">
        <v>146</v>
      </c>
      <c r="J2252" s="8" t="s">
        <v>10237</v>
      </c>
      <c r="K2252" s="8"/>
      <c r="L2252" s="8" t="s">
        <v>10238</v>
      </c>
    </row>
    <row r="2253" customFormat="false" ht="34.5" hidden="false" customHeight="true" outlineLevel="0" collapsed="false">
      <c r="A2253" s="8" t="n">
        <v>1996</v>
      </c>
      <c r="B2253" s="8" t="s">
        <v>71</v>
      </c>
      <c r="C2253" s="8" t="s">
        <v>10239</v>
      </c>
      <c r="D2253" s="8" t="n">
        <v>2016</v>
      </c>
      <c r="E2253" s="8" t="s">
        <v>10240</v>
      </c>
      <c r="F2253" s="8" t="s">
        <v>151</v>
      </c>
      <c r="G2253" s="8" t="s">
        <v>10241</v>
      </c>
      <c r="H2253" s="8" t="s">
        <v>10242</v>
      </c>
      <c r="I2253" s="8" t="s">
        <v>146</v>
      </c>
      <c r="J2253" s="8" t="s">
        <v>10243</v>
      </c>
      <c r="K2253" s="8"/>
      <c r="L2253" s="8" t="s">
        <v>10244</v>
      </c>
    </row>
    <row r="2254" customFormat="false" ht="23.25" hidden="false" customHeight="true" outlineLevel="0" collapsed="false">
      <c r="A2254" s="8" t="n">
        <v>1997</v>
      </c>
      <c r="B2254" s="8" t="s">
        <v>71</v>
      </c>
      <c r="C2254" s="8" t="s">
        <v>10245</v>
      </c>
      <c r="D2254" s="8" t="n">
        <v>2019</v>
      </c>
      <c r="E2254" s="8" t="s">
        <v>10246</v>
      </c>
      <c r="F2254" s="8" t="s">
        <v>143</v>
      </c>
      <c r="G2254" s="8" t="s">
        <v>10247</v>
      </c>
      <c r="H2254" s="8" t="s">
        <v>10248</v>
      </c>
      <c r="I2254" s="8" t="s">
        <v>146</v>
      </c>
      <c r="J2254" s="8" t="s">
        <v>10249</v>
      </c>
      <c r="K2254" s="8"/>
      <c r="L2254" s="8" t="s">
        <v>10250</v>
      </c>
    </row>
    <row r="2255" customFormat="false" ht="34.5" hidden="false" customHeight="true" outlineLevel="0" collapsed="false">
      <c r="A2255" s="8" t="n">
        <v>1998</v>
      </c>
      <c r="B2255" s="8" t="s">
        <v>71</v>
      </c>
      <c r="C2255" s="8" t="s">
        <v>10251</v>
      </c>
      <c r="D2255" s="8" t="n">
        <v>2012</v>
      </c>
      <c r="E2255" s="8" t="s">
        <v>10252</v>
      </c>
      <c r="F2255" s="8" t="s">
        <v>151</v>
      </c>
      <c r="G2255" s="8" t="s">
        <v>10253</v>
      </c>
      <c r="H2255" s="8" t="s">
        <v>10254</v>
      </c>
      <c r="I2255" s="8" t="s">
        <v>146</v>
      </c>
      <c r="J2255" s="8" t="s">
        <v>10255</v>
      </c>
      <c r="K2255" s="8" t="s">
        <v>116</v>
      </c>
      <c r="L2255" s="8" t="s">
        <v>10256</v>
      </c>
    </row>
    <row r="2256" customFormat="false" ht="34.5" hidden="false" customHeight="true" outlineLevel="0" collapsed="false">
      <c r="A2256" s="8" t="n">
        <v>1999</v>
      </c>
      <c r="B2256" s="8" t="s">
        <v>71</v>
      </c>
      <c r="C2256" s="8" t="s">
        <v>10257</v>
      </c>
      <c r="D2256" s="8" t="n">
        <v>2013</v>
      </c>
      <c r="E2256" s="8" t="s">
        <v>10258</v>
      </c>
      <c r="F2256" s="8" t="s">
        <v>143</v>
      </c>
      <c r="G2256" s="8" t="s">
        <v>10259</v>
      </c>
      <c r="H2256" s="8" t="s">
        <v>1904</v>
      </c>
      <c r="I2256" s="8" t="s">
        <v>146</v>
      </c>
      <c r="J2256" s="8" t="s">
        <v>10260</v>
      </c>
      <c r="K2256" s="8"/>
      <c r="L2256" s="8" t="s">
        <v>10261</v>
      </c>
    </row>
    <row r="2257" customFormat="false" ht="34.5" hidden="false" customHeight="true" outlineLevel="0" collapsed="false">
      <c r="A2257" s="8" t="n">
        <v>2000</v>
      </c>
      <c r="B2257" s="8" t="s">
        <v>71</v>
      </c>
      <c r="C2257" s="8" t="s">
        <v>10262</v>
      </c>
      <c r="D2257" s="8" t="n">
        <v>2019</v>
      </c>
      <c r="E2257" s="8" t="s">
        <v>10263</v>
      </c>
      <c r="F2257" s="8" t="s">
        <v>579</v>
      </c>
      <c r="G2257" s="8" t="s">
        <v>10264</v>
      </c>
      <c r="H2257" s="8" t="s">
        <v>4711</v>
      </c>
      <c r="I2257" s="8" t="s">
        <v>146</v>
      </c>
      <c r="J2257" s="8" t="s">
        <v>10265</v>
      </c>
      <c r="K2257" s="8"/>
      <c r="L2257" s="8" t="s">
        <v>10266</v>
      </c>
    </row>
    <row r="2258" customFormat="false" ht="34.5" hidden="false" customHeight="true" outlineLevel="0" collapsed="false">
      <c r="A2258" s="8" t="n">
        <v>2001</v>
      </c>
      <c r="B2258" s="8" t="s">
        <v>71</v>
      </c>
      <c r="C2258" s="8" t="s">
        <v>10267</v>
      </c>
      <c r="D2258" s="8" t="n">
        <v>2009</v>
      </c>
      <c r="E2258" s="8" t="s">
        <v>10268</v>
      </c>
      <c r="F2258" s="8" t="s">
        <v>201</v>
      </c>
      <c r="G2258" s="8" t="s">
        <v>1495</v>
      </c>
      <c r="H2258" s="8" t="s">
        <v>181</v>
      </c>
      <c r="I2258" s="8" t="s">
        <v>387</v>
      </c>
      <c r="J2258" s="8" t="s">
        <v>10269</v>
      </c>
      <c r="K2258" s="8" t="s">
        <v>116</v>
      </c>
      <c r="L2258" s="8" t="s">
        <v>10270</v>
      </c>
    </row>
    <row r="2259" customFormat="false" ht="23.25" hidden="false" customHeight="true" outlineLevel="0" collapsed="false">
      <c r="A2259" s="8" t="n">
        <v>2002</v>
      </c>
      <c r="B2259" s="8" t="s">
        <v>71</v>
      </c>
      <c r="C2259" s="8" t="s">
        <v>10271</v>
      </c>
      <c r="D2259" s="8" t="n">
        <v>2016</v>
      </c>
      <c r="E2259" s="8" t="s">
        <v>10272</v>
      </c>
      <c r="F2259" s="8" t="s">
        <v>143</v>
      </c>
      <c r="G2259" s="8" t="s">
        <v>10273</v>
      </c>
      <c r="H2259" s="8" t="s">
        <v>4711</v>
      </c>
      <c r="I2259" s="8" t="s">
        <v>146</v>
      </c>
      <c r="J2259" s="8" t="s">
        <v>10274</v>
      </c>
      <c r="K2259" s="8" t="s">
        <v>114</v>
      </c>
      <c r="L2259" s="8" t="s">
        <v>10275</v>
      </c>
    </row>
    <row r="2260" customFormat="false" ht="23.25" hidden="false" customHeight="true" outlineLevel="0" collapsed="false">
      <c r="A2260" s="8" t="n">
        <v>2003</v>
      </c>
      <c r="B2260" s="8" t="s">
        <v>71</v>
      </c>
      <c r="C2260" s="8" t="s">
        <v>10276</v>
      </c>
      <c r="D2260" s="8" t="n">
        <v>2006</v>
      </c>
      <c r="E2260" s="8" t="s">
        <v>10277</v>
      </c>
      <c r="F2260" s="8" t="s">
        <v>10278</v>
      </c>
      <c r="G2260" s="8" t="s">
        <v>152</v>
      </c>
      <c r="H2260" s="8" t="s">
        <v>10279</v>
      </c>
      <c r="I2260" s="8" t="s">
        <v>146</v>
      </c>
      <c r="J2260" s="8" t="s">
        <v>10280</v>
      </c>
      <c r="K2260" s="8"/>
      <c r="L2260" s="8" t="s">
        <v>10281</v>
      </c>
    </row>
    <row r="2261" customFormat="false" ht="34.5" hidden="false" customHeight="true" outlineLevel="0" collapsed="false">
      <c r="A2261" s="8" t="n">
        <v>2004</v>
      </c>
      <c r="B2261" s="8" t="s">
        <v>71</v>
      </c>
      <c r="C2261" s="8" t="s">
        <v>10282</v>
      </c>
      <c r="D2261" s="8" t="n">
        <v>2019</v>
      </c>
      <c r="E2261" s="8" t="s">
        <v>10283</v>
      </c>
      <c r="F2261" s="8" t="s">
        <v>10284</v>
      </c>
      <c r="G2261" s="8" t="s">
        <v>10285</v>
      </c>
      <c r="H2261" s="8" t="s">
        <v>10286</v>
      </c>
      <c r="I2261" s="8" t="s">
        <v>146</v>
      </c>
      <c r="J2261" s="8" t="s">
        <v>10287</v>
      </c>
      <c r="K2261" s="8"/>
      <c r="L2261" s="8" t="s">
        <v>10288</v>
      </c>
    </row>
    <row r="2262" customFormat="false" ht="34.5" hidden="false" customHeight="true" outlineLevel="0" collapsed="false">
      <c r="A2262" s="8" t="n">
        <v>2005</v>
      </c>
      <c r="B2262" s="8" t="s">
        <v>71</v>
      </c>
      <c r="C2262" s="8" t="s">
        <v>10289</v>
      </c>
      <c r="D2262" s="8" t="n">
        <v>2020</v>
      </c>
      <c r="E2262" s="8" t="s">
        <v>10290</v>
      </c>
      <c r="F2262" s="8" t="s">
        <v>10291</v>
      </c>
      <c r="G2262" s="8" t="s">
        <v>1619</v>
      </c>
      <c r="H2262" s="8" t="s">
        <v>10292</v>
      </c>
      <c r="I2262" s="8" t="s">
        <v>208</v>
      </c>
      <c r="J2262" s="8" t="s">
        <v>10293</v>
      </c>
      <c r="K2262" s="8"/>
      <c r="L2262" s="8" t="s">
        <v>10294</v>
      </c>
    </row>
    <row r="2263" customFormat="false" ht="34.5" hidden="false" customHeight="true" outlineLevel="0" collapsed="false">
      <c r="A2263" s="8" t="n">
        <v>2006</v>
      </c>
      <c r="B2263" s="8" t="s">
        <v>71</v>
      </c>
      <c r="C2263" s="8" t="s">
        <v>10295</v>
      </c>
      <c r="D2263" s="8" t="n">
        <v>2020</v>
      </c>
      <c r="E2263" s="8" t="s">
        <v>10296</v>
      </c>
      <c r="F2263" s="8" t="s">
        <v>10297</v>
      </c>
      <c r="G2263" s="8" t="s">
        <v>10131</v>
      </c>
      <c r="H2263" s="8" t="s">
        <v>10298</v>
      </c>
      <c r="I2263" s="8" t="s">
        <v>146</v>
      </c>
      <c r="J2263" s="8" t="s">
        <v>10299</v>
      </c>
      <c r="K2263" s="8"/>
      <c r="L2263" s="8" t="s">
        <v>10300</v>
      </c>
    </row>
    <row r="2264" customFormat="false" ht="34.5" hidden="false" customHeight="true" outlineLevel="0" collapsed="false">
      <c r="A2264" s="9" t="n">
        <v>2007</v>
      </c>
      <c r="B2264" s="10" t="s">
        <v>71</v>
      </c>
      <c r="C2264" s="10" t="s">
        <v>10301</v>
      </c>
      <c r="D2264" s="10" t="n">
        <v>2018</v>
      </c>
      <c r="E2264" s="10" t="s">
        <v>10302</v>
      </c>
      <c r="F2264" s="10" t="s">
        <v>143</v>
      </c>
      <c r="G2264" s="10" t="s">
        <v>152</v>
      </c>
      <c r="H2264" s="10" t="s">
        <v>2846</v>
      </c>
      <c r="I2264" s="10" t="s">
        <v>153</v>
      </c>
      <c r="J2264" s="10" t="s">
        <v>10303</v>
      </c>
      <c r="K2264" s="10" t="s">
        <v>114</v>
      </c>
      <c r="L2264" s="10" t="s">
        <v>10304</v>
      </c>
    </row>
    <row r="2265" customFormat="false" ht="23.25" hidden="false" customHeight="true" outlineLevel="0" collapsed="false">
      <c r="A2265" s="11" t="n">
        <v>2007</v>
      </c>
      <c r="B2265" s="12" t="s">
        <v>77</v>
      </c>
      <c r="C2265" s="12" t="s">
        <v>10305</v>
      </c>
      <c r="D2265" s="12" t="n">
        <v>2018</v>
      </c>
      <c r="E2265" s="12" t="s">
        <v>10306</v>
      </c>
      <c r="F2265" s="12" t="s">
        <v>143</v>
      </c>
      <c r="G2265" s="12" t="s">
        <v>152</v>
      </c>
      <c r="H2265" s="12" t="s">
        <v>2846</v>
      </c>
      <c r="I2265" s="12" t="s">
        <v>387</v>
      </c>
      <c r="J2265" s="12" t="s">
        <v>862</v>
      </c>
      <c r="K2265" s="12" t="s">
        <v>114</v>
      </c>
      <c r="L2265" s="12" t="s">
        <v>10307</v>
      </c>
    </row>
    <row r="2266" customFormat="false" ht="34.5" hidden="false" customHeight="true" outlineLevel="0" collapsed="false">
      <c r="A2266" s="8" t="n">
        <v>2008</v>
      </c>
      <c r="B2266" s="8" t="s">
        <v>71</v>
      </c>
      <c r="C2266" s="8" t="s">
        <v>10308</v>
      </c>
      <c r="D2266" s="8" t="n">
        <v>2018</v>
      </c>
      <c r="E2266" s="8" t="s">
        <v>10309</v>
      </c>
      <c r="F2266" s="8" t="s">
        <v>10219</v>
      </c>
      <c r="G2266" s="8" t="s">
        <v>10310</v>
      </c>
      <c r="H2266" s="8" t="s">
        <v>10311</v>
      </c>
      <c r="I2266" s="8" t="s">
        <v>387</v>
      </c>
      <c r="J2266" s="8" t="s">
        <v>10312</v>
      </c>
      <c r="K2266" s="8"/>
      <c r="L2266" s="8" t="s">
        <v>10313</v>
      </c>
    </row>
    <row r="2267" customFormat="false" ht="23.25" hidden="false" customHeight="true" outlineLevel="0" collapsed="false">
      <c r="A2267" s="8" t="n">
        <v>2009</v>
      </c>
      <c r="B2267" s="8" t="s">
        <v>71</v>
      </c>
      <c r="C2267" s="8" t="s">
        <v>10308</v>
      </c>
      <c r="D2267" s="8" t="n">
        <v>2020</v>
      </c>
      <c r="E2267" s="8" t="s">
        <v>10314</v>
      </c>
      <c r="F2267" s="8" t="s">
        <v>151</v>
      </c>
      <c r="G2267" s="8" t="s">
        <v>152</v>
      </c>
      <c r="H2267" s="8" t="s">
        <v>10148</v>
      </c>
      <c r="I2267" s="8" t="s">
        <v>387</v>
      </c>
      <c r="J2267" s="8" t="s">
        <v>10315</v>
      </c>
      <c r="K2267" s="8"/>
      <c r="L2267" s="8" t="s">
        <v>10316</v>
      </c>
    </row>
    <row r="2268" customFormat="false" ht="34.5" hidden="false" customHeight="true" outlineLevel="0" collapsed="false">
      <c r="A2268" s="8" t="n">
        <v>2010</v>
      </c>
      <c r="B2268" s="8" t="s">
        <v>71</v>
      </c>
      <c r="C2268" s="8" t="s">
        <v>10317</v>
      </c>
      <c r="D2268" s="8" t="n">
        <v>2018</v>
      </c>
      <c r="E2268" s="8" t="s">
        <v>10318</v>
      </c>
      <c r="F2268" s="8" t="s">
        <v>1588</v>
      </c>
      <c r="G2268" s="8" t="s">
        <v>10319</v>
      </c>
      <c r="H2268" s="8" t="s">
        <v>181</v>
      </c>
      <c r="I2268" s="8" t="s">
        <v>146</v>
      </c>
      <c r="J2268" s="8" t="s">
        <v>10320</v>
      </c>
      <c r="K2268" s="8"/>
      <c r="L2268" s="8" t="s">
        <v>10321</v>
      </c>
    </row>
    <row r="2269" customFormat="false" ht="34.5" hidden="false" customHeight="true" outlineLevel="0" collapsed="false">
      <c r="A2269" s="8" t="n">
        <v>2011</v>
      </c>
      <c r="B2269" s="8" t="s">
        <v>71</v>
      </c>
      <c r="C2269" s="8" t="s">
        <v>10322</v>
      </c>
      <c r="D2269" s="8" t="n">
        <v>2019</v>
      </c>
      <c r="E2269" s="8" t="s">
        <v>10323</v>
      </c>
      <c r="F2269" s="8" t="s">
        <v>10324</v>
      </c>
      <c r="G2269" s="8" t="s">
        <v>10325</v>
      </c>
      <c r="H2269" s="8" t="s">
        <v>4711</v>
      </c>
      <c r="I2269" s="8" t="s">
        <v>387</v>
      </c>
      <c r="J2269" s="8" t="s">
        <v>10326</v>
      </c>
      <c r="K2269" s="8"/>
      <c r="L2269" s="8" t="s">
        <v>10327</v>
      </c>
    </row>
    <row r="2270" customFormat="false" ht="34.5" hidden="false" customHeight="true" outlineLevel="0" collapsed="false">
      <c r="A2270" s="8" t="n">
        <v>2012</v>
      </c>
      <c r="B2270" s="8" t="s">
        <v>71</v>
      </c>
      <c r="C2270" s="8" t="s">
        <v>10328</v>
      </c>
      <c r="D2270" s="8" t="n">
        <v>2020</v>
      </c>
      <c r="E2270" s="8" t="s">
        <v>10329</v>
      </c>
      <c r="F2270" s="8" t="s">
        <v>1588</v>
      </c>
      <c r="G2270" s="8" t="s">
        <v>10330</v>
      </c>
      <c r="H2270" s="8" t="s">
        <v>4711</v>
      </c>
      <c r="I2270" s="8" t="s">
        <v>146</v>
      </c>
      <c r="J2270" s="8" t="s">
        <v>10331</v>
      </c>
      <c r="K2270" s="8"/>
      <c r="L2270" s="8" t="s">
        <v>10332</v>
      </c>
    </row>
    <row r="2271" customFormat="false" ht="34.5" hidden="false" customHeight="true" outlineLevel="0" collapsed="false">
      <c r="A2271" s="8" t="n">
        <v>2013</v>
      </c>
      <c r="B2271" s="8" t="s">
        <v>71</v>
      </c>
      <c r="C2271" s="8" t="s">
        <v>10333</v>
      </c>
      <c r="D2271" s="8" t="n">
        <v>2003</v>
      </c>
      <c r="E2271" s="8" t="s">
        <v>10334</v>
      </c>
      <c r="F2271" s="8" t="s">
        <v>151</v>
      </c>
      <c r="G2271" s="8" t="s">
        <v>10335</v>
      </c>
      <c r="H2271" s="8" t="s">
        <v>4711</v>
      </c>
      <c r="I2271" s="8" t="s">
        <v>146</v>
      </c>
      <c r="J2271" s="8" t="s">
        <v>10336</v>
      </c>
      <c r="K2271" s="8"/>
      <c r="L2271" s="8" t="s">
        <v>10337</v>
      </c>
    </row>
    <row r="2272" customFormat="false" ht="34.5" hidden="false" customHeight="true" outlineLevel="0" collapsed="false">
      <c r="A2272" s="8" t="n">
        <v>2014</v>
      </c>
      <c r="B2272" s="8" t="s">
        <v>71</v>
      </c>
      <c r="C2272" s="8" t="s">
        <v>10338</v>
      </c>
      <c r="D2272" s="8" t="n">
        <v>2009</v>
      </c>
      <c r="E2272" s="8" t="s">
        <v>10339</v>
      </c>
      <c r="F2272" s="8" t="s">
        <v>143</v>
      </c>
      <c r="G2272" s="8" t="s">
        <v>348</v>
      </c>
      <c r="H2272" s="8" t="s">
        <v>145</v>
      </c>
      <c r="I2272" s="8" t="s">
        <v>153</v>
      </c>
      <c r="J2272" s="8" t="s">
        <v>10340</v>
      </c>
      <c r="K2272" s="8"/>
      <c r="L2272" s="8" t="s">
        <v>10341</v>
      </c>
    </row>
    <row r="2273" customFormat="false" ht="34.5" hidden="false" customHeight="true" outlineLevel="0" collapsed="false">
      <c r="A2273" s="8" t="n">
        <v>2015</v>
      </c>
      <c r="B2273" s="8" t="s">
        <v>71</v>
      </c>
      <c r="C2273" s="8" t="s">
        <v>10342</v>
      </c>
      <c r="D2273" s="8" t="n">
        <v>2018</v>
      </c>
      <c r="E2273" s="8" t="s">
        <v>10343</v>
      </c>
      <c r="F2273" s="8" t="s">
        <v>151</v>
      </c>
      <c r="G2273" s="8" t="s">
        <v>10344</v>
      </c>
      <c r="H2273" s="8" t="s">
        <v>10084</v>
      </c>
      <c r="I2273" s="8" t="s">
        <v>146</v>
      </c>
      <c r="J2273" s="8" t="s">
        <v>10345</v>
      </c>
      <c r="K2273" s="8"/>
      <c r="L2273" s="8" t="s">
        <v>10346</v>
      </c>
    </row>
    <row r="2274" customFormat="false" ht="23.25" hidden="false" customHeight="true" outlineLevel="0" collapsed="false">
      <c r="A2274" s="8" t="n">
        <v>2016</v>
      </c>
      <c r="B2274" s="8" t="s">
        <v>71</v>
      </c>
      <c r="C2274" s="8" t="s">
        <v>10347</v>
      </c>
      <c r="D2274" s="8" t="n">
        <v>2011</v>
      </c>
      <c r="E2274" s="8" t="s">
        <v>10348</v>
      </c>
      <c r="F2274" s="8" t="s">
        <v>143</v>
      </c>
      <c r="G2274" s="8" t="s">
        <v>10349</v>
      </c>
      <c r="H2274" s="8" t="s">
        <v>1904</v>
      </c>
      <c r="I2274" s="8" t="s">
        <v>146</v>
      </c>
      <c r="J2274" s="8" t="s">
        <v>10350</v>
      </c>
      <c r="K2274" s="8"/>
      <c r="L2274" s="8" t="s">
        <v>10351</v>
      </c>
    </row>
    <row r="2275" customFormat="false" ht="23.25" hidden="false" customHeight="true" outlineLevel="0" collapsed="false">
      <c r="A2275" s="8" t="n">
        <v>2017</v>
      </c>
      <c r="B2275" s="8" t="s">
        <v>71</v>
      </c>
      <c r="C2275" s="8" t="s">
        <v>10352</v>
      </c>
      <c r="D2275" s="8" t="n">
        <v>2022</v>
      </c>
      <c r="E2275" s="8" t="s">
        <v>10353</v>
      </c>
      <c r="F2275" s="8" t="s">
        <v>143</v>
      </c>
      <c r="G2275" s="8" t="s">
        <v>152</v>
      </c>
      <c r="H2275" s="8" t="s">
        <v>10354</v>
      </c>
      <c r="I2275" s="8" t="s">
        <v>387</v>
      </c>
      <c r="J2275" s="8" t="s">
        <v>10355</v>
      </c>
      <c r="K2275" s="8" t="s">
        <v>114</v>
      </c>
      <c r="L2275" s="8" t="s">
        <v>10356</v>
      </c>
    </row>
    <row r="2276" customFormat="false" ht="34.5" hidden="false" customHeight="true" outlineLevel="0" collapsed="false">
      <c r="A2276" s="8" t="n">
        <v>2018</v>
      </c>
      <c r="B2276" s="8" t="s">
        <v>71</v>
      </c>
      <c r="C2276" s="8" t="s">
        <v>10357</v>
      </c>
      <c r="D2276" s="8" t="n">
        <v>2014</v>
      </c>
      <c r="E2276" s="8" t="s">
        <v>10358</v>
      </c>
      <c r="F2276" s="8" t="s">
        <v>3817</v>
      </c>
      <c r="G2276" s="8" t="s">
        <v>10359</v>
      </c>
      <c r="H2276" s="8" t="s">
        <v>4711</v>
      </c>
      <c r="I2276" s="8" t="s">
        <v>748</v>
      </c>
      <c r="J2276" s="8" t="s">
        <v>10360</v>
      </c>
      <c r="K2276" s="8"/>
      <c r="L2276" s="8" t="s">
        <v>10361</v>
      </c>
    </row>
    <row r="2277" customFormat="false" ht="34.5" hidden="false" customHeight="true" outlineLevel="0" collapsed="false">
      <c r="A2277" s="8" t="n">
        <v>2019</v>
      </c>
      <c r="B2277" s="8" t="s">
        <v>71</v>
      </c>
      <c r="C2277" s="8" t="s">
        <v>10362</v>
      </c>
      <c r="D2277" s="8" t="n">
        <v>2014</v>
      </c>
      <c r="E2277" s="8" t="s">
        <v>10363</v>
      </c>
      <c r="F2277" s="8" t="s">
        <v>201</v>
      </c>
      <c r="G2277" s="8" t="s">
        <v>10364</v>
      </c>
      <c r="H2277" s="8" t="s">
        <v>4711</v>
      </c>
      <c r="I2277" s="8" t="s">
        <v>146</v>
      </c>
      <c r="J2277" s="8" t="s">
        <v>10365</v>
      </c>
      <c r="K2277" s="8"/>
      <c r="L2277" s="8" t="s">
        <v>10366</v>
      </c>
    </row>
    <row r="2278" customFormat="false" ht="23.25" hidden="false" customHeight="true" outlineLevel="0" collapsed="false">
      <c r="A2278" s="8" t="n">
        <v>2020</v>
      </c>
      <c r="B2278" s="8" t="s">
        <v>71</v>
      </c>
      <c r="C2278" s="8" t="s">
        <v>10367</v>
      </c>
      <c r="D2278" s="8" t="n">
        <v>2015</v>
      </c>
      <c r="E2278" s="8" t="s">
        <v>10368</v>
      </c>
      <c r="F2278" s="8" t="s">
        <v>587</v>
      </c>
      <c r="G2278" s="8" t="s">
        <v>10369</v>
      </c>
      <c r="H2278" s="8" t="s">
        <v>10089</v>
      </c>
      <c r="I2278" s="8" t="s">
        <v>146</v>
      </c>
      <c r="J2278" s="8" t="s">
        <v>10370</v>
      </c>
      <c r="K2278" s="8"/>
      <c r="L2278" s="8" t="s">
        <v>10371</v>
      </c>
    </row>
    <row r="2279" customFormat="false" ht="34.5" hidden="false" customHeight="true" outlineLevel="0" collapsed="false">
      <c r="A2279" s="8" t="n">
        <v>2021</v>
      </c>
      <c r="B2279" s="8" t="s">
        <v>71</v>
      </c>
      <c r="C2279" s="8" t="s">
        <v>10372</v>
      </c>
      <c r="D2279" s="8" t="n">
        <v>2012</v>
      </c>
      <c r="E2279" s="8" t="s">
        <v>10373</v>
      </c>
      <c r="F2279" s="8" t="s">
        <v>151</v>
      </c>
      <c r="G2279" s="8" t="s">
        <v>10374</v>
      </c>
      <c r="H2279" s="8" t="s">
        <v>10375</v>
      </c>
      <c r="I2279" s="8" t="s">
        <v>146</v>
      </c>
      <c r="J2279" s="8" t="s">
        <v>10376</v>
      </c>
      <c r="K2279" s="8"/>
      <c r="L2279" s="8" t="s">
        <v>10377</v>
      </c>
    </row>
    <row r="2280" customFormat="false" ht="34.5" hidden="false" customHeight="true" outlineLevel="0" collapsed="false">
      <c r="A2280" s="8" t="n">
        <v>2022</v>
      </c>
      <c r="B2280" s="8" t="s">
        <v>71</v>
      </c>
      <c r="C2280" s="8" t="s">
        <v>10378</v>
      </c>
      <c r="D2280" s="8" t="n">
        <v>2018</v>
      </c>
      <c r="E2280" s="8" t="s">
        <v>10379</v>
      </c>
      <c r="F2280" s="8" t="s">
        <v>143</v>
      </c>
      <c r="G2280" s="8" t="s">
        <v>10380</v>
      </c>
      <c r="H2280" s="8" t="s">
        <v>4711</v>
      </c>
      <c r="I2280" s="8" t="s">
        <v>387</v>
      </c>
      <c r="J2280" s="8" t="s">
        <v>10381</v>
      </c>
      <c r="K2280" s="8"/>
      <c r="L2280" s="8" t="s">
        <v>10382</v>
      </c>
    </row>
    <row r="2281" customFormat="false" ht="34.5" hidden="false" customHeight="true" outlineLevel="0" collapsed="false">
      <c r="A2281" s="8" t="n">
        <v>2023</v>
      </c>
      <c r="B2281" s="8" t="s">
        <v>71</v>
      </c>
      <c r="C2281" s="8" t="s">
        <v>10383</v>
      </c>
      <c r="D2281" s="8" t="n">
        <v>2009</v>
      </c>
      <c r="E2281" s="8" t="s">
        <v>10384</v>
      </c>
      <c r="F2281" s="8" t="s">
        <v>143</v>
      </c>
      <c r="G2281" s="8" t="s">
        <v>348</v>
      </c>
      <c r="H2281" s="8" t="s">
        <v>145</v>
      </c>
      <c r="I2281" s="8" t="s">
        <v>153</v>
      </c>
      <c r="J2281" s="8" t="s">
        <v>10385</v>
      </c>
      <c r="K2281" s="8"/>
      <c r="L2281" s="8" t="s">
        <v>10386</v>
      </c>
    </row>
    <row r="2282" customFormat="false" ht="34.5" hidden="false" customHeight="true" outlineLevel="0" collapsed="false">
      <c r="A2282" s="8" t="n">
        <v>2024</v>
      </c>
      <c r="B2282" s="8" t="s">
        <v>71</v>
      </c>
      <c r="C2282" s="8" t="s">
        <v>10387</v>
      </c>
      <c r="D2282" s="8" t="n">
        <v>2017</v>
      </c>
      <c r="E2282" s="8" t="s">
        <v>10388</v>
      </c>
      <c r="F2282" s="8" t="s">
        <v>143</v>
      </c>
      <c r="G2282" s="8" t="s">
        <v>10389</v>
      </c>
      <c r="H2282" s="8" t="s">
        <v>10390</v>
      </c>
      <c r="I2282" s="8" t="s">
        <v>146</v>
      </c>
      <c r="J2282" s="8" t="s">
        <v>10391</v>
      </c>
      <c r="K2282" s="8"/>
      <c r="L2282" s="8" t="s">
        <v>10392</v>
      </c>
    </row>
    <row r="2283" customFormat="false" ht="34.5" hidden="false" customHeight="true" outlineLevel="0" collapsed="false">
      <c r="A2283" s="8" t="n">
        <v>2025</v>
      </c>
      <c r="B2283" s="8" t="s">
        <v>71</v>
      </c>
      <c r="C2283" s="8" t="s">
        <v>10393</v>
      </c>
      <c r="D2283" s="8" t="n">
        <v>2013</v>
      </c>
      <c r="E2283" s="8" t="s">
        <v>10394</v>
      </c>
      <c r="F2283" s="8" t="s">
        <v>10395</v>
      </c>
      <c r="G2283" s="8" t="s">
        <v>10396</v>
      </c>
      <c r="H2283" s="8" t="s">
        <v>10148</v>
      </c>
      <c r="I2283" s="8" t="s">
        <v>146</v>
      </c>
      <c r="J2283" s="8" t="s">
        <v>10397</v>
      </c>
      <c r="K2283" s="8"/>
      <c r="L2283" s="8" t="s">
        <v>10398</v>
      </c>
    </row>
    <row r="2284" customFormat="false" ht="34.5" hidden="false" customHeight="true" outlineLevel="0" collapsed="false">
      <c r="A2284" s="8" t="n">
        <v>2026</v>
      </c>
      <c r="B2284" s="8" t="s">
        <v>71</v>
      </c>
      <c r="C2284" s="8" t="s">
        <v>10399</v>
      </c>
      <c r="D2284" s="8" t="n">
        <v>2015</v>
      </c>
      <c r="E2284" s="8" t="s">
        <v>10400</v>
      </c>
      <c r="F2284" s="8" t="s">
        <v>10401</v>
      </c>
      <c r="G2284" s="8" t="s">
        <v>10402</v>
      </c>
      <c r="H2284" s="8" t="s">
        <v>10148</v>
      </c>
      <c r="I2284" s="8" t="s">
        <v>146</v>
      </c>
      <c r="J2284" s="8" t="s">
        <v>10403</v>
      </c>
      <c r="K2284" s="8"/>
      <c r="L2284" s="8" t="s">
        <v>10404</v>
      </c>
    </row>
    <row r="2285" customFormat="false" ht="34.5" hidden="false" customHeight="true" outlineLevel="0" collapsed="false">
      <c r="A2285" s="8" t="n">
        <v>2027</v>
      </c>
      <c r="B2285" s="8" t="s">
        <v>71</v>
      </c>
      <c r="C2285" s="8" t="s">
        <v>10405</v>
      </c>
      <c r="D2285" s="8" t="n">
        <v>2018</v>
      </c>
      <c r="E2285" s="8" t="s">
        <v>10406</v>
      </c>
      <c r="F2285" s="8" t="s">
        <v>151</v>
      </c>
      <c r="G2285" s="8" t="s">
        <v>10407</v>
      </c>
      <c r="H2285" s="8" t="s">
        <v>10375</v>
      </c>
      <c r="I2285" s="8" t="s">
        <v>387</v>
      </c>
      <c r="J2285" s="8" t="s">
        <v>10408</v>
      </c>
      <c r="K2285" s="8"/>
      <c r="L2285" s="8" t="s">
        <v>10409</v>
      </c>
    </row>
    <row r="2286" customFormat="false" ht="34.5" hidden="false" customHeight="true" outlineLevel="0" collapsed="false">
      <c r="A2286" s="8" t="n">
        <v>2028</v>
      </c>
      <c r="B2286" s="8" t="s">
        <v>71</v>
      </c>
      <c r="C2286" s="8" t="s">
        <v>10410</v>
      </c>
      <c r="D2286" s="8" t="n">
        <v>2021</v>
      </c>
      <c r="E2286" s="8" t="s">
        <v>10411</v>
      </c>
      <c r="F2286" s="8" t="s">
        <v>10412</v>
      </c>
      <c r="G2286" s="8" t="s">
        <v>10413</v>
      </c>
      <c r="H2286" s="8" t="s">
        <v>181</v>
      </c>
      <c r="I2286" s="8" t="s">
        <v>146</v>
      </c>
      <c r="J2286" s="8" t="s">
        <v>3179</v>
      </c>
      <c r="K2286" s="8" t="s">
        <v>112</v>
      </c>
      <c r="L2286" s="8" t="s">
        <v>10414</v>
      </c>
    </row>
    <row r="2287" customFormat="false" ht="34.5" hidden="false" customHeight="true" outlineLevel="0" collapsed="false">
      <c r="A2287" s="8" t="n">
        <v>2029</v>
      </c>
      <c r="B2287" s="8" t="s">
        <v>71</v>
      </c>
      <c r="C2287" s="8" t="s">
        <v>10415</v>
      </c>
      <c r="D2287" s="8" t="n">
        <v>2015</v>
      </c>
      <c r="E2287" s="8" t="s">
        <v>10416</v>
      </c>
      <c r="F2287" s="8" t="s">
        <v>4790</v>
      </c>
      <c r="G2287" s="8" t="s">
        <v>10207</v>
      </c>
      <c r="H2287" s="8" t="s">
        <v>10148</v>
      </c>
      <c r="I2287" s="8" t="s">
        <v>146</v>
      </c>
      <c r="J2287" s="8" t="s">
        <v>10417</v>
      </c>
      <c r="K2287" s="8"/>
      <c r="L2287" s="8" t="s">
        <v>10418</v>
      </c>
    </row>
    <row r="2288" customFormat="false" ht="34.5" hidden="false" customHeight="true" outlineLevel="0" collapsed="false">
      <c r="A2288" s="8" t="n">
        <v>2030</v>
      </c>
      <c r="B2288" s="8" t="s">
        <v>71</v>
      </c>
      <c r="C2288" s="8" t="s">
        <v>10419</v>
      </c>
      <c r="D2288" s="8" t="n">
        <v>2008</v>
      </c>
      <c r="E2288" s="8" t="s">
        <v>10420</v>
      </c>
      <c r="F2288" s="8" t="s">
        <v>10278</v>
      </c>
      <c r="G2288" s="8" t="s">
        <v>10421</v>
      </c>
      <c r="H2288" s="8" t="s">
        <v>10148</v>
      </c>
      <c r="I2288" s="8" t="s">
        <v>146</v>
      </c>
      <c r="J2288" s="8" t="s">
        <v>10422</v>
      </c>
      <c r="K2288" s="8"/>
      <c r="L2288" s="8" t="s">
        <v>10423</v>
      </c>
    </row>
    <row r="2289" customFormat="false" ht="34.5" hidden="false" customHeight="true" outlineLevel="0" collapsed="false">
      <c r="A2289" s="8" t="n">
        <v>2031</v>
      </c>
      <c r="B2289" s="8" t="s">
        <v>71</v>
      </c>
      <c r="C2289" s="8" t="s">
        <v>10424</v>
      </c>
      <c r="D2289" s="8" t="n">
        <v>2014</v>
      </c>
      <c r="E2289" s="8" t="s">
        <v>10425</v>
      </c>
      <c r="F2289" s="8" t="s">
        <v>143</v>
      </c>
      <c r="G2289" s="8" t="s">
        <v>1619</v>
      </c>
      <c r="H2289" s="8" t="s">
        <v>10426</v>
      </c>
      <c r="I2289" s="8" t="s">
        <v>387</v>
      </c>
      <c r="J2289" s="8" t="s">
        <v>10427</v>
      </c>
      <c r="K2289" s="8" t="s">
        <v>116</v>
      </c>
      <c r="L2289" s="8" t="s">
        <v>10428</v>
      </c>
    </row>
    <row r="2290" customFormat="false" ht="34.5" hidden="false" customHeight="true" outlineLevel="0" collapsed="false">
      <c r="A2290" s="8" t="n">
        <v>2032</v>
      </c>
      <c r="B2290" s="8" t="s">
        <v>71</v>
      </c>
      <c r="C2290" s="8" t="s">
        <v>10429</v>
      </c>
      <c r="D2290" s="8" t="n">
        <v>2012</v>
      </c>
      <c r="E2290" s="8" t="s">
        <v>10430</v>
      </c>
      <c r="F2290" s="8" t="s">
        <v>143</v>
      </c>
      <c r="G2290" s="8" t="s">
        <v>10431</v>
      </c>
      <c r="H2290" s="8" t="s">
        <v>10432</v>
      </c>
      <c r="I2290" s="8" t="s">
        <v>146</v>
      </c>
      <c r="J2290" s="8" t="s">
        <v>10433</v>
      </c>
      <c r="K2290" s="8"/>
      <c r="L2290" s="8" t="s">
        <v>10434</v>
      </c>
    </row>
    <row r="2291" customFormat="false" ht="34.5" hidden="false" customHeight="true" outlineLevel="0" collapsed="false">
      <c r="A2291" s="8" t="n">
        <v>2033</v>
      </c>
      <c r="B2291" s="8" t="s">
        <v>71</v>
      </c>
      <c r="C2291" s="8" t="s">
        <v>10429</v>
      </c>
      <c r="D2291" s="8" t="n">
        <v>2014</v>
      </c>
      <c r="E2291" s="8" t="s">
        <v>10435</v>
      </c>
      <c r="F2291" s="8" t="s">
        <v>143</v>
      </c>
      <c r="G2291" s="8" t="s">
        <v>10436</v>
      </c>
      <c r="H2291" s="8" t="s">
        <v>4711</v>
      </c>
      <c r="I2291" s="8" t="s">
        <v>146</v>
      </c>
      <c r="J2291" s="8" t="s">
        <v>10216</v>
      </c>
      <c r="K2291" s="8"/>
      <c r="L2291" s="8" t="s">
        <v>10437</v>
      </c>
    </row>
    <row r="2292" customFormat="false" ht="23.25" hidden="false" customHeight="true" outlineLevel="0" collapsed="false">
      <c r="A2292" s="8" t="n">
        <v>2034</v>
      </c>
      <c r="B2292" s="8" t="s">
        <v>71</v>
      </c>
      <c r="C2292" s="8" t="s">
        <v>10438</v>
      </c>
      <c r="D2292" s="8" t="n">
        <v>2018</v>
      </c>
      <c r="E2292" s="8" t="s">
        <v>10439</v>
      </c>
      <c r="F2292" s="8" t="s">
        <v>10440</v>
      </c>
      <c r="G2292" s="8" t="s">
        <v>10441</v>
      </c>
      <c r="H2292" s="8" t="s">
        <v>1904</v>
      </c>
      <c r="I2292" s="8" t="s">
        <v>146</v>
      </c>
      <c r="J2292" s="8" t="s">
        <v>10442</v>
      </c>
      <c r="K2292" s="8"/>
      <c r="L2292" s="8" t="s">
        <v>10443</v>
      </c>
    </row>
    <row r="2293" customFormat="false" ht="34.5" hidden="false" customHeight="true" outlineLevel="0" collapsed="false">
      <c r="A2293" s="8" t="n">
        <v>2035</v>
      </c>
      <c r="B2293" s="8" t="s">
        <v>71</v>
      </c>
      <c r="C2293" s="8" t="s">
        <v>362</v>
      </c>
      <c r="D2293" s="8" t="n">
        <v>2005</v>
      </c>
      <c r="E2293" s="8" t="s">
        <v>10444</v>
      </c>
      <c r="F2293" s="8" t="s">
        <v>201</v>
      </c>
      <c r="G2293" s="8" t="s">
        <v>10445</v>
      </c>
      <c r="H2293" s="8" t="s">
        <v>145</v>
      </c>
      <c r="I2293" s="8" t="s">
        <v>153</v>
      </c>
      <c r="J2293" s="8" t="s">
        <v>10446</v>
      </c>
      <c r="K2293" s="8" t="s">
        <v>116</v>
      </c>
      <c r="L2293" s="8" t="s">
        <v>10447</v>
      </c>
    </row>
    <row r="2294" customFormat="false" ht="34.5" hidden="false" customHeight="true" outlineLevel="0" collapsed="false">
      <c r="A2294" s="8" t="n">
        <v>2036</v>
      </c>
      <c r="B2294" s="8" t="s">
        <v>71</v>
      </c>
      <c r="C2294" s="8" t="s">
        <v>10448</v>
      </c>
      <c r="D2294" s="8" t="n">
        <v>2021</v>
      </c>
      <c r="E2294" s="8" t="s">
        <v>10449</v>
      </c>
      <c r="F2294" s="8" t="s">
        <v>143</v>
      </c>
      <c r="G2294" s="8" t="s">
        <v>10450</v>
      </c>
      <c r="H2294" s="8" t="s">
        <v>4711</v>
      </c>
      <c r="I2294" s="8" t="s">
        <v>387</v>
      </c>
      <c r="J2294" s="8" t="s">
        <v>10451</v>
      </c>
      <c r="K2294" s="8"/>
      <c r="L2294" s="8" t="s">
        <v>10452</v>
      </c>
    </row>
    <row r="2295" customFormat="false" ht="23.25" hidden="false" customHeight="true" outlineLevel="0" collapsed="false">
      <c r="A2295" s="8" t="n">
        <v>2037</v>
      </c>
      <c r="B2295" s="8" t="s">
        <v>71</v>
      </c>
      <c r="C2295" s="8" t="s">
        <v>10453</v>
      </c>
      <c r="D2295" s="8" t="n">
        <v>2019</v>
      </c>
      <c r="E2295" s="8" t="s">
        <v>10454</v>
      </c>
      <c r="F2295" s="8" t="s">
        <v>10297</v>
      </c>
      <c r="G2295" s="8" t="s">
        <v>10455</v>
      </c>
      <c r="H2295" s="8" t="s">
        <v>10148</v>
      </c>
      <c r="I2295" s="8" t="s">
        <v>387</v>
      </c>
      <c r="J2295" s="8" t="s">
        <v>10114</v>
      </c>
      <c r="K2295" s="8"/>
      <c r="L2295" s="8" t="s">
        <v>10456</v>
      </c>
    </row>
    <row r="2296" customFormat="false" ht="34.5" hidden="false" customHeight="true" outlineLevel="0" collapsed="false">
      <c r="A2296" s="8" t="n">
        <v>2038</v>
      </c>
      <c r="B2296" s="8" t="s">
        <v>71</v>
      </c>
      <c r="C2296" s="8" t="s">
        <v>10457</v>
      </c>
      <c r="D2296" s="8" t="n">
        <v>2019</v>
      </c>
      <c r="E2296" s="8" t="s">
        <v>10458</v>
      </c>
      <c r="F2296" s="8" t="s">
        <v>10297</v>
      </c>
      <c r="G2296" s="8" t="s">
        <v>10459</v>
      </c>
      <c r="H2296" s="8" t="s">
        <v>4711</v>
      </c>
      <c r="I2296" s="8" t="s">
        <v>146</v>
      </c>
      <c r="J2296" s="8" t="s">
        <v>10460</v>
      </c>
      <c r="K2296" s="8"/>
      <c r="L2296" s="8" t="s">
        <v>10461</v>
      </c>
    </row>
    <row r="2297" customFormat="false" ht="34.5" hidden="false" customHeight="true" outlineLevel="0" collapsed="false">
      <c r="A2297" s="8" t="n">
        <v>2039</v>
      </c>
      <c r="B2297" s="8" t="s">
        <v>71</v>
      </c>
      <c r="C2297" s="8" t="s">
        <v>10462</v>
      </c>
      <c r="D2297" s="8" t="n">
        <v>2014</v>
      </c>
      <c r="E2297" s="8" t="s">
        <v>10463</v>
      </c>
      <c r="F2297" s="8" t="s">
        <v>10464</v>
      </c>
      <c r="G2297" s="8" t="s">
        <v>798</v>
      </c>
      <c r="H2297" s="8" t="s">
        <v>10292</v>
      </c>
      <c r="I2297" s="8" t="s">
        <v>208</v>
      </c>
      <c r="J2297" s="8" t="s">
        <v>10465</v>
      </c>
      <c r="K2297" s="8"/>
      <c r="L2297" s="8" t="s">
        <v>10466</v>
      </c>
    </row>
    <row r="2298" customFormat="false" ht="34.5" hidden="false" customHeight="true" outlineLevel="0" collapsed="false">
      <c r="A2298" s="8" t="n">
        <v>2040</v>
      </c>
      <c r="B2298" s="8" t="s">
        <v>71</v>
      </c>
      <c r="C2298" s="8" t="s">
        <v>10467</v>
      </c>
      <c r="D2298" s="8" t="n">
        <v>2016</v>
      </c>
      <c r="E2298" s="8" t="s">
        <v>10468</v>
      </c>
      <c r="F2298" s="8" t="s">
        <v>151</v>
      </c>
      <c r="G2298" s="8" t="s">
        <v>10469</v>
      </c>
      <c r="H2298" s="8" t="s">
        <v>10470</v>
      </c>
      <c r="I2298" s="8" t="s">
        <v>146</v>
      </c>
      <c r="J2298" s="8" t="s">
        <v>10471</v>
      </c>
      <c r="K2298" s="8"/>
      <c r="L2298" s="8" t="s">
        <v>10472</v>
      </c>
    </row>
    <row r="2299" customFormat="false" ht="34.5" hidden="false" customHeight="true" outlineLevel="0" collapsed="false">
      <c r="A2299" s="8" t="n">
        <v>2041</v>
      </c>
      <c r="B2299" s="8" t="s">
        <v>71</v>
      </c>
      <c r="C2299" s="8" t="s">
        <v>10473</v>
      </c>
      <c r="D2299" s="8" t="n">
        <v>2021</v>
      </c>
      <c r="E2299" s="8" t="s">
        <v>10474</v>
      </c>
      <c r="F2299" s="8" t="s">
        <v>143</v>
      </c>
      <c r="G2299" s="8" t="s">
        <v>152</v>
      </c>
      <c r="H2299" s="8" t="s">
        <v>145</v>
      </c>
      <c r="I2299" s="8" t="s">
        <v>153</v>
      </c>
      <c r="J2299" s="8" t="s">
        <v>10475</v>
      </c>
      <c r="K2299" s="8"/>
      <c r="L2299" s="8" t="s">
        <v>10476</v>
      </c>
    </row>
    <row r="2300" customFormat="false" ht="23.25" hidden="false" customHeight="true" outlineLevel="0" collapsed="false">
      <c r="A2300" s="8" t="n">
        <v>2042</v>
      </c>
      <c r="B2300" s="8" t="s">
        <v>71</v>
      </c>
      <c r="C2300" s="8" t="s">
        <v>10477</v>
      </c>
      <c r="D2300" s="8" t="n">
        <v>2017</v>
      </c>
      <c r="E2300" s="8" t="s">
        <v>10478</v>
      </c>
      <c r="F2300" s="8" t="s">
        <v>10440</v>
      </c>
      <c r="G2300" s="8" t="s">
        <v>10479</v>
      </c>
      <c r="H2300" s="8" t="s">
        <v>4711</v>
      </c>
      <c r="I2300" s="8" t="s">
        <v>146</v>
      </c>
      <c r="J2300" s="8" t="s">
        <v>10480</v>
      </c>
      <c r="K2300" s="8"/>
      <c r="L2300" s="8" t="s">
        <v>10481</v>
      </c>
    </row>
    <row r="2301" customFormat="false" ht="34.5" hidden="false" customHeight="true" outlineLevel="0" collapsed="false">
      <c r="A2301" s="8" t="n">
        <v>2043</v>
      </c>
      <c r="B2301" s="8" t="s">
        <v>71</v>
      </c>
      <c r="C2301" s="8" t="s">
        <v>10482</v>
      </c>
      <c r="D2301" s="8" t="n">
        <v>2021</v>
      </c>
      <c r="E2301" s="8" t="s">
        <v>10483</v>
      </c>
      <c r="F2301" s="8" t="s">
        <v>10484</v>
      </c>
      <c r="G2301" s="8" t="s">
        <v>10485</v>
      </c>
      <c r="H2301" s="8" t="s">
        <v>10486</v>
      </c>
      <c r="I2301" s="8" t="s">
        <v>146</v>
      </c>
      <c r="J2301" s="8" t="s">
        <v>10487</v>
      </c>
      <c r="K2301" s="8"/>
      <c r="L2301" s="8" t="s">
        <v>10488</v>
      </c>
    </row>
    <row r="2302" customFormat="false" ht="23.25" hidden="false" customHeight="true" outlineLevel="0" collapsed="false">
      <c r="A2302" s="8" t="n">
        <v>2044</v>
      </c>
      <c r="B2302" s="8" t="s">
        <v>71</v>
      </c>
      <c r="C2302" s="8" t="s">
        <v>10489</v>
      </c>
      <c r="D2302" s="8" t="n">
        <v>2017</v>
      </c>
      <c r="E2302" s="8" t="s">
        <v>10490</v>
      </c>
      <c r="F2302" s="8" t="s">
        <v>143</v>
      </c>
      <c r="G2302" s="8" t="s">
        <v>152</v>
      </c>
      <c r="H2302" s="8" t="s">
        <v>10354</v>
      </c>
      <c r="I2302" s="8" t="s">
        <v>153</v>
      </c>
      <c r="J2302" s="8" t="s">
        <v>10491</v>
      </c>
      <c r="K2302" s="8" t="s">
        <v>114</v>
      </c>
      <c r="L2302" s="8" t="s">
        <v>10492</v>
      </c>
    </row>
    <row r="2303" customFormat="false" ht="34.5" hidden="false" customHeight="true" outlineLevel="0" collapsed="false">
      <c r="A2303" s="8" t="n">
        <v>2045</v>
      </c>
      <c r="B2303" s="8" t="s">
        <v>71</v>
      </c>
      <c r="C2303" s="8" t="s">
        <v>10493</v>
      </c>
      <c r="D2303" s="8" t="n">
        <v>2017</v>
      </c>
      <c r="E2303" s="8" t="s">
        <v>10494</v>
      </c>
      <c r="F2303" s="8" t="s">
        <v>1588</v>
      </c>
      <c r="G2303" s="8" t="s">
        <v>152</v>
      </c>
      <c r="H2303" s="8" t="s">
        <v>10495</v>
      </c>
      <c r="I2303" s="8" t="s">
        <v>146</v>
      </c>
      <c r="J2303" s="8" t="s">
        <v>10496</v>
      </c>
      <c r="K2303" s="8"/>
      <c r="L2303" s="8" t="s">
        <v>10497</v>
      </c>
    </row>
    <row r="2304" customFormat="false" ht="34.5" hidden="false" customHeight="true" outlineLevel="0" collapsed="false">
      <c r="A2304" s="8" t="n">
        <v>2046</v>
      </c>
      <c r="B2304" s="8" t="s">
        <v>71</v>
      </c>
      <c r="C2304" s="8" t="s">
        <v>10498</v>
      </c>
      <c r="D2304" s="8" t="n">
        <v>2020</v>
      </c>
      <c r="E2304" s="8" t="s">
        <v>10499</v>
      </c>
      <c r="F2304" s="8" t="s">
        <v>143</v>
      </c>
      <c r="G2304" s="8" t="s">
        <v>10500</v>
      </c>
      <c r="H2304" s="8" t="s">
        <v>4711</v>
      </c>
      <c r="I2304" s="8" t="s">
        <v>146</v>
      </c>
      <c r="J2304" s="8" t="s">
        <v>10501</v>
      </c>
      <c r="K2304" s="8"/>
      <c r="L2304" s="8" t="s">
        <v>10502</v>
      </c>
    </row>
    <row r="2305" customFormat="false" ht="34.5" hidden="false" customHeight="true" outlineLevel="0" collapsed="false">
      <c r="A2305" s="8" t="n">
        <v>2047</v>
      </c>
      <c r="B2305" s="8" t="s">
        <v>71</v>
      </c>
      <c r="C2305" s="8" t="s">
        <v>10503</v>
      </c>
      <c r="D2305" s="8" t="n">
        <v>2018</v>
      </c>
      <c r="E2305" s="8" t="s">
        <v>10504</v>
      </c>
      <c r="F2305" s="8" t="s">
        <v>10505</v>
      </c>
      <c r="G2305" s="8" t="s">
        <v>10506</v>
      </c>
      <c r="H2305" s="8" t="s">
        <v>10507</v>
      </c>
      <c r="I2305" s="8" t="s">
        <v>387</v>
      </c>
      <c r="J2305" s="8" t="s">
        <v>10508</v>
      </c>
      <c r="K2305" s="8"/>
      <c r="L2305" s="8" t="s">
        <v>10509</v>
      </c>
    </row>
    <row r="2306" customFormat="false" ht="34.5" hidden="false" customHeight="true" outlineLevel="0" collapsed="false">
      <c r="A2306" s="8" t="n">
        <v>2048</v>
      </c>
      <c r="B2306" s="8" t="s">
        <v>71</v>
      </c>
      <c r="C2306" s="8" t="s">
        <v>10510</v>
      </c>
      <c r="D2306" s="8" t="n">
        <v>2014</v>
      </c>
      <c r="E2306" s="8" t="s">
        <v>10511</v>
      </c>
      <c r="F2306" s="8" t="s">
        <v>10512</v>
      </c>
      <c r="G2306" s="8" t="s">
        <v>10513</v>
      </c>
      <c r="H2306" s="8" t="s">
        <v>1373</v>
      </c>
      <c r="I2306" s="8" t="s">
        <v>146</v>
      </c>
      <c r="J2306" s="8" t="s">
        <v>10514</v>
      </c>
      <c r="K2306" s="8" t="s">
        <v>116</v>
      </c>
      <c r="L2306" s="8" t="s">
        <v>10515</v>
      </c>
    </row>
    <row r="2307" customFormat="false" ht="34.5" hidden="false" customHeight="true" outlineLevel="0" collapsed="false">
      <c r="A2307" s="8" t="n">
        <v>2049</v>
      </c>
      <c r="B2307" s="8" t="s">
        <v>71</v>
      </c>
      <c r="C2307" s="8" t="s">
        <v>10516</v>
      </c>
      <c r="D2307" s="8" t="n">
        <v>2020</v>
      </c>
      <c r="E2307" s="8" t="s">
        <v>10517</v>
      </c>
      <c r="F2307" s="8" t="s">
        <v>10484</v>
      </c>
      <c r="G2307" s="8" t="s">
        <v>10518</v>
      </c>
      <c r="H2307" s="8" t="s">
        <v>10519</v>
      </c>
      <c r="I2307" s="8" t="s">
        <v>146</v>
      </c>
      <c r="J2307" s="8" t="s">
        <v>10520</v>
      </c>
      <c r="K2307" s="8"/>
      <c r="L2307" s="8" t="s">
        <v>10521</v>
      </c>
    </row>
    <row r="2308" customFormat="false" ht="34.5" hidden="false" customHeight="true" outlineLevel="0" collapsed="false">
      <c r="A2308" s="8" t="n">
        <v>2050</v>
      </c>
      <c r="B2308" s="8" t="s">
        <v>71</v>
      </c>
      <c r="C2308" s="8" t="s">
        <v>10522</v>
      </c>
      <c r="D2308" s="8" t="n">
        <v>2016</v>
      </c>
      <c r="E2308" s="8" t="s">
        <v>10523</v>
      </c>
      <c r="F2308" s="8" t="s">
        <v>10297</v>
      </c>
      <c r="G2308" s="8" t="s">
        <v>10524</v>
      </c>
      <c r="H2308" s="8" t="s">
        <v>7918</v>
      </c>
      <c r="I2308" s="8" t="s">
        <v>146</v>
      </c>
      <c r="J2308" s="8" t="s">
        <v>10525</v>
      </c>
      <c r="K2308" s="8"/>
      <c r="L2308" s="8" t="s">
        <v>10526</v>
      </c>
    </row>
    <row r="2309" customFormat="false" ht="34.5" hidden="false" customHeight="true" outlineLevel="0" collapsed="false">
      <c r="A2309" s="8" t="n">
        <v>2051</v>
      </c>
      <c r="B2309" s="8" t="s">
        <v>71</v>
      </c>
      <c r="C2309" s="8" t="s">
        <v>10527</v>
      </c>
      <c r="D2309" s="8" t="n">
        <v>2019</v>
      </c>
      <c r="E2309" s="8" t="s">
        <v>10528</v>
      </c>
      <c r="F2309" s="8" t="s">
        <v>1588</v>
      </c>
      <c r="G2309" s="8" t="s">
        <v>10529</v>
      </c>
      <c r="H2309" s="8" t="s">
        <v>10495</v>
      </c>
      <c r="I2309" s="8" t="s">
        <v>146</v>
      </c>
      <c r="J2309" s="8" t="s">
        <v>10530</v>
      </c>
      <c r="K2309" s="8"/>
      <c r="L2309" s="8" t="s">
        <v>10531</v>
      </c>
    </row>
    <row r="2310" customFormat="false" ht="34.5" hidden="false" customHeight="true" outlineLevel="0" collapsed="false">
      <c r="A2310" s="8" t="n">
        <v>2052</v>
      </c>
      <c r="B2310" s="8" t="s">
        <v>71</v>
      </c>
      <c r="C2310" s="8" t="s">
        <v>10532</v>
      </c>
      <c r="D2310" s="8" t="n">
        <v>2018</v>
      </c>
      <c r="E2310" s="8" t="s">
        <v>10533</v>
      </c>
      <c r="F2310" s="8" t="s">
        <v>10534</v>
      </c>
      <c r="G2310" s="8" t="s">
        <v>10535</v>
      </c>
      <c r="H2310" s="8" t="s">
        <v>181</v>
      </c>
      <c r="I2310" s="8" t="s">
        <v>153</v>
      </c>
      <c r="J2310" s="8" t="s">
        <v>10536</v>
      </c>
      <c r="K2310" s="8" t="s">
        <v>114</v>
      </c>
      <c r="L2310" s="8" t="s">
        <v>10537</v>
      </c>
    </row>
    <row r="2311" customFormat="false" ht="34.5" hidden="false" customHeight="true" outlineLevel="0" collapsed="false">
      <c r="A2311" s="8" t="n">
        <v>2053</v>
      </c>
      <c r="B2311" s="8" t="s">
        <v>71</v>
      </c>
      <c r="C2311" s="8" t="s">
        <v>4124</v>
      </c>
      <c r="D2311" s="8" t="n">
        <v>2020</v>
      </c>
      <c r="E2311" s="8" t="s">
        <v>10538</v>
      </c>
      <c r="F2311" s="8" t="s">
        <v>10278</v>
      </c>
      <c r="G2311" s="8" t="s">
        <v>10344</v>
      </c>
      <c r="H2311" s="8" t="s">
        <v>10539</v>
      </c>
      <c r="I2311" s="8" t="s">
        <v>146</v>
      </c>
      <c r="J2311" s="8" t="s">
        <v>10540</v>
      </c>
      <c r="K2311" s="8"/>
      <c r="L2311" s="8" t="s">
        <v>10541</v>
      </c>
    </row>
    <row r="2312" customFormat="false" ht="34.5" hidden="false" customHeight="true" outlineLevel="0" collapsed="false">
      <c r="A2312" s="8" t="n">
        <v>2054</v>
      </c>
      <c r="B2312" s="8" t="s">
        <v>71</v>
      </c>
      <c r="C2312" s="8" t="s">
        <v>10542</v>
      </c>
      <c r="D2312" s="8" t="n">
        <v>2019</v>
      </c>
      <c r="E2312" s="8" t="s">
        <v>10543</v>
      </c>
      <c r="F2312" s="8" t="s">
        <v>10512</v>
      </c>
      <c r="G2312" s="8" t="s">
        <v>10544</v>
      </c>
      <c r="H2312" s="8" t="s">
        <v>4711</v>
      </c>
      <c r="I2312" s="8" t="s">
        <v>387</v>
      </c>
      <c r="J2312" s="8" t="s">
        <v>10545</v>
      </c>
      <c r="K2312" s="8"/>
      <c r="L2312" s="8" t="s">
        <v>10546</v>
      </c>
    </row>
    <row r="2313" customFormat="false" ht="34.5" hidden="false" customHeight="true" outlineLevel="0" collapsed="false">
      <c r="A2313" s="8" t="n">
        <v>2055</v>
      </c>
      <c r="B2313" s="8" t="s">
        <v>71</v>
      </c>
      <c r="C2313" s="8" t="s">
        <v>10547</v>
      </c>
      <c r="D2313" s="8" t="n">
        <v>2010</v>
      </c>
      <c r="E2313" s="8" t="s">
        <v>10548</v>
      </c>
      <c r="F2313" s="8" t="s">
        <v>143</v>
      </c>
      <c r="G2313" s="8" t="s">
        <v>10131</v>
      </c>
      <c r="H2313" s="8" t="s">
        <v>10549</v>
      </c>
      <c r="I2313" s="8" t="s">
        <v>146</v>
      </c>
      <c r="J2313" s="8" t="s">
        <v>10550</v>
      </c>
      <c r="K2313" s="8"/>
      <c r="L2313" s="8" t="s">
        <v>10551</v>
      </c>
    </row>
    <row r="2314" customFormat="false" ht="34.5" hidden="false" customHeight="true" outlineLevel="0" collapsed="false">
      <c r="A2314" s="8" t="n">
        <v>2056</v>
      </c>
      <c r="B2314" s="8" t="s">
        <v>71</v>
      </c>
      <c r="C2314" s="8" t="s">
        <v>10547</v>
      </c>
      <c r="D2314" s="8" t="n">
        <v>2013</v>
      </c>
      <c r="E2314" s="8" t="s">
        <v>10552</v>
      </c>
      <c r="F2314" s="8" t="s">
        <v>143</v>
      </c>
      <c r="G2314" s="8" t="s">
        <v>1678</v>
      </c>
      <c r="H2314" s="8" t="s">
        <v>10549</v>
      </c>
      <c r="I2314" s="8" t="s">
        <v>146</v>
      </c>
      <c r="J2314" s="8" t="s">
        <v>10553</v>
      </c>
      <c r="K2314" s="8"/>
      <c r="L2314" s="8" t="s">
        <v>10554</v>
      </c>
    </row>
    <row r="2315" customFormat="false" ht="34.5" hidden="false" customHeight="true" outlineLevel="0" collapsed="false">
      <c r="A2315" s="8" t="n">
        <v>2057</v>
      </c>
      <c r="B2315" s="8" t="s">
        <v>71</v>
      </c>
      <c r="C2315" s="8" t="s">
        <v>10555</v>
      </c>
      <c r="D2315" s="8" t="n">
        <v>2019</v>
      </c>
      <c r="E2315" s="8" t="s">
        <v>10556</v>
      </c>
      <c r="F2315" s="8" t="s">
        <v>10235</v>
      </c>
      <c r="G2315" s="8" t="s">
        <v>10557</v>
      </c>
      <c r="H2315" s="8" t="s">
        <v>10558</v>
      </c>
      <c r="I2315" s="8" t="s">
        <v>146</v>
      </c>
      <c r="J2315" s="8" t="s">
        <v>10559</v>
      </c>
      <c r="K2315" s="8"/>
      <c r="L2315" s="8" t="s">
        <v>10560</v>
      </c>
    </row>
    <row r="2316" customFormat="false" ht="34.5" hidden="false" customHeight="true" outlineLevel="0" collapsed="false">
      <c r="A2316" s="8" t="n">
        <v>2058</v>
      </c>
      <c r="B2316" s="8" t="s">
        <v>71</v>
      </c>
      <c r="C2316" s="8" t="s">
        <v>10561</v>
      </c>
      <c r="D2316" s="8" t="n">
        <v>2015</v>
      </c>
      <c r="E2316" s="8" t="s">
        <v>10562</v>
      </c>
      <c r="F2316" s="8" t="s">
        <v>143</v>
      </c>
      <c r="G2316" s="8" t="s">
        <v>348</v>
      </c>
      <c r="H2316" s="8" t="s">
        <v>145</v>
      </c>
      <c r="I2316" s="8" t="s">
        <v>153</v>
      </c>
      <c r="J2316" s="8" t="s">
        <v>10563</v>
      </c>
      <c r="K2316" s="8"/>
      <c r="L2316" s="8" t="s">
        <v>10564</v>
      </c>
    </row>
    <row r="2317" customFormat="false" ht="34.5" hidden="false" customHeight="true" outlineLevel="0" collapsed="false">
      <c r="A2317" s="8" t="n">
        <v>2059</v>
      </c>
      <c r="B2317" s="8" t="s">
        <v>71</v>
      </c>
      <c r="C2317" s="8" t="s">
        <v>10565</v>
      </c>
      <c r="D2317" s="8" t="n">
        <v>2020</v>
      </c>
      <c r="E2317" s="8" t="s">
        <v>10566</v>
      </c>
      <c r="F2317" s="8" t="s">
        <v>10567</v>
      </c>
      <c r="G2317" s="8" t="s">
        <v>10568</v>
      </c>
      <c r="H2317" s="8" t="s">
        <v>10569</v>
      </c>
      <c r="I2317" s="8" t="s">
        <v>387</v>
      </c>
      <c r="J2317" s="8" t="s">
        <v>10570</v>
      </c>
      <c r="K2317" s="8"/>
      <c r="L2317" s="8" t="s">
        <v>10571</v>
      </c>
    </row>
    <row r="2318" customFormat="false" ht="34.5" hidden="false" customHeight="true" outlineLevel="0" collapsed="false">
      <c r="A2318" s="8" t="n">
        <v>2060</v>
      </c>
      <c r="B2318" s="8" t="s">
        <v>71</v>
      </c>
      <c r="C2318" s="8" t="s">
        <v>10572</v>
      </c>
      <c r="D2318" s="8" t="n">
        <v>2019</v>
      </c>
      <c r="E2318" s="8" t="s">
        <v>10573</v>
      </c>
      <c r="F2318" s="8" t="s">
        <v>143</v>
      </c>
      <c r="G2318" s="8" t="s">
        <v>10574</v>
      </c>
      <c r="H2318" s="8" t="s">
        <v>10575</v>
      </c>
      <c r="I2318" s="8" t="s">
        <v>146</v>
      </c>
      <c r="J2318" s="8" t="s">
        <v>10576</v>
      </c>
      <c r="K2318" s="8"/>
      <c r="L2318" s="8" t="s">
        <v>10577</v>
      </c>
    </row>
    <row r="2319" customFormat="false" ht="34.5" hidden="false" customHeight="true" outlineLevel="0" collapsed="false">
      <c r="A2319" s="8" t="n">
        <v>2061</v>
      </c>
      <c r="B2319" s="8" t="s">
        <v>71</v>
      </c>
      <c r="C2319" s="8" t="s">
        <v>10578</v>
      </c>
      <c r="D2319" s="8" t="n">
        <v>2013</v>
      </c>
      <c r="E2319" s="8" t="s">
        <v>10579</v>
      </c>
      <c r="F2319" s="8" t="s">
        <v>143</v>
      </c>
      <c r="G2319" s="8" t="s">
        <v>152</v>
      </c>
      <c r="H2319" s="8" t="s">
        <v>10580</v>
      </c>
      <c r="I2319" s="8" t="s">
        <v>146</v>
      </c>
      <c r="J2319" s="8" t="s">
        <v>10581</v>
      </c>
      <c r="K2319" s="8"/>
      <c r="L2319" s="8" t="s">
        <v>10582</v>
      </c>
    </row>
    <row r="2320" customFormat="false" ht="34.5" hidden="false" customHeight="true" outlineLevel="0" collapsed="false">
      <c r="A2320" s="8" t="n">
        <v>2062</v>
      </c>
      <c r="B2320" s="8" t="s">
        <v>71</v>
      </c>
      <c r="C2320" s="8" t="s">
        <v>10583</v>
      </c>
      <c r="D2320" s="8" t="n">
        <v>2018</v>
      </c>
      <c r="E2320" s="8" t="s">
        <v>10584</v>
      </c>
      <c r="F2320" s="8" t="s">
        <v>1588</v>
      </c>
      <c r="G2320" s="8" t="s">
        <v>152</v>
      </c>
      <c r="H2320" s="8" t="s">
        <v>4711</v>
      </c>
      <c r="I2320" s="8" t="s">
        <v>748</v>
      </c>
      <c r="J2320" s="8" t="s">
        <v>10585</v>
      </c>
      <c r="K2320" s="8"/>
      <c r="L2320" s="8" t="s">
        <v>10586</v>
      </c>
    </row>
    <row r="2321" customFormat="false" ht="34.5" hidden="false" customHeight="true" outlineLevel="0" collapsed="false">
      <c r="A2321" s="8" t="n">
        <v>2063</v>
      </c>
      <c r="B2321" s="8" t="s">
        <v>71</v>
      </c>
      <c r="C2321" s="8" t="s">
        <v>10587</v>
      </c>
      <c r="D2321" s="8" t="n">
        <v>2021</v>
      </c>
      <c r="E2321" s="8" t="s">
        <v>10588</v>
      </c>
      <c r="F2321" s="8" t="s">
        <v>579</v>
      </c>
      <c r="G2321" s="8" t="s">
        <v>10589</v>
      </c>
      <c r="H2321" s="8" t="s">
        <v>10590</v>
      </c>
      <c r="I2321" s="8" t="s">
        <v>146</v>
      </c>
      <c r="J2321" s="8" t="s">
        <v>10591</v>
      </c>
      <c r="K2321" s="8"/>
      <c r="L2321" s="8" t="s">
        <v>10592</v>
      </c>
    </row>
    <row r="2322" customFormat="false" ht="23.25" hidden="false" customHeight="true" outlineLevel="0" collapsed="false">
      <c r="A2322" s="8" t="n">
        <v>2064</v>
      </c>
      <c r="B2322" s="8" t="s">
        <v>71</v>
      </c>
      <c r="C2322" s="8" t="s">
        <v>10593</v>
      </c>
      <c r="D2322" s="8" t="n">
        <v>2015</v>
      </c>
      <c r="E2322" s="8" t="s">
        <v>10594</v>
      </c>
      <c r="F2322" s="8" t="s">
        <v>151</v>
      </c>
      <c r="G2322" s="8" t="s">
        <v>10595</v>
      </c>
      <c r="H2322" s="8" t="s">
        <v>10311</v>
      </c>
      <c r="I2322" s="8" t="s">
        <v>387</v>
      </c>
      <c r="J2322" s="8" t="s">
        <v>10596</v>
      </c>
      <c r="K2322" s="8"/>
      <c r="L2322" s="8" t="s">
        <v>10597</v>
      </c>
    </row>
    <row r="2323" customFormat="false" ht="34.5" hidden="false" customHeight="true" outlineLevel="0" collapsed="false">
      <c r="A2323" s="8" t="n">
        <v>2065</v>
      </c>
      <c r="B2323" s="8" t="s">
        <v>71</v>
      </c>
      <c r="C2323" s="8" t="s">
        <v>10598</v>
      </c>
      <c r="D2323" s="8" t="n">
        <v>2014</v>
      </c>
      <c r="E2323" s="8" t="s">
        <v>10599</v>
      </c>
      <c r="F2323" s="8" t="s">
        <v>143</v>
      </c>
      <c r="G2323" s="8" t="s">
        <v>10600</v>
      </c>
      <c r="H2323" s="8" t="s">
        <v>10089</v>
      </c>
      <c r="I2323" s="8" t="s">
        <v>146</v>
      </c>
      <c r="J2323" s="8" t="s">
        <v>10601</v>
      </c>
      <c r="K2323" s="8"/>
      <c r="L2323" s="8" t="s">
        <v>10602</v>
      </c>
    </row>
    <row r="2324" customFormat="false" ht="34.5" hidden="false" customHeight="true" outlineLevel="0" collapsed="false">
      <c r="A2324" s="8" t="n">
        <v>2066</v>
      </c>
      <c r="B2324" s="8" t="s">
        <v>71</v>
      </c>
      <c r="C2324" s="8" t="s">
        <v>10603</v>
      </c>
      <c r="D2324" s="8" t="n">
        <v>2021</v>
      </c>
      <c r="E2324" s="8" t="s">
        <v>10604</v>
      </c>
      <c r="F2324" s="8" t="s">
        <v>143</v>
      </c>
      <c r="G2324" s="8" t="s">
        <v>10605</v>
      </c>
      <c r="H2324" s="8" t="s">
        <v>10298</v>
      </c>
      <c r="I2324" s="8" t="s">
        <v>146</v>
      </c>
      <c r="J2324" s="8" t="s">
        <v>10606</v>
      </c>
      <c r="K2324" s="8"/>
      <c r="L2324" s="8" t="s">
        <v>10607</v>
      </c>
    </row>
    <row r="2325" customFormat="false" ht="34.5" hidden="false" customHeight="true" outlineLevel="0" collapsed="false">
      <c r="A2325" s="8" t="n">
        <v>2067</v>
      </c>
      <c r="B2325" s="8" t="s">
        <v>71</v>
      </c>
      <c r="C2325" s="8" t="s">
        <v>10608</v>
      </c>
      <c r="D2325" s="8" t="n">
        <v>2019</v>
      </c>
      <c r="E2325" s="8" t="s">
        <v>10609</v>
      </c>
      <c r="F2325" s="8" t="s">
        <v>143</v>
      </c>
      <c r="G2325" s="8" t="s">
        <v>10610</v>
      </c>
      <c r="H2325" s="8" t="s">
        <v>10611</v>
      </c>
      <c r="I2325" s="8" t="s">
        <v>146</v>
      </c>
      <c r="J2325" s="8" t="s">
        <v>10612</v>
      </c>
      <c r="K2325" s="8"/>
      <c r="L2325" s="8" t="s">
        <v>10613</v>
      </c>
    </row>
    <row r="2326" customFormat="false" ht="34.5" hidden="false" customHeight="true" outlineLevel="0" collapsed="false">
      <c r="A2326" s="8" t="n">
        <v>2068</v>
      </c>
      <c r="B2326" s="8" t="s">
        <v>71</v>
      </c>
      <c r="C2326" s="8" t="s">
        <v>10614</v>
      </c>
      <c r="D2326" s="8" t="n">
        <v>2008</v>
      </c>
      <c r="E2326" s="8" t="s">
        <v>10615</v>
      </c>
      <c r="F2326" s="8" t="s">
        <v>143</v>
      </c>
      <c r="G2326" s="8" t="s">
        <v>10616</v>
      </c>
      <c r="H2326" s="8" t="s">
        <v>10617</v>
      </c>
      <c r="I2326" s="8" t="s">
        <v>387</v>
      </c>
      <c r="J2326" s="8" t="s">
        <v>10618</v>
      </c>
      <c r="K2326" s="8"/>
      <c r="L2326" s="8" t="s">
        <v>10619</v>
      </c>
    </row>
    <row r="2327" customFormat="false" ht="34.5" hidden="false" customHeight="true" outlineLevel="0" collapsed="false">
      <c r="A2327" s="8" t="n">
        <v>2069</v>
      </c>
      <c r="B2327" s="8" t="s">
        <v>71</v>
      </c>
      <c r="C2327" s="8" t="s">
        <v>10620</v>
      </c>
      <c r="D2327" s="8" t="n">
        <v>2017</v>
      </c>
      <c r="E2327" s="8" t="s">
        <v>10621</v>
      </c>
      <c r="F2327" s="8" t="s">
        <v>151</v>
      </c>
      <c r="G2327" s="8" t="s">
        <v>10131</v>
      </c>
      <c r="H2327" s="8" t="s">
        <v>10622</v>
      </c>
      <c r="I2327" s="8" t="s">
        <v>146</v>
      </c>
      <c r="J2327" s="8" t="s">
        <v>10623</v>
      </c>
      <c r="K2327" s="8"/>
      <c r="L2327" s="8" t="s">
        <v>10624</v>
      </c>
    </row>
    <row r="2328" customFormat="false" ht="23.25" hidden="false" customHeight="true" outlineLevel="0" collapsed="false">
      <c r="A2328" s="8" t="n">
        <v>2070</v>
      </c>
      <c r="B2328" s="8" t="s">
        <v>71</v>
      </c>
      <c r="C2328" s="8" t="s">
        <v>8078</v>
      </c>
      <c r="D2328" s="8" t="n">
        <v>2018</v>
      </c>
      <c r="E2328" s="8" t="s">
        <v>10625</v>
      </c>
      <c r="F2328" s="8" t="s">
        <v>3677</v>
      </c>
      <c r="G2328" s="8" t="s">
        <v>3773</v>
      </c>
      <c r="H2328" s="8" t="s">
        <v>181</v>
      </c>
      <c r="I2328" s="8" t="s">
        <v>153</v>
      </c>
      <c r="J2328" s="8" t="s">
        <v>8082</v>
      </c>
      <c r="K2328" s="8" t="s">
        <v>116</v>
      </c>
      <c r="L2328" s="8" t="s">
        <v>10626</v>
      </c>
    </row>
    <row r="2329" customFormat="false" ht="34.5" hidden="false" customHeight="true" outlineLevel="0" collapsed="false">
      <c r="A2329" s="8" t="n">
        <v>2071</v>
      </c>
      <c r="B2329" s="8" t="s">
        <v>71</v>
      </c>
      <c r="C2329" s="8" t="s">
        <v>10627</v>
      </c>
      <c r="D2329" s="8" t="n">
        <v>2015</v>
      </c>
      <c r="E2329" s="8" t="s">
        <v>10628</v>
      </c>
      <c r="F2329" s="8" t="s">
        <v>10629</v>
      </c>
      <c r="G2329" s="8" t="s">
        <v>10568</v>
      </c>
      <c r="H2329" s="8" t="s">
        <v>10630</v>
      </c>
      <c r="I2329" s="8" t="s">
        <v>387</v>
      </c>
      <c r="J2329" s="8" t="s">
        <v>10631</v>
      </c>
      <c r="K2329" s="8"/>
      <c r="L2329" s="8" t="s">
        <v>10632</v>
      </c>
    </row>
    <row r="2330" customFormat="false" ht="34.5" hidden="false" customHeight="true" outlineLevel="0" collapsed="false">
      <c r="A2330" s="8" t="n">
        <v>2072</v>
      </c>
      <c r="B2330" s="8" t="s">
        <v>71</v>
      </c>
      <c r="C2330" s="8" t="s">
        <v>10633</v>
      </c>
      <c r="D2330" s="8" t="n">
        <v>2016</v>
      </c>
      <c r="E2330" s="8" t="s">
        <v>10634</v>
      </c>
      <c r="F2330" s="8" t="s">
        <v>151</v>
      </c>
      <c r="G2330" s="8" t="s">
        <v>10635</v>
      </c>
      <c r="H2330" s="8" t="s">
        <v>10636</v>
      </c>
      <c r="I2330" s="8" t="s">
        <v>146</v>
      </c>
      <c r="J2330" s="8" t="s">
        <v>10637</v>
      </c>
      <c r="K2330" s="8"/>
      <c r="L2330" s="8" t="s">
        <v>10638</v>
      </c>
    </row>
    <row r="2331" customFormat="false" ht="34.5" hidden="false" customHeight="true" outlineLevel="0" collapsed="false">
      <c r="A2331" s="8" t="n">
        <v>2073</v>
      </c>
      <c r="B2331" s="8" t="s">
        <v>71</v>
      </c>
      <c r="C2331" s="8" t="s">
        <v>10639</v>
      </c>
      <c r="D2331" s="8" t="n">
        <v>2008</v>
      </c>
      <c r="E2331" s="8" t="s">
        <v>10640</v>
      </c>
      <c r="F2331" s="8" t="s">
        <v>10641</v>
      </c>
      <c r="G2331" s="8" t="s">
        <v>10642</v>
      </c>
      <c r="H2331" s="8" t="s">
        <v>10643</v>
      </c>
      <c r="I2331" s="8" t="s">
        <v>146</v>
      </c>
      <c r="J2331" s="8" t="s">
        <v>10644</v>
      </c>
      <c r="K2331" s="8"/>
      <c r="L2331" s="8" t="s">
        <v>10645</v>
      </c>
    </row>
    <row r="2332" customFormat="false" ht="34.5" hidden="false" customHeight="true" outlineLevel="0" collapsed="false">
      <c r="A2332" s="8" t="n">
        <v>2074</v>
      </c>
      <c r="B2332" s="8" t="s">
        <v>71</v>
      </c>
      <c r="C2332" s="8" t="s">
        <v>10646</v>
      </c>
      <c r="D2332" s="8" t="n">
        <v>2014</v>
      </c>
      <c r="E2332" s="8" t="s">
        <v>10647</v>
      </c>
      <c r="F2332" s="8" t="s">
        <v>143</v>
      </c>
      <c r="G2332" s="8" t="s">
        <v>152</v>
      </c>
      <c r="H2332" s="8" t="s">
        <v>2846</v>
      </c>
      <c r="I2332" s="8" t="s">
        <v>153</v>
      </c>
      <c r="J2332" s="8" t="s">
        <v>10648</v>
      </c>
      <c r="K2332" s="8" t="s">
        <v>114</v>
      </c>
      <c r="L2332" s="8" t="s">
        <v>10649</v>
      </c>
    </row>
    <row r="2333" customFormat="false" ht="34.5" hidden="false" customHeight="true" outlineLevel="0" collapsed="false">
      <c r="A2333" s="8" t="n">
        <v>2075</v>
      </c>
      <c r="B2333" s="8" t="s">
        <v>71</v>
      </c>
      <c r="C2333" s="8" t="s">
        <v>10650</v>
      </c>
      <c r="D2333" s="8" t="n">
        <v>2004</v>
      </c>
      <c r="E2333" s="8" t="s">
        <v>10651</v>
      </c>
      <c r="F2333" s="8" t="s">
        <v>10652</v>
      </c>
      <c r="G2333" s="8" t="s">
        <v>10653</v>
      </c>
      <c r="H2333" s="8" t="s">
        <v>4711</v>
      </c>
      <c r="I2333" s="8" t="s">
        <v>146</v>
      </c>
      <c r="J2333" s="8" t="s">
        <v>10654</v>
      </c>
      <c r="K2333" s="8"/>
      <c r="L2333" s="8" t="s">
        <v>10655</v>
      </c>
    </row>
    <row r="2334" customFormat="false" ht="34.5" hidden="false" customHeight="true" outlineLevel="0" collapsed="false">
      <c r="A2334" s="8" t="n">
        <v>2076</v>
      </c>
      <c r="B2334" s="8" t="s">
        <v>71</v>
      </c>
      <c r="C2334" s="8" t="s">
        <v>10656</v>
      </c>
      <c r="D2334" s="8" t="n">
        <v>2014</v>
      </c>
      <c r="E2334" s="8" t="s">
        <v>10657</v>
      </c>
      <c r="F2334" s="8" t="s">
        <v>10219</v>
      </c>
      <c r="G2334" s="8" t="s">
        <v>10658</v>
      </c>
      <c r="H2334" s="8" t="s">
        <v>10539</v>
      </c>
      <c r="I2334" s="8" t="s">
        <v>387</v>
      </c>
      <c r="J2334" s="8" t="s">
        <v>10659</v>
      </c>
      <c r="K2334" s="8"/>
      <c r="L2334" s="8" t="s">
        <v>10660</v>
      </c>
    </row>
    <row r="2335" customFormat="false" ht="34.5" hidden="false" customHeight="true" outlineLevel="0" collapsed="false">
      <c r="A2335" s="8" t="n">
        <v>2077</v>
      </c>
      <c r="B2335" s="8" t="s">
        <v>71</v>
      </c>
      <c r="C2335" s="8" t="s">
        <v>10661</v>
      </c>
      <c r="D2335" s="8" t="n">
        <v>2019</v>
      </c>
      <c r="E2335" s="8" t="s">
        <v>10662</v>
      </c>
      <c r="F2335" s="8" t="s">
        <v>10652</v>
      </c>
      <c r="G2335" s="8" t="s">
        <v>4507</v>
      </c>
      <c r="H2335" s="8" t="s">
        <v>4711</v>
      </c>
      <c r="I2335" s="8" t="s">
        <v>387</v>
      </c>
      <c r="J2335" s="8" t="s">
        <v>10663</v>
      </c>
      <c r="K2335" s="8" t="s">
        <v>114</v>
      </c>
      <c r="L2335" s="8" t="s">
        <v>10664</v>
      </c>
    </row>
    <row r="2336" customFormat="false" ht="23.25" hidden="false" customHeight="true" outlineLevel="0" collapsed="false">
      <c r="A2336" s="8" t="n">
        <v>2078</v>
      </c>
      <c r="B2336" s="8" t="s">
        <v>71</v>
      </c>
      <c r="C2336" s="8" t="s">
        <v>10665</v>
      </c>
      <c r="D2336" s="8" t="n">
        <v>2008</v>
      </c>
      <c r="E2336" s="8" t="s">
        <v>10666</v>
      </c>
      <c r="F2336" s="8" t="s">
        <v>10484</v>
      </c>
      <c r="G2336" s="8" t="s">
        <v>1619</v>
      </c>
      <c r="H2336" s="8" t="s">
        <v>10667</v>
      </c>
      <c r="I2336" s="8" t="s">
        <v>146</v>
      </c>
      <c r="J2336" s="8" t="s">
        <v>10668</v>
      </c>
      <c r="K2336" s="8"/>
      <c r="L2336" s="8" t="s">
        <v>10669</v>
      </c>
    </row>
    <row r="2337" customFormat="false" ht="34.5" hidden="false" customHeight="true" outlineLevel="0" collapsed="false">
      <c r="A2337" s="8" t="n">
        <v>2079</v>
      </c>
      <c r="B2337" s="8" t="s">
        <v>71</v>
      </c>
      <c r="C2337" s="8" t="s">
        <v>10670</v>
      </c>
      <c r="D2337" s="8" t="n">
        <v>2014</v>
      </c>
      <c r="E2337" s="8" t="s">
        <v>10671</v>
      </c>
      <c r="F2337" s="8" t="s">
        <v>10672</v>
      </c>
      <c r="G2337" s="8" t="s">
        <v>10673</v>
      </c>
      <c r="H2337" s="8" t="s">
        <v>10674</v>
      </c>
      <c r="I2337" s="8" t="s">
        <v>146</v>
      </c>
      <c r="J2337" s="8" t="s">
        <v>10675</v>
      </c>
      <c r="K2337" s="8"/>
      <c r="L2337" s="8" t="s">
        <v>10676</v>
      </c>
    </row>
    <row r="2338" customFormat="false" ht="45.75" hidden="false" customHeight="true" outlineLevel="0" collapsed="false">
      <c r="A2338" s="8" t="n">
        <v>2080</v>
      </c>
      <c r="B2338" s="8" t="s">
        <v>71</v>
      </c>
      <c r="C2338" s="8" t="s">
        <v>10677</v>
      </c>
      <c r="D2338" s="8" t="n">
        <v>2023</v>
      </c>
      <c r="E2338" s="8" t="s">
        <v>10678</v>
      </c>
      <c r="F2338" s="8" t="s">
        <v>10679</v>
      </c>
      <c r="G2338" s="8" t="s">
        <v>10680</v>
      </c>
      <c r="H2338" s="8" t="s">
        <v>10681</v>
      </c>
      <c r="I2338" s="8" t="s">
        <v>533</v>
      </c>
      <c r="J2338" s="8" t="s">
        <v>10682</v>
      </c>
      <c r="K2338" s="8" t="s">
        <v>116</v>
      </c>
      <c r="L2338" s="8" t="s">
        <v>10683</v>
      </c>
    </row>
    <row r="2339" customFormat="false" ht="45.75" hidden="false" customHeight="true" outlineLevel="0" collapsed="false">
      <c r="A2339" s="8" t="n">
        <v>2081</v>
      </c>
      <c r="B2339" s="8" t="s">
        <v>73</v>
      </c>
      <c r="C2339" s="8" t="s">
        <v>591</v>
      </c>
      <c r="D2339" s="8" t="n">
        <v>2022</v>
      </c>
      <c r="E2339" s="8" t="s">
        <v>10684</v>
      </c>
      <c r="F2339" s="8" t="s">
        <v>143</v>
      </c>
      <c r="G2339" s="8" t="s">
        <v>10685</v>
      </c>
      <c r="H2339" s="8" t="s">
        <v>145</v>
      </c>
      <c r="I2339" s="8" t="s">
        <v>153</v>
      </c>
      <c r="J2339" s="8" t="s">
        <v>10686</v>
      </c>
      <c r="K2339" s="8" t="s">
        <v>114</v>
      </c>
      <c r="L2339" s="8" t="s">
        <v>10687</v>
      </c>
    </row>
    <row r="2340" customFormat="false" ht="34.5" hidden="false" customHeight="true" outlineLevel="0" collapsed="false">
      <c r="A2340" s="8" t="n">
        <v>2082</v>
      </c>
      <c r="B2340" s="8" t="s">
        <v>73</v>
      </c>
      <c r="C2340" s="8" t="s">
        <v>10688</v>
      </c>
      <c r="D2340" s="8" t="n">
        <v>2022</v>
      </c>
      <c r="E2340" s="8" t="s">
        <v>10689</v>
      </c>
      <c r="F2340" s="8" t="s">
        <v>143</v>
      </c>
      <c r="G2340" s="8" t="s">
        <v>10690</v>
      </c>
      <c r="H2340" s="8" t="s">
        <v>145</v>
      </c>
      <c r="I2340" s="8" t="s">
        <v>146</v>
      </c>
      <c r="J2340" s="8" t="s">
        <v>10691</v>
      </c>
      <c r="K2340" s="8" t="s">
        <v>114</v>
      </c>
      <c r="L2340" s="8" t="s">
        <v>10692</v>
      </c>
    </row>
    <row r="2341" customFormat="false" ht="34.5" hidden="false" customHeight="true" outlineLevel="0" collapsed="false">
      <c r="A2341" s="8" t="n">
        <v>2083</v>
      </c>
      <c r="B2341" s="8" t="s">
        <v>73</v>
      </c>
      <c r="C2341" s="8" t="s">
        <v>2436</v>
      </c>
      <c r="D2341" s="8" t="n">
        <v>2016</v>
      </c>
      <c r="E2341" s="8" t="s">
        <v>10693</v>
      </c>
      <c r="F2341" s="8" t="s">
        <v>143</v>
      </c>
      <c r="G2341" s="8" t="s">
        <v>4288</v>
      </c>
      <c r="H2341" s="8" t="s">
        <v>145</v>
      </c>
      <c r="I2341" s="8" t="s">
        <v>153</v>
      </c>
      <c r="J2341" s="8" t="s">
        <v>10694</v>
      </c>
      <c r="K2341" s="8" t="s">
        <v>112</v>
      </c>
      <c r="L2341" s="8" t="s">
        <v>10695</v>
      </c>
    </row>
    <row r="2342" customFormat="false" ht="34.5" hidden="false" customHeight="true" outlineLevel="0" collapsed="false">
      <c r="A2342" s="8" t="n">
        <v>2084</v>
      </c>
      <c r="B2342" s="8" t="s">
        <v>73</v>
      </c>
      <c r="C2342" s="8" t="s">
        <v>10696</v>
      </c>
      <c r="D2342" s="8" t="n">
        <v>2023</v>
      </c>
      <c r="E2342" s="8" t="s">
        <v>10697</v>
      </c>
      <c r="F2342" s="8" t="s">
        <v>579</v>
      </c>
      <c r="G2342" s="8" t="s">
        <v>10698</v>
      </c>
      <c r="H2342" s="8" t="s">
        <v>145</v>
      </c>
      <c r="I2342" s="8" t="s">
        <v>153</v>
      </c>
      <c r="J2342" s="8" t="s">
        <v>10699</v>
      </c>
      <c r="K2342" s="8" t="s">
        <v>114</v>
      </c>
      <c r="L2342" s="8" t="s">
        <v>10700</v>
      </c>
    </row>
    <row r="2343" customFormat="false" ht="45.75" hidden="false" customHeight="true" outlineLevel="0" collapsed="false">
      <c r="A2343" s="8" t="n">
        <v>2085</v>
      </c>
      <c r="B2343" s="8" t="s">
        <v>73</v>
      </c>
      <c r="C2343" s="8" t="s">
        <v>1692</v>
      </c>
      <c r="D2343" s="8" t="n">
        <v>2022</v>
      </c>
      <c r="E2343" s="8" t="s">
        <v>10701</v>
      </c>
      <c r="F2343" s="8" t="s">
        <v>143</v>
      </c>
      <c r="G2343" s="8" t="s">
        <v>10702</v>
      </c>
      <c r="H2343" s="8" t="s">
        <v>145</v>
      </c>
      <c r="I2343" s="8" t="s">
        <v>153</v>
      </c>
      <c r="J2343" s="8" t="s">
        <v>10703</v>
      </c>
      <c r="K2343" s="8" t="s">
        <v>114</v>
      </c>
      <c r="L2343" s="8" t="s">
        <v>10704</v>
      </c>
    </row>
    <row r="2344" customFormat="false" ht="34.5" hidden="false" customHeight="true" outlineLevel="0" collapsed="false">
      <c r="A2344" s="8" t="n">
        <v>2086</v>
      </c>
      <c r="B2344" s="8" t="s">
        <v>73</v>
      </c>
      <c r="C2344" s="8" t="s">
        <v>10705</v>
      </c>
      <c r="D2344" s="8" t="n">
        <v>2016</v>
      </c>
      <c r="E2344" s="8" t="s">
        <v>10706</v>
      </c>
      <c r="F2344" s="8" t="s">
        <v>579</v>
      </c>
      <c r="G2344" s="8" t="s">
        <v>6608</v>
      </c>
      <c r="H2344" s="8" t="s">
        <v>4711</v>
      </c>
      <c r="I2344" s="8" t="s">
        <v>146</v>
      </c>
      <c r="J2344" s="8" t="s">
        <v>10707</v>
      </c>
      <c r="K2344" s="8" t="s">
        <v>112</v>
      </c>
      <c r="L2344" s="8" t="s">
        <v>10708</v>
      </c>
    </row>
    <row r="2345" customFormat="false" ht="34.5" hidden="false" customHeight="true" outlineLevel="0" collapsed="false">
      <c r="A2345" s="8" t="n">
        <v>2087</v>
      </c>
      <c r="B2345" s="8" t="s">
        <v>73</v>
      </c>
      <c r="C2345" s="8" t="s">
        <v>10709</v>
      </c>
      <c r="D2345" s="8" t="n">
        <v>2023</v>
      </c>
      <c r="E2345" s="8" t="s">
        <v>10710</v>
      </c>
      <c r="F2345" s="8" t="s">
        <v>10711</v>
      </c>
      <c r="G2345" s="8" t="s">
        <v>10712</v>
      </c>
      <c r="H2345" s="8" t="s">
        <v>255</v>
      </c>
      <c r="I2345" s="8" t="s">
        <v>387</v>
      </c>
      <c r="J2345" s="8" t="s">
        <v>10713</v>
      </c>
      <c r="K2345" s="8" t="s">
        <v>110</v>
      </c>
      <c r="L2345" s="8" t="s">
        <v>10714</v>
      </c>
    </row>
    <row r="2346" customFormat="false" ht="34.5" hidden="false" customHeight="true" outlineLevel="0" collapsed="false">
      <c r="A2346" s="8" t="n">
        <v>2088</v>
      </c>
      <c r="B2346" s="8" t="s">
        <v>73</v>
      </c>
      <c r="C2346" s="8" t="s">
        <v>10715</v>
      </c>
      <c r="D2346" s="8" t="n">
        <v>2023</v>
      </c>
      <c r="E2346" s="8" t="s">
        <v>10716</v>
      </c>
      <c r="F2346" s="8" t="s">
        <v>8720</v>
      </c>
      <c r="G2346" s="8" t="s">
        <v>10717</v>
      </c>
      <c r="H2346" s="8" t="s">
        <v>1213</v>
      </c>
      <c r="I2346" s="8" t="s">
        <v>146</v>
      </c>
      <c r="J2346" s="8" t="s">
        <v>10718</v>
      </c>
      <c r="K2346" s="8" t="s">
        <v>112</v>
      </c>
      <c r="L2346" s="8" t="s">
        <v>10719</v>
      </c>
    </row>
    <row r="2347" customFormat="false" ht="34.5" hidden="false" customHeight="true" outlineLevel="0" collapsed="false">
      <c r="A2347" s="9" t="n">
        <v>2089</v>
      </c>
      <c r="B2347" s="10" t="s">
        <v>73</v>
      </c>
      <c r="C2347" s="10" t="s">
        <v>10720</v>
      </c>
      <c r="D2347" s="10" t="n">
        <v>2022</v>
      </c>
      <c r="E2347" s="10" t="s">
        <v>10721</v>
      </c>
      <c r="F2347" s="10" t="s">
        <v>10722</v>
      </c>
      <c r="G2347" s="10" t="s">
        <v>10723</v>
      </c>
      <c r="H2347" s="10" t="s">
        <v>145</v>
      </c>
      <c r="I2347" s="10" t="s">
        <v>153</v>
      </c>
      <c r="J2347" s="10" t="s">
        <v>10724</v>
      </c>
      <c r="K2347" s="10" t="s">
        <v>110</v>
      </c>
      <c r="L2347" s="10" t="s">
        <v>10725</v>
      </c>
    </row>
    <row r="2348" customFormat="false" ht="45.75" hidden="false" customHeight="true" outlineLevel="0" collapsed="false">
      <c r="A2348" s="11" t="n">
        <v>2089</v>
      </c>
      <c r="B2348" s="12" t="s">
        <v>83</v>
      </c>
      <c r="C2348" s="12" t="s">
        <v>10726</v>
      </c>
      <c r="D2348" s="12" t="n">
        <v>2022</v>
      </c>
      <c r="E2348" s="12" t="s">
        <v>10721</v>
      </c>
      <c r="F2348" s="12" t="s">
        <v>10727</v>
      </c>
      <c r="G2348" s="12" t="s">
        <v>10728</v>
      </c>
      <c r="H2348" s="12" t="s">
        <v>145</v>
      </c>
      <c r="I2348" s="12" t="s">
        <v>153</v>
      </c>
      <c r="J2348" s="12" t="s">
        <v>10729</v>
      </c>
      <c r="K2348" s="12" t="s">
        <v>110</v>
      </c>
      <c r="L2348" s="12" t="s">
        <v>10730</v>
      </c>
    </row>
    <row r="2349" customFormat="false" ht="34.5" hidden="false" customHeight="true" outlineLevel="0" collapsed="false">
      <c r="A2349" s="8" t="n">
        <v>2090</v>
      </c>
      <c r="B2349" s="8" t="s">
        <v>73</v>
      </c>
      <c r="C2349" s="8" t="s">
        <v>3177</v>
      </c>
      <c r="D2349" s="8" t="n">
        <v>2024</v>
      </c>
      <c r="E2349" s="8" t="s">
        <v>10731</v>
      </c>
      <c r="F2349" s="8" t="s">
        <v>10732</v>
      </c>
      <c r="G2349" s="8" t="s">
        <v>10733</v>
      </c>
      <c r="H2349" s="8" t="s">
        <v>10734</v>
      </c>
      <c r="I2349" s="8" t="s">
        <v>153</v>
      </c>
      <c r="J2349" s="8" t="s">
        <v>10735</v>
      </c>
      <c r="K2349" s="8" t="s">
        <v>110</v>
      </c>
      <c r="L2349" s="8" t="s">
        <v>10736</v>
      </c>
    </row>
    <row r="2350" customFormat="false" ht="23.25" hidden="false" customHeight="true" outlineLevel="0" collapsed="false">
      <c r="A2350" s="8" t="n">
        <v>2091</v>
      </c>
      <c r="B2350" s="8" t="s">
        <v>75</v>
      </c>
      <c r="C2350" s="8" t="s">
        <v>1622</v>
      </c>
      <c r="D2350" s="8" t="s">
        <v>8134</v>
      </c>
      <c r="E2350" s="8" t="s">
        <v>10737</v>
      </c>
      <c r="F2350" s="8" t="s">
        <v>143</v>
      </c>
      <c r="G2350" s="8" t="s">
        <v>1678</v>
      </c>
      <c r="H2350" s="8" t="s">
        <v>145</v>
      </c>
      <c r="I2350" s="8" t="s">
        <v>153</v>
      </c>
      <c r="J2350" s="8" t="s">
        <v>10738</v>
      </c>
      <c r="K2350" s="8" t="s">
        <v>110</v>
      </c>
      <c r="L2350" s="8" t="s">
        <v>10739</v>
      </c>
    </row>
    <row r="2351" customFormat="false" ht="34.5" hidden="false" customHeight="true" outlineLevel="0" collapsed="false">
      <c r="A2351" s="8" t="n">
        <v>2092</v>
      </c>
      <c r="B2351" s="8" t="s">
        <v>75</v>
      </c>
      <c r="C2351" s="8" t="s">
        <v>2958</v>
      </c>
      <c r="D2351" s="8" t="s">
        <v>9094</v>
      </c>
      <c r="E2351" s="8" t="s">
        <v>10740</v>
      </c>
      <c r="F2351" s="8" t="s">
        <v>143</v>
      </c>
      <c r="G2351" s="8" t="s">
        <v>1499</v>
      </c>
      <c r="H2351" s="8" t="s">
        <v>145</v>
      </c>
      <c r="I2351" s="8" t="s">
        <v>153</v>
      </c>
      <c r="J2351" s="8" t="s">
        <v>1421</v>
      </c>
      <c r="K2351" s="8" t="s">
        <v>114</v>
      </c>
      <c r="L2351" s="8" t="s">
        <v>10741</v>
      </c>
    </row>
    <row r="2352" customFormat="false" ht="23.25" hidden="false" customHeight="true" outlineLevel="0" collapsed="false">
      <c r="A2352" s="8" t="n">
        <v>2093</v>
      </c>
      <c r="B2352" s="8" t="s">
        <v>75</v>
      </c>
      <c r="C2352" s="8" t="s">
        <v>10742</v>
      </c>
      <c r="D2352" s="8" t="s">
        <v>9061</v>
      </c>
      <c r="E2352" s="8" t="s">
        <v>10743</v>
      </c>
      <c r="F2352" s="8" t="s">
        <v>151</v>
      </c>
      <c r="G2352" s="8" t="s">
        <v>6974</v>
      </c>
      <c r="H2352" s="8" t="s">
        <v>145</v>
      </c>
      <c r="I2352" s="8" t="s">
        <v>153</v>
      </c>
      <c r="J2352" s="8" t="s">
        <v>10744</v>
      </c>
      <c r="K2352" s="8"/>
      <c r="L2352" s="8" t="s">
        <v>10745</v>
      </c>
    </row>
    <row r="2353" customFormat="false" ht="34.5" hidden="false" customHeight="true" outlineLevel="0" collapsed="false">
      <c r="A2353" s="13" t="n">
        <v>2094</v>
      </c>
      <c r="B2353" s="14" t="s">
        <v>75</v>
      </c>
      <c r="C2353" s="14" t="s">
        <v>1476</v>
      </c>
      <c r="D2353" s="14" t="s">
        <v>8182</v>
      </c>
      <c r="E2353" s="14" t="s">
        <v>10746</v>
      </c>
      <c r="F2353" s="14" t="s">
        <v>579</v>
      </c>
      <c r="G2353" s="14" t="s">
        <v>1499</v>
      </c>
      <c r="H2353" s="14" t="s">
        <v>145</v>
      </c>
      <c r="I2353" s="14" t="s">
        <v>153</v>
      </c>
      <c r="J2353" s="14" t="s">
        <v>10747</v>
      </c>
      <c r="K2353" s="14" t="s">
        <v>114</v>
      </c>
      <c r="L2353" s="14" t="s">
        <v>10748</v>
      </c>
    </row>
    <row r="2354" customFormat="false" ht="23.25" hidden="false" customHeight="true" outlineLevel="0" collapsed="false">
      <c r="A2354" s="15" t="n">
        <v>2094</v>
      </c>
      <c r="B2354" s="16" t="s">
        <v>75</v>
      </c>
      <c r="C2354" s="16" t="s">
        <v>1476</v>
      </c>
      <c r="D2354" s="16" t="s">
        <v>8182</v>
      </c>
      <c r="E2354" s="16" t="s">
        <v>10746</v>
      </c>
      <c r="F2354" s="16" t="s">
        <v>151</v>
      </c>
      <c r="G2354" s="16" t="s">
        <v>10749</v>
      </c>
      <c r="H2354" s="16" t="s">
        <v>145</v>
      </c>
      <c r="I2354" s="16" t="s">
        <v>153</v>
      </c>
      <c r="J2354" s="16" t="s">
        <v>10750</v>
      </c>
      <c r="K2354" s="16" t="s">
        <v>114</v>
      </c>
      <c r="L2354" s="16" t="s">
        <v>10751</v>
      </c>
    </row>
    <row r="2355" customFormat="false" ht="34.5" hidden="false" customHeight="true" outlineLevel="0" collapsed="false">
      <c r="A2355" s="8" t="n">
        <v>2095</v>
      </c>
      <c r="B2355" s="8" t="s">
        <v>75</v>
      </c>
      <c r="C2355" s="8" t="s">
        <v>2603</v>
      </c>
      <c r="D2355" s="8" t="s">
        <v>8125</v>
      </c>
      <c r="E2355" s="8" t="s">
        <v>10752</v>
      </c>
      <c r="F2355" s="8" t="s">
        <v>151</v>
      </c>
      <c r="G2355" s="8" t="s">
        <v>4507</v>
      </c>
      <c r="H2355" s="8" t="s">
        <v>145</v>
      </c>
      <c r="I2355" s="8" t="s">
        <v>153</v>
      </c>
      <c r="J2355" s="8" t="s">
        <v>10753</v>
      </c>
      <c r="K2355" s="8" t="s">
        <v>116</v>
      </c>
      <c r="L2355" s="8" t="s">
        <v>10754</v>
      </c>
    </row>
    <row r="2356" customFormat="false" ht="23.25" hidden="false" customHeight="true" outlineLevel="0" collapsed="false">
      <c r="A2356" s="8" t="n">
        <v>2096</v>
      </c>
      <c r="B2356" s="8" t="s">
        <v>75</v>
      </c>
      <c r="C2356" s="8" t="s">
        <v>10755</v>
      </c>
      <c r="D2356" s="8" t="s">
        <v>8182</v>
      </c>
      <c r="E2356" s="8" t="s">
        <v>568</v>
      </c>
      <c r="F2356" s="8" t="s">
        <v>151</v>
      </c>
      <c r="G2356" s="8" t="s">
        <v>4507</v>
      </c>
      <c r="H2356" s="8" t="s">
        <v>145</v>
      </c>
      <c r="I2356" s="8" t="s">
        <v>153</v>
      </c>
      <c r="J2356" s="8" t="s">
        <v>575</v>
      </c>
      <c r="K2356" s="8" t="s">
        <v>114</v>
      </c>
      <c r="L2356" s="8" t="s">
        <v>10756</v>
      </c>
    </row>
    <row r="2357" customFormat="false" ht="34.5" hidden="false" customHeight="true" outlineLevel="0" collapsed="false">
      <c r="A2357" s="8" t="n">
        <v>2097</v>
      </c>
      <c r="B2357" s="8" t="s">
        <v>75</v>
      </c>
      <c r="C2357" s="8" t="s">
        <v>1476</v>
      </c>
      <c r="D2357" s="8" t="s">
        <v>9094</v>
      </c>
      <c r="E2357" s="8" t="s">
        <v>10757</v>
      </c>
      <c r="F2357" s="8" t="s">
        <v>143</v>
      </c>
      <c r="G2357" s="8" t="s">
        <v>10758</v>
      </c>
      <c r="H2357" s="8" t="s">
        <v>145</v>
      </c>
      <c r="I2357" s="8" t="s">
        <v>153</v>
      </c>
      <c r="J2357" s="8" t="s">
        <v>10759</v>
      </c>
      <c r="K2357" s="8" t="s">
        <v>114</v>
      </c>
      <c r="L2357" s="8" t="s">
        <v>10760</v>
      </c>
    </row>
    <row r="2358" customFormat="false" ht="23.25" hidden="false" customHeight="true" outlineLevel="0" collapsed="false">
      <c r="A2358" s="8" t="n">
        <v>2098</v>
      </c>
      <c r="B2358" s="8" t="s">
        <v>75</v>
      </c>
      <c r="C2358" s="8" t="s">
        <v>10761</v>
      </c>
      <c r="D2358" s="8" t="s">
        <v>8125</v>
      </c>
      <c r="E2358" s="8" t="s">
        <v>10762</v>
      </c>
      <c r="F2358" s="8" t="s">
        <v>143</v>
      </c>
      <c r="G2358" s="8" t="s">
        <v>10763</v>
      </c>
      <c r="H2358" s="8" t="s">
        <v>145</v>
      </c>
      <c r="I2358" s="8" t="s">
        <v>153</v>
      </c>
      <c r="J2358" s="8" t="s">
        <v>507</v>
      </c>
      <c r="K2358" s="8"/>
      <c r="L2358" s="8" t="s">
        <v>10764</v>
      </c>
    </row>
    <row r="2359" customFormat="false" ht="23.25" hidden="false" customHeight="true" outlineLevel="0" collapsed="false">
      <c r="A2359" s="8" t="n">
        <v>2099</v>
      </c>
      <c r="B2359" s="8" t="s">
        <v>75</v>
      </c>
      <c r="C2359" s="8" t="s">
        <v>309</v>
      </c>
      <c r="D2359" s="8" t="s">
        <v>8125</v>
      </c>
      <c r="E2359" s="8" t="s">
        <v>10765</v>
      </c>
      <c r="F2359" s="8" t="s">
        <v>143</v>
      </c>
      <c r="G2359" s="8" t="s">
        <v>1499</v>
      </c>
      <c r="H2359" s="8" t="s">
        <v>145</v>
      </c>
      <c r="I2359" s="8" t="s">
        <v>153</v>
      </c>
      <c r="J2359" s="8" t="s">
        <v>10766</v>
      </c>
      <c r="K2359" s="8" t="s">
        <v>114</v>
      </c>
      <c r="L2359" s="8" t="s">
        <v>10767</v>
      </c>
    </row>
    <row r="2360" customFormat="false" ht="34.5" hidden="false" customHeight="true" outlineLevel="0" collapsed="false">
      <c r="A2360" s="8" t="n">
        <v>2100</v>
      </c>
      <c r="B2360" s="8" t="s">
        <v>75</v>
      </c>
      <c r="C2360" s="8" t="s">
        <v>10768</v>
      </c>
      <c r="D2360" s="8" t="s">
        <v>10769</v>
      </c>
      <c r="E2360" s="8" t="s">
        <v>10770</v>
      </c>
      <c r="F2360" s="8" t="s">
        <v>151</v>
      </c>
      <c r="G2360" s="8" t="s">
        <v>798</v>
      </c>
      <c r="H2360" s="8" t="s">
        <v>145</v>
      </c>
      <c r="I2360" s="8" t="s">
        <v>208</v>
      </c>
      <c r="J2360" s="8" t="s">
        <v>10771</v>
      </c>
      <c r="K2360" s="8"/>
      <c r="L2360" s="8" t="s">
        <v>10772</v>
      </c>
    </row>
    <row r="2361" customFormat="false" ht="34.5" hidden="false" customHeight="true" outlineLevel="0" collapsed="false">
      <c r="A2361" s="8" t="n">
        <v>2101</v>
      </c>
      <c r="B2361" s="8" t="s">
        <v>75</v>
      </c>
      <c r="C2361" s="8" t="s">
        <v>10773</v>
      </c>
      <c r="D2361" s="8" t="s">
        <v>8240</v>
      </c>
      <c r="E2361" s="8" t="s">
        <v>10774</v>
      </c>
      <c r="F2361" s="8" t="s">
        <v>151</v>
      </c>
      <c r="G2361" s="8" t="s">
        <v>798</v>
      </c>
      <c r="H2361" s="8" t="s">
        <v>145</v>
      </c>
      <c r="I2361" s="8" t="s">
        <v>146</v>
      </c>
      <c r="J2361" s="8" t="s">
        <v>10775</v>
      </c>
      <c r="K2361" s="8"/>
      <c r="L2361" s="8" t="s">
        <v>10776</v>
      </c>
    </row>
    <row r="2362" customFormat="false" ht="34.5" hidden="false" customHeight="true" outlineLevel="0" collapsed="false">
      <c r="A2362" s="8" t="n">
        <v>2102</v>
      </c>
      <c r="B2362" s="8" t="s">
        <v>75</v>
      </c>
      <c r="C2362" s="8" t="s">
        <v>1476</v>
      </c>
      <c r="D2362" s="8" t="s">
        <v>9094</v>
      </c>
      <c r="E2362" s="8" t="s">
        <v>10777</v>
      </c>
      <c r="F2362" s="8" t="s">
        <v>201</v>
      </c>
      <c r="G2362" s="8" t="s">
        <v>572</v>
      </c>
      <c r="H2362" s="8" t="s">
        <v>145</v>
      </c>
      <c r="I2362" s="8" t="s">
        <v>153</v>
      </c>
      <c r="J2362" s="8" t="s">
        <v>10778</v>
      </c>
      <c r="K2362" s="8" t="s">
        <v>116</v>
      </c>
      <c r="L2362" s="8" t="s">
        <v>10779</v>
      </c>
    </row>
    <row r="2363" customFormat="false" ht="23.25" hidden="false" customHeight="true" outlineLevel="0" collapsed="false">
      <c r="A2363" s="8" t="n">
        <v>2103</v>
      </c>
      <c r="B2363" s="8" t="s">
        <v>75</v>
      </c>
      <c r="C2363" s="8" t="s">
        <v>6077</v>
      </c>
      <c r="D2363" s="8" t="s">
        <v>8125</v>
      </c>
      <c r="E2363" s="8" t="s">
        <v>10780</v>
      </c>
      <c r="F2363" s="8" t="s">
        <v>151</v>
      </c>
      <c r="G2363" s="8" t="s">
        <v>1499</v>
      </c>
      <c r="H2363" s="8" t="s">
        <v>145</v>
      </c>
      <c r="I2363" s="8" t="s">
        <v>153</v>
      </c>
      <c r="J2363" s="8" t="s">
        <v>10781</v>
      </c>
      <c r="K2363" s="8" t="s">
        <v>114</v>
      </c>
      <c r="L2363" s="8" t="s">
        <v>10782</v>
      </c>
    </row>
    <row r="2364" customFormat="false" ht="23.25" hidden="false" customHeight="true" outlineLevel="0" collapsed="false">
      <c r="A2364" s="8" t="n">
        <v>2104</v>
      </c>
      <c r="B2364" s="8" t="s">
        <v>75</v>
      </c>
      <c r="C2364" s="8" t="s">
        <v>9983</v>
      </c>
      <c r="D2364" s="8" t="s">
        <v>9061</v>
      </c>
      <c r="E2364" s="8" t="s">
        <v>3986</v>
      </c>
      <c r="F2364" s="8" t="s">
        <v>151</v>
      </c>
      <c r="G2364" s="8" t="s">
        <v>572</v>
      </c>
      <c r="H2364" s="8" t="s">
        <v>145</v>
      </c>
      <c r="I2364" s="8" t="s">
        <v>153</v>
      </c>
      <c r="J2364" s="8" t="s">
        <v>10783</v>
      </c>
      <c r="K2364" s="8" t="s">
        <v>114</v>
      </c>
      <c r="L2364" s="8" t="s">
        <v>10784</v>
      </c>
    </row>
    <row r="2365" customFormat="false" ht="34.5" hidden="false" customHeight="true" outlineLevel="0" collapsed="false">
      <c r="A2365" s="8" t="n">
        <v>2105</v>
      </c>
      <c r="B2365" s="8" t="s">
        <v>75</v>
      </c>
      <c r="C2365" s="8" t="s">
        <v>2051</v>
      </c>
      <c r="D2365" s="8" t="s">
        <v>8140</v>
      </c>
      <c r="E2365" s="8" t="s">
        <v>10785</v>
      </c>
      <c r="F2365" s="8" t="s">
        <v>3817</v>
      </c>
      <c r="G2365" s="8" t="s">
        <v>1278</v>
      </c>
      <c r="H2365" s="8" t="s">
        <v>145</v>
      </c>
      <c r="I2365" s="8" t="s">
        <v>153</v>
      </c>
      <c r="J2365" s="8" t="s">
        <v>10786</v>
      </c>
      <c r="K2365" s="8"/>
      <c r="L2365" s="8" t="s">
        <v>10787</v>
      </c>
    </row>
    <row r="2366" customFormat="false" ht="34.5" hidden="false" customHeight="true" outlineLevel="0" collapsed="false">
      <c r="A2366" s="8" t="n">
        <v>2106</v>
      </c>
      <c r="B2366" s="8" t="s">
        <v>75</v>
      </c>
      <c r="C2366" s="8" t="s">
        <v>2051</v>
      </c>
      <c r="D2366" s="8" t="s">
        <v>8140</v>
      </c>
      <c r="E2366" s="8" t="s">
        <v>10788</v>
      </c>
      <c r="F2366" s="8" t="s">
        <v>201</v>
      </c>
      <c r="G2366" s="8" t="s">
        <v>1619</v>
      </c>
      <c r="H2366" s="8" t="s">
        <v>145</v>
      </c>
      <c r="I2366" s="8" t="s">
        <v>153</v>
      </c>
      <c r="J2366" s="8" t="s">
        <v>10789</v>
      </c>
      <c r="K2366" s="8"/>
      <c r="L2366" s="8" t="s">
        <v>10790</v>
      </c>
    </row>
    <row r="2367" customFormat="false" ht="34.5" hidden="false" customHeight="true" outlineLevel="0" collapsed="false">
      <c r="A2367" s="8" t="n">
        <v>2107</v>
      </c>
      <c r="B2367" s="8" t="s">
        <v>75</v>
      </c>
      <c r="C2367" s="8" t="s">
        <v>1476</v>
      </c>
      <c r="D2367" s="8" t="s">
        <v>9061</v>
      </c>
      <c r="E2367" s="8" t="s">
        <v>10791</v>
      </c>
      <c r="F2367" s="8" t="s">
        <v>143</v>
      </c>
      <c r="G2367" s="8" t="s">
        <v>10792</v>
      </c>
      <c r="H2367" s="8" t="s">
        <v>145</v>
      </c>
      <c r="I2367" s="8" t="s">
        <v>153</v>
      </c>
      <c r="J2367" s="8" t="s">
        <v>10793</v>
      </c>
      <c r="K2367" s="8"/>
      <c r="L2367" s="8" t="s">
        <v>10794</v>
      </c>
    </row>
    <row r="2368" customFormat="false" ht="23.25" hidden="false" customHeight="true" outlineLevel="0" collapsed="false">
      <c r="A2368" s="8" t="n">
        <v>2108</v>
      </c>
      <c r="B2368" s="8" t="s">
        <v>75</v>
      </c>
      <c r="C2368" s="8" t="s">
        <v>9210</v>
      </c>
      <c r="D2368" s="8" t="s">
        <v>8140</v>
      </c>
      <c r="E2368" s="8" t="s">
        <v>10795</v>
      </c>
      <c r="F2368" s="8" t="s">
        <v>579</v>
      </c>
      <c r="G2368" s="8" t="s">
        <v>1499</v>
      </c>
      <c r="H2368" s="8" t="s">
        <v>145</v>
      </c>
      <c r="I2368" s="8" t="s">
        <v>153</v>
      </c>
      <c r="J2368" s="8" t="s">
        <v>10796</v>
      </c>
      <c r="K2368" s="8" t="s">
        <v>114</v>
      </c>
      <c r="L2368" s="8" t="s">
        <v>10797</v>
      </c>
    </row>
    <row r="2369" customFormat="false" ht="34.5" hidden="false" customHeight="true" outlineLevel="0" collapsed="false">
      <c r="A2369" s="8" t="n">
        <v>2109</v>
      </c>
      <c r="B2369" s="8" t="s">
        <v>75</v>
      </c>
      <c r="C2369" s="8" t="s">
        <v>1439</v>
      </c>
      <c r="D2369" s="8" t="s">
        <v>9061</v>
      </c>
      <c r="E2369" s="8" t="s">
        <v>10798</v>
      </c>
      <c r="F2369" s="8" t="s">
        <v>143</v>
      </c>
      <c r="G2369" s="8" t="s">
        <v>10799</v>
      </c>
      <c r="H2369" s="8" t="s">
        <v>145</v>
      </c>
      <c r="I2369" s="8" t="s">
        <v>153</v>
      </c>
      <c r="J2369" s="8" t="s">
        <v>10800</v>
      </c>
      <c r="K2369" s="8" t="s">
        <v>110</v>
      </c>
      <c r="L2369" s="8" t="s">
        <v>10801</v>
      </c>
    </row>
    <row r="2370" customFormat="false" ht="34.5" hidden="false" customHeight="true" outlineLevel="0" collapsed="false">
      <c r="A2370" s="8" t="n">
        <v>2110</v>
      </c>
      <c r="B2370" s="8" t="s">
        <v>75</v>
      </c>
      <c r="C2370" s="8" t="s">
        <v>1788</v>
      </c>
      <c r="D2370" s="8" t="s">
        <v>9094</v>
      </c>
      <c r="E2370" s="8" t="s">
        <v>10802</v>
      </c>
      <c r="F2370" s="8" t="s">
        <v>579</v>
      </c>
      <c r="G2370" s="8" t="s">
        <v>10803</v>
      </c>
      <c r="H2370" s="8" t="s">
        <v>145</v>
      </c>
      <c r="I2370" s="8" t="s">
        <v>153</v>
      </c>
      <c r="J2370" s="8" t="s">
        <v>10804</v>
      </c>
      <c r="K2370" s="8" t="s">
        <v>110</v>
      </c>
      <c r="L2370" s="8" t="s">
        <v>10805</v>
      </c>
    </row>
    <row r="2371" customFormat="false" ht="34.5" hidden="false" customHeight="true" outlineLevel="0" collapsed="false">
      <c r="A2371" s="8" t="n">
        <v>2111</v>
      </c>
      <c r="B2371" s="8" t="s">
        <v>75</v>
      </c>
      <c r="C2371" s="8" t="s">
        <v>10806</v>
      </c>
      <c r="D2371" s="8" t="s">
        <v>9094</v>
      </c>
      <c r="E2371" s="8" t="s">
        <v>10807</v>
      </c>
      <c r="F2371" s="8" t="s">
        <v>151</v>
      </c>
      <c r="G2371" s="8" t="s">
        <v>10808</v>
      </c>
      <c r="H2371" s="8" t="s">
        <v>1213</v>
      </c>
      <c r="I2371" s="8" t="s">
        <v>146</v>
      </c>
      <c r="J2371" s="8" t="s">
        <v>10809</v>
      </c>
      <c r="K2371" s="8" t="s">
        <v>112</v>
      </c>
      <c r="L2371" s="8" t="s">
        <v>10810</v>
      </c>
    </row>
    <row r="2372" customFormat="false" ht="23.25" hidden="false" customHeight="true" outlineLevel="0" collapsed="false">
      <c r="A2372" s="8" t="n">
        <v>2112</v>
      </c>
      <c r="B2372" s="8" t="s">
        <v>75</v>
      </c>
      <c r="C2372" s="8" t="s">
        <v>2051</v>
      </c>
      <c r="D2372" s="8" t="s">
        <v>9094</v>
      </c>
      <c r="E2372" s="8" t="s">
        <v>10811</v>
      </c>
      <c r="F2372" s="8" t="s">
        <v>151</v>
      </c>
      <c r="G2372" s="8" t="s">
        <v>10812</v>
      </c>
      <c r="H2372" s="8" t="s">
        <v>145</v>
      </c>
      <c r="I2372" s="8" t="s">
        <v>153</v>
      </c>
      <c r="J2372" s="8" t="s">
        <v>10813</v>
      </c>
      <c r="K2372" s="8" t="s">
        <v>114</v>
      </c>
      <c r="L2372" s="8" t="s">
        <v>10814</v>
      </c>
    </row>
    <row r="2373" customFormat="false" ht="34.5" hidden="false" customHeight="true" outlineLevel="0" collapsed="false">
      <c r="A2373" s="8" t="n">
        <v>2113</v>
      </c>
      <c r="B2373" s="8" t="s">
        <v>75</v>
      </c>
      <c r="C2373" s="8" t="s">
        <v>3177</v>
      </c>
      <c r="D2373" s="8" t="s">
        <v>9061</v>
      </c>
      <c r="E2373" s="8" t="s">
        <v>10815</v>
      </c>
      <c r="F2373" s="8" t="s">
        <v>579</v>
      </c>
      <c r="G2373" s="8" t="s">
        <v>10816</v>
      </c>
      <c r="H2373" s="8" t="s">
        <v>145</v>
      </c>
      <c r="I2373" s="8" t="s">
        <v>387</v>
      </c>
      <c r="J2373" s="8" t="s">
        <v>10817</v>
      </c>
      <c r="K2373" s="8" t="s">
        <v>116</v>
      </c>
      <c r="L2373" s="8" t="s">
        <v>10818</v>
      </c>
    </row>
    <row r="2374" customFormat="false" ht="23.25" hidden="false" customHeight="true" outlineLevel="0" collapsed="false">
      <c r="A2374" s="8" t="n">
        <v>2114</v>
      </c>
      <c r="B2374" s="8" t="s">
        <v>75</v>
      </c>
      <c r="C2374" s="8" t="s">
        <v>10819</v>
      </c>
      <c r="D2374" s="8" t="s">
        <v>8236</v>
      </c>
      <c r="E2374" s="8" t="s">
        <v>10820</v>
      </c>
      <c r="F2374" s="8" t="s">
        <v>143</v>
      </c>
      <c r="G2374" s="8" t="s">
        <v>10821</v>
      </c>
      <c r="H2374" s="8" t="s">
        <v>10822</v>
      </c>
      <c r="I2374" s="8" t="s">
        <v>522</v>
      </c>
      <c r="J2374" s="8" t="s">
        <v>10823</v>
      </c>
      <c r="K2374" s="8"/>
      <c r="L2374" s="8" t="s">
        <v>10824</v>
      </c>
    </row>
    <row r="2375" customFormat="false" ht="23.25" hidden="false" customHeight="true" outlineLevel="0" collapsed="false">
      <c r="A2375" s="8" t="n">
        <v>2115</v>
      </c>
      <c r="B2375" s="8" t="s">
        <v>75</v>
      </c>
      <c r="C2375" s="8" t="s">
        <v>10825</v>
      </c>
      <c r="D2375" s="8" t="s">
        <v>9094</v>
      </c>
      <c r="E2375" s="8" t="s">
        <v>10826</v>
      </c>
      <c r="F2375" s="8" t="s">
        <v>143</v>
      </c>
      <c r="G2375" s="8" t="s">
        <v>10827</v>
      </c>
      <c r="H2375" s="8" t="s">
        <v>145</v>
      </c>
      <c r="I2375" s="8" t="s">
        <v>153</v>
      </c>
      <c r="J2375" s="8" t="s">
        <v>10828</v>
      </c>
      <c r="K2375" s="8"/>
      <c r="L2375" s="8" t="s">
        <v>10829</v>
      </c>
    </row>
    <row r="2376" customFormat="false" ht="34.5" hidden="false" customHeight="true" outlineLevel="0" collapsed="false">
      <c r="A2376" s="8" t="n">
        <v>2116</v>
      </c>
      <c r="B2376" s="8" t="s">
        <v>75</v>
      </c>
      <c r="C2376" s="8" t="s">
        <v>10830</v>
      </c>
      <c r="D2376" s="8" t="s">
        <v>8236</v>
      </c>
      <c r="E2376" s="8" t="s">
        <v>10831</v>
      </c>
      <c r="F2376" s="8" t="s">
        <v>10484</v>
      </c>
      <c r="G2376" s="8" t="s">
        <v>7258</v>
      </c>
      <c r="H2376" s="8" t="s">
        <v>10832</v>
      </c>
      <c r="I2376" s="8" t="s">
        <v>146</v>
      </c>
      <c r="J2376" s="8" t="s">
        <v>10833</v>
      </c>
      <c r="K2376" s="8"/>
      <c r="L2376" s="8" t="s">
        <v>10834</v>
      </c>
    </row>
    <row r="2377" customFormat="false" ht="34.5" hidden="false" customHeight="true" outlineLevel="0" collapsed="false">
      <c r="A2377" s="8" t="n">
        <v>2117</v>
      </c>
      <c r="B2377" s="8" t="s">
        <v>75</v>
      </c>
      <c r="C2377" s="8" t="s">
        <v>10835</v>
      </c>
      <c r="D2377" s="8" t="s">
        <v>9061</v>
      </c>
      <c r="E2377" s="8" t="s">
        <v>10836</v>
      </c>
      <c r="F2377" s="8" t="s">
        <v>143</v>
      </c>
      <c r="G2377" s="8" t="s">
        <v>10837</v>
      </c>
      <c r="H2377" s="8" t="s">
        <v>10838</v>
      </c>
      <c r="I2377" s="8" t="s">
        <v>153</v>
      </c>
      <c r="J2377" s="8" t="s">
        <v>10839</v>
      </c>
      <c r="K2377" s="8" t="s">
        <v>114</v>
      </c>
      <c r="L2377" s="8" t="s">
        <v>10840</v>
      </c>
    </row>
    <row r="2378" customFormat="false" ht="23.25" hidden="false" customHeight="true" outlineLevel="0" collapsed="false">
      <c r="A2378" s="8" t="n">
        <v>2118</v>
      </c>
      <c r="B2378" s="8" t="s">
        <v>75</v>
      </c>
      <c r="C2378" s="8" t="s">
        <v>10841</v>
      </c>
      <c r="D2378" s="8" t="s">
        <v>9061</v>
      </c>
      <c r="E2378" s="8" t="s">
        <v>10842</v>
      </c>
      <c r="F2378" s="8" t="s">
        <v>143</v>
      </c>
      <c r="G2378" s="8" t="s">
        <v>10843</v>
      </c>
      <c r="H2378" s="8" t="s">
        <v>7597</v>
      </c>
      <c r="I2378" s="8" t="s">
        <v>146</v>
      </c>
      <c r="J2378" s="8" t="s">
        <v>10844</v>
      </c>
      <c r="K2378" s="8"/>
      <c r="L2378" s="8" t="s">
        <v>10845</v>
      </c>
    </row>
    <row r="2379" customFormat="false" ht="34.5" hidden="false" customHeight="true" outlineLevel="0" collapsed="false">
      <c r="A2379" s="8" t="n">
        <v>2119</v>
      </c>
      <c r="B2379" s="8" t="s">
        <v>75</v>
      </c>
      <c r="C2379" s="8" t="s">
        <v>10846</v>
      </c>
      <c r="D2379" s="8" t="s">
        <v>9061</v>
      </c>
      <c r="E2379" s="8" t="s">
        <v>10847</v>
      </c>
      <c r="F2379" s="8" t="s">
        <v>143</v>
      </c>
      <c r="G2379" s="8" t="s">
        <v>10848</v>
      </c>
      <c r="H2379" s="8" t="s">
        <v>10838</v>
      </c>
      <c r="I2379" s="8" t="s">
        <v>153</v>
      </c>
      <c r="J2379" s="8" t="s">
        <v>10849</v>
      </c>
      <c r="K2379" s="8" t="s">
        <v>114</v>
      </c>
      <c r="L2379" s="8" t="s">
        <v>10850</v>
      </c>
    </row>
    <row r="2380" customFormat="false" ht="34.5" hidden="false" customHeight="true" outlineLevel="0" collapsed="false">
      <c r="A2380" s="8" t="n">
        <v>2120</v>
      </c>
      <c r="B2380" s="8" t="s">
        <v>75</v>
      </c>
      <c r="C2380" s="8" t="s">
        <v>10851</v>
      </c>
      <c r="D2380" s="8" t="s">
        <v>8298</v>
      </c>
      <c r="E2380" s="8" t="s">
        <v>10852</v>
      </c>
      <c r="F2380" s="8" t="s">
        <v>143</v>
      </c>
      <c r="G2380" s="8" t="s">
        <v>3530</v>
      </c>
      <c r="H2380" s="8" t="s">
        <v>145</v>
      </c>
      <c r="I2380" s="8" t="s">
        <v>153</v>
      </c>
      <c r="J2380" s="8" t="s">
        <v>10853</v>
      </c>
      <c r="K2380" s="8" t="s">
        <v>112</v>
      </c>
      <c r="L2380" s="8" t="s">
        <v>10854</v>
      </c>
    </row>
    <row r="2381" customFormat="false" ht="34.5" hidden="false" customHeight="true" outlineLevel="0" collapsed="false">
      <c r="A2381" s="8" t="n">
        <v>2121</v>
      </c>
      <c r="B2381" s="8" t="s">
        <v>75</v>
      </c>
      <c r="C2381" s="8" t="s">
        <v>1476</v>
      </c>
      <c r="D2381" s="8" t="s">
        <v>9094</v>
      </c>
      <c r="E2381" s="8" t="s">
        <v>10855</v>
      </c>
      <c r="F2381" s="8" t="s">
        <v>10297</v>
      </c>
      <c r="G2381" s="8" t="s">
        <v>10856</v>
      </c>
      <c r="H2381" s="8" t="s">
        <v>145</v>
      </c>
      <c r="I2381" s="8" t="s">
        <v>153</v>
      </c>
      <c r="J2381" s="8" t="s">
        <v>10857</v>
      </c>
      <c r="K2381" s="8" t="s">
        <v>114</v>
      </c>
      <c r="L2381" s="8" t="s">
        <v>10858</v>
      </c>
    </row>
    <row r="2382" customFormat="false" ht="34.5" hidden="false" customHeight="true" outlineLevel="0" collapsed="false">
      <c r="A2382" s="8" t="n">
        <v>2122</v>
      </c>
      <c r="B2382" s="8" t="s">
        <v>75</v>
      </c>
      <c r="C2382" s="8" t="s">
        <v>10859</v>
      </c>
      <c r="D2382" s="8" t="s">
        <v>8172</v>
      </c>
      <c r="E2382" s="8" t="s">
        <v>10860</v>
      </c>
      <c r="F2382" s="8" t="s">
        <v>579</v>
      </c>
      <c r="G2382" s="8" t="s">
        <v>10861</v>
      </c>
      <c r="H2382" s="8" t="s">
        <v>145</v>
      </c>
      <c r="I2382" s="8" t="s">
        <v>153</v>
      </c>
      <c r="J2382" s="8" t="s">
        <v>10862</v>
      </c>
      <c r="K2382" s="8" t="s">
        <v>114</v>
      </c>
      <c r="L2382" s="8" t="s">
        <v>10863</v>
      </c>
    </row>
    <row r="2383" customFormat="false" ht="34.5" hidden="false" customHeight="true" outlineLevel="0" collapsed="false">
      <c r="A2383" s="8" t="n">
        <v>2123</v>
      </c>
      <c r="B2383" s="8" t="s">
        <v>75</v>
      </c>
      <c r="C2383" s="8" t="s">
        <v>10864</v>
      </c>
      <c r="D2383" s="8" t="s">
        <v>8259</v>
      </c>
      <c r="E2383" s="8" t="s">
        <v>4419</v>
      </c>
      <c r="F2383" s="8" t="s">
        <v>151</v>
      </c>
      <c r="G2383" s="8" t="s">
        <v>10865</v>
      </c>
      <c r="H2383" s="8" t="s">
        <v>1373</v>
      </c>
      <c r="I2383" s="8" t="s">
        <v>146</v>
      </c>
      <c r="J2383" s="8" t="s">
        <v>10866</v>
      </c>
      <c r="K2383" s="8" t="s">
        <v>116</v>
      </c>
      <c r="L2383" s="8" t="s">
        <v>10867</v>
      </c>
    </row>
    <row r="2384" customFormat="false" ht="34.5" hidden="false" customHeight="true" outlineLevel="0" collapsed="false">
      <c r="A2384" s="8" t="n">
        <v>2124</v>
      </c>
      <c r="B2384" s="8" t="s">
        <v>75</v>
      </c>
      <c r="C2384" s="8" t="s">
        <v>3243</v>
      </c>
      <c r="D2384" s="8" t="s">
        <v>9094</v>
      </c>
      <c r="E2384" s="8" t="s">
        <v>10868</v>
      </c>
      <c r="F2384" s="8" t="s">
        <v>151</v>
      </c>
      <c r="G2384" s="8" t="s">
        <v>10869</v>
      </c>
      <c r="H2384" s="8" t="s">
        <v>244</v>
      </c>
      <c r="I2384" s="8" t="s">
        <v>387</v>
      </c>
      <c r="J2384" s="8" t="s">
        <v>10870</v>
      </c>
      <c r="K2384" s="8" t="s">
        <v>114</v>
      </c>
      <c r="L2384" s="8" t="s">
        <v>10871</v>
      </c>
    </row>
    <row r="2385" customFormat="false" ht="34.5" hidden="false" customHeight="true" outlineLevel="0" collapsed="false">
      <c r="A2385" s="8" t="n">
        <v>2125</v>
      </c>
      <c r="B2385" s="8" t="s">
        <v>75</v>
      </c>
      <c r="C2385" s="8" t="s">
        <v>10872</v>
      </c>
      <c r="D2385" s="8" t="s">
        <v>9094</v>
      </c>
      <c r="E2385" s="8" t="s">
        <v>10873</v>
      </c>
      <c r="F2385" s="8" t="s">
        <v>201</v>
      </c>
      <c r="G2385" s="8" t="s">
        <v>3973</v>
      </c>
      <c r="H2385" s="8" t="s">
        <v>145</v>
      </c>
      <c r="I2385" s="8" t="s">
        <v>153</v>
      </c>
      <c r="J2385" s="8" t="s">
        <v>3622</v>
      </c>
      <c r="K2385" s="8" t="s">
        <v>114</v>
      </c>
      <c r="L2385" s="8" t="s">
        <v>10874</v>
      </c>
    </row>
    <row r="2386" customFormat="false" ht="34.5" hidden="false" customHeight="true" outlineLevel="0" collapsed="false">
      <c r="A2386" s="8" t="n">
        <v>2126</v>
      </c>
      <c r="B2386" s="8" t="s">
        <v>75</v>
      </c>
      <c r="C2386" s="8" t="s">
        <v>10875</v>
      </c>
      <c r="D2386" s="8" t="s">
        <v>8125</v>
      </c>
      <c r="E2386" s="8" t="s">
        <v>10876</v>
      </c>
      <c r="F2386" s="8" t="s">
        <v>201</v>
      </c>
      <c r="G2386" s="8" t="s">
        <v>572</v>
      </c>
      <c r="H2386" s="8" t="s">
        <v>1138</v>
      </c>
      <c r="I2386" s="8" t="s">
        <v>748</v>
      </c>
      <c r="J2386" s="8" t="s">
        <v>10877</v>
      </c>
      <c r="K2386" s="8" t="s">
        <v>116</v>
      </c>
      <c r="L2386" s="8" t="s">
        <v>10878</v>
      </c>
    </row>
    <row r="2387" customFormat="false" ht="34.5" hidden="false" customHeight="true" outlineLevel="0" collapsed="false">
      <c r="A2387" s="8" t="n">
        <v>2127</v>
      </c>
      <c r="B2387" s="8" t="s">
        <v>75</v>
      </c>
      <c r="C2387" s="8" t="s">
        <v>10879</v>
      </c>
      <c r="D2387" s="8" t="s">
        <v>9061</v>
      </c>
      <c r="E2387" s="8" t="s">
        <v>10880</v>
      </c>
      <c r="F2387" s="8" t="s">
        <v>4040</v>
      </c>
      <c r="G2387" s="8" t="s">
        <v>10881</v>
      </c>
      <c r="H2387" s="8" t="s">
        <v>145</v>
      </c>
      <c r="I2387" s="8" t="s">
        <v>146</v>
      </c>
      <c r="J2387" s="8" t="s">
        <v>10882</v>
      </c>
      <c r="K2387" s="8"/>
      <c r="L2387" s="8" t="s">
        <v>10883</v>
      </c>
    </row>
    <row r="2388" customFormat="false" ht="34.5" hidden="false" customHeight="true" outlineLevel="0" collapsed="false">
      <c r="A2388" s="8" t="n">
        <v>2128</v>
      </c>
      <c r="B2388" s="8" t="s">
        <v>75</v>
      </c>
      <c r="C2388" s="8" t="s">
        <v>2633</v>
      </c>
      <c r="D2388" s="8" t="s">
        <v>9094</v>
      </c>
      <c r="E2388" s="8" t="s">
        <v>10884</v>
      </c>
      <c r="F2388" s="8" t="s">
        <v>143</v>
      </c>
      <c r="G2388" s="8" t="s">
        <v>10885</v>
      </c>
      <c r="H2388" s="8" t="s">
        <v>10886</v>
      </c>
      <c r="I2388" s="8" t="s">
        <v>146</v>
      </c>
      <c r="J2388" s="8" t="s">
        <v>10887</v>
      </c>
      <c r="K2388" s="8" t="s">
        <v>116</v>
      </c>
      <c r="L2388" s="8" t="s">
        <v>10888</v>
      </c>
    </row>
    <row r="2389" customFormat="false" ht="34.5" hidden="false" customHeight="true" outlineLevel="0" collapsed="false">
      <c r="A2389" s="8" t="n">
        <v>2129</v>
      </c>
      <c r="B2389" s="8" t="s">
        <v>75</v>
      </c>
      <c r="C2389" s="8" t="s">
        <v>10889</v>
      </c>
      <c r="D2389" s="8" t="s">
        <v>9061</v>
      </c>
      <c r="E2389" s="8" t="s">
        <v>10890</v>
      </c>
      <c r="F2389" s="8" t="s">
        <v>201</v>
      </c>
      <c r="G2389" s="8" t="s">
        <v>10445</v>
      </c>
      <c r="H2389" s="8" t="s">
        <v>145</v>
      </c>
      <c r="I2389" s="8" t="s">
        <v>146</v>
      </c>
      <c r="J2389" s="8" t="s">
        <v>10891</v>
      </c>
      <c r="K2389" s="8"/>
      <c r="L2389" s="8" t="s">
        <v>10892</v>
      </c>
    </row>
    <row r="2390" customFormat="false" ht="23.25" hidden="false" customHeight="true" outlineLevel="0" collapsed="false">
      <c r="A2390" s="8" t="n">
        <v>2130</v>
      </c>
      <c r="B2390" s="8" t="s">
        <v>75</v>
      </c>
      <c r="C2390" s="8" t="s">
        <v>10893</v>
      </c>
      <c r="D2390" s="8" t="s">
        <v>9061</v>
      </c>
      <c r="E2390" s="8" t="s">
        <v>10894</v>
      </c>
      <c r="F2390" s="8" t="s">
        <v>143</v>
      </c>
      <c r="G2390" s="8" t="s">
        <v>10895</v>
      </c>
      <c r="H2390" s="8" t="s">
        <v>145</v>
      </c>
      <c r="I2390" s="8" t="s">
        <v>146</v>
      </c>
      <c r="J2390" s="8" t="s">
        <v>617</v>
      </c>
      <c r="K2390" s="8"/>
      <c r="L2390" s="8" t="s">
        <v>10896</v>
      </c>
    </row>
    <row r="2391" customFormat="false" ht="34.5" hidden="false" customHeight="true" outlineLevel="0" collapsed="false">
      <c r="A2391" s="8" t="n">
        <v>2131</v>
      </c>
      <c r="B2391" s="8" t="s">
        <v>75</v>
      </c>
      <c r="C2391" s="8" t="s">
        <v>10897</v>
      </c>
      <c r="D2391" s="8" t="s">
        <v>9094</v>
      </c>
      <c r="E2391" s="8" t="s">
        <v>10898</v>
      </c>
      <c r="F2391" s="8" t="s">
        <v>587</v>
      </c>
      <c r="G2391" s="8" t="s">
        <v>10899</v>
      </c>
      <c r="H2391" s="8" t="s">
        <v>145</v>
      </c>
      <c r="I2391" s="8" t="s">
        <v>387</v>
      </c>
      <c r="J2391" s="8" t="s">
        <v>1174</v>
      </c>
      <c r="K2391" s="8"/>
      <c r="L2391" s="8" t="s">
        <v>10900</v>
      </c>
    </row>
    <row r="2392" customFormat="false" ht="34.5" hidden="false" customHeight="true" outlineLevel="0" collapsed="false">
      <c r="A2392" s="8" t="n">
        <v>2132</v>
      </c>
      <c r="B2392" s="8" t="s">
        <v>75</v>
      </c>
      <c r="C2392" s="8" t="s">
        <v>10864</v>
      </c>
      <c r="D2392" s="8" t="s">
        <v>9061</v>
      </c>
      <c r="E2392" s="8" t="s">
        <v>10901</v>
      </c>
      <c r="F2392" s="8" t="s">
        <v>151</v>
      </c>
      <c r="G2392" s="8" t="s">
        <v>10902</v>
      </c>
      <c r="H2392" s="8" t="s">
        <v>145</v>
      </c>
      <c r="I2392" s="8" t="s">
        <v>146</v>
      </c>
      <c r="J2392" s="8" t="s">
        <v>10903</v>
      </c>
      <c r="K2392" s="8"/>
      <c r="L2392" s="8" t="s">
        <v>10904</v>
      </c>
    </row>
    <row r="2393" customFormat="false" ht="34.5" hidden="false" customHeight="true" outlineLevel="0" collapsed="false">
      <c r="A2393" s="8" t="n">
        <v>2133</v>
      </c>
      <c r="B2393" s="8" t="s">
        <v>75</v>
      </c>
      <c r="C2393" s="8" t="s">
        <v>10864</v>
      </c>
      <c r="D2393" s="8" t="s">
        <v>8172</v>
      </c>
      <c r="E2393" s="8" t="s">
        <v>10905</v>
      </c>
      <c r="F2393" s="8" t="s">
        <v>3817</v>
      </c>
      <c r="G2393" s="8" t="s">
        <v>10906</v>
      </c>
      <c r="H2393" s="8" t="s">
        <v>145</v>
      </c>
      <c r="I2393" s="8" t="s">
        <v>146</v>
      </c>
      <c r="J2393" s="8" t="s">
        <v>10907</v>
      </c>
      <c r="K2393" s="8"/>
      <c r="L2393" s="8" t="s">
        <v>10908</v>
      </c>
    </row>
    <row r="2394" customFormat="false" ht="34.5" hidden="false" customHeight="true" outlineLevel="0" collapsed="false">
      <c r="A2394" s="8" t="n">
        <v>2134</v>
      </c>
      <c r="B2394" s="8" t="s">
        <v>75</v>
      </c>
      <c r="C2394" s="8" t="s">
        <v>10909</v>
      </c>
      <c r="D2394" s="8" t="s">
        <v>8125</v>
      </c>
      <c r="E2394" s="8" t="s">
        <v>10910</v>
      </c>
      <c r="F2394" s="8" t="s">
        <v>151</v>
      </c>
      <c r="G2394" s="8" t="s">
        <v>3359</v>
      </c>
      <c r="H2394" s="8" t="s">
        <v>145</v>
      </c>
      <c r="I2394" s="8" t="s">
        <v>146</v>
      </c>
      <c r="J2394" s="8" t="s">
        <v>10911</v>
      </c>
      <c r="K2394" s="8"/>
      <c r="L2394" s="8" t="s">
        <v>10912</v>
      </c>
    </row>
    <row r="2395" customFormat="false" ht="23.25" hidden="false" customHeight="true" outlineLevel="0" collapsed="false">
      <c r="A2395" s="8" t="n">
        <v>2135</v>
      </c>
      <c r="B2395" s="8" t="s">
        <v>75</v>
      </c>
      <c r="C2395" s="8" t="s">
        <v>10913</v>
      </c>
      <c r="D2395" s="8" t="s">
        <v>9061</v>
      </c>
      <c r="E2395" s="8" t="s">
        <v>10914</v>
      </c>
      <c r="F2395" s="8" t="s">
        <v>10484</v>
      </c>
      <c r="G2395" s="8" t="s">
        <v>10915</v>
      </c>
      <c r="H2395" s="8" t="s">
        <v>10916</v>
      </c>
      <c r="I2395" s="8" t="s">
        <v>146</v>
      </c>
      <c r="J2395" s="8" t="s">
        <v>10917</v>
      </c>
      <c r="K2395" s="8"/>
      <c r="L2395" s="8" t="s">
        <v>10918</v>
      </c>
    </row>
    <row r="2396" customFormat="false" ht="34.5" hidden="false" customHeight="true" outlineLevel="0" collapsed="false">
      <c r="A2396" s="8" t="n">
        <v>2136</v>
      </c>
      <c r="B2396" s="8" t="s">
        <v>75</v>
      </c>
      <c r="C2396" s="8" t="s">
        <v>10919</v>
      </c>
      <c r="D2396" s="8" t="s">
        <v>9061</v>
      </c>
      <c r="E2396" s="8" t="s">
        <v>10920</v>
      </c>
      <c r="F2396" s="8" t="s">
        <v>201</v>
      </c>
      <c r="G2396" s="8" t="s">
        <v>10921</v>
      </c>
      <c r="H2396" s="8" t="s">
        <v>10922</v>
      </c>
      <c r="I2396" s="8" t="s">
        <v>146</v>
      </c>
      <c r="J2396" s="8" t="s">
        <v>10923</v>
      </c>
      <c r="K2396" s="8" t="s">
        <v>114</v>
      </c>
      <c r="L2396" s="8" t="s">
        <v>10924</v>
      </c>
    </row>
    <row r="2397" customFormat="false" ht="34.5" hidden="false" customHeight="true" outlineLevel="0" collapsed="false">
      <c r="A2397" s="8" t="n">
        <v>2137</v>
      </c>
      <c r="B2397" s="8" t="s">
        <v>75</v>
      </c>
      <c r="C2397" s="8" t="s">
        <v>10925</v>
      </c>
      <c r="D2397" s="8" t="s">
        <v>8298</v>
      </c>
      <c r="E2397" s="8" t="s">
        <v>10926</v>
      </c>
      <c r="F2397" s="8" t="s">
        <v>9198</v>
      </c>
      <c r="G2397" s="8" t="s">
        <v>4852</v>
      </c>
      <c r="H2397" s="8" t="s">
        <v>512</v>
      </c>
      <c r="I2397" s="8" t="s">
        <v>146</v>
      </c>
      <c r="J2397" s="8" t="s">
        <v>10927</v>
      </c>
      <c r="K2397" s="8" t="s">
        <v>116</v>
      </c>
      <c r="L2397" s="8" t="s">
        <v>10928</v>
      </c>
    </row>
    <row r="2398" customFormat="false" ht="34.5" hidden="false" customHeight="true" outlineLevel="0" collapsed="false">
      <c r="A2398" s="8" t="n">
        <v>2138</v>
      </c>
      <c r="B2398" s="8" t="s">
        <v>75</v>
      </c>
      <c r="C2398" s="8" t="s">
        <v>10929</v>
      </c>
      <c r="D2398" s="8" t="s">
        <v>9061</v>
      </c>
      <c r="E2398" s="8" t="s">
        <v>10930</v>
      </c>
      <c r="F2398" s="8" t="s">
        <v>201</v>
      </c>
      <c r="G2398" s="8" t="s">
        <v>10931</v>
      </c>
      <c r="H2398" s="8" t="s">
        <v>10932</v>
      </c>
      <c r="I2398" s="8" t="s">
        <v>146</v>
      </c>
      <c r="J2398" s="8" t="s">
        <v>10933</v>
      </c>
      <c r="K2398" s="8" t="s">
        <v>116</v>
      </c>
      <c r="L2398" s="8" t="s">
        <v>10934</v>
      </c>
    </row>
    <row r="2399" customFormat="false" ht="34.5" hidden="false" customHeight="true" outlineLevel="0" collapsed="false">
      <c r="A2399" s="8" t="n">
        <v>2139</v>
      </c>
      <c r="B2399" s="8" t="s">
        <v>75</v>
      </c>
      <c r="C2399" s="8" t="s">
        <v>10935</v>
      </c>
      <c r="D2399" s="8" t="s">
        <v>8140</v>
      </c>
      <c r="E2399" s="8" t="s">
        <v>10936</v>
      </c>
      <c r="F2399" s="8" t="s">
        <v>4040</v>
      </c>
      <c r="G2399" s="8" t="s">
        <v>10937</v>
      </c>
      <c r="H2399" s="8" t="s">
        <v>2248</v>
      </c>
      <c r="I2399" s="8" t="s">
        <v>146</v>
      </c>
      <c r="J2399" s="8" t="s">
        <v>10938</v>
      </c>
      <c r="K2399" s="8"/>
      <c r="L2399" s="8" t="s">
        <v>10939</v>
      </c>
    </row>
    <row r="2400" customFormat="false" ht="34.5" hidden="false" customHeight="true" outlineLevel="0" collapsed="false">
      <c r="A2400" s="8" t="n">
        <v>2140</v>
      </c>
      <c r="B2400" s="8" t="s">
        <v>75</v>
      </c>
      <c r="C2400" s="8" t="s">
        <v>10940</v>
      </c>
      <c r="D2400" s="8" t="s">
        <v>8172</v>
      </c>
      <c r="E2400" s="8" t="s">
        <v>10941</v>
      </c>
      <c r="F2400" s="8" t="s">
        <v>3817</v>
      </c>
      <c r="G2400" s="8" t="s">
        <v>10942</v>
      </c>
      <c r="H2400" s="8" t="s">
        <v>145</v>
      </c>
      <c r="I2400" s="8" t="s">
        <v>146</v>
      </c>
      <c r="J2400" s="8" t="s">
        <v>10943</v>
      </c>
      <c r="K2400" s="8" t="s">
        <v>116</v>
      </c>
      <c r="L2400" s="8" t="s">
        <v>10944</v>
      </c>
    </row>
    <row r="2401" customFormat="false" ht="34.5" hidden="false" customHeight="true" outlineLevel="0" collapsed="false">
      <c r="A2401" s="8" t="n">
        <v>2141</v>
      </c>
      <c r="B2401" s="8" t="s">
        <v>75</v>
      </c>
      <c r="C2401" s="8" t="s">
        <v>10945</v>
      </c>
      <c r="D2401" s="8" t="s">
        <v>9061</v>
      </c>
      <c r="E2401" s="8" t="s">
        <v>10946</v>
      </c>
      <c r="F2401" s="8" t="s">
        <v>143</v>
      </c>
      <c r="G2401" s="8" t="s">
        <v>10947</v>
      </c>
      <c r="H2401" s="8" t="s">
        <v>678</v>
      </c>
      <c r="I2401" s="8" t="s">
        <v>146</v>
      </c>
      <c r="J2401" s="8" t="s">
        <v>10948</v>
      </c>
      <c r="K2401" s="8" t="s">
        <v>114</v>
      </c>
      <c r="L2401" s="8" t="s">
        <v>10949</v>
      </c>
    </row>
    <row r="2402" customFormat="false" ht="34.5" hidden="false" customHeight="true" outlineLevel="0" collapsed="false">
      <c r="A2402" s="8" t="n">
        <v>2142</v>
      </c>
      <c r="B2402" s="8" t="s">
        <v>75</v>
      </c>
      <c r="C2402" s="8" t="s">
        <v>10950</v>
      </c>
      <c r="D2402" s="8" t="s">
        <v>8240</v>
      </c>
      <c r="E2402" s="8" t="s">
        <v>10951</v>
      </c>
      <c r="F2402" s="8" t="s">
        <v>3817</v>
      </c>
      <c r="G2402" s="8" t="s">
        <v>152</v>
      </c>
      <c r="H2402" s="8" t="s">
        <v>10952</v>
      </c>
      <c r="I2402" s="8" t="s">
        <v>146</v>
      </c>
      <c r="J2402" s="8" t="s">
        <v>10953</v>
      </c>
      <c r="K2402" s="8"/>
      <c r="L2402" s="8" t="s">
        <v>10954</v>
      </c>
    </row>
    <row r="2403" customFormat="false" ht="34.5" hidden="false" customHeight="true" outlineLevel="0" collapsed="false">
      <c r="A2403" s="8" t="n">
        <v>2143</v>
      </c>
      <c r="B2403" s="8" t="s">
        <v>75</v>
      </c>
      <c r="C2403" s="8" t="s">
        <v>10955</v>
      </c>
      <c r="D2403" s="8" t="s">
        <v>9094</v>
      </c>
      <c r="E2403" s="8" t="s">
        <v>10956</v>
      </c>
      <c r="F2403" s="8" t="s">
        <v>201</v>
      </c>
      <c r="G2403" s="8" t="s">
        <v>10957</v>
      </c>
      <c r="H2403" s="8" t="s">
        <v>145</v>
      </c>
      <c r="I2403" s="8" t="s">
        <v>146</v>
      </c>
      <c r="J2403" s="8" t="s">
        <v>10958</v>
      </c>
      <c r="K2403" s="8" t="s">
        <v>114</v>
      </c>
      <c r="L2403" s="8" t="s">
        <v>10959</v>
      </c>
    </row>
    <row r="2404" customFormat="false" ht="34.5" hidden="false" customHeight="true" outlineLevel="0" collapsed="false">
      <c r="A2404" s="8" t="n">
        <v>2144</v>
      </c>
      <c r="B2404" s="8" t="s">
        <v>75</v>
      </c>
      <c r="C2404" s="8" t="s">
        <v>10960</v>
      </c>
      <c r="D2404" s="8" t="s">
        <v>8134</v>
      </c>
      <c r="E2404" s="8" t="s">
        <v>10961</v>
      </c>
      <c r="F2404" s="8" t="s">
        <v>151</v>
      </c>
      <c r="G2404" s="8" t="s">
        <v>626</v>
      </c>
      <c r="H2404" s="8" t="s">
        <v>3279</v>
      </c>
      <c r="I2404" s="8" t="s">
        <v>146</v>
      </c>
      <c r="J2404" s="8" t="s">
        <v>10962</v>
      </c>
      <c r="K2404" s="8" t="s">
        <v>114</v>
      </c>
      <c r="L2404" s="8" t="s">
        <v>10963</v>
      </c>
    </row>
    <row r="2405" customFormat="false" ht="34.5" hidden="false" customHeight="true" outlineLevel="0" collapsed="false">
      <c r="A2405" s="8" t="n">
        <v>2145</v>
      </c>
      <c r="B2405" s="8" t="s">
        <v>75</v>
      </c>
      <c r="C2405" s="8" t="s">
        <v>10964</v>
      </c>
      <c r="D2405" s="8" t="s">
        <v>8172</v>
      </c>
      <c r="E2405" s="8" t="s">
        <v>10965</v>
      </c>
      <c r="F2405" s="8" t="s">
        <v>151</v>
      </c>
      <c r="G2405" s="8" t="s">
        <v>7634</v>
      </c>
      <c r="H2405" s="8" t="s">
        <v>145</v>
      </c>
      <c r="I2405" s="8" t="s">
        <v>387</v>
      </c>
      <c r="J2405" s="8" t="s">
        <v>10966</v>
      </c>
      <c r="K2405" s="8"/>
      <c r="L2405" s="8" t="s">
        <v>10967</v>
      </c>
    </row>
    <row r="2406" customFormat="false" ht="34.5" hidden="false" customHeight="true" outlineLevel="0" collapsed="false">
      <c r="A2406" s="8" t="n">
        <v>2146</v>
      </c>
      <c r="B2406" s="8" t="s">
        <v>75</v>
      </c>
      <c r="C2406" s="8" t="s">
        <v>10968</v>
      </c>
      <c r="D2406" s="8" t="s">
        <v>8140</v>
      </c>
      <c r="E2406" s="8" t="s">
        <v>10969</v>
      </c>
      <c r="F2406" s="8" t="s">
        <v>143</v>
      </c>
      <c r="G2406" s="8" t="s">
        <v>10970</v>
      </c>
      <c r="H2406" s="8" t="s">
        <v>4711</v>
      </c>
      <c r="I2406" s="8" t="s">
        <v>146</v>
      </c>
      <c r="J2406" s="8" t="s">
        <v>10971</v>
      </c>
      <c r="K2406" s="8"/>
      <c r="L2406" s="8" t="s">
        <v>10972</v>
      </c>
    </row>
    <row r="2407" customFormat="false" ht="34.5" hidden="false" customHeight="true" outlineLevel="0" collapsed="false">
      <c r="A2407" s="8" t="n">
        <v>2147</v>
      </c>
      <c r="B2407" s="8" t="s">
        <v>75</v>
      </c>
      <c r="C2407" s="8" t="s">
        <v>10973</v>
      </c>
      <c r="D2407" s="8" t="s">
        <v>9061</v>
      </c>
      <c r="E2407" s="8" t="s">
        <v>10974</v>
      </c>
      <c r="F2407" s="8" t="s">
        <v>201</v>
      </c>
      <c r="G2407" s="8" t="s">
        <v>4650</v>
      </c>
      <c r="H2407" s="8" t="s">
        <v>10975</v>
      </c>
      <c r="I2407" s="8" t="s">
        <v>146</v>
      </c>
      <c r="J2407" s="8" t="s">
        <v>10976</v>
      </c>
      <c r="K2407" s="8" t="s">
        <v>116</v>
      </c>
      <c r="L2407" s="8" t="s">
        <v>10977</v>
      </c>
    </row>
    <row r="2408" customFormat="false" ht="34.5" hidden="false" customHeight="true" outlineLevel="0" collapsed="false">
      <c r="A2408" s="8" t="n">
        <v>2148</v>
      </c>
      <c r="B2408" s="8" t="s">
        <v>75</v>
      </c>
      <c r="C2408" s="8" t="s">
        <v>10978</v>
      </c>
      <c r="D2408" s="8" t="s">
        <v>9094</v>
      </c>
      <c r="E2408" s="8" t="s">
        <v>10979</v>
      </c>
      <c r="F2408" s="8" t="s">
        <v>151</v>
      </c>
      <c r="G2408" s="8" t="s">
        <v>4650</v>
      </c>
      <c r="H2408" s="8" t="s">
        <v>145</v>
      </c>
      <c r="I2408" s="8" t="s">
        <v>146</v>
      </c>
      <c r="J2408" s="8" t="s">
        <v>10980</v>
      </c>
      <c r="K2408" s="8" t="s">
        <v>116</v>
      </c>
      <c r="L2408" s="8" t="s">
        <v>10981</v>
      </c>
    </row>
    <row r="2409" customFormat="false" ht="34.5" hidden="false" customHeight="true" outlineLevel="0" collapsed="false">
      <c r="A2409" s="8" t="n">
        <v>2149</v>
      </c>
      <c r="B2409" s="8" t="s">
        <v>75</v>
      </c>
      <c r="C2409" s="8" t="s">
        <v>10982</v>
      </c>
      <c r="D2409" s="8" t="s">
        <v>8259</v>
      </c>
      <c r="E2409" s="8" t="s">
        <v>10983</v>
      </c>
      <c r="F2409" s="8" t="s">
        <v>579</v>
      </c>
      <c r="G2409" s="8" t="s">
        <v>677</v>
      </c>
      <c r="H2409" s="8" t="s">
        <v>4711</v>
      </c>
      <c r="I2409" s="8" t="s">
        <v>146</v>
      </c>
      <c r="J2409" s="8" t="s">
        <v>10984</v>
      </c>
      <c r="K2409" s="8" t="s">
        <v>116</v>
      </c>
      <c r="L2409" s="8" t="s">
        <v>10985</v>
      </c>
    </row>
    <row r="2410" customFormat="false" ht="34.5" hidden="false" customHeight="true" outlineLevel="0" collapsed="false">
      <c r="A2410" s="8" t="n">
        <v>2150</v>
      </c>
      <c r="B2410" s="8" t="s">
        <v>75</v>
      </c>
      <c r="C2410" s="8" t="s">
        <v>10986</v>
      </c>
      <c r="D2410" s="8" t="s">
        <v>8182</v>
      </c>
      <c r="E2410" s="8" t="s">
        <v>10987</v>
      </c>
      <c r="F2410" s="8" t="s">
        <v>151</v>
      </c>
      <c r="G2410" s="8" t="s">
        <v>4650</v>
      </c>
      <c r="H2410" s="8" t="s">
        <v>10988</v>
      </c>
      <c r="I2410" s="8" t="s">
        <v>146</v>
      </c>
      <c r="J2410" s="8" t="s">
        <v>10989</v>
      </c>
      <c r="K2410" s="8"/>
      <c r="L2410" s="8" t="s">
        <v>10990</v>
      </c>
    </row>
    <row r="2411" customFormat="false" ht="34.5" hidden="false" customHeight="true" outlineLevel="0" collapsed="false">
      <c r="A2411" s="8" t="n">
        <v>2151</v>
      </c>
      <c r="B2411" s="8" t="s">
        <v>75</v>
      </c>
      <c r="C2411" s="8" t="s">
        <v>10991</v>
      </c>
      <c r="D2411" s="8" t="s">
        <v>8172</v>
      </c>
      <c r="E2411" s="8" t="s">
        <v>10992</v>
      </c>
      <c r="F2411" s="8" t="s">
        <v>151</v>
      </c>
      <c r="G2411" s="8" t="s">
        <v>8767</v>
      </c>
      <c r="H2411" s="8" t="s">
        <v>10993</v>
      </c>
      <c r="I2411" s="8" t="s">
        <v>146</v>
      </c>
      <c r="J2411" s="8" t="s">
        <v>10994</v>
      </c>
      <c r="K2411" s="8"/>
      <c r="L2411" s="8" t="s">
        <v>10995</v>
      </c>
    </row>
    <row r="2412" customFormat="false" ht="34.5" hidden="false" customHeight="true" outlineLevel="0" collapsed="false">
      <c r="A2412" s="8" t="n">
        <v>2152</v>
      </c>
      <c r="B2412" s="8" t="s">
        <v>75</v>
      </c>
      <c r="C2412" s="8" t="s">
        <v>10996</v>
      </c>
      <c r="D2412" s="8" t="s">
        <v>9061</v>
      </c>
      <c r="E2412" s="8" t="s">
        <v>10997</v>
      </c>
      <c r="F2412" s="8" t="s">
        <v>151</v>
      </c>
      <c r="G2412" s="8" t="s">
        <v>10998</v>
      </c>
      <c r="H2412" s="8" t="s">
        <v>10999</v>
      </c>
      <c r="I2412" s="8" t="s">
        <v>146</v>
      </c>
      <c r="J2412" s="8" t="s">
        <v>11000</v>
      </c>
      <c r="K2412" s="8"/>
      <c r="L2412" s="8" t="s">
        <v>11001</v>
      </c>
    </row>
    <row r="2413" customFormat="false" ht="23.25" hidden="false" customHeight="true" outlineLevel="0" collapsed="false">
      <c r="A2413" s="8" t="n">
        <v>2153</v>
      </c>
      <c r="B2413" s="8" t="s">
        <v>75</v>
      </c>
      <c r="C2413" s="8" t="s">
        <v>11002</v>
      </c>
      <c r="D2413" s="8" t="s">
        <v>8134</v>
      </c>
      <c r="E2413" s="8" t="s">
        <v>11003</v>
      </c>
      <c r="F2413" s="8" t="s">
        <v>151</v>
      </c>
      <c r="G2413" s="8" t="s">
        <v>4650</v>
      </c>
      <c r="H2413" s="8" t="s">
        <v>11004</v>
      </c>
      <c r="I2413" s="8" t="s">
        <v>146</v>
      </c>
      <c r="J2413" s="8" t="s">
        <v>11005</v>
      </c>
      <c r="K2413" s="8" t="s">
        <v>116</v>
      </c>
      <c r="L2413" s="8" t="s">
        <v>11006</v>
      </c>
    </row>
    <row r="2414" customFormat="false" ht="34.5" hidden="false" customHeight="true" outlineLevel="0" collapsed="false">
      <c r="A2414" s="8" t="n">
        <v>2154</v>
      </c>
      <c r="B2414" s="8" t="s">
        <v>75</v>
      </c>
      <c r="C2414" s="8" t="s">
        <v>11007</v>
      </c>
      <c r="D2414" s="8" t="s">
        <v>8134</v>
      </c>
      <c r="E2414" s="8" t="s">
        <v>11008</v>
      </c>
      <c r="F2414" s="8" t="s">
        <v>151</v>
      </c>
      <c r="G2414" s="8" t="s">
        <v>8767</v>
      </c>
      <c r="H2414" s="8" t="s">
        <v>11009</v>
      </c>
      <c r="I2414" s="8" t="s">
        <v>146</v>
      </c>
      <c r="J2414" s="8" t="s">
        <v>11010</v>
      </c>
      <c r="K2414" s="8"/>
      <c r="L2414" s="8" t="s">
        <v>11011</v>
      </c>
    </row>
    <row r="2415" customFormat="false" ht="34.5" hidden="false" customHeight="true" outlineLevel="0" collapsed="false">
      <c r="A2415" s="8" t="n">
        <v>2155</v>
      </c>
      <c r="B2415" s="8" t="s">
        <v>75</v>
      </c>
      <c r="C2415" s="8" t="s">
        <v>11012</v>
      </c>
      <c r="D2415" s="8" t="s">
        <v>9061</v>
      </c>
      <c r="E2415" s="8" t="s">
        <v>11013</v>
      </c>
      <c r="F2415" s="8" t="s">
        <v>11014</v>
      </c>
      <c r="G2415" s="8" t="s">
        <v>11015</v>
      </c>
      <c r="H2415" s="8" t="s">
        <v>11016</v>
      </c>
      <c r="I2415" s="8" t="s">
        <v>146</v>
      </c>
      <c r="J2415" s="8" t="s">
        <v>11017</v>
      </c>
      <c r="K2415" s="8" t="s">
        <v>116</v>
      </c>
      <c r="L2415" s="8" t="s">
        <v>11018</v>
      </c>
    </row>
    <row r="2416" customFormat="false" ht="34.5" hidden="false" customHeight="true" outlineLevel="0" collapsed="false">
      <c r="A2416" s="8" t="n">
        <v>2156</v>
      </c>
      <c r="B2416" s="8" t="s">
        <v>75</v>
      </c>
      <c r="C2416" s="8" t="s">
        <v>11019</v>
      </c>
      <c r="D2416" s="8" t="s">
        <v>9061</v>
      </c>
      <c r="E2416" s="8" t="s">
        <v>11020</v>
      </c>
      <c r="F2416" s="8" t="s">
        <v>151</v>
      </c>
      <c r="G2416" s="8" t="s">
        <v>11021</v>
      </c>
      <c r="H2416" s="8" t="s">
        <v>11022</v>
      </c>
      <c r="I2416" s="8" t="s">
        <v>146</v>
      </c>
      <c r="J2416" s="8" t="s">
        <v>11023</v>
      </c>
      <c r="K2416" s="8"/>
      <c r="L2416" s="8" t="s">
        <v>11024</v>
      </c>
    </row>
    <row r="2417" customFormat="false" ht="34.5" hidden="false" customHeight="true" outlineLevel="0" collapsed="false">
      <c r="A2417" s="8" t="n">
        <v>2157</v>
      </c>
      <c r="B2417" s="8" t="s">
        <v>75</v>
      </c>
      <c r="C2417" s="8" t="s">
        <v>11025</v>
      </c>
      <c r="D2417" s="8" t="s">
        <v>8134</v>
      </c>
      <c r="E2417" s="8" t="s">
        <v>11026</v>
      </c>
      <c r="F2417" s="8" t="s">
        <v>151</v>
      </c>
      <c r="G2417" s="8" t="s">
        <v>8767</v>
      </c>
      <c r="H2417" s="8" t="s">
        <v>4711</v>
      </c>
      <c r="I2417" s="8" t="s">
        <v>146</v>
      </c>
      <c r="J2417" s="8" t="s">
        <v>11027</v>
      </c>
      <c r="K2417" s="8"/>
      <c r="L2417" s="8" t="s">
        <v>11028</v>
      </c>
    </row>
    <row r="2418" customFormat="false" ht="34.5" hidden="false" customHeight="true" outlineLevel="0" collapsed="false">
      <c r="A2418" s="8" t="n">
        <v>2158</v>
      </c>
      <c r="B2418" s="8" t="s">
        <v>75</v>
      </c>
      <c r="C2418" s="8" t="s">
        <v>11029</v>
      </c>
      <c r="D2418" s="8" t="s">
        <v>9061</v>
      </c>
      <c r="E2418" s="8" t="s">
        <v>11030</v>
      </c>
      <c r="F2418" s="8" t="s">
        <v>143</v>
      </c>
      <c r="G2418" s="8" t="s">
        <v>4650</v>
      </c>
      <c r="H2418" s="8" t="s">
        <v>145</v>
      </c>
      <c r="I2418" s="8" t="s">
        <v>146</v>
      </c>
      <c r="J2418" s="8" t="s">
        <v>11031</v>
      </c>
      <c r="K2418" s="8"/>
      <c r="L2418" s="8" t="s">
        <v>11032</v>
      </c>
    </row>
    <row r="2419" customFormat="false" ht="34.5" hidden="false" customHeight="true" outlineLevel="0" collapsed="false">
      <c r="A2419" s="8" t="n">
        <v>2159</v>
      </c>
      <c r="B2419" s="8" t="s">
        <v>75</v>
      </c>
      <c r="C2419" s="8" t="s">
        <v>11033</v>
      </c>
      <c r="D2419" s="8" t="s">
        <v>9061</v>
      </c>
      <c r="E2419" s="8" t="s">
        <v>11034</v>
      </c>
      <c r="F2419" s="8" t="s">
        <v>151</v>
      </c>
      <c r="G2419" s="8" t="s">
        <v>11035</v>
      </c>
      <c r="H2419" s="8" t="s">
        <v>11036</v>
      </c>
      <c r="I2419" s="8" t="s">
        <v>146</v>
      </c>
      <c r="J2419" s="8" t="s">
        <v>11037</v>
      </c>
      <c r="K2419" s="8"/>
      <c r="L2419" s="8" t="s">
        <v>11038</v>
      </c>
    </row>
    <row r="2420" customFormat="false" ht="34.5" hidden="false" customHeight="true" outlineLevel="0" collapsed="false">
      <c r="A2420" s="8" t="n">
        <v>2160</v>
      </c>
      <c r="B2420" s="8" t="s">
        <v>75</v>
      </c>
      <c r="C2420" s="8" t="s">
        <v>11039</v>
      </c>
      <c r="D2420" s="8" t="s">
        <v>8134</v>
      </c>
      <c r="E2420" s="8" t="s">
        <v>11040</v>
      </c>
      <c r="F2420" s="8" t="s">
        <v>579</v>
      </c>
      <c r="G2420" s="8" t="s">
        <v>4650</v>
      </c>
      <c r="H2420" s="8" t="s">
        <v>145</v>
      </c>
      <c r="I2420" s="8" t="s">
        <v>146</v>
      </c>
      <c r="J2420" s="8" t="s">
        <v>11041</v>
      </c>
      <c r="K2420" s="8" t="s">
        <v>116</v>
      </c>
      <c r="L2420" s="8" t="s">
        <v>11042</v>
      </c>
    </row>
    <row r="2421" customFormat="false" ht="23.25" hidden="false" customHeight="true" outlineLevel="0" collapsed="false">
      <c r="A2421" s="8" t="n">
        <v>2161</v>
      </c>
      <c r="B2421" s="8" t="s">
        <v>75</v>
      </c>
      <c r="C2421" s="8" t="s">
        <v>11043</v>
      </c>
      <c r="D2421" s="8" t="s">
        <v>9061</v>
      </c>
      <c r="E2421" s="8" t="s">
        <v>11044</v>
      </c>
      <c r="F2421" s="8" t="s">
        <v>11045</v>
      </c>
      <c r="G2421" s="8" t="s">
        <v>11046</v>
      </c>
      <c r="H2421" s="8" t="s">
        <v>11047</v>
      </c>
      <c r="I2421" s="8" t="s">
        <v>146</v>
      </c>
      <c r="J2421" s="8" t="s">
        <v>11048</v>
      </c>
      <c r="K2421" s="8"/>
      <c r="L2421" s="8" t="s">
        <v>11049</v>
      </c>
    </row>
    <row r="2422" customFormat="false" ht="34.5" hidden="false" customHeight="true" outlineLevel="0" collapsed="false">
      <c r="A2422" s="8" t="n">
        <v>2162</v>
      </c>
      <c r="B2422" s="8" t="s">
        <v>75</v>
      </c>
      <c r="C2422" s="8" t="s">
        <v>11050</v>
      </c>
      <c r="D2422" s="8" t="s">
        <v>9061</v>
      </c>
      <c r="E2422" s="8" t="s">
        <v>11051</v>
      </c>
      <c r="F2422" s="8" t="s">
        <v>151</v>
      </c>
      <c r="G2422" s="8" t="s">
        <v>11052</v>
      </c>
      <c r="H2422" s="8" t="s">
        <v>11053</v>
      </c>
      <c r="I2422" s="8" t="s">
        <v>146</v>
      </c>
      <c r="J2422" s="8" t="s">
        <v>11054</v>
      </c>
      <c r="K2422" s="8"/>
      <c r="L2422" s="8" t="s">
        <v>11055</v>
      </c>
    </row>
    <row r="2423" customFormat="false" ht="23.25" hidden="false" customHeight="true" outlineLevel="0" collapsed="false">
      <c r="A2423" s="8" t="n">
        <v>2163</v>
      </c>
      <c r="B2423" s="8" t="s">
        <v>75</v>
      </c>
      <c r="C2423" s="8" t="s">
        <v>11056</v>
      </c>
      <c r="D2423" s="8" t="s">
        <v>9094</v>
      </c>
      <c r="E2423" s="8" t="s">
        <v>11057</v>
      </c>
      <c r="F2423" s="8" t="s">
        <v>201</v>
      </c>
      <c r="G2423" s="8" t="s">
        <v>11058</v>
      </c>
      <c r="H2423" s="8" t="s">
        <v>4711</v>
      </c>
      <c r="I2423" s="8" t="s">
        <v>146</v>
      </c>
      <c r="J2423" s="8" t="s">
        <v>11059</v>
      </c>
      <c r="K2423" s="8"/>
      <c r="L2423" s="8" t="s">
        <v>11060</v>
      </c>
    </row>
    <row r="2424" customFormat="false" ht="34.5" hidden="false" customHeight="true" outlineLevel="0" collapsed="false">
      <c r="A2424" s="8" t="n">
        <v>2164</v>
      </c>
      <c r="B2424" s="8" t="s">
        <v>75</v>
      </c>
      <c r="C2424" s="8" t="s">
        <v>11061</v>
      </c>
      <c r="D2424" s="8" t="s">
        <v>9061</v>
      </c>
      <c r="E2424" s="8" t="s">
        <v>11062</v>
      </c>
      <c r="F2424" s="8" t="s">
        <v>201</v>
      </c>
      <c r="G2424" s="8" t="s">
        <v>4650</v>
      </c>
      <c r="H2424" s="8" t="s">
        <v>145</v>
      </c>
      <c r="I2424" s="8" t="s">
        <v>146</v>
      </c>
      <c r="J2424" s="8" t="s">
        <v>11063</v>
      </c>
      <c r="K2424" s="8"/>
      <c r="L2424" s="8" t="s">
        <v>11064</v>
      </c>
    </row>
    <row r="2425" customFormat="false" ht="34.5" hidden="false" customHeight="true" outlineLevel="0" collapsed="false">
      <c r="A2425" s="8" t="n">
        <v>2165</v>
      </c>
      <c r="B2425" s="8" t="s">
        <v>75</v>
      </c>
      <c r="C2425" s="8" t="s">
        <v>11065</v>
      </c>
      <c r="D2425" s="8" t="s">
        <v>9094</v>
      </c>
      <c r="E2425" s="8" t="s">
        <v>11066</v>
      </c>
      <c r="F2425" s="8" t="s">
        <v>151</v>
      </c>
      <c r="G2425" s="8" t="s">
        <v>11067</v>
      </c>
      <c r="H2425" s="8" t="s">
        <v>11068</v>
      </c>
      <c r="I2425" s="8" t="s">
        <v>146</v>
      </c>
      <c r="J2425" s="8" t="s">
        <v>11069</v>
      </c>
      <c r="K2425" s="8"/>
      <c r="L2425" s="8" t="s">
        <v>11070</v>
      </c>
    </row>
    <row r="2426" customFormat="false" ht="34.5" hidden="false" customHeight="true" outlineLevel="0" collapsed="false">
      <c r="A2426" s="8" t="n">
        <v>2166</v>
      </c>
      <c r="B2426" s="8" t="s">
        <v>75</v>
      </c>
      <c r="C2426" s="8" t="s">
        <v>11071</v>
      </c>
      <c r="D2426" s="8" t="s">
        <v>9094</v>
      </c>
      <c r="E2426" s="8" t="s">
        <v>11072</v>
      </c>
      <c r="F2426" s="8" t="s">
        <v>151</v>
      </c>
      <c r="G2426" s="8" t="s">
        <v>11021</v>
      </c>
      <c r="H2426" s="8" t="s">
        <v>145</v>
      </c>
      <c r="I2426" s="8" t="s">
        <v>146</v>
      </c>
      <c r="J2426" s="8" t="s">
        <v>11073</v>
      </c>
      <c r="K2426" s="8"/>
      <c r="L2426" s="8" t="s">
        <v>11074</v>
      </c>
    </row>
    <row r="2427" customFormat="false" ht="34.5" hidden="false" customHeight="true" outlineLevel="0" collapsed="false">
      <c r="A2427" s="8" t="n">
        <v>2167</v>
      </c>
      <c r="B2427" s="8" t="s">
        <v>75</v>
      </c>
      <c r="C2427" s="8" t="s">
        <v>11075</v>
      </c>
      <c r="D2427" s="8" t="s">
        <v>8134</v>
      </c>
      <c r="E2427" s="8" t="s">
        <v>11076</v>
      </c>
      <c r="F2427" s="8" t="s">
        <v>4040</v>
      </c>
      <c r="G2427" s="8" t="s">
        <v>11077</v>
      </c>
      <c r="H2427" s="8" t="s">
        <v>145</v>
      </c>
      <c r="I2427" s="8" t="s">
        <v>146</v>
      </c>
      <c r="J2427" s="8" t="s">
        <v>11078</v>
      </c>
      <c r="K2427" s="8"/>
      <c r="L2427" s="8" t="s">
        <v>11079</v>
      </c>
    </row>
    <row r="2428" customFormat="false" ht="23.25" hidden="false" customHeight="true" outlineLevel="0" collapsed="false">
      <c r="A2428" s="8" t="n">
        <v>2168</v>
      </c>
      <c r="B2428" s="8" t="s">
        <v>75</v>
      </c>
      <c r="C2428" s="8" t="s">
        <v>11080</v>
      </c>
      <c r="D2428" s="8" t="s">
        <v>8236</v>
      </c>
      <c r="E2428" s="8" t="s">
        <v>11081</v>
      </c>
      <c r="F2428" s="8" t="s">
        <v>143</v>
      </c>
      <c r="G2428" s="8" t="s">
        <v>6413</v>
      </c>
      <c r="H2428" s="8" t="s">
        <v>4310</v>
      </c>
      <c r="I2428" s="8" t="s">
        <v>146</v>
      </c>
      <c r="J2428" s="8" t="s">
        <v>11082</v>
      </c>
      <c r="K2428" s="8"/>
      <c r="L2428" s="8" t="s">
        <v>11083</v>
      </c>
    </row>
    <row r="2429" customFormat="false" ht="34.5" hidden="false" customHeight="true" outlineLevel="0" collapsed="false">
      <c r="A2429" s="8" t="n">
        <v>2169</v>
      </c>
      <c r="B2429" s="8" t="s">
        <v>75</v>
      </c>
      <c r="C2429" s="8" t="s">
        <v>11084</v>
      </c>
      <c r="D2429" s="8" t="s">
        <v>9061</v>
      </c>
      <c r="E2429" s="8" t="s">
        <v>11085</v>
      </c>
      <c r="F2429" s="8" t="s">
        <v>151</v>
      </c>
      <c r="G2429" s="8" t="s">
        <v>11086</v>
      </c>
      <c r="H2429" s="8" t="s">
        <v>11087</v>
      </c>
      <c r="I2429" s="8" t="s">
        <v>146</v>
      </c>
      <c r="J2429" s="8" t="s">
        <v>11088</v>
      </c>
      <c r="K2429" s="8"/>
      <c r="L2429" s="8" t="s">
        <v>11089</v>
      </c>
    </row>
    <row r="2430" customFormat="false" ht="34.5" hidden="false" customHeight="true" outlineLevel="0" collapsed="false">
      <c r="A2430" s="8" t="n">
        <v>2170</v>
      </c>
      <c r="B2430" s="8" t="s">
        <v>75</v>
      </c>
      <c r="C2430" s="8" t="s">
        <v>11090</v>
      </c>
      <c r="D2430" s="8" t="s">
        <v>8182</v>
      </c>
      <c r="E2430" s="8" t="s">
        <v>11091</v>
      </c>
      <c r="F2430" s="8" t="s">
        <v>201</v>
      </c>
      <c r="G2430" s="8" t="s">
        <v>11092</v>
      </c>
      <c r="H2430" s="8" t="s">
        <v>11093</v>
      </c>
      <c r="I2430" s="8" t="s">
        <v>11094</v>
      </c>
      <c r="J2430" s="8" t="s">
        <v>11095</v>
      </c>
      <c r="K2430" s="8"/>
      <c r="L2430" s="8" t="s">
        <v>11096</v>
      </c>
    </row>
    <row r="2431" customFormat="false" ht="34.5" hidden="false" customHeight="true" outlineLevel="0" collapsed="false">
      <c r="A2431" s="8" t="n">
        <v>2171</v>
      </c>
      <c r="B2431" s="8" t="s">
        <v>75</v>
      </c>
      <c r="C2431" s="8" t="s">
        <v>1476</v>
      </c>
      <c r="D2431" s="8" t="s">
        <v>8125</v>
      </c>
      <c r="E2431" s="8" t="s">
        <v>11097</v>
      </c>
      <c r="F2431" s="8" t="s">
        <v>201</v>
      </c>
      <c r="G2431" s="8" t="s">
        <v>11098</v>
      </c>
      <c r="H2431" s="8" t="s">
        <v>145</v>
      </c>
      <c r="I2431" s="8" t="s">
        <v>11094</v>
      </c>
      <c r="J2431" s="8" t="s">
        <v>11099</v>
      </c>
      <c r="K2431" s="8"/>
      <c r="L2431" s="8" t="s">
        <v>11100</v>
      </c>
    </row>
    <row r="2432" customFormat="false" ht="34.5" hidden="false" customHeight="true" outlineLevel="0" collapsed="false">
      <c r="A2432" s="8" t="n">
        <v>2172</v>
      </c>
      <c r="B2432" s="8" t="s">
        <v>75</v>
      </c>
      <c r="C2432" s="8" t="s">
        <v>11101</v>
      </c>
      <c r="D2432" s="8" t="s">
        <v>9061</v>
      </c>
      <c r="E2432" s="8" t="s">
        <v>11102</v>
      </c>
      <c r="F2432" s="8" t="s">
        <v>10672</v>
      </c>
      <c r="G2432" s="8" t="s">
        <v>11103</v>
      </c>
      <c r="H2432" s="8" t="s">
        <v>244</v>
      </c>
      <c r="I2432" s="8" t="s">
        <v>11094</v>
      </c>
      <c r="J2432" s="8" t="s">
        <v>11104</v>
      </c>
      <c r="K2432" s="8"/>
      <c r="L2432" s="8" t="s">
        <v>11105</v>
      </c>
    </row>
    <row r="2433" customFormat="false" ht="34.5" hidden="false" customHeight="true" outlineLevel="0" collapsed="false">
      <c r="A2433" s="8" t="n">
        <v>2173</v>
      </c>
      <c r="B2433" s="8" t="s">
        <v>75</v>
      </c>
      <c r="C2433" s="8" t="s">
        <v>11106</v>
      </c>
      <c r="D2433" s="8" t="s">
        <v>8125</v>
      </c>
      <c r="E2433" s="8" t="s">
        <v>11107</v>
      </c>
      <c r="F2433" s="8" t="s">
        <v>11108</v>
      </c>
      <c r="G2433" s="8" t="s">
        <v>11109</v>
      </c>
      <c r="H2433" s="8" t="s">
        <v>721</v>
      </c>
      <c r="I2433" s="8" t="s">
        <v>11094</v>
      </c>
      <c r="J2433" s="8" t="s">
        <v>11110</v>
      </c>
      <c r="K2433" s="8"/>
      <c r="L2433" s="8" t="s">
        <v>11111</v>
      </c>
    </row>
    <row r="2434" customFormat="false" ht="23.25" hidden="false" customHeight="true" outlineLevel="0" collapsed="false">
      <c r="A2434" s="8" t="n">
        <v>2174</v>
      </c>
      <c r="B2434" s="8" t="s">
        <v>75</v>
      </c>
      <c r="C2434" s="8" t="s">
        <v>11050</v>
      </c>
      <c r="D2434" s="8" t="s">
        <v>9094</v>
      </c>
      <c r="E2434" s="8" t="s">
        <v>11112</v>
      </c>
      <c r="F2434" s="8" t="s">
        <v>151</v>
      </c>
      <c r="G2434" s="8" t="s">
        <v>11113</v>
      </c>
      <c r="H2434" s="8" t="s">
        <v>11114</v>
      </c>
      <c r="I2434" s="8" t="s">
        <v>11094</v>
      </c>
      <c r="J2434" s="8" t="s">
        <v>11115</v>
      </c>
      <c r="K2434" s="8"/>
      <c r="L2434" s="8" t="s">
        <v>11116</v>
      </c>
    </row>
    <row r="2435" customFormat="false" ht="34.5" hidden="false" customHeight="true" outlineLevel="0" collapsed="false">
      <c r="A2435" s="8" t="n">
        <v>2175</v>
      </c>
      <c r="B2435" s="8" t="s">
        <v>75</v>
      </c>
      <c r="C2435" s="8" t="s">
        <v>11117</v>
      </c>
      <c r="D2435" s="8" t="s">
        <v>9094</v>
      </c>
      <c r="E2435" s="8" t="s">
        <v>11118</v>
      </c>
      <c r="F2435" s="8" t="s">
        <v>11108</v>
      </c>
      <c r="G2435" s="8" t="s">
        <v>11119</v>
      </c>
      <c r="H2435" s="8" t="s">
        <v>11120</v>
      </c>
      <c r="I2435" s="8" t="s">
        <v>11094</v>
      </c>
      <c r="J2435" s="8" t="s">
        <v>11121</v>
      </c>
      <c r="K2435" s="8"/>
      <c r="L2435" s="8" t="s">
        <v>11122</v>
      </c>
    </row>
    <row r="2436" customFormat="false" ht="34.5" hidden="false" customHeight="true" outlineLevel="0" collapsed="false">
      <c r="A2436" s="8" t="n">
        <v>2176</v>
      </c>
      <c r="B2436" s="8" t="s">
        <v>75</v>
      </c>
      <c r="C2436" s="8" t="s">
        <v>11123</v>
      </c>
      <c r="D2436" s="8" t="s">
        <v>8125</v>
      </c>
      <c r="E2436" s="8" t="s">
        <v>11124</v>
      </c>
      <c r="F2436" s="8" t="s">
        <v>11108</v>
      </c>
      <c r="G2436" s="8" t="s">
        <v>11125</v>
      </c>
      <c r="H2436" s="8" t="s">
        <v>244</v>
      </c>
      <c r="I2436" s="8" t="s">
        <v>146</v>
      </c>
      <c r="J2436" s="8" t="s">
        <v>11126</v>
      </c>
      <c r="K2436" s="8"/>
      <c r="L2436" s="8" t="s">
        <v>11127</v>
      </c>
    </row>
    <row r="2437" customFormat="false" ht="34.5" hidden="false" customHeight="true" outlineLevel="0" collapsed="false">
      <c r="A2437" s="8" t="n">
        <v>2177</v>
      </c>
      <c r="B2437" s="8" t="s">
        <v>75</v>
      </c>
      <c r="C2437" s="8" t="s">
        <v>11128</v>
      </c>
      <c r="D2437" s="8" t="s">
        <v>8134</v>
      </c>
      <c r="E2437" s="8" t="s">
        <v>11129</v>
      </c>
      <c r="F2437" s="8" t="s">
        <v>11014</v>
      </c>
      <c r="G2437" s="8" t="s">
        <v>11130</v>
      </c>
      <c r="H2437" s="8" t="s">
        <v>7666</v>
      </c>
      <c r="I2437" s="8" t="s">
        <v>146</v>
      </c>
      <c r="J2437" s="8" t="s">
        <v>11131</v>
      </c>
      <c r="K2437" s="8" t="s">
        <v>116</v>
      </c>
      <c r="L2437" s="8" t="s">
        <v>11132</v>
      </c>
    </row>
    <row r="2438" customFormat="false" ht="34.5" hidden="false" customHeight="true" outlineLevel="0" collapsed="false">
      <c r="A2438" s="8" t="n">
        <v>2178</v>
      </c>
      <c r="B2438" s="8" t="s">
        <v>75</v>
      </c>
      <c r="C2438" s="8" t="s">
        <v>11133</v>
      </c>
      <c r="D2438" s="8" t="s">
        <v>8236</v>
      </c>
      <c r="E2438" s="8" t="s">
        <v>11134</v>
      </c>
      <c r="F2438" s="8" t="s">
        <v>10512</v>
      </c>
      <c r="G2438" s="8" t="s">
        <v>11135</v>
      </c>
      <c r="H2438" s="8" t="s">
        <v>512</v>
      </c>
      <c r="I2438" s="8" t="s">
        <v>146</v>
      </c>
      <c r="J2438" s="8" t="s">
        <v>11136</v>
      </c>
      <c r="K2438" s="8" t="s">
        <v>114</v>
      </c>
      <c r="L2438" s="8" t="s">
        <v>11137</v>
      </c>
    </row>
    <row r="2439" customFormat="false" ht="34.5" hidden="false" customHeight="true" outlineLevel="0" collapsed="false">
      <c r="A2439" s="8" t="n">
        <v>2179</v>
      </c>
      <c r="B2439" s="8" t="s">
        <v>75</v>
      </c>
      <c r="C2439" s="8" t="s">
        <v>11138</v>
      </c>
      <c r="D2439" s="8" t="s">
        <v>8236</v>
      </c>
      <c r="E2439" s="8" t="s">
        <v>11139</v>
      </c>
      <c r="F2439" s="8" t="s">
        <v>10512</v>
      </c>
      <c r="G2439" s="8" t="s">
        <v>11140</v>
      </c>
      <c r="H2439" s="8" t="s">
        <v>145</v>
      </c>
      <c r="I2439" s="8" t="s">
        <v>146</v>
      </c>
      <c r="J2439" s="8" t="s">
        <v>11141</v>
      </c>
      <c r="K2439" s="8" t="s">
        <v>114</v>
      </c>
      <c r="L2439" s="8" t="s">
        <v>11142</v>
      </c>
    </row>
    <row r="2440" customFormat="false" ht="34.5" hidden="false" customHeight="true" outlineLevel="0" collapsed="false">
      <c r="A2440" s="8" t="n">
        <v>2180</v>
      </c>
      <c r="B2440" s="8" t="s">
        <v>75</v>
      </c>
      <c r="C2440" s="8" t="s">
        <v>11143</v>
      </c>
      <c r="D2440" s="8" t="s">
        <v>9061</v>
      </c>
      <c r="E2440" s="8" t="s">
        <v>11144</v>
      </c>
      <c r="F2440" s="8" t="s">
        <v>10512</v>
      </c>
      <c r="G2440" s="8" t="s">
        <v>11145</v>
      </c>
      <c r="H2440" s="8" t="s">
        <v>11146</v>
      </c>
      <c r="I2440" s="8" t="s">
        <v>146</v>
      </c>
      <c r="J2440" s="8" t="s">
        <v>11147</v>
      </c>
      <c r="K2440" s="8" t="s">
        <v>116</v>
      </c>
      <c r="L2440" s="8" t="s">
        <v>11148</v>
      </c>
    </row>
    <row r="2441" customFormat="false" ht="34.5" hidden="false" customHeight="true" outlineLevel="0" collapsed="false">
      <c r="A2441" s="8" t="n">
        <v>2181</v>
      </c>
      <c r="B2441" s="8" t="s">
        <v>75</v>
      </c>
      <c r="C2441" s="8" t="s">
        <v>11149</v>
      </c>
      <c r="D2441" s="8" t="s">
        <v>8134</v>
      </c>
      <c r="E2441" s="8" t="s">
        <v>11150</v>
      </c>
      <c r="F2441" s="8" t="s">
        <v>10512</v>
      </c>
      <c r="G2441" s="8" t="s">
        <v>11151</v>
      </c>
      <c r="H2441" s="8" t="s">
        <v>11152</v>
      </c>
      <c r="I2441" s="8" t="s">
        <v>146</v>
      </c>
      <c r="J2441" s="8" t="s">
        <v>11153</v>
      </c>
      <c r="K2441" s="8" t="s">
        <v>114</v>
      </c>
      <c r="L2441" s="8" t="s">
        <v>11154</v>
      </c>
    </row>
    <row r="2442" customFormat="false" ht="34.5" hidden="false" customHeight="true" outlineLevel="0" collapsed="false">
      <c r="A2442" s="8" t="n">
        <v>2182</v>
      </c>
      <c r="B2442" s="8" t="s">
        <v>75</v>
      </c>
      <c r="C2442" s="8" t="s">
        <v>11155</v>
      </c>
      <c r="D2442" s="8" t="s">
        <v>9061</v>
      </c>
      <c r="E2442" s="8" t="s">
        <v>11156</v>
      </c>
      <c r="F2442" s="8" t="s">
        <v>143</v>
      </c>
      <c r="G2442" s="8" t="s">
        <v>11157</v>
      </c>
      <c r="H2442" s="8" t="s">
        <v>11158</v>
      </c>
      <c r="I2442" s="8" t="s">
        <v>146</v>
      </c>
      <c r="J2442" s="8" t="s">
        <v>11159</v>
      </c>
      <c r="K2442" s="8" t="s">
        <v>116</v>
      </c>
      <c r="L2442" s="8" t="s">
        <v>11160</v>
      </c>
    </row>
    <row r="2443" customFormat="false" ht="34.5" hidden="false" customHeight="true" outlineLevel="0" collapsed="false">
      <c r="A2443" s="8" t="n">
        <v>2183</v>
      </c>
      <c r="B2443" s="8" t="s">
        <v>75</v>
      </c>
      <c r="C2443" s="8" t="s">
        <v>11161</v>
      </c>
      <c r="D2443" s="8" t="s">
        <v>9094</v>
      </c>
      <c r="E2443" s="8" t="s">
        <v>11162</v>
      </c>
      <c r="F2443" s="8" t="s">
        <v>587</v>
      </c>
      <c r="G2443" s="8" t="s">
        <v>11163</v>
      </c>
      <c r="H2443" s="8" t="s">
        <v>11158</v>
      </c>
      <c r="I2443" s="8" t="s">
        <v>146</v>
      </c>
      <c r="J2443" s="8" t="s">
        <v>11164</v>
      </c>
      <c r="K2443" s="8" t="s">
        <v>116</v>
      </c>
      <c r="L2443" s="8" t="s">
        <v>11165</v>
      </c>
    </row>
    <row r="2444" customFormat="false" ht="34.5" hidden="false" customHeight="true" outlineLevel="0" collapsed="false">
      <c r="A2444" s="8" t="n">
        <v>2184</v>
      </c>
      <c r="B2444" s="8" t="s">
        <v>75</v>
      </c>
      <c r="C2444" s="8" t="s">
        <v>11166</v>
      </c>
      <c r="D2444" s="8" t="s">
        <v>9061</v>
      </c>
      <c r="E2444" s="8" t="s">
        <v>11167</v>
      </c>
      <c r="F2444" s="8" t="s">
        <v>10512</v>
      </c>
      <c r="G2444" s="8" t="s">
        <v>11168</v>
      </c>
      <c r="H2444" s="8" t="s">
        <v>11158</v>
      </c>
      <c r="I2444" s="8" t="s">
        <v>146</v>
      </c>
      <c r="J2444" s="8" t="s">
        <v>11169</v>
      </c>
      <c r="K2444" s="8" t="s">
        <v>116</v>
      </c>
      <c r="L2444" s="8" t="s">
        <v>11170</v>
      </c>
    </row>
    <row r="2445" customFormat="false" ht="34.5" hidden="false" customHeight="true" outlineLevel="0" collapsed="false">
      <c r="A2445" s="8" t="n">
        <v>2185</v>
      </c>
      <c r="B2445" s="8" t="s">
        <v>75</v>
      </c>
      <c r="C2445" s="8" t="s">
        <v>11171</v>
      </c>
      <c r="D2445" s="8" t="s">
        <v>8125</v>
      </c>
      <c r="E2445" s="8" t="s">
        <v>11172</v>
      </c>
      <c r="F2445" s="8" t="s">
        <v>10652</v>
      </c>
      <c r="G2445" s="8" t="s">
        <v>11173</v>
      </c>
      <c r="H2445" s="8" t="s">
        <v>9323</v>
      </c>
      <c r="I2445" s="8" t="s">
        <v>146</v>
      </c>
      <c r="J2445" s="8" t="s">
        <v>11174</v>
      </c>
      <c r="K2445" s="8" t="s">
        <v>116</v>
      </c>
      <c r="L2445" s="8" t="s">
        <v>11175</v>
      </c>
    </row>
    <row r="2446" customFormat="false" ht="23.25" hidden="false" customHeight="true" outlineLevel="0" collapsed="false">
      <c r="A2446" s="8" t="n">
        <v>2186</v>
      </c>
      <c r="B2446" s="8" t="s">
        <v>75</v>
      </c>
      <c r="C2446" s="8" t="s">
        <v>11176</v>
      </c>
      <c r="D2446" s="8" t="s">
        <v>8172</v>
      </c>
      <c r="E2446" s="8" t="s">
        <v>11177</v>
      </c>
      <c r="F2446" s="8" t="s">
        <v>151</v>
      </c>
      <c r="G2446" s="8" t="s">
        <v>7634</v>
      </c>
      <c r="H2446" s="8" t="s">
        <v>145</v>
      </c>
      <c r="I2446" s="8" t="s">
        <v>146</v>
      </c>
      <c r="J2446" s="8" t="s">
        <v>11178</v>
      </c>
      <c r="K2446" s="8"/>
      <c r="L2446" s="8" t="s">
        <v>11179</v>
      </c>
    </row>
    <row r="2447" customFormat="false" ht="34.5" hidden="false" customHeight="true" outlineLevel="0" collapsed="false">
      <c r="A2447" s="8" t="n">
        <v>2187</v>
      </c>
      <c r="B2447" s="8" t="s">
        <v>75</v>
      </c>
      <c r="C2447" s="8" t="s">
        <v>8826</v>
      </c>
      <c r="D2447" s="8" t="s">
        <v>8125</v>
      </c>
      <c r="E2447" s="8" t="s">
        <v>11180</v>
      </c>
      <c r="F2447" s="8" t="s">
        <v>151</v>
      </c>
      <c r="G2447" s="8" t="s">
        <v>10915</v>
      </c>
      <c r="H2447" s="8" t="s">
        <v>145</v>
      </c>
      <c r="I2447" s="8" t="s">
        <v>146</v>
      </c>
      <c r="J2447" s="8" t="s">
        <v>11181</v>
      </c>
      <c r="K2447" s="8"/>
      <c r="L2447" s="8" t="s">
        <v>11182</v>
      </c>
    </row>
    <row r="2448" customFormat="false" ht="34.5" hidden="false" customHeight="true" outlineLevel="0" collapsed="false">
      <c r="A2448" s="8" t="n">
        <v>2188</v>
      </c>
      <c r="B2448" s="8" t="s">
        <v>75</v>
      </c>
      <c r="C2448" s="8" t="s">
        <v>11183</v>
      </c>
      <c r="D2448" s="8" t="s">
        <v>8140</v>
      </c>
      <c r="E2448" s="8" t="s">
        <v>11184</v>
      </c>
      <c r="F2448" s="8" t="s">
        <v>151</v>
      </c>
      <c r="G2448" s="8" t="s">
        <v>152</v>
      </c>
      <c r="H2448" s="8" t="s">
        <v>145</v>
      </c>
      <c r="I2448" s="8" t="s">
        <v>146</v>
      </c>
      <c r="J2448" s="8" t="s">
        <v>11185</v>
      </c>
      <c r="K2448" s="8"/>
      <c r="L2448" s="8" t="s">
        <v>11186</v>
      </c>
    </row>
    <row r="2449" customFormat="false" ht="34.5" hidden="false" customHeight="true" outlineLevel="0" collapsed="false">
      <c r="A2449" s="8" t="n">
        <v>2189</v>
      </c>
      <c r="B2449" s="8" t="s">
        <v>75</v>
      </c>
      <c r="C2449" s="8" t="s">
        <v>11187</v>
      </c>
      <c r="D2449" s="8" t="s">
        <v>8284</v>
      </c>
      <c r="E2449" s="8" t="s">
        <v>11188</v>
      </c>
      <c r="F2449" s="8" t="s">
        <v>11189</v>
      </c>
      <c r="G2449" s="8" t="s">
        <v>798</v>
      </c>
      <c r="H2449" s="8" t="s">
        <v>145</v>
      </c>
      <c r="I2449" s="8" t="s">
        <v>748</v>
      </c>
      <c r="J2449" s="8" t="s">
        <v>11190</v>
      </c>
      <c r="K2449" s="8"/>
      <c r="L2449" s="8" t="s">
        <v>11191</v>
      </c>
    </row>
    <row r="2450" customFormat="false" ht="34.5" hidden="false" customHeight="true" outlineLevel="0" collapsed="false">
      <c r="A2450" s="8" t="n">
        <v>2190</v>
      </c>
      <c r="B2450" s="8" t="s">
        <v>75</v>
      </c>
      <c r="C2450" s="8" t="s">
        <v>8826</v>
      </c>
      <c r="D2450" s="8" t="s">
        <v>9094</v>
      </c>
      <c r="E2450" s="8" t="s">
        <v>11192</v>
      </c>
      <c r="F2450" s="8" t="s">
        <v>151</v>
      </c>
      <c r="G2450" s="8" t="s">
        <v>11193</v>
      </c>
      <c r="H2450" s="8" t="s">
        <v>145</v>
      </c>
      <c r="I2450" s="8" t="s">
        <v>208</v>
      </c>
      <c r="J2450" s="8" t="s">
        <v>11194</v>
      </c>
      <c r="K2450" s="8"/>
      <c r="L2450" s="8" t="s">
        <v>11195</v>
      </c>
    </row>
    <row r="2451" customFormat="false" ht="34.5" hidden="false" customHeight="true" outlineLevel="0" collapsed="false">
      <c r="A2451" s="8" t="n">
        <v>2191</v>
      </c>
      <c r="B2451" s="8" t="s">
        <v>75</v>
      </c>
      <c r="C2451" s="8" t="s">
        <v>11196</v>
      </c>
      <c r="D2451" s="8" t="s">
        <v>8182</v>
      </c>
      <c r="E2451" s="8" t="s">
        <v>11197</v>
      </c>
      <c r="F2451" s="8" t="s">
        <v>3817</v>
      </c>
      <c r="G2451" s="8" t="s">
        <v>152</v>
      </c>
      <c r="H2451" s="8" t="s">
        <v>145</v>
      </c>
      <c r="I2451" s="8" t="s">
        <v>208</v>
      </c>
      <c r="J2451" s="8" t="s">
        <v>11198</v>
      </c>
      <c r="K2451" s="8"/>
      <c r="L2451" s="8" t="s">
        <v>11199</v>
      </c>
    </row>
    <row r="2452" customFormat="false" ht="34.5" hidden="false" customHeight="true" outlineLevel="0" collapsed="false">
      <c r="A2452" s="8" t="n">
        <v>2192</v>
      </c>
      <c r="B2452" s="8" t="s">
        <v>75</v>
      </c>
      <c r="C2452" s="8" t="s">
        <v>11200</v>
      </c>
      <c r="D2452" s="8" t="s">
        <v>8298</v>
      </c>
      <c r="E2452" s="8" t="s">
        <v>11201</v>
      </c>
      <c r="F2452" s="8" t="s">
        <v>11202</v>
      </c>
      <c r="G2452" s="8" t="s">
        <v>11203</v>
      </c>
      <c r="H2452" s="8" t="s">
        <v>181</v>
      </c>
      <c r="I2452" s="8" t="s">
        <v>146</v>
      </c>
      <c r="J2452" s="8" t="s">
        <v>11204</v>
      </c>
      <c r="K2452" s="8" t="s">
        <v>116</v>
      </c>
      <c r="L2452" s="8" t="s">
        <v>11205</v>
      </c>
    </row>
    <row r="2453" customFormat="false" ht="34.5" hidden="false" customHeight="true" outlineLevel="0" collapsed="false">
      <c r="A2453" s="8" t="n">
        <v>2193</v>
      </c>
      <c r="B2453" s="8" t="s">
        <v>75</v>
      </c>
      <c r="C2453" s="8" t="s">
        <v>11206</v>
      </c>
      <c r="D2453" s="8" t="s">
        <v>9061</v>
      </c>
      <c r="E2453" s="8" t="s">
        <v>11207</v>
      </c>
      <c r="F2453" s="8" t="s">
        <v>151</v>
      </c>
      <c r="G2453" s="8" t="s">
        <v>11208</v>
      </c>
      <c r="H2453" s="8" t="s">
        <v>11209</v>
      </c>
      <c r="I2453" s="8" t="s">
        <v>146</v>
      </c>
      <c r="J2453" s="8" t="s">
        <v>11210</v>
      </c>
      <c r="K2453" s="8"/>
      <c r="L2453" s="8" t="s">
        <v>11211</v>
      </c>
    </row>
    <row r="2454" customFormat="false" ht="23.25" hidden="false" customHeight="true" outlineLevel="0" collapsed="false">
      <c r="A2454" s="8" t="n">
        <v>2194</v>
      </c>
      <c r="B2454" s="8" t="s">
        <v>75</v>
      </c>
      <c r="C2454" s="8" t="s">
        <v>11212</v>
      </c>
      <c r="D2454" s="8" t="s">
        <v>8134</v>
      </c>
      <c r="E2454" s="8" t="s">
        <v>11213</v>
      </c>
      <c r="F2454" s="8" t="s">
        <v>151</v>
      </c>
      <c r="G2454" s="8" t="s">
        <v>11214</v>
      </c>
      <c r="H2454" s="8" t="s">
        <v>4711</v>
      </c>
      <c r="I2454" s="8" t="s">
        <v>146</v>
      </c>
      <c r="J2454" s="8" t="s">
        <v>11215</v>
      </c>
      <c r="K2454" s="8" t="s">
        <v>116</v>
      </c>
      <c r="L2454" s="8" t="s">
        <v>11216</v>
      </c>
    </row>
    <row r="2455" customFormat="false" ht="34.5" hidden="false" customHeight="true" outlineLevel="0" collapsed="false">
      <c r="A2455" s="8" t="n">
        <v>2195</v>
      </c>
      <c r="B2455" s="8" t="s">
        <v>75</v>
      </c>
      <c r="C2455" s="8" t="s">
        <v>11217</v>
      </c>
      <c r="D2455" s="8" t="s">
        <v>9061</v>
      </c>
      <c r="E2455" s="8" t="s">
        <v>11218</v>
      </c>
      <c r="F2455" s="8" t="s">
        <v>11219</v>
      </c>
      <c r="G2455" s="8" t="s">
        <v>11220</v>
      </c>
      <c r="H2455" s="8" t="s">
        <v>11221</v>
      </c>
      <c r="I2455" s="8" t="s">
        <v>146</v>
      </c>
      <c r="J2455" s="8" t="s">
        <v>11222</v>
      </c>
      <c r="K2455" s="8"/>
      <c r="L2455" s="8" t="s">
        <v>11223</v>
      </c>
    </row>
    <row r="2456" customFormat="false" ht="34.5" hidden="false" customHeight="true" outlineLevel="0" collapsed="false">
      <c r="A2456" s="8" t="n">
        <v>2196</v>
      </c>
      <c r="B2456" s="8" t="s">
        <v>75</v>
      </c>
      <c r="C2456" s="8" t="s">
        <v>2051</v>
      </c>
      <c r="D2456" s="8" t="s">
        <v>8182</v>
      </c>
      <c r="E2456" s="8" t="s">
        <v>11224</v>
      </c>
      <c r="F2456" s="8" t="s">
        <v>11225</v>
      </c>
      <c r="G2456" s="8" t="s">
        <v>11226</v>
      </c>
      <c r="H2456" s="8" t="s">
        <v>5238</v>
      </c>
      <c r="I2456" s="8" t="s">
        <v>146</v>
      </c>
      <c r="J2456" s="8" t="s">
        <v>11227</v>
      </c>
      <c r="K2456" s="8" t="s">
        <v>116</v>
      </c>
      <c r="L2456" s="8" t="s">
        <v>11228</v>
      </c>
    </row>
    <row r="2457" customFormat="false" ht="34.5" hidden="false" customHeight="true" outlineLevel="0" collapsed="false">
      <c r="A2457" s="8" t="n">
        <v>2197</v>
      </c>
      <c r="B2457" s="8" t="s">
        <v>75</v>
      </c>
      <c r="C2457" s="8" t="s">
        <v>11229</v>
      </c>
      <c r="D2457" s="8" t="s">
        <v>8134</v>
      </c>
      <c r="E2457" s="8" t="s">
        <v>11230</v>
      </c>
      <c r="F2457" s="8" t="s">
        <v>579</v>
      </c>
      <c r="G2457" s="8" t="s">
        <v>11231</v>
      </c>
      <c r="H2457" s="8" t="s">
        <v>11232</v>
      </c>
      <c r="I2457" s="8" t="s">
        <v>146</v>
      </c>
      <c r="J2457" s="8" t="s">
        <v>11233</v>
      </c>
      <c r="K2457" s="8" t="s">
        <v>116</v>
      </c>
      <c r="L2457" s="8" t="s">
        <v>11234</v>
      </c>
    </row>
    <row r="2458" customFormat="false" ht="34.5" hidden="false" customHeight="true" outlineLevel="0" collapsed="false">
      <c r="A2458" s="8" t="n">
        <v>2198</v>
      </c>
      <c r="B2458" s="8" t="s">
        <v>75</v>
      </c>
      <c r="C2458" s="8" t="s">
        <v>11235</v>
      </c>
      <c r="D2458" s="8" t="s">
        <v>9094</v>
      </c>
      <c r="E2458" s="8" t="s">
        <v>11236</v>
      </c>
      <c r="F2458" s="8" t="s">
        <v>151</v>
      </c>
      <c r="G2458" s="8" t="s">
        <v>11237</v>
      </c>
      <c r="H2458" s="8" t="s">
        <v>11238</v>
      </c>
      <c r="I2458" s="8" t="s">
        <v>146</v>
      </c>
      <c r="J2458" s="8" t="s">
        <v>11239</v>
      </c>
      <c r="K2458" s="8"/>
      <c r="L2458" s="8" t="s">
        <v>11240</v>
      </c>
    </row>
    <row r="2459" customFormat="false" ht="34.5" hidden="false" customHeight="true" outlineLevel="0" collapsed="false">
      <c r="A2459" s="8" t="n">
        <v>2199</v>
      </c>
      <c r="B2459" s="8" t="s">
        <v>75</v>
      </c>
      <c r="C2459" s="8" t="s">
        <v>11241</v>
      </c>
      <c r="D2459" s="8" t="s">
        <v>8140</v>
      </c>
      <c r="E2459" s="8" t="s">
        <v>11242</v>
      </c>
      <c r="F2459" s="8" t="s">
        <v>10672</v>
      </c>
      <c r="G2459" s="8" t="s">
        <v>11243</v>
      </c>
      <c r="H2459" s="8" t="s">
        <v>181</v>
      </c>
      <c r="I2459" s="8" t="s">
        <v>387</v>
      </c>
      <c r="J2459" s="8" t="s">
        <v>11244</v>
      </c>
      <c r="K2459" s="8"/>
      <c r="L2459" s="8" t="s">
        <v>11245</v>
      </c>
    </row>
    <row r="2460" customFormat="false" ht="34.5" hidden="false" customHeight="true" outlineLevel="0" collapsed="false">
      <c r="A2460" s="8" t="n">
        <v>2200</v>
      </c>
      <c r="B2460" s="8" t="s">
        <v>75</v>
      </c>
      <c r="C2460" s="8" t="s">
        <v>11246</v>
      </c>
      <c r="D2460" s="8" t="s">
        <v>9094</v>
      </c>
      <c r="E2460" s="8" t="s">
        <v>11247</v>
      </c>
      <c r="F2460" s="8" t="s">
        <v>201</v>
      </c>
      <c r="G2460" s="8" t="s">
        <v>11248</v>
      </c>
      <c r="H2460" s="8" t="s">
        <v>512</v>
      </c>
      <c r="I2460" s="8" t="s">
        <v>146</v>
      </c>
      <c r="J2460" s="8" t="s">
        <v>11249</v>
      </c>
      <c r="K2460" s="8"/>
      <c r="L2460" s="8" t="s">
        <v>11250</v>
      </c>
    </row>
    <row r="2461" customFormat="false" ht="23.25" hidden="false" customHeight="true" outlineLevel="0" collapsed="false">
      <c r="A2461" s="8" t="n">
        <v>2201</v>
      </c>
      <c r="B2461" s="8" t="s">
        <v>75</v>
      </c>
      <c r="C2461" s="8" t="s">
        <v>11251</v>
      </c>
      <c r="D2461" s="8" t="s">
        <v>8236</v>
      </c>
      <c r="E2461" s="8" t="s">
        <v>11252</v>
      </c>
      <c r="F2461" s="8" t="s">
        <v>201</v>
      </c>
      <c r="G2461" s="8" t="s">
        <v>11253</v>
      </c>
      <c r="H2461" s="8" t="s">
        <v>721</v>
      </c>
      <c r="I2461" s="8" t="s">
        <v>146</v>
      </c>
      <c r="J2461" s="8" t="s">
        <v>11254</v>
      </c>
      <c r="K2461" s="8"/>
      <c r="L2461" s="8" t="s">
        <v>11255</v>
      </c>
    </row>
    <row r="2462" customFormat="false" ht="34.5" hidden="false" customHeight="true" outlineLevel="0" collapsed="false">
      <c r="A2462" s="8" t="n">
        <v>2202</v>
      </c>
      <c r="B2462" s="8" t="s">
        <v>75</v>
      </c>
      <c r="C2462" s="8" t="s">
        <v>11235</v>
      </c>
      <c r="D2462" s="8" t="s">
        <v>9094</v>
      </c>
      <c r="E2462" s="8" t="s">
        <v>11256</v>
      </c>
      <c r="F2462" s="8" t="s">
        <v>151</v>
      </c>
      <c r="G2462" s="8" t="s">
        <v>11257</v>
      </c>
      <c r="H2462" s="8" t="s">
        <v>11258</v>
      </c>
      <c r="I2462" s="8" t="s">
        <v>146</v>
      </c>
      <c r="J2462" s="8" t="s">
        <v>11259</v>
      </c>
      <c r="K2462" s="8"/>
      <c r="L2462" s="8" t="s">
        <v>11260</v>
      </c>
    </row>
    <row r="2463" customFormat="false" ht="34.5" hidden="false" customHeight="true" outlineLevel="0" collapsed="false">
      <c r="A2463" s="8" t="n">
        <v>2203</v>
      </c>
      <c r="B2463" s="8" t="s">
        <v>75</v>
      </c>
      <c r="C2463" s="8" t="s">
        <v>11261</v>
      </c>
      <c r="D2463" s="8" t="s">
        <v>9061</v>
      </c>
      <c r="E2463" s="8" t="s">
        <v>11262</v>
      </c>
      <c r="F2463" s="8" t="s">
        <v>11263</v>
      </c>
      <c r="G2463" s="8" t="s">
        <v>11264</v>
      </c>
      <c r="H2463" s="8" t="s">
        <v>11265</v>
      </c>
      <c r="I2463" s="8" t="s">
        <v>208</v>
      </c>
      <c r="J2463" s="8" t="s">
        <v>11266</v>
      </c>
      <c r="K2463" s="8" t="s">
        <v>116</v>
      </c>
      <c r="L2463" s="8" t="s">
        <v>11267</v>
      </c>
    </row>
    <row r="2464" customFormat="false" ht="34.5" hidden="false" customHeight="true" outlineLevel="0" collapsed="false">
      <c r="A2464" s="8" t="n">
        <v>2204</v>
      </c>
      <c r="B2464" s="8" t="s">
        <v>75</v>
      </c>
      <c r="C2464" s="8" t="s">
        <v>11268</v>
      </c>
      <c r="D2464" s="8" t="s">
        <v>9061</v>
      </c>
      <c r="E2464" s="8" t="s">
        <v>11269</v>
      </c>
      <c r="F2464" s="8" t="s">
        <v>11270</v>
      </c>
      <c r="G2464" s="8" t="s">
        <v>798</v>
      </c>
      <c r="H2464" s="8" t="s">
        <v>145</v>
      </c>
      <c r="I2464" s="8" t="s">
        <v>208</v>
      </c>
      <c r="J2464" s="8" t="s">
        <v>11271</v>
      </c>
      <c r="K2464" s="8" t="s">
        <v>116</v>
      </c>
      <c r="L2464" s="8" t="s">
        <v>11272</v>
      </c>
    </row>
    <row r="2465" customFormat="false" ht="34.5" hidden="false" customHeight="true" outlineLevel="0" collapsed="false">
      <c r="A2465" s="8" t="n">
        <v>2205</v>
      </c>
      <c r="B2465" s="8" t="s">
        <v>75</v>
      </c>
      <c r="C2465" s="8" t="s">
        <v>11273</v>
      </c>
      <c r="D2465" s="8" t="s">
        <v>9061</v>
      </c>
      <c r="E2465" s="8" t="s">
        <v>11274</v>
      </c>
      <c r="F2465" s="8" t="s">
        <v>201</v>
      </c>
      <c r="G2465" s="8" t="s">
        <v>11275</v>
      </c>
      <c r="H2465" s="8" t="s">
        <v>11276</v>
      </c>
      <c r="I2465" s="8" t="s">
        <v>208</v>
      </c>
      <c r="J2465" s="8" t="s">
        <v>11277</v>
      </c>
      <c r="K2465" s="8" t="s">
        <v>116</v>
      </c>
      <c r="L2465" s="8" t="s">
        <v>11278</v>
      </c>
    </row>
    <row r="2466" customFormat="false" ht="34.5" hidden="false" customHeight="true" outlineLevel="0" collapsed="false">
      <c r="A2466" s="8" t="n">
        <v>2206</v>
      </c>
      <c r="B2466" s="8" t="s">
        <v>75</v>
      </c>
      <c r="C2466" s="8" t="s">
        <v>5984</v>
      </c>
      <c r="D2466" s="8" t="s">
        <v>8236</v>
      </c>
      <c r="E2466" s="8" t="s">
        <v>11279</v>
      </c>
      <c r="F2466" s="8" t="s">
        <v>10512</v>
      </c>
      <c r="G2466" s="8" t="s">
        <v>11280</v>
      </c>
      <c r="H2466" s="8" t="s">
        <v>11281</v>
      </c>
      <c r="I2466" s="8" t="s">
        <v>208</v>
      </c>
      <c r="J2466" s="8" t="s">
        <v>11282</v>
      </c>
      <c r="K2466" s="8" t="s">
        <v>116</v>
      </c>
      <c r="L2466" s="8" t="s">
        <v>11283</v>
      </c>
    </row>
    <row r="2467" customFormat="false" ht="34.5" hidden="false" customHeight="true" outlineLevel="0" collapsed="false">
      <c r="A2467" s="8" t="n">
        <v>2207</v>
      </c>
      <c r="B2467" s="8" t="s">
        <v>75</v>
      </c>
      <c r="C2467" s="8" t="s">
        <v>11206</v>
      </c>
      <c r="D2467" s="8" t="s">
        <v>9061</v>
      </c>
      <c r="E2467" s="8" t="s">
        <v>11284</v>
      </c>
      <c r="F2467" s="8" t="s">
        <v>151</v>
      </c>
      <c r="G2467" s="8" t="s">
        <v>11285</v>
      </c>
      <c r="H2467" s="8" t="s">
        <v>11286</v>
      </c>
      <c r="I2467" s="8" t="s">
        <v>208</v>
      </c>
      <c r="J2467" s="8" t="s">
        <v>11287</v>
      </c>
      <c r="K2467" s="8"/>
      <c r="L2467" s="8" t="s">
        <v>11288</v>
      </c>
    </row>
    <row r="2468" customFormat="false" ht="34.5" hidden="false" customHeight="true" outlineLevel="0" collapsed="false">
      <c r="A2468" s="8" t="n">
        <v>2208</v>
      </c>
      <c r="B2468" s="8" t="s">
        <v>75</v>
      </c>
      <c r="C2468" s="8" t="s">
        <v>11289</v>
      </c>
      <c r="D2468" s="8" t="s">
        <v>9061</v>
      </c>
      <c r="E2468" s="8" t="s">
        <v>11290</v>
      </c>
      <c r="F2468" s="8" t="s">
        <v>579</v>
      </c>
      <c r="G2468" s="8" t="s">
        <v>11264</v>
      </c>
      <c r="H2468" s="8" t="s">
        <v>2262</v>
      </c>
      <c r="I2468" s="8" t="s">
        <v>208</v>
      </c>
      <c r="J2468" s="8" t="s">
        <v>11291</v>
      </c>
      <c r="K2468" s="8" t="s">
        <v>116</v>
      </c>
      <c r="L2468" s="8" t="s">
        <v>11292</v>
      </c>
    </row>
    <row r="2469" customFormat="false" ht="34.5" hidden="false" customHeight="true" outlineLevel="0" collapsed="false">
      <c r="A2469" s="8" t="n">
        <v>2209</v>
      </c>
      <c r="B2469" s="8" t="s">
        <v>75</v>
      </c>
      <c r="C2469" s="8" t="s">
        <v>11293</v>
      </c>
      <c r="D2469" s="8" t="s">
        <v>8125</v>
      </c>
      <c r="E2469" s="8" t="s">
        <v>11294</v>
      </c>
      <c r="F2469" s="8" t="s">
        <v>151</v>
      </c>
      <c r="G2469" s="8" t="s">
        <v>11295</v>
      </c>
      <c r="H2469" s="8" t="s">
        <v>11296</v>
      </c>
      <c r="I2469" s="8" t="s">
        <v>208</v>
      </c>
      <c r="J2469" s="8" t="s">
        <v>11297</v>
      </c>
      <c r="K2469" s="8" t="s">
        <v>116</v>
      </c>
      <c r="L2469" s="8" t="s">
        <v>11298</v>
      </c>
    </row>
    <row r="2470" customFormat="false" ht="34.5" hidden="false" customHeight="true" outlineLevel="0" collapsed="false">
      <c r="A2470" s="8" t="n">
        <v>2210</v>
      </c>
      <c r="B2470" s="8" t="s">
        <v>75</v>
      </c>
      <c r="C2470" s="8" t="s">
        <v>11235</v>
      </c>
      <c r="D2470" s="8" t="s">
        <v>9094</v>
      </c>
      <c r="E2470" s="8" t="s">
        <v>11299</v>
      </c>
      <c r="F2470" s="8" t="s">
        <v>151</v>
      </c>
      <c r="G2470" s="8" t="s">
        <v>11086</v>
      </c>
      <c r="H2470" s="8" t="s">
        <v>11300</v>
      </c>
      <c r="I2470" s="8" t="s">
        <v>748</v>
      </c>
      <c r="J2470" s="8" t="s">
        <v>11301</v>
      </c>
      <c r="K2470" s="8"/>
      <c r="L2470" s="8" t="s">
        <v>11302</v>
      </c>
    </row>
    <row r="2471" customFormat="false" ht="34.5" hidden="false" customHeight="true" outlineLevel="0" collapsed="false">
      <c r="A2471" s="8" t="n">
        <v>2211</v>
      </c>
      <c r="B2471" s="8" t="s">
        <v>75</v>
      </c>
      <c r="C2471" s="8" t="s">
        <v>11303</v>
      </c>
      <c r="D2471" s="8" t="s">
        <v>8125</v>
      </c>
      <c r="E2471" s="8" t="s">
        <v>11304</v>
      </c>
      <c r="F2471" s="8" t="s">
        <v>10512</v>
      </c>
      <c r="G2471" s="8" t="s">
        <v>11305</v>
      </c>
      <c r="H2471" s="8" t="s">
        <v>11306</v>
      </c>
      <c r="I2471" s="8" t="s">
        <v>146</v>
      </c>
      <c r="J2471" s="8" t="s">
        <v>11307</v>
      </c>
      <c r="K2471" s="8" t="s">
        <v>114</v>
      </c>
      <c r="L2471" s="8" t="s">
        <v>11308</v>
      </c>
    </row>
    <row r="2472" customFormat="false" ht="34.5" hidden="false" customHeight="true" outlineLevel="0" collapsed="false">
      <c r="A2472" s="8" t="n">
        <v>2212</v>
      </c>
      <c r="B2472" s="8" t="s">
        <v>75</v>
      </c>
      <c r="C2472" s="8" t="s">
        <v>11309</v>
      </c>
      <c r="D2472" s="8" t="s">
        <v>8134</v>
      </c>
      <c r="E2472" s="8" t="s">
        <v>11310</v>
      </c>
      <c r="F2472" s="8" t="s">
        <v>10512</v>
      </c>
      <c r="G2472" s="8" t="s">
        <v>11311</v>
      </c>
      <c r="H2472" s="8" t="s">
        <v>11312</v>
      </c>
      <c r="I2472" s="8" t="s">
        <v>146</v>
      </c>
      <c r="J2472" s="8" t="s">
        <v>11313</v>
      </c>
      <c r="K2472" s="8" t="s">
        <v>116</v>
      </c>
      <c r="L2472" s="8" t="s">
        <v>11314</v>
      </c>
    </row>
    <row r="2473" customFormat="false" ht="34.5" hidden="false" customHeight="true" outlineLevel="0" collapsed="false">
      <c r="A2473" s="8" t="n">
        <v>2213</v>
      </c>
      <c r="B2473" s="8" t="s">
        <v>75</v>
      </c>
      <c r="C2473" s="8" t="s">
        <v>10945</v>
      </c>
      <c r="D2473" s="8" t="s">
        <v>9094</v>
      </c>
      <c r="E2473" s="8" t="s">
        <v>11315</v>
      </c>
      <c r="F2473" s="8" t="s">
        <v>10652</v>
      </c>
      <c r="G2473" s="8" t="s">
        <v>11316</v>
      </c>
      <c r="H2473" s="8" t="s">
        <v>11317</v>
      </c>
      <c r="I2473" s="8" t="s">
        <v>146</v>
      </c>
      <c r="J2473" s="8" t="s">
        <v>11318</v>
      </c>
      <c r="K2473" s="8" t="s">
        <v>116</v>
      </c>
      <c r="L2473" s="8" t="s">
        <v>11319</v>
      </c>
    </row>
    <row r="2474" customFormat="false" ht="34.5" hidden="false" customHeight="true" outlineLevel="0" collapsed="false">
      <c r="A2474" s="8" t="n">
        <v>2214</v>
      </c>
      <c r="B2474" s="8" t="s">
        <v>75</v>
      </c>
      <c r="C2474" s="8" t="s">
        <v>11320</v>
      </c>
      <c r="D2474" s="8" t="s">
        <v>9061</v>
      </c>
      <c r="E2474" s="8" t="s">
        <v>11321</v>
      </c>
      <c r="F2474" s="8" t="s">
        <v>143</v>
      </c>
      <c r="G2474" s="8" t="s">
        <v>11322</v>
      </c>
      <c r="H2474" s="8" t="s">
        <v>145</v>
      </c>
      <c r="I2474" s="8" t="s">
        <v>146</v>
      </c>
      <c r="J2474" s="8" t="s">
        <v>11323</v>
      </c>
      <c r="K2474" s="8"/>
      <c r="L2474" s="8" t="s">
        <v>11324</v>
      </c>
    </row>
    <row r="2475" customFormat="false" ht="34.5" hidden="false" customHeight="true" outlineLevel="0" collapsed="false">
      <c r="A2475" s="8" t="n">
        <v>2215</v>
      </c>
      <c r="B2475" s="8" t="s">
        <v>75</v>
      </c>
      <c r="C2475" s="8" t="s">
        <v>11325</v>
      </c>
      <c r="D2475" s="8" t="s">
        <v>8140</v>
      </c>
      <c r="E2475" s="8" t="s">
        <v>11326</v>
      </c>
      <c r="F2475" s="8" t="s">
        <v>1645</v>
      </c>
      <c r="G2475" s="8" t="s">
        <v>11327</v>
      </c>
      <c r="H2475" s="8" t="s">
        <v>11328</v>
      </c>
      <c r="I2475" s="8" t="s">
        <v>208</v>
      </c>
      <c r="J2475" s="8" t="s">
        <v>11329</v>
      </c>
      <c r="K2475" s="8"/>
      <c r="L2475" s="8" t="s">
        <v>11330</v>
      </c>
    </row>
    <row r="2476" customFormat="false" ht="34.5" hidden="false" customHeight="true" outlineLevel="0" collapsed="false">
      <c r="A2476" s="8" t="n">
        <v>2216</v>
      </c>
      <c r="B2476" s="8" t="s">
        <v>75</v>
      </c>
      <c r="C2476" s="8" t="s">
        <v>11331</v>
      </c>
      <c r="D2476" s="8" t="s">
        <v>9094</v>
      </c>
      <c r="E2476" s="8" t="s">
        <v>11332</v>
      </c>
      <c r="F2476" s="8" t="s">
        <v>11202</v>
      </c>
      <c r="G2476" s="8" t="s">
        <v>213</v>
      </c>
      <c r="H2476" s="8" t="s">
        <v>145</v>
      </c>
      <c r="I2476" s="8" t="s">
        <v>748</v>
      </c>
      <c r="J2476" s="8" t="s">
        <v>11333</v>
      </c>
      <c r="K2476" s="8"/>
      <c r="L2476" s="8" t="s">
        <v>11334</v>
      </c>
    </row>
    <row r="2477" customFormat="false" ht="34.5" hidden="false" customHeight="true" outlineLevel="0" collapsed="false">
      <c r="A2477" s="8" t="n">
        <v>2217</v>
      </c>
      <c r="B2477" s="8" t="s">
        <v>75</v>
      </c>
      <c r="C2477" s="8" t="s">
        <v>11335</v>
      </c>
      <c r="D2477" s="8" t="s">
        <v>9061</v>
      </c>
      <c r="E2477" s="8" t="s">
        <v>11336</v>
      </c>
      <c r="F2477" s="8" t="s">
        <v>11337</v>
      </c>
      <c r="G2477" s="8" t="s">
        <v>11077</v>
      </c>
      <c r="H2477" s="8" t="s">
        <v>145</v>
      </c>
      <c r="I2477" s="8" t="s">
        <v>387</v>
      </c>
      <c r="J2477" s="8" t="s">
        <v>11338</v>
      </c>
      <c r="K2477" s="8" t="s">
        <v>116</v>
      </c>
      <c r="L2477" s="8" t="s">
        <v>11339</v>
      </c>
    </row>
    <row r="2478" customFormat="false" ht="34.5" hidden="false" customHeight="true" outlineLevel="0" collapsed="false">
      <c r="A2478" s="8" t="n">
        <v>2218</v>
      </c>
      <c r="B2478" s="8" t="s">
        <v>75</v>
      </c>
      <c r="C2478" s="8" t="s">
        <v>11340</v>
      </c>
      <c r="D2478" s="8" t="s">
        <v>8125</v>
      </c>
      <c r="E2478" s="8" t="s">
        <v>11341</v>
      </c>
      <c r="F2478" s="8" t="s">
        <v>201</v>
      </c>
      <c r="G2478" s="8" t="s">
        <v>11342</v>
      </c>
      <c r="H2478" s="8" t="s">
        <v>145</v>
      </c>
      <c r="I2478" s="8" t="s">
        <v>146</v>
      </c>
      <c r="J2478" s="8" t="s">
        <v>11343</v>
      </c>
      <c r="K2478" s="8"/>
      <c r="L2478" s="8" t="s">
        <v>11344</v>
      </c>
    </row>
    <row r="2479" customFormat="false" ht="34.5" hidden="false" customHeight="true" outlineLevel="0" collapsed="false">
      <c r="A2479" s="8" t="n">
        <v>2219</v>
      </c>
      <c r="B2479" s="8" t="s">
        <v>75</v>
      </c>
      <c r="C2479" s="8" t="s">
        <v>11345</v>
      </c>
      <c r="D2479" s="8" t="s">
        <v>8125</v>
      </c>
      <c r="E2479" s="8" t="s">
        <v>11346</v>
      </c>
      <c r="F2479" s="8" t="s">
        <v>151</v>
      </c>
      <c r="G2479" s="8" t="s">
        <v>11347</v>
      </c>
      <c r="H2479" s="8" t="s">
        <v>11348</v>
      </c>
      <c r="I2479" s="8" t="s">
        <v>146</v>
      </c>
      <c r="J2479" s="8" t="s">
        <v>11349</v>
      </c>
      <c r="K2479" s="8"/>
      <c r="L2479" s="8" t="s">
        <v>11350</v>
      </c>
    </row>
    <row r="2480" customFormat="false" ht="34.5" hidden="false" customHeight="true" outlineLevel="0" collapsed="false">
      <c r="A2480" s="8" t="n">
        <v>2220</v>
      </c>
      <c r="B2480" s="8" t="s">
        <v>75</v>
      </c>
      <c r="C2480" s="8" t="s">
        <v>11351</v>
      </c>
      <c r="D2480" s="8" t="s">
        <v>8172</v>
      </c>
      <c r="E2480" s="8" t="s">
        <v>11352</v>
      </c>
      <c r="F2480" s="8" t="s">
        <v>10672</v>
      </c>
      <c r="G2480" s="8" t="s">
        <v>11353</v>
      </c>
      <c r="H2480" s="8" t="s">
        <v>327</v>
      </c>
      <c r="I2480" s="8" t="s">
        <v>146</v>
      </c>
      <c r="J2480" s="8" t="s">
        <v>11354</v>
      </c>
      <c r="K2480" s="8"/>
      <c r="L2480" s="8" t="s">
        <v>11355</v>
      </c>
    </row>
    <row r="2481" customFormat="false" ht="34.5" hidden="false" customHeight="true" outlineLevel="0" collapsed="false">
      <c r="A2481" s="8" t="n">
        <v>2221</v>
      </c>
      <c r="B2481" s="8" t="s">
        <v>75</v>
      </c>
      <c r="C2481" s="8" t="s">
        <v>11356</v>
      </c>
      <c r="D2481" s="8" t="s">
        <v>8298</v>
      </c>
      <c r="E2481" s="8" t="s">
        <v>11357</v>
      </c>
      <c r="F2481" s="8" t="s">
        <v>11358</v>
      </c>
      <c r="G2481" s="8" t="s">
        <v>11359</v>
      </c>
      <c r="H2481" s="8" t="s">
        <v>145</v>
      </c>
      <c r="I2481" s="8" t="s">
        <v>208</v>
      </c>
      <c r="J2481" s="8" t="s">
        <v>11360</v>
      </c>
      <c r="K2481" s="8"/>
      <c r="L2481" s="8" t="s">
        <v>11361</v>
      </c>
    </row>
    <row r="2482" customFormat="false" ht="34.5" hidden="false" customHeight="true" outlineLevel="0" collapsed="false">
      <c r="A2482" s="8" t="n">
        <v>2222</v>
      </c>
      <c r="B2482" s="8" t="s">
        <v>75</v>
      </c>
      <c r="C2482" s="8" t="s">
        <v>11362</v>
      </c>
      <c r="D2482" s="8" t="s">
        <v>8182</v>
      </c>
      <c r="E2482" s="8" t="s">
        <v>11363</v>
      </c>
      <c r="F2482" s="8" t="s">
        <v>10512</v>
      </c>
      <c r="G2482" s="8" t="s">
        <v>11364</v>
      </c>
      <c r="H2482" s="8" t="s">
        <v>181</v>
      </c>
      <c r="I2482" s="8" t="s">
        <v>146</v>
      </c>
      <c r="J2482" s="8" t="s">
        <v>11365</v>
      </c>
      <c r="K2482" s="8"/>
      <c r="L2482" s="8" t="s">
        <v>11366</v>
      </c>
    </row>
    <row r="2483" customFormat="false" ht="34.5" hidden="false" customHeight="true" outlineLevel="0" collapsed="false">
      <c r="A2483" s="8" t="n">
        <v>2223</v>
      </c>
      <c r="B2483" s="8" t="s">
        <v>75</v>
      </c>
      <c r="C2483" s="8" t="s">
        <v>11367</v>
      </c>
      <c r="D2483" s="8" t="s">
        <v>8140</v>
      </c>
      <c r="E2483" s="8" t="s">
        <v>11368</v>
      </c>
      <c r="F2483" s="8" t="s">
        <v>143</v>
      </c>
      <c r="G2483" s="8" t="s">
        <v>11369</v>
      </c>
      <c r="H2483" s="8" t="s">
        <v>4711</v>
      </c>
      <c r="I2483" s="8" t="s">
        <v>146</v>
      </c>
      <c r="J2483" s="8" t="s">
        <v>11370</v>
      </c>
      <c r="K2483" s="8"/>
      <c r="L2483" s="8" t="s">
        <v>11371</v>
      </c>
    </row>
    <row r="2484" customFormat="false" ht="34.5" hidden="false" customHeight="true" outlineLevel="0" collapsed="false">
      <c r="A2484" s="8" t="n">
        <v>2224</v>
      </c>
      <c r="B2484" s="8" t="s">
        <v>75</v>
      </c>
      <c r="C2484" s="8" t="s">
        <v>11372</v>
      </c>
      <c r="D2484" s="8" t="s">
        <v>8140</v>
      </c>
      <c r="E2484" s="8" t="s">
        <v>11373</v>
      </c>
      <c r="F2484" s="8" t="s">
        <v>201</v>
      </c>
      <c r="G2484" s="8" t="s">
        <v>1424</v>
      </c>
      <c r="H2484" s="8" t="s">
        <v>145</v>
      </c>
      <c r="I2484" s="8" t="s">
        <v>146</v>
      </c>
      <c r="J2484" s="8" t="s">
        <v>11374</v>
      </c>
      <c r="K2484" s="8"/>
      <c r="L2484" s="8" t="s">
        <v>11375</v>
      </c>
    </row>
    <row r="2485" customFormat="false" ht="34.5" hidden="false" customHeight="true" outlineLevel="0" collapsed="false">
      <c r="A2485" s="8" t="n">
        <v>2225</v>
      </c>
      <c r="B2485" s="8" t="s">
        <v>75</v>
      </c>
      <c r="C2485" s="8" t="s">
        <v>11376</v>
      </c>
      <c r="D2485" s="8" t="s">
        <v>8134</v>
      </c>
      <c r="E2485" s="8" t="s">
        <v>11377</v>
      </c>
      <c r="F2485" s="8" t="s">
        <v>143</v>
      </c>
      <c r="G2485" s="8" t="s">
        <v>11378</v>
      </c>
      <c r="H2485" s="8" t="s">
        <v>145</v>
      </c>
      <c r="I2485" s="8" t="s">
        <v>146</v>
      </c>
      <c r="J2485" s="8" t="s">
        <v>11379</v>
      </c>
      <c r="K2485" s="8"/>
      <c r="L2485" s="8" t="s">
        <v>11380</v>
      </c>
    </row>
    <row r="2486" customFormat="false" ht="34.5" hidden="false" customHeight="true" outlineLevel="0" collapsed="false">
      <c r="A2486" s="8" t="n">
        <v>2226</v>
      </c>
      <c r="B2486" s="8" t="s">
        <v>75</v>
      </c>
      <c r="C2486" s="8" t="s">
        <v>11381</v>
      </c>
      <c r="D2486" s="8" t="s">
        <v>8259</v>
      </c>
      <c r="E2486" s="8" t="s">
        <v>11382</v>
      </c>
      <c r="F2486" s="8" t="s">
        <v>4040</v>
      </c>
      <c r="G2486" s="8" t="s">
        <v>11383</v>
      </c>
      <c r="H2486" s="8" t="s">
        <v>7146</v>
      </c>
      <c r="I2486" s="8" t="s">
        <v>146</v>
      </c>
      <c r="J2486" s="8" t="s">
        <v>11384</v>
      </c>
      <c r="K2486" s="8"/>
      <c r="L2486" s="8" t="s">
        <v>11385</v>
      </c>
    </row>
    <row r="2487" customFormat="false" ht="34.5" hidden="false" customHeight="true" outlineLevel="0" collapsed="false">
      <c r="A2487" s="8" t="n">
        <v>2227</v>
      </c>
      <c r="B2487" s="8" t="s">
        <v>75</v>
      </c>
      <c r="C2487" s="8" t="s">
        <v>11386</v>
      </c>
      <c r="D2487" s="8" t="s">
        <v>11387</v>
      </c>
      <c r="E2487" s="8" t="s">
        <v>11388</v>
      </c>
      <c r="F2487" s="8" t="s">
        <v>11108</v>
      </c>
      <c r="G2487" s="8" t="s">
        <v>11389</v>
      </c>
      <c r="H2487" s="8" t="s">
        <v>181</v>
      </c>
      <c r="I2487" s="8" t="s">
        <v>146</v>
      </c>
      <c r="J2487" s="8" t="s">
        <v>11390</v>
      </c>
      <c r="K2487" s="8" t="s">
        <v>114</v>
      </c>
      <c r="L2487" s="8" t="s">
        <v>11391</v>
      </c>
    </row>
    <row r="2488" customFormat="false" ht="34.5" hidden="false" customHeight="true" outlineLevel="0" collapsed="false">
      <c r="A2488" s="8" t="n">
        <v>2228</v>
      </c>
      <c r="B2488" s="8" t="s">
        <v>75</v>
      </c>
      <c r="C2488" s="8" t="s">
        <v>11392</v>
      </c>
      <c r="D2488" s="8" t="s">
        <v>9094</v>
      </c>
      <c r="E2488" s="8" t="s">
        <v>11393</v>
      </c>
      <c r="F2488" s="8" t="s">
        <v>4040</v>
      </c>
      <c r="G2488" s="8" t="s">
        <v>11046</v>
      </c>
      <c r="H2488" s="8" t="s">
        <v>145</v>
      </c>
      <c r="I2488" s="8" t="s">
        <v>146</v>
      </c>
      <c r="J2488" s="8" t="s">
        <v>11394</v>
      </c>
      <c r="K2488" s="8"/>
      <c r="L2488" s="8" t="s">
        <v>11395</v>
      </c>
    </row>
    <row r="2489" customFormat="false" ht="34.5" hidden="false" customHeight="true" outlineLevel="0" collapsed="false">
      <c r="A2489" s="8" t="n">
        <v>2229</v>
      </c>
      <c r="B2489" s="8" t="s">
        <v>75</v>
      </c>
      <c r="C2489" s="8" t="s">
        <v>2603</v>
      </c>
      <c r="D2489" s="8" t="s">
        <v>9061</v>
      </c>
      <c r="E2489" s="8" t="s">
        <v>11396</v>
      </c>
      <c r="F2489" s="8" t="s">
        <v>151</v>
      </c>
      <c r="G2489" s="8" t="s">
        <v>11397</v>
      </c>
      <c r="H2489" s="8" t="s">
        <v>145</v>
      </c>
      <c r="I2489" s="8" t="s">
        <v>146</v>
      </c>
      <c r="J2489" s="8" t="s">
        <v>11398</v>
      </c>
      <c r="K2489" s="8"/>
      <c r="L2489" s="8" t="s">
        <v>11399</v>
      </c>
    </row>
    <row r="2490" customFormat="false" ht="34.5" hidden="false" customHeight="true" outlineLevel="0" collapsed="false">
      <c r="A2490" s="8" t="n">
        <v>2230</v>
      </c>
      <c r="B2490" s="8" t="s">
        <v>75</v>
      </c>
      <c r="C2490" s="8" t="s">
        <v>11400</v>
      </c>
      <c r="D2490" s="8" t="s">
        <v>9061</v>
      </c>
      <c r="E2490" s="8" t="s">
        <v>11401</v>
      </c>
      <c r="F2490" s="8" t="s">
        <v>201</v>
      </c>
      <c r="G2490" s="8" t="s">
        <v>11402</v>
      </c>
      <c r="H2490" s="8" t="s">
        <v>145</v>
      </c>
      <c r="I2490" s="8" t="s">
        <v>748</v>
      </c>
      <c r="J2490" s="8" t="s">
        <v>11403</v>
      </c>
      <c r="K2490" s="8"/>
      <c r="L2490" s="8" t="s">
        <v>11404</v>
      </c>
    </row>
    <row r="2491" customFormat="false" ht="34.5" hidden="false" customHeight="true" outlineLevel="0" collapsed="false">
      <c r="A2491" s="8" t="n">
        <v>2231</v>
      </c>
      <c r="B2491" s="8" t="s">
        <v>75</v>
      </c>
      <c r="C2491" s="8" t="s">
        <v>11405</v>
      </c>
      <c r="D2491" s="8" t="s">
        <v>8134</v>
      </c>
      <c r="E2491" s="8" t="s">
        <v>11406</v>
      </c>
      <c r="F2491" s="8" t="s">
        <v>11407</v>
      </c>
      <c r="G2491" s="8" t="s">
        <v>1080</v>
      </c>
      <c r="H2491" s="8" t="s">
        <v>145</v>
      </c>
      <c r="I2491" s="8" t="s">
        <v>146</v>
      </c>
      <c r="J2491" s="8" t="s">
        <v>11408</v>
      </c>
      <c r="K2491" s="8"/>
      <c r="L2491" s="8" t="s">
        <v>11409</v>
      </c>
    </row>
    <row r="2492" customFormat="false" ht="34.5" hidden="false" customHeight="true" outlineLevel="0" collapsed="false">
      <c r="A2492" s="8" t="n">
        <v>2232</v>
      </c>
      <c r="B2492" s="8" t="s">
        <v>75</v>
      </c>
      <c r="C2492" s="8" t="s">
        <v>11410</v>
      </c>
      <c r="D2492" s="8" t="s">
        <v>8259</v>
      </c>
      <c r="E2492" s="8" t="s">
        <v>11411</v>
      </c>
      <c r="F2492" s="8" t="s">
        <v>151</v>
      </c>
      <c r="G2492" s="8" t="s">
        <v>572</v>
      </c>
      <c r="H2492" s="8" t="s">
        <v>11412</v>
      </c>
      <c r="I2492" s="8" t="s">
        <v>146</v>
      </c>
      <c r="J2492" s="8" t="s">
        <v>11413</v>
      </c>
      <c r="K2492" s="8" t="s">
        <v>114</v>
      </c>
      <c r="L2492" s="8" t="s">
        <v>11414</v>
      </c>
    </row>
    <row r="2493" customFormat="false" ht="34.5" hidden="false" customHeight="true" outlineLevel="0" collapsed="false">
      <c r="A2493" s="9" t="n">
        <v>2233</v>
      </c>
      <c r="B2493" s="10" t="s">
        <v>75</v>
      </c>
      <c r="C2493" s="10" t="s">
        <v>1940</v>
      </c>
      <c r="D2493" s="10" t="s">
        <v>9061</v>
      </c>
      <c r="E2493" s="10" t="s">
        <v>11415</v>
      </c>
      <c r="F2493" s="10" t="s">
        <v>8720</v>
      </c>
      <c r="G2493" s="10" t="s">
        <v>10808</v>
      </c>
      <c r="H2493" s="10" t="s">
        <v>1213</v>
      </c>
      <c r="I2493" s="10" t="s">
        <v>146</v>
      </c>
      <c r="J2493" s="10" t="s">
        <v>11416</v>
      </c>
      <c r="K2493" s="10" t="s">
        <v>112</v>
      </c>
      <c r="L2493" s="10" t="s">
        <v>11417</v>
      </c>
    </row>
    <row r="2494" customFormat="false" ht="34.5" hidden="false" customHeight="true" outlineLevel="0" collapsed="false">
      <c r="A2494" s="11" t="n">
        <v>2233</v>
      </c>
      <c r="B2494" s="12" t="s">
        <v>75</v>
      </c>
      <c r="C2494" s="12" t="s">
        <v>1940</v>
      </c>
      <c r="D2494" s="12" t="s">
        <v>9061</v>
      </c>
      <c r="E2494" s="12" t="s">
        <v>11415</v>
      </c>
      <c r="F2494" s="12" t="s">
        <v>3677</v>
      </c>
      <c r="G2494" s="12" t="s">
        <v>11418</v>
      </c>
      <c r="H2494" s="12" t="s">
        <v>1213</v>
      </c>
      <c r="I2494" s="12" t="s">
        <v>146</v>
      </c>
      <c r="J2494" s="12" t="s">
        <v>11419</v>
      </c>
      <c r="K2494" s="12" t="s">
        <v>112</v>
      </c>
      <c r="L2494" s="12" t="s">
        <v>11420</v>
      </c>
    </row>
    <row r="2495" customFormat="false" ht="34.5" hidden="false" customHeight="true" outlineLevel="0" collapsed="false">
      <c r="A2495" s="8" t="n">
        <v>2234</v>
      </c>
      <c r="B2495" s="8" t="s">
        <v>75</v>
      </c>
      <c r="C2495" s="8" t="s">
        <v>3243</v>
      </c>
      <c r="D2495" s="8" t="s">
        <v>9061</v>
      </c>
      <c r="E2495" s="8" t="s">
        <v>11421</v>
      </c>
      <c r="F2495" s="8" t="s">
        <v>201</v>
      </c>
      <c r="G2495" s="8" t="s">
        <v>11422</v>
      </c>
      <c r="H2495" s="8" t="s">
        <v>11423</v>
      </c>
      <c r="I2495" s="8" t="s">
        <v>208</v>
      </c>
      <c r="J2495" s="8" t="s">
        <v>11424</v>
      </c>
      <c r="K2495" s="8" t="s">
        <v>116</v>
      </c>
      <c r="L2495" s="8" t="s">
        <v>11425</v>
      </c>
    </row>
    <row r="2496" customFormat="false" ht="34.5" hidden="false" customHeight="true" outlineLevel="0" collapsed="false">
      <c r="A2496" s="8" t="n">
        <v>2235</v>
      </c>
      <c r="B2496" s="8" t="s">
        <v>75</v>
      </c>
      <c r="C2496" s="8" t="s">
        <v>11071</v>
      </c>
      <c r="D2496" s="8" t="s">
        <v>9061</v>
      </c>
      <c r="E2496" s="8" t="s">
        <v>11426</v>
      </c>
      <c r="F2496" s="8" t="s">
        <v>151</v>
      </c>
      <c r="G2496" s="8" t="s">
        <v>11427</v>
      </c>
      <c r="H2496" s="8" t="s">
        <v>11428</v>
      </c>
      <c r="I2496" s="8" t="s">
        <v>208</v>
      </c>
      <c r="J2496" s="8" t="s">
        <v>11429</v>
      </c>
      <c r="K2496" s="8"/>
      <c r="L2496" s="8" t="s">
        <v>11430</v>
      </c>
    </row>
    <row r="2497" customFormat="false" ht="34.5" hidden="false" customHeight="true" outlineLevel="0" collapsed="false">
      <c r="A2497" s="8" t="n">
        <v>2236</v>
      </c>
      <c r="B2497" s="8" t="s">
        <v>75</v>
      </c>
      <c r="C2497" s="8" t="s">
        <v>11431</v>
      </c>
      <c r="D2497" s="8" t="s">
        <v>9061</v>
      </c>
      <c r="E2497" s="8" t="s">
        <v>11432</v>
      </c>
      <c r="F2497" s="8" t="s">
        <v>151</v>
      </c>
      <c r="G2497" s="8" t="s">
        <v>11433</v>
      </c>
      <c r="H2497" s="8" t="s">
        <v>145</v>
      </c>
      <c r="I2497" s="8" t="s">
        <v>146</v>
      </c>
      <c r="J2497" s="8" t="s">
        <v>11434</v>
      </c>
      <c r="K2497" s="8"/>
      <c r="L2497" s="8" t="s">
        <v>11435</v>
      </c>
    </row>
    <row r="2498" customFormat="false" ht="34.5" hidden="false" customHeight="true" outlineLevel="0" collapsed="false">
      <c r="A2498" s="8" t="n">
        <v>2237</v>
      </c>
      <c r="B2498" s="8" t="s">
        <v>75</v>
      </c>
      <c r="C2498" s="8" t="s">
        <v>11436</v>
      </c>
      <c r="D2498" s="8" t="s">
        <v>8140</v>
      </c>
      <c r="E2498" s="8" t="s">
        <v>11437</v>
      </c>
      <c r="F2498" s="8" t="s">
        <v>11014</v>
      </c>
      <c r="G2498" s="8" t="s">
        <v>11438</v>
      </c>
      <c r="H2498" s="8" t="s">
        <v>11439</v>
      </c>
      <c r="I2498" s="8" t="s">
        <v>146</v>
      </c>
      <c r="J2498" s="8" t="s">
        <v>11440</v>
      </c>
      <c r="K2498" s="8"/>
      <c r="L2498" s="8" t="s">
        <v>11441</v>
      </c>
    </row>
    <row r="2499" customFormat="false" ht="34.5" hidden="false" customHeight="true" outlineLevel="0" collapsed="false">
      <c r="A2499" s="8" t="n">
        <v>2238</v>
      </c>
      <c r="B2499" s="8" t="s">
        <v>75</v>
      </c>
      <c r="C2499" s="8" t="s">
        <v>11084</v>
      </c>
      <c r="D2499" s="8" t="s">
        <v>9094</v>
      </c>
      <c r="E2499" s="8" t="s">
        <v>11442</v>
      </c>
      <c r="F2499" s="8" t="s">
        <v>151</v>
      </c>
      <c r="G2499" s="8" t="s">
        <v>11443</v>
      </c>
      <c r="H2499" s="8" t="s">
        <v>11444</v>
      </c>
      <c r="I2499" s="8" t="s">
        <v>146</v>
      </c>
      <c r="J2499" s="8" t="s">
        <v>11445</v>
      </c>
      <c r="K2499" s="8"/>
      <c r="L2499" s="8" t="s">
        <v>11446</v>
      </c>
    </row>
    <row r="2500" customFormat="false" ht="34.5" hidden="false" customHeight="true" outlineLevel="0" collapsed="false">
      <c r="A2500" s="8" t="n">
        <v>2239</v>
      </c>
      <c r="B2500" s="8" t="s">
        <v>75</v>
      </c>
      <c r="C2500" s="8" t="s">
        <v>11447</v>
      </c>
      <c r="D2500" s="8" t="s">
        <v>9061</v>
      </c>
      <c r="E2500" s="8" t="s">
        <v>11448</v>
      </c>
      <c r="F2500" s="8" t="s">
        <v>151</v>
      </c>
      <c r="G2500" s="8" t="s">
        <v>11449</v>
      </c>
      <c r="H2500" s="8" t="s">
        <v>11450</v>
      </c>
      <c r="I2500" s="8" t="s">
        <v>387</v>
      </c>
      <c r="J2500" s="8" t="s">
        <v>11451</v>
      </c>
      <c r="K2500" s="8"/>
      <c r="L2500" s="8" t="s">
        <v>11452</v>
      </c>
    </row>
    <row r="2501" customFormat="false" ht="34.5" hidden="false" customHeight="true" outlineLevel="0" collapsed="false">
      <c r="A2501" s="8" t="n">
        <v>2240</v>
      </c>
      <c r="B2501" s="8" t="s">
        <v>75</v>
      </c>
      <c r="C2501" s="8" t="s">
        <v>1476</v>
      </c>
      <c r="D2501" s="8" t="s">
        <v>9061</v>
      </c>
      <c r="E2501" s="8" t="s">
        <v>11453</v>
      </c>
      <c r="F2501" s="8" t="s">
        <v>11108</v>
      </c>
      <c r="G2501" s="8" t="s">
        <v>11454</v>
      </c>
      <c r="H2501" s="8" t="s">
        <v>11455</v>
      </c>
      <c r="I2501" s="8" t="s">
        <v>146</v>
      </c>
      <c r="J2501" s="8" t="s">
        <v>11456</v>
      </c>
      <c r="K2501" s="8"/>
      <c r="L2501" s="8" t="s">
        <v>11457</v>
      </c>
    </row>
    <row r="2502" customFormat="false" ht="34.5" hidden="false" customHeight="true" outlineLevel="0" collapsed="false">
      <c r="A2502" s="8" t="n">
        <v>2241</v>
      </c>
      <c r="B2502" s="8" t="s">
        <v>75</v>
      </c>
      <c r="C2502" s="8" t="s">
        <v>11458</v>
      </c>
      <c r="D2502" s="8" t="s">
        <v>9061</v>
      </c>
      <c r="E2502" s="8" t="s">
        <v>11459</v>
      </c>
      <c r="F2502" s="8" t="s">
        <v>11108</v>
      </c>
      <c r="G2502" s="8" t="s">
        <v>11460</v>
      </c>
      <c r="H2502" s="8" t="s">
        <v>5455</v>
      </c>
      <c r="I2502" s="8" t="s">
        <v>146</v>
      </c>
      <c r="J2502" s="8" t="s">
        <v>11461</v>
      </c>
      <c r="K2502" s="8"/>
      <c r="L2502" s="8" t="s">
        <v>11462</v>
      </c>
    </row>
    <row r="2503" customFormat="false" ht="34.5" hidden="false" customHeight="true" outlineLevel="0" collapsed="false">
      <c r="A2503" s="8" t="n">
        <v>2242</v>
      </c>
      <c r="B2503" s="8" t="s">
        <v>75</v>
      </c>
      <c r="C2503" s="8" t="s">
        <v>11463</v>
      </c>
      <c r="D2503" s="8" t="s">
        <v>8125</v>
      </c>
      <c r="E2503" s="8" t="s">
        <v>11464</v>
      </c>
      <c r="F2503" s="8" t="s">
        <v>9198</v>
      </c>
      <c r="G2503" s="8" t="s">
        <v>11465</v>
      </c>
      <c r="H2503" s="8" t="s">
        <v>145</v>
      </c>
      <c r="I2503" s="8" t="s">
        <v>146</v>
      </c>
      <c r="J2503" s="8" t="s">
        <v>11466</v>
      </c>
      <c r="K2503" s="8"/>
      <c r="L2503" s="8" t="s">
        <v>11467</v>
      </c>
    </row>
    <row r="2504" customFormat="false" ht="23.25" hidden="false" customHeight="true" outlineLevel="0" collapsed="false">
      <c r="A2504" s="8" t="n">
        <v>2243</v>
      </c>
      <c r="B2504" s="8" t="s">
        <v>75</v>
      </c>
      <c r="C2504" s="8" t="s">
        <v>11056</v>
      </c>
      <c r="D2504" s="8" t="s">
        <v>11387</v>
      </c>
      <c r="E2504" s="8" t="s">
        <v>11468</v>
      </c>
      <c r="F2504" s="8" t="s">
        <v>143</v>
      </c>
      <c r="G2504" s="8" t="s">
        <v>11469</v>
      </c>
      <c r="H2504" s="8" t="s">
        <v>4711</v>
      </c>
      <c r="I2504" s="8" t="s">
        <v>146</v>
      </c>
      <c r="J2504" s="8" t="s">
        <v>11470</v>
      </c>
      <c r="K2504" s="8" t="s">
        <v>116</v>
      </c>
      <c r="L2504" s="8" t="s">
        <v>11471</v>
      </c>
    </row>
    <row r="2505" customFormat="false" ht="34.5" hidden="false" customHeight="true" outlineLevel="0" collapsed="false">
      <c r="A2505" s="8" t="n">
        <v>2244</v>
      </c>
      <c r="B2505" s="8" t="s">
        <v>75</v>
      </c>
      <c r="C2505" s="8" t="s">
        <v>11472</v>
      </c>
      <c r="D2505" s="8" t="s">
        <v>8134</v>
      </c>
      <c r="E2505" s="8" t="s">
        <v>11473</v>
      </c>
      <c r="F2505" s="8" t="s">
        <v>3817</v>
      </c>
      <c r="G2505" s="8" t="s">
        <v>798</v>
      </c>
      <c r="H2505" s="8" t="s">
        <v>145</v>
      </c>
      <c r="I2505" s="8" t="s">
        <v>146</v>
      </c>
      <c r="J2505" s="8" t="s">
        <v>11474</v>
      </c>
      <c r="K2505" s="8" t="s">
        <v>116</v>
      </c>
      <c r="L2505" s="8" t="s">
        <v>11475</v>
      </c>
    </row>
    <row r="2506" customFormat="false" ht="34.5" hidden="false" customHeight="true" outlineLevel="0" collapsed="false">
      <c r="A2506" s="8" t="n">
        <v>2245</v>
      </c>
      <c r="B2506" s="8" t="s">
        <v>75</v>
      </c>
      <c r="C2506" s="8" t="s">
        <v>11476</v>
      </c>
      <c r="D2506" s="8" t="s">
        <v>8134</v>
      </c>
      <c r="E2506" s="8" t="s">
        <v>11477</v>
      </c>
      <c r="F2506" s="8" t="s">
        <v>143</v>
      </c>
      <c r="G2506" s="8" t="s">
        <v>11478</v>
      </c>
      <c r="H2506" s="8" t="s">
        <v>145</v>
      </c>
      <c r="I2506" s="8" t="s">
        <v>146</v>
      </c>
      <c r="J2506" s="8" t="s">
        <v>11479</v>
      </c>
      <c r="K2506" s="8"/>
      <c r="L2506" s="8" t="s">
        <v>11480</v>
      </c>
    </row>
    <row r="2507" customFormat="false" ht="34.5" hidden="false" customHeight="true" outlineLevel="0" collapsed="false">
      <c r="A2507" s="8" t="n">
        <v>2246</v>
      </c>
      <c r="B2507" s="8" t="s">
        <v>75</v>
      </c>
      <c r="C2507" s="8" t="s">
        <v>11481</v>
      </c>
      <c r="D2507" s="8" t="s">
        <v>9061</v>
      </c>
      <c r="E2507" s="8" t="s">
        <v>11482</v>
      </c>
      <c r="F2507" s="8" t="s">
        <v>11108</v>
      </c>
      <c r="G2507" s="8" t="s">
        <v>11483</v>
      </c>
      <c r="H2507" s="8" t="s">
        <v>11484</v>
      </c>
      <c r="I2507" s="8" t="s">
        <v>146</v>
      </c>
      <c r="J2507" s="8" t="s">
        <v>11485</v>
      </c>
      <c r="K2507" s="8" t="s">
        <v>116</v>
      </c>
      <c r="L2507" s="8" t="s">
        <v>11486</v>
      </c>
    </row>
    <row r="2508" customFormat="false" ht="34.5" hidden="false" customHeight="true" outlineLevel="0" collapsed="false">
      <c r="A2508" s="8" t="n">
        <v>2247</v>
      </c>
      <c r="B2508" s="8" t="s">
        <v>75</v>
      </c>
      <c r="C2508" s="8" t="s">
        <v>11487</v>
      </c>
      <c r="D2508" s="8" t="s">
        <v>8140</v>
      </c>
      <c r="E2508" s="8" t="s">
        <v>11488</v>
      </c>
      <c r="F2508" s="8" t="s">
        <v>11489</v>
      </c>
      <c r="G2508" s="8" t="s">
        <v>11490</v>
      </c>
      <c r="H2508" s="8" t="s">
        <v>11491</v>
      </c>
      <c r="I2508" s="8" t="s">
        <v>146</v>
      </c>
      <c r="J2508" s="8" t="s">
        <v>11492</v>
      </c>
      <c r="K2508" s="8"/>
      <c r="L2508" s="8" t="s">
        <v>11493</v>
      </c>
    </row>
    <row r="2509" customFormat="false" ht="34.5" hidden="false" customHeight="true" outlineLevel="0" collapsed="false">
      <c r="A2509" s="8" t="n">
        <v>2248</v>
      </c>
      <c r="B2509" s="8" t="s">
        <v>75</v>
      </c>
      <c r="C2509" s="8" t="s">
        <v>11494</v>
      </c>
      <c r="D2509" s="8" t="s">
        <v>9061</v>
      </c>
      <c r="E2509" s="8" t="s">
        <v>11495</v>
      </c>
      <c r="F2509" s="8" t="s">
        <v>151</v>
      </c>
      <c r="G2509" s="8" t="s">
        <v>11496</v>
      </c>
      <c r="H2509" s="8" t="s">
        <v>11497</v>
      </c>
      <c r="I2509" s="8" t="s">
        <v>146</v>
      </c>
      <c r="J2509" s="8" t="s">
        <v>11498</v>
      </c>
      <c r="K2509" s="8"/>
      <c r="L2509" s="8" t="s">
        <v>11499</v>
      </c>
    </row>
    <row r="2510" customFormat="false" ht="34.5" hidden="false" customHeight="true" outlineLevel="0" collapsed="false">
      <c r="A2510" s="8" t="n">
        <v>2249</v>
      </c>
      <c r="B2510" s="8" t="s">
        <v>75</v>
      </c>
      <c r="C2510" s="8" t="s">
        <v>11500</v>
      </c>
      <c r="D2510" s="8" t="s">
        <v>8125</v>
      </c>
      <c r="E2510" s="8" t="s">
        <v>11501</v>
      </c>
      <c r="F2510" s="8" t="s">
        <v>151</v>
      </c>
      <c r="G2510" s="8" t="s">
        <v>11502</v>
      </c>
      <c r="H2510" s="8" t="s">
        <v>11503</v>
      </c>
      <c r="I2510" s="8" t="s">
        <v>146</v>
      </c>
      <c r="J2510" s="8" t="s">
        <v>11504</v>
      </c>
      <c r="K2510" s="8"/>
      <c r="L2510" s="8" t="s">
        <v>11505</v>
      </c>
    </row>
    <row r="2511" customFormat="false" ht="34.5" hidden="false" customHeight="true" outlineLevel="0" collapsed="false">
      <c r="A2511" s="8" t="n">
        <v>2250</v>
      </c>
      <c r="B2511" s="8" t="s">
        <v>75</v>
      </c>
      <c r="C2511" s="8" t="s">
        <v>11506</v>
      </c>
      <c r="D2511" s="8" t="s">
        <v>8134</v>
      </c>
      <c r="E2511" s="8" t="s">
        <v>11507</v>
      </c>
      <c r="F2511" s="8" t="s">
        <v>10672</v>
      </c>
      <c r="G2511" s="8" t="s">
        <v>11508</v>
      </c>
      <c r="H2511" s="8" t="s">
        <v>678</v>
      </c>
      <c r="I2511" s="8" t="s">
        <v>146</v>
      </c>
      <c r="J2511" s="8" t="s">
        <v>11509</v>
      </c>
      <c r="K2511" s="8"/>
      <c r="L2511" s="8" t="s">
        <v>11510</v>
      </c>
    </row>
    <row r="2512" customFormat="false" ht="34.5" hidden="false" customHeight="true" outlineLevel="0" collapsed="false">
      <c r="A2512" s="8" t="n">
        <v>2251</v>
      </c>
      <c r="B2512" s="8" t="s">
        <v>75</v>
      </c>
      <c r="C2512" s="8" t="s">
        <v>11511</v>
      </c>
      <c r="D2512" s="8" t="s">
        <v>8125</v>
      </c>
      <c r="E2512" s="8" t="s">
        <v>11512</v>
      </c>
      <c r="F2512" s="8" t="s">
        <v>11108</v>
      </c>
      <c r="G2512" s="8" t="s">
        <v>11513</v>
      </c>
      <c r="H2512" s="8" t="s">
        <v>11514</v>
      </c>
      <c r="I2512" s="8" t="s">
        <v>146</v>
      </c>
      <c r="J2512" s="8" t="s">
        <v>11515</v>
      </c>
      <c r="K2512" s="8" t="s">
        <v>116</v>
      </c>
      <c r="L2512" s="8" t="s">
        <v>11516</v>
      </c>
    </row>
    <row r="2513" customFormat="false" ht="34.5" hidden="false" customHeight="true" outlineLevel="0" collapsed="false">
      <c r="A2513" s="8" t="n">
        <v>2252</v>
      </c>
      <c r="B2513" s="8" t="s">
        <v>75</v>
      </c>
      <c r="C2513" s="8" t="s">
        <v>11517</v>
      </c>
      <c r="D2513" s="8" t="s">
        <v>9094</v>
      </c>
      <c r="E2513" s="8" t="s">
        <v>11518</v>
      </c>
      <c r="F2513" s="8" t="s">
        <v>151</v>
      </c>
      <c r="G2513" s="8" t="s">
        <v>11519</v>
      </c>
      <c r="H2513" s="8" t="s">
        <v>11520</v>
      </c>
      <c r="I2513" s="8" t="s">
        <v>146</v>
      </c>
      <c r="J2513" s="8" t="s">
        <v>11521</v>
      </c>
      <c r="K2513" s="8"/>
      <c r="L2513" s="8" t="s">
        <v>11522</v>
      </c>
    </row>
    <row r="2514" customFormat="false" ht="34.5" hidden="false" customHeight="true" outlineLevel="0" collapsed="false">
      <c r="A2514" s="8" t="n">
        <v>2253</v>
      </c>
      <c r="B2514" s="8" t="s">
        <v>75</v>
      </c>
      <c r="C2514" s="8" t="s">
        <v>11523</v>
      </c>
      <c r="D2514" s="8" t="s">
        <v>8134</v>
      </c>
      <c r="E2514" s="8" t="s">
        <v>11524</v>
      </c>
      <c r="F2514" s="8" t="s">
        <v>151</v>
      </c>
      <c r="G2514" s="8" t="s">
        <v>10445</v>
      </c>
      <c r="H2514" s="8" t="s">
        <v>145</v>
      </c>
      <c r="I2514" s="8" t="s">
        <v>146</v>
      </c>
      <c r="J2514" s="8" t="s">
        <v>11525</v>
      </c>
      <c r="K2514" s="8"/>
      <c r="L2514" s="8" t="s">
        <v>11526</v>
      </c>
    </row>
    <row r="2515" customFormat="false" ht="34.5" hidden="false" customHeight="true" outlineLevel="0" collapsed="false">
      <c r="A2515" s="8" t="n">
        <v>2254</v>
      </c>
      <c r="B2515" s="8" t="s">
        <v>75</v>
      </c>
      <c r="C2515" s="8" t="s">
        <v>5984</v>
      </c>
      <c r="D2515" s="8" t="s">
        <v>8253</v>
      </c>
      <c r="E2515" s="8" t="s">
        <v>11527</v>
      </c>
      <c r="F2515" s="8" t="s">
        <v>201</v>
      </c>
      <c r="G2515" s="8" t="s">
        <v>11528</v>
      </c>
      <c r="H2515" s="8" t="s">
        <v>145</v>
      </c>
      <c r="I2515" s="8" t="s">
        <v>146</v>
      </c>
      <c r="J2515" s="8" t="s">
        <v>11529</v>
      </c>
      <c r="K2515" s="8"/>
      <c r="L2515" s="8" t="s">
        <v>11530</v>
      </c>
    </row>
    <row r="2516" customFormat="false" ht="34.5" hidden="false" customHeight="true" outlineLevel="0" collapsed="false">
      <c r="A2516" s="8" t="n">
        <v>2255</v>
      </c>
      <c r="B2516" s="8" t="s">
        <v>75</v>
      </c>
      <c r="C2516" s="8" t="s">
        <v>11531</v>
      </c>
      <c r="D2516" s="8" t="s">
        <v>9094</v>
      </c>
      <c r="E2516" s="8" t="s">
        <v>11532</v>
      </c>
      <c r="F2516" s="8" t="s">
        <v>10652</v>
      </c>
      <c r="G2516" s="8" t="s">
        <v>11533</v>
      </c>
      <c r="H2516" s="8" t="s">
        <v>1904</v>
      </c>
      <c r="I2516" s="8" t="s">
        <v>146</v>
      </c>
      <c r="J2516" s="8" t="s">
        <v>11534</v>
      </c>
      <c r="K2516" s="8" t="s">
        <v>116</v>
      </c>
      <c r="L2516" s="8" t="s">
        <v>11535</v>
      </c>
    </row>
    <row r="2517" customFormat="false" ht="34.5" hidden="false" customHeight="true" outlineLevel="0" collapsed="false">
      <c r="A2517" s="8" t="n">
        <v>2256</v>
      </c>
      <c r="B2517" s="8" t="s">
        <v>75</v>
      </c>
      <c r="C2517" s="8" t="s">
        <v>11536</v>
      </c>
      <c r="D2517" s="8" t="s">
        <v>9094</v>
      </c>
      <c r="E2517" s="8" t="s">
        <v>11537</v>
      </c>
      <c r="F2517" s="8" t="s">
        <v>10512</v>
      </c>
      <c r="G2517" s="8" t="s">
        <v>11538</v>
      </c>
      <c r="H2517" s="8" t="s">
        <v>11539</v>
      </c>
      <c r="I2517" s="8" t="s">
        <v>146</v>
      </c>
      <c r="J2517" s="8" t="s">
        <v>11540</v>
      </c>
      <c r="K2517" s="8" t="s">
        <v>116</v>
      </c>
      <c r="L2517" s="8" t="s">
        <v>11541</v>
      </c>
    </row>
    <row r="2518" customFormat="false" ht="34.5" hidden="false" customHeight="true" outlineLevel="0" collapsed="false">
      <c r="A2518" s="8" t="n">
        <v>2257</v>
      </c>
      <c r="B2518" s="8" t="s">
        <v>75</v>
      </c>
      <c r="C2518" s="8" t="s">
        <v>11542</v>
      </c>
      <c r="D2518" s="8" t="s">
        <v>9094</v>
      </c>
      <c r="E2518" s="8" t="s">
        <v>11543</v>
      </c>
      <c r="F2518" s="8" t="s">
        <v>10652</v>
      </c>
      <c r="G2518" s="8" t="s">
        <v>11544</v>
      </c>
      <c r="H2518" s="8" t="s">
        <v>1904</v>
      </c>
      <c r="I2518" s="8" t="s">
        <v>146</v>
      </c>
      <c r="J2518" s="8" t="s">
        <v>11545</v>
      </c>
      <c r="K2518" s="8" t="s">
        <v>114</v>
      </c>
      <c r="L2518" s="8" t="s">
        <v>11546</v>
      </c>
    </row>
    <row r="2519" customFormat="false" ht="34.5" hidden="false" customHeight="true" outlineLevel="0" collapsed="false">
      <c r="A2519" s="8" t="n">
        <v>2258</v>
      </c>
      <c r="B2519" s="8" t="s">
        <v>75</v>
      </c>
      <c r="C2519" s="8" t="s">
        <v>11547</v>
      </c>
      <c r="D2519" s="8" t="s">
        <v>9061</v>
      </c>
      <c r="E2519" s="8" t="s">
        <v>11548</v>
      </c>
      <c r="F2519" s="8" t="s">
        <v>4040</v>
      </c>
      <c r="G2519" s="8" t="s">
        <v>11549</v>
      </c>
      <c r="H2519" s="8" t="s">
        <v>11550</v>
      </c>
      <c r="I2519" s="8" t="s">
        <v>387</v>
      </c>
      <c r="J2519" s="8" t="s">
        <v>11551</v>
      </c>
      <c r="K2519" s="8"/>
      <c r="L2519" s="8" t="s">
        <v>11552</v>
      </c>
    </row>
    <row r="2520" customFormat="false" ht="34.5" hidden="false" customHeight="true" outlineLevel="0" collapsed="false">
      <c r="A2520" s="8" t="n">
        <v>2259</v>
      </c>
      <c r="B2520" s="8" t="s">
        <v>75</v>
      </c>
      <c r="C2520" s="8" t="s">
        <v>11553</v>
      </c>
      <c r="D2520" s="8" t="s">
        <v>9094</v>
      </c>
      <c r="E2520" s="8" t="s">
        <v>11554</v>
      </c>
      <c r="F2520" s="8" t="s">
        <v>11014</v>
      </c>
      <c r="G2520" s="8" t="s">
        <v>11555</v>
      </c>
      <c r="H2520" s="8" t="s">
        <v>11556</v>
      </c>
      <c r="I2520" s="8" t="s">
        <v>11094</v>
      </c>
      <c r="J2520" s="8" t="s">
        <v>11557</v>
      </c>
      <c r="K2520" s="8"/>
      <c r="L2520" s="8" t="s">
        <v>11558</v>
      </c>
    </row>
    <row r="2521" customFormat="false" ht="34.5" hidden="false" customHeight="true" outlineLevel="0" collapsed="false">
      <c r="A2521" s="8" t="n">
        <v>2260</v>
      </c>
      <c r="B2521" s="8" t="s">
        <v>75</v>
      </c>
      <c r="C2521" s="8" t="s">
        <v>11559</v>
      </c>
      <c r="D2521" s="8" t="s">
        <v>9094</v>
      </c>
      <c r="E2521" s="8" t="s">
        <v>11560</v>
      </c>
      <c r="F2521" s="8" t="s">
        <v>10512</v>
      </c>
      <c r="G2521" s="8" t="s">
        <v>11561</v>
      </c>
      <c r="H2521" s="8" t="s">
        <v>721</v>
      </c>
      <c r="I2521" s="8" t="s">
        <v>387</v>
      </c>
      <c r="J2521" s="8" t="s">
        <v>11562</v>
      </c>
      <c r="K2521" s="8"/>
      <c r="L2521" s="8" t="s">
        <v>11563</v>
      </c>
    </row>
    <row r="2522" customFormat="false" ht="34.5" hidden="false" customHeight="true" outlineLevel="0" collapsed="false">
      <c r="A2522" s="8" t="n">
        <v>2261</v>
      </c>
      <c r="B2522" s="8" t="s">
        <v>75</v>
      </c>
      <c r="C2522" s="8" t="s">
        <v>11564</v>
      </c>
      <c r="D2522" s="8" t="s">
        <v>9094</v>
      </c>
      <c r="E2522" s="8" t="s">
        <v>11565</v>
      </c>
      <c r="F2522" s="8" t="s">
        <v>10672</v>
      </c>
      <c r="G2522" s="8" t="s">
        <v>11566</v>
      </c>
      <c r="H2522" s="8" t="s">
        <v>145</v>
      </c>
      <c r="I2522" s="8" t="s">
        <v>146</v>
      </c>
      <c r="J2522" s="8" t="s">
        <v>11567</v>
      </c>
      <c r="K2522" s="8"/>
      <c r="L2522" s="8" t="s">
        <v>11568</v>
      </c>
    </row>
    <row r="2523" customFormat="false" ht="34.5" hidden="false" customHeight="true" outlineLevel="0" collapsed="false">
      <c r="A2523" s="8" t="n">
        <v>2262</v>
      </c>
      <c r="B2523" s="8" t="s">
        <v>75</v>
      </c>
      <c r="C2523" s="8" t="s">
        <v>11569</v>
      </c>
      <c r="D2523" s="8" t="s">
        <v>8134</v>
      </c>
      <c r="E2523" s="8" t="s">
        <v>11570</v>
      </c>
      <c r="F2523" s="8" t="s">
        <v>201</v>
      </c>
      <c r="G2523" s="8" t="s">
        <v>11433</v>
      </c>
      <c r="H2523" s="8" t="s">
        <v>145</v>
      </c>
      <c r="I2523" s="8" t="s">
        <v>146</v>
      </c>
      <c r="J2523" s="8" t="s">
        <v>11571</v>
      </c>
      <c r="K2523" s="8"/>
      <c r="L2523" s="8" t="s">
        <v>11572</v>
      </c>
    </row>
    <row r="2524" customFormat="false" ht="34.5" hidden="false" customHeight="true" outlineLevel="0" collapsed="false">
      <c r="A2524" s="8" t="n">
        <v>2263</v>
      </c>
      <c r="B2524" s="8" t="s">
        <v>75</v>
      </c>
      <c r="C2524" s="8" t="s">
        <v>11573</v>
      </c>
      <c r="D2524" s="8" t="s">
        <v>8134</v>
      </c>
      <c r="E2524" s="8" t="s">
        <v>11574</v>
      </c>
      <c r="F2524" s="8" t="s">
        <v>11108</v>
      </c>
      <c r="G2524" s="8" t="s">
        <v>11575</v>
      </c>
      <c r="H2524" s="8" t="s">
        <v>11576</v>
      </c>
      <c r="I2524" s="8" t="s">
        <v>11094</v>
      </c>
      <c r="J2524" s="8" t="s">
        <v>11577</v>
      </c>
      <c r="K2524" s="8"/>
      <c r="L2524" s="8" t="s">
        <v>11578</v>
      </c>
    </row>
    <row r="2525" customFormat="false" ht="34.5" hidden="false" customHeight="true" outlineLevel="0" collapsed="false">
      <c r="A2525" s="8" t="n">
        <v>2264</v>
      </c>
      <c r="B2525" s="8" t="s">
        <v>75</v>
      </c>
      <c r="C2525" s="8" t="s">
        <v>11579</v>
      </c>
      <c r="D2525" s="8" t="s">
        <v>8259</v>
      </c>
      <c r="E2525" s="8" t="s">
        <v>11580</v>
      </c>
      <c r="F2525" s="8" t="s">
        <v>143</v>
      </c>
      <c r="G2525" s="8" t="s">
        <v>11581</v>
      </c>
      <c r="H2525" s="8" t="s">
        <v>11582</v>
      </c>
      <c r="I2525" s="8" t="s">
        <v>146</v>
      </c>
      <c r="J2525" s="8" t="s">
        <v>11583</v>
      </c>
      <c r="K2525" s="8"/>
      <c r="L2525" s="8" t="s">
        <v>11584</v>
      </c>
    </row>
    <row r="2526" customFormat="false" ht="34.5" hidden="false" customHeight="true" outlineLevel="0" collapsed="false">
      <c r="A2526" s="8" t="n">
        <v>2265</v>
      </c>
      <c r="B2526" s="8" t="s">
        <v>75</v>
      </c>
      <c r="C2526" s="8" t="s">
        <v>11585</v>
      </c>
      <c r="D2526" s="8" t="s">
        <v>8236</v>
      </c>
      <c r="E2526" s="8" t="s">
        <v>11586</v>
      </c>
      <c r="F2526" s="8" t="s">
        <v>11108</v>
      </c>
      <c r="G2526" s="8" t="s">
        <v>11587</v>
      </c>
      <c r="H2526" s="8" t="s">
        <v>11588</v>
      </c>
      <c r="I2526" s="8" t="s">
        <v>11094</v>
      </c>
      <c r="J2526" s="8" t="s">
        <v>11589</v>
      </c>
      <c r="K2526" s="8"/>
      <c r="L2526" s="8" t="s">
        <v>11590</v>
      </c>
    </row>
    <row r="2527" customFormat="false" ht="34.5" hidden="false" customHeight="true" outlineLevel="0" collapsed="false">
      <c r="A2527" s="8" t="n">
        <v>2266</v>
      </c>
      <c r="B2527" s="8" t="s">
        <v>75</v>
      </c>
      <c r="C2527" s="8" t="s">
        <v>11591</v>
      </c>
      <c r="D2527" s="8" t="s">
        <v>9061</v>
      </c>
      <c r="E2527" s="8" t="s">
        <v>11592</v>
      </c>
      <c r="F2527" s="8" t="s">
        <v>10512</v>
      </c>
      <c r="G2527" s="8" t="s">
        <v>11593</v>
      </c>
      <c r="H2527" s="8" t="s">
        <v>11594</v>
      </c>
      <c r="I2527" s="8" t="s">
        <v>146</v>
      </c>
      <c r="J2527" s="8" t="s">
        <v>11595</v>
      </c>
      <c r="K2527" s="8" t="s">
        <v>116</v>
      </c>
      <c r="L2527" s="8" t="s">
        <v>11596</v>
      </c>
    </row>
    <row r="2528" customFormat="false" ht="34.5" hidden="false" customHeight="true" outlineLevel="0" collapsed="false">
      <c r="A2528" s="8" t="n">
        <v>2267</v>
      </c>
      <c r="B2528" s="8" t="s">
        <v>75</v>
      </c>
      <c r="C2528" s="8" t="s">
        <v>11597</v>
      </c>
      <c r="D2528" s="8" t="s">
        <v>9061</v>
      </c>
      <c r="E2528" s="8" t="s">
        <v>11598</v>
      </c>
      <c r="F2528" s="8" t="s">
        <v>10512</v>
      </c>
      <c r="G2528" s="8" t="s">
        <v>11599</v>
      </c>
      <c r="H2528" s="8" t="s">
        <v>11600</v>
      </c>
      <c r="I2528" s="8" t="s">
        <v>146</v>
      </c>
      <c r="J2528" s="8" t="s">
        <v>11601</v>
      </c>
      <c r="K2528" s="8" t="s">
        <v>116</v>
      </c>
      <c r="L2528" s="8" t="s">
        <v>11602</v>
      </c>
    </row>
    <row r="2529" customFormat="false" ht="34.5" hidden="false" customHeight="true" outlineLevel="0" collapsed="false">
      <c r="A2529" s="8" t="n">
        <v>2268</v>
      </c>
      <c r="B2529" s="8" t="s">
        <v>75</v>
      </c>
      <c r="C2529" s="8" t="s">
        <v>11603</v>
      </c>
      <c r="D2529" s="8" t="s">
        <v>8134</v>
      </c>
      <c r="E2529" s="8" t="s">
        <v>11604</v>
      </c>
      <c r="F2529" s="8" t="s">
        <v>151</v>
      </c>
      <c r="G2529" s="8" t="s">
        <v>11605</v>
      </c>
      <c r="H2529" s="8" t="s">
        <v>145</v>
      </c>
      <c r="I2529" s="8" t="s">
        <v>146</v>
      </c>
      <c r="J2529" s="8" t="s">
        <v>11606</v>
      </c>
      <c r="K2529" s="8"/>
      <c r="L2529" s="8" t="s">
        <v>11607</v>
      </c>
    </row>
    <row r="2530" customFormat="false" ht="34.5" hidden="false" customHeight="true" outlineLevel="0" collapsed="false">
      <c r="A2530" s="8" t="n">
        <v>2269</v>
      </c>
      <c r="B2530" s="8" t="s">
        <v>75</v>
      </c>
      <c r="C2530" s="8" t="s">
        <v>11608</v>
      </c>
      <c r="D2530" s="8" t="s">
        <v>8125</v>
      </c>
      <c r="E2530" s="8" t="s">
        <v>11609</v>
      </c>
      <c r="F2530" s="8" t="s">
        <v>11014</v>
      </c>
      <c r="G2530" s="8" t="s">
        <v>11610</v>
      </c>
      <c r="H2530" s="8" t="s">
        <v>4711</v>
      </c>
      <c r="I2530" s="8" t="s">
        <v>146</v>
      </c>
      <c r="J2530" s="8" t="s">
        <v>11611</v>
      </c>
      <c r="K2530" s="8"/>
      <c r="L2530" s="8" t="s">
        <v>11612</v>
      </c>
    </row>
    <row r="2531" customFormat="false" ht="34.5" hidden="false" customHeight="true" outlineLevel="0" collapsed="false">
      <c r="A2531" s="8" t="n">
        <v>2270</v>
      </c>
      <c r="B2531" s="8" t="s">
        <v>75</v>
      </c>
      <c r="C2531" s="8" t="s">
        <v>11613</v>
      </c>
      <c r="D2531" s="8" t="s">
        <v>8125</v>
      </c>
      <c r="E2531" s="8" t="s">
        <v>11614</v>
      </c>
      <c r="F2531" s="8" t="s">
        <v>1494</v>
      </c>
      <c r="G2531" s="8" t="s">
        <v>11615</v>
      </c>
      <c r="H2531" s="8" t="s">
        <v>145</v>
      </c>
      <c r="I2531" s="8" t="s">
        <v>387</v>
      </c>
      <c r="J2531" s="8" t="s">
        <v>11616</v>
      </c>
      <c r="K2531" s="8" t="s">
        <v>114</v>
      </c>
      <c r="L2531" s="8" t="s">
        <v>11617</v>
      </c>
    </row>
    <row r="2532" customFormat="false" ht="34.5" hidden="false" customHeight="true" outlineLevel="0" collapsed="false">
      <c r="A2532" s="8" t="n">
        <v>2271</v>
      </c>
      <c r="B2532" s="8" t="s">
        <v>75</v>
      </c>
      <c r="C2532" s="8" t="s">
        <v>11618</v>
      </c>
      <c r="D2532" s="8" t="s">
        <v>9061</v>
      </c>
      <c r="E2532" s="8" t="s">
        <v>11619</v>
      </c>
      <c r="F2532" s="8" t="s">
        <v>8720</v>
      </c>
      <c r="G2532" s="8" t="s">
        <v>11620</v>
      </c>
      <c r="H2532" s="8" t="s">
        <v>11621</v>
      </c>
      <c r="I2532" s="8" t="s">
        <v>146</v>
      </c>
      <c r="J2532" s="8" t="s">
        <v>11622</v>
      </c>
      <c r="K2532" s="8" t="s">
        <v>114</v>
      </c>
      <c r="L2532" s="8" t="s">
        <v>11623</v>
      </c>
    </row>
    <row r="2533" customFormat="false" ht="34.5" hidden="false" customHeight="true" outlineLevel="0" collapsed="false">
      <c r="A2533" s="8" t="n">
        <v>2272</v>
      </c>
      <c r="B2533" s="8" t="s">
        <v>75</v>
      </c>
      <c r="C2533" s="8" t="s">
        <v>11624</v>
      </c>
      <c r="D2533" s="8" t="s">
        <v>9061</v>
      </c>
      <c r="E2533" s="8" t="s">
        <v>11625</v>
      </c>
      <c r="F2533" s="8" t="s">
        <v>10652</v>
      </c>
      <c r="G2533" s="8" t="s">
        <v>11626</v>
      </c>
      <c r="H2533" s="8" t="s">
        <v>8437</v>
      </c>
      <c r="I2533" s="8" t="s">
        <v>146</v>
      </c>
      <c r="J2533" s="8" t="s">
        <v>11627</v>
      </c>
      <c r="K2533" s="8"/>
      <c r="L2533" s="8" t="s">
        <v>11628</v>
      </c>
    </row>
    <row r="2534" customFormat="false" ht="34.5" hidden="false" customHeight="true" outlineLevel="0" collapsed="false">
      <c r="A2534" s="8" t="n">
        <v>2273</v>
      </c>
      <c r="B2534" s="8" t="s">
        <v>75</v>
      </c>
      <c r="C2534" s="8" t="s">
        <v>11629</v>
      </c>
      <c r="D2534" s="8" t="s">
        <v>8125</v>
      </c>
      <c r="E2534" s="8" t="s">
        <v>11630</v>
      </c>
      <c r="F2534" s="8" t="s">
        <v>201</v>
      </c>
      <c r="G2534" s="8" t="s">
        <v>4113</v>
      </c>
      <c r="H2534" s="8" t="s">
        <v>145</v>
      </c>
      <c r="I2534" s="8" t="s">
        <v>11094</v>
      </c>
      <c r="J2534" s="8" t="s">
        <v>11631</v>
      </c>
      <c r="K2534" s="8"/>
      <c r="L2534" s="8" t="s">
        <v>11632</v>
      </c>
    </row>
    <row r="2535" customFormat="false" ht="23.25" hidden="false" customHeight="true" outlineLevel="0" collapsed="false">
      <c r="A2535" s="8" t="n">
        <v>2274</v>
      </c>
      <c r="B2535" s="8" t="s">
        <v>75</v>
      </c>
      <c r="C2535" s="8" t="s">
        <v>11517</v>
      </c>
      <c r="D2535" s="8" t="s">
        <v>9061</v>
      </c>
      <c r="E2535" s="8" t="s">
        <v>11633</v>
      </c>
      <c r="F2535" s="8" t="s">
        <v>151</v>
      </c>
      <c r="G2535" s="8" t="s">
        <v>11634</v>
      </c>
      <c r="H2535" s="8" t="s">
        <v>11635</v>
      </c>
      <c r="I2535" s="8" t="s">
        <v>11094</v>
      </c>
      <c r="J2535" s="8" t="s">
        <v>11636</v>
      </c>
      <c r="K2535" s="8"/>
      <c r="L2535" s="8" t="s">
        <v>11637</v>
      </c>
    </row>
    <row r="2536" customFormat="false" ht="34.5" hidden="false" customHeight="true" outlineLevel="0" collapsed="false">
      <c r="A2536" s="8" t="n">
        <v>2275</v>
      </c>
      <c r="B2536" s="8" t="s">
        <v>75</v>
      </c>
      <c r="C2536" s="8" t="s">
        <v>11638</v>
      </c>
      <c r="D2536" s="8" t="s">
        <v>9061</v>
      </c>
      <c r="E2536" s="8" t="s">
        <v>11639</v>
      </c>
      <c r="F2536" s="8" t="s">
        <v>151</v>
      </c>
      <c r="G2536" s="8" t="s">
        <v>798</v>
      </c>
      <c r="H2536" s="8" t="s">
        <v>11640</v>
      </c>
      <c r="I2536" s="8" t="s">
        <v>146</v>
      </c>
      <c r="J2536" s="8" t="s">
        <v>11641</v>
      </c>
      <c r="K2536" s="8"/>
      <c r="L2536" s="8" t="s">
        <v>11642</v>
      </c>
    </row>
    <row r="2537" customFormat="false" ht="34.5" hidden="false" customHeight="true" outlineLevel="0" collapsed="false">
      <c r="A2537" s="8" t="n">
        <v>2276</v>
      </c>
      <c r="B2537" s="8" t="s">
        <v>75</v>
      </c>
      <c r="C2537" s="8" t="s">
        <v>11643</v>
      </c>
      <c r="D2537" s="8" t="s">
        <v>8140</v>
      </c>
      <c r="E2537" s="8" t="s">
        <v>11644</v>
      </c>
      <c r="F2537" s="8" t="s">
        <v>151</v>
      </c>
      <c r="G2537" s="8" t="s">
        <v>11645</v>
      </c>
      <c r="H2537" s="8" t="s">
        <v>11646</v>
      </c>
      <c r="I2537" s="8" t="s">
        <v>11647</v>
      </c>
      <c r="J2537" s="8" t="s">
        <v>11648</v>
      </c>
      <c r="K2537" s="8"/>
      <c r="L2537" s="8" t="s">
        <v>11649</v>
      </c>
    </row>
    <row r="2538" customFormat="false" ht="34.5" hidden="false" customHeight="true" outlineLevel="0" collapsed="false">
      <c r="A2538" s="8" t="n">
        <v>2277</v>
      </c>
      <c r="B2538" s="8" t="s">
        <v>75</v>
      </c>
      <c r="C2538" s="8" t="s">
        <v>11206</v>
      </c>
      <c r="D2538" s="8" t="s">
        <v>9061</v>
      </c>
      <c r="E2538" s="8" t="s">
        <v>11650</v>
      </c>
      <c r="F2538" s="8" t="s">
        <v>151</v>
      </c>
      <c r="G2538" s="8" t="s">
        <v>11651</v>
      </c>
      <c r="H2538" s="8" t="s">
        <v>11652</v>
      </c>
      <c r="I2538" s="8" t="s">
        <v>387</v>
      </c>
      <c r="J2538" s="8" t="s">
        <v>11653</v>
      </c>
      <c r="K2538" s="8"/>
      <c r="L2538" s="8" t="s">
        <v>11654</v>
      </c>
    </row>
    <row r="2539" customFormat="false" ht="34.5" hidden="false" customHeight="true" outlineLevel="0" collapsed="false">
      <c r="A2539" s="8" t="n">
        <v>2278</v>
      </c>
      <c r="B2539" s="8" t="s">
        <v>75</v>
      </c>
      <c r="C2539" s="8" t="s">
        <v>11655</v>
      </c>
      <c r="D2539" s="8" t="s">
        <v>8134</v>
      </c>
      <c r="E2539" s="8" t="s">
        <v>11656</v>
      </c>
      <c r="F2539" s="8" t="s">
        <v>201</v>
      </c>
      <c r="G2539" s="8" t="s">
        <v>11657</v>
      </c>
      <c r="H2539" s="8" t="s">
        <v>11658</v>
      </c>
      <c r="I2539" s="8" t="s">
        <v>387</v>
      </c>
      <c r="J2539" s="8" t="s">
        <v>11659</v>
      </c>
      <c r="K2539" s="8"/>
      <c r="L2539" s="8" t="s">
        <v>11660</v>
      </c>
    </row>
    <row r="2540" customFormat="false" ht="34.5" hidden="false" customHeight="true" outlineLevel="0" collapsed="false">
      <c r="A2540" s="8" t="n">
        <v>2279</v>
      </c>
      <c r="B2540" s="8" t="s">
        <v>75</v>
      </c>
      <c r="C2540" s="8" t="s">
        <v>11661</v>
      </c>
      <c r="D2540" s="8" t="s">
        <v>8140</v>
      </c>
      <c r="E2540" s="8" t="s">
        <v>11662</v>
      </c>
      <c r="F2540" s="8" t="s">
        <v>11108</v>
      </c>
      <c r="G2540" s="8" t="s">
        <v>11663</v>
      </c>
      <c r="H2540" s="8" t="s">
        <v>11664</v>
      </c>
      <c r="I2540" s="8" t="s">
        <v>387</v>
      </c>
      <c r="J2540" s="8" t="s">
        <v>11665</v>
      </c>
      <c r="K2540" s="8"/>
      <c r="L2540" s="8" t="s">
        <v>11666</v>
      </c>
    </row>
    <row r="2541" customFormat="false" ht="34.5" hidden="false" customHeight="true" outlineLevel="0" collapsed="false">
      <c r="A2541" s="8" t="n">
        <v>2280</v>
      </c>
      <c r="B2541" s="8" t="s">
        <v>75</v>
      </c>
      <c r="C2541" s="8" t="s">
        <v>11667</v>
      </c>
      <c r="D2541" s="8" t="s">
        <v>8134</v>
      </c>
      <c r="E2541" s="8" t="s">
        <v>11668</v>
      </c>
      <c r="F2541" s="8" t="s">
        <v>11014</v>
      </c>
      <c r="G2541" s="8" t="s">
        <v>1678</v>
      </c>
      <c r="H2541" s="8" t="s">
        <v>11669</v>
      </c>
      <c r="I2541" s="8" t="s">
        <v>387</v>
      </c>
      <c r="J2541" s="8" t="s">
        <v>11670</v>
      </c>
      <c r="K2541" s="8"/>
      <c r="L2541" s="8" t="s">
        <v>11671</v>
      </c>
    </row>
    <row r="2542" customFormat="false" ht="34.5" hidden="false" customHeight="true" outlineLevel="0" collapsed="false">
      <c r="A2542" s="8" t="n">
        <v>2281</v>
      </c>
      <c r="B2542" s="8" t="s">
        <v>75</v>
      </c>
      <c r="C2542" s="8" t="s">
        <v>11672</v>
      </c>
      <c r="D2542" s="8" t="s">
        <v>9061</v>
      </c>
      <c r="E2542" s="8" t="s">
        <v>11673</v>
      </c>
      <c r="F2542" s="8" t="s">
        <v>11108</v>
      </c>
      <c r="G2542" s="8" t="s">
        <v>11674</v>
      </c>
      <c r="H2542" s="8" t="s">
        <v>11669</v>
      </c>
      <c r="I2542" s="8" t="s">
        <v>11647</v>
      </c>
      <c r="J2542" s="8" t="s">
        <v>11675</v>
      </c>
      <c r="K2542" s="8" t="s">
        <v>116</v>
      </c>
      <c r="L2542" s="8" t="s">
        <v>11676</v>
      </c>
    </row>
    <row r="2543" customFormat="false" ht="34.5" hidden="false" customHeight="true" outlineLevel="0" collapsed="false">
      <c r="A2543" s="8" t="n">
        <v>2282</v>
      </c>
      <c r="B2543" s="8" t="s">
        <v>75</v>
      </c>
      <c r="C2543" s="8" t="s">
        <v>11677</v>
      </c>
      <c r="D2543" s="8" t="s">
        <v>9061</v>
      </c>
      <c r="E2543" s="8" t="s">
        <v>11678</v>
      </c>
      <c r="F2543" s="8" t="s">
        <v>151</v>
      </c>
      <c r="G2543" s="8" t="s">
        <v>11679</v>
      </c>
      <c r="H2543" s="8" t="s">
        <v>11680</v>
      </c>
      <c r="I2543" s="8" t="s">
        <v>11681</v>
      </c>
      <c r="J2543" s="8" t="s">
        <v>10114</v>
      </c>
      <c r="K2543" s="8"/>
      <c r="L2543" s="8" t="s">
        <v>11682</v>
      </c>
    </row>
    <row r="2544" customFormat="false" ht="34.5" hidden="false" customHeight="true" outlineLevel="0" collapsed="false">
      <c r="A2544" s="8" t="n">
        <v>2283</v>
      </c>
      <c r="B2544" s="8" t="s">
        <v>75</v>
      </c>
      <c r="C2544" s="8" t="s">
        <v>11683</v>
      </c>
      <c r="D2544" s="8" t="s">
        <v>9061</v>
      </c>
      <c r="E2544" s="8" t="s">
        <v>11684</v>
      </c>
      <c r="F2544" s="8" t="s">
        <v>143</v>
      </c>
      <c r="G2544" s="8" t="s">
        <v>11685</v>
      </c>
      <c r="H2544" s="8" t="s">
        <v>145</v>
      </c>
      <c r="I2544" s="8" t="s">
        <v>387</v>
      </c>
      <c r="J2544" s="8" t="s">
        <v>11686</v>
      </c>
      <c r="K2544" s="8" t="s">
        <v>114</v>
      </c>
      <c r="L2544" s="8" t="s">
        <v>11687</v>
      </c>
    </row>
    <row r="2545" customFormat="false" ht="34.5" hidden="false" customHeight="true" outlineLevel="0" collapsed="false">
      <c r="A2545" s="8" t="n">
        <v>2284</v>
      </c>
      <c r="B2545" s="8" t="s">
        <v>75</v>
      </c>
      <c r="C2545" s="8" t="s">
        <v>11688</v>
      </c>
      <c r="D2545" s="8" t="s">
        <v>9061</v>
      </c>
      <c r="E2545" s="8" t="s">
        <v>11689</v>
      </c>
      <c r="F2545" s="8" t="s">
        <v>10297</v>
      </c>
      <c r="G2545" s="8" t="s">
        <v>11690</v>
      </c>
      <c r="H2545" s="8" t="s">
        <v>145</v>
      </c>
      <c r="I2545" s="8" t="s">
        <v>146</v>
      </c>
      <c r="J2545" s="8" t="s">
        <v>11691</v>
      </c>
      <c r="K2545" s="8"/>
      <c r="L2545" s="8" t="s">
        <v>11692</v>
      </c>
    </row>
    <row r="2546" customFormat="false" ht="34.5" hidden="false" customHeight="true" outlineLevel="0" collapsed="false">
      <c r="A2546" s="8" t="n">
        <v>2285</v>
      </c>
      <c r="B2546" s="8" t="s">
        <v>75</v>
      </c>
      <c r="C2546" s="8" t="s">
        <v>1831</v>
      </c>
      <c r="D2546" s="8" t="s">
        <v>11387</v>
      </c>
      <c r="E2546" s="8" t="s">
        <v>11693</v>
      </c>
      <c r="F2546" s="8" t="s">
        <v>3677</v>
      </c>
      <c r="G2546" s="8" t="s">
        <v>11694</v>
      </c>
      <c r="H2546" s="8" t="s">
        <v>423</v>
      </c>
      <c r="I2546" s="8" t="s">
        <v>146</v>
      </c>
      <c r="J2546" s="8" t="s">
        <v>11695</v>
      </c>
      <c r="K2546" s="8" t="s">
        <v>112</v>
      </c>
      <c r="L2546" s="8" t="s">
        <v>11696</v>
      </c>
    </row>
    <row r="2547" customFormat="false" ht="34.5" hidden="false" customHeight="true" outlineLevel="0" collapsed="false">
      <c r="A2547" s="8" t="n">
        <v>2286</v>
      </c>
      <c r="B2547" s="8" t="s">
        <v>75</v>
      </c>
      <c r="C2547" s="8" t="s">
        <v>8989</v>
      </c>
      <c r="D2547" s="8" t="s">
        <v>9094</v>
      </c>
      <c r="E2547" s="8" t="s">
        <v>11697</v>
      </c>
      <c r="F2547" s="8" t="s">
        <v>201</v>
      </c>
      <c r="G2547" s="8" t="s">
        <v>626</v>
      </c>
      <c r="H2547" s="8" t="s">
        <v>145</v>
      </c>
      <c r="I2547" s="8" t="s">
        <v>153</v>
      </c>
      <c r="J2547" s="8" t="s">
        <v>11698</v>
      </c>
      <c r="K2547" s="8" t="s">
        <v>112</v>
      </c>
      <c r="L2547" s="8" t="s">
        <v>11699</v>
      </c>
    </row>
    <row r="2548" customFormat="false" ht="34.5" hidden="false" customHeight="true" outlineLevel="0" collapsed="false">
      <c r="A2548" s="8" t="n">
        <v>2287</v>
      </c>
      <c r="B2548" s="8" t="s">
        <v>75</v>
      </c>
      <c r="C2548" s="8" t="s">
        <v>8010</v>
      </c>
      <c r="D2548" s="8" t="s">
        <v>9094</v>
      </c>
      <c r="E2548" s="8" t="s">
        <v>11700</v>
      </c>
      <c r="F2548" s="8" t="s">
        <v>151</v>
      </c>
      <c r="G2548" s="8" t="s">
        <v>572</v>
      </c>
      <c r="H2548" s="8" t="s">
        <v>11701</v>
      </c>
      <c r="I2548" s="8" t="s">
        <v>153</v>
      </c>
      <c r="J2548" s="8" t="s">
        <v>11702</v>
      </c>
      <c r="K2548" s="8" t="s">
        <v>114</v>
      </c>
      <c r="L2548" s="8" t="s">
        <v>11703</v>
      </c>
    </row>
    <row r="2549" customFormat="false" ht="34.5" hidden="false" customHeight="true" outlineLevel="0" collapsed="false">
      <c r="A2549" s="8" t="n">
        <v>2288</v>
      </c>
      <c r="B2549" s="8" t="s">
        <v>75</v>
      </c>
      <c r="C2549" s="8" t="s">
        <v>2658</v>
      </c>
      <c r="D2549" s="8" t="s">
        <v>8140</v>
      </c>
      <c r="E2549" s="8" t="s">
        <v>11704</v>
      </c>
      <c r="F2549" s="8" t="s">
        <v>151</v>
      </c>
      <c r="G2549" s="8" t="s">
        <v>11397</v>
      </c>
      <c r="H2549" s="8" t="s">
        <v>145</v>
      </c>
      <c r="I2549" s="8" t="s">
        <v>146</v>
      </c>
      <c r="J2549" s="8" t="s">
        <v>11705</v>
      </c>
      <c r="K2549" s="8" t="s">
        <v>114</v>
      </c>
      <c r="L2549" s="8" t="s">
        <v>11706</v>
      </c>
    </row>
    <row r="2550" customFormat="false" ht="34.5" hidden="false" customHeight="true" outlineLevel="0" collapsed="false">
      <c r="A2550" s="8" t="n">
        <v>2289</v>
      </c>
      <c r="B2550" s="8" t="s">
        <v>75</v>
      </c>
      <c r="C2550" s="8" t="s">
        <v>11707</v>
      </c>
      <c r="D2550" s="8" t="s">
        <v>9061</v>
      </c>
      <c r="E2550" s="8" t="s">
        <v>11708</v>
      </c>
      <c r="F2550" s="8" t="s">
        <v>151</v>
      </c>
      <c r="G2550" s="8" t="s">
        <v>213</v>
      </c>
      <c r="H2550" s="8" t="s">
        <v>145</v>
      </c>
      <c r="I2550" s="8" t="s">
        <v>153</v>
      </c>
      <c r="J2550" s="8" t="s">
        <v>11709</v>
      </c>
      <c r="K2550" s="8"/>
      <c r="L2550" s="8" t="s">
        <v>11710</v>
      </c>
    </row>
    <row r="2551" customFormat="false" ht="34.5" hidden="false" customHeight="true" outlineLevel="0" collapsed="false">
      <c r="A2551" s="8" t="n">
        <v>2290</v>
      </c>
      <c r="B2551" s="8" t="s">
        <v>75</v>
      </c>
      <c r="C2551" s="8" t="s">
        <v>635</v>
      </c>
      <c r="D2551" s="8" t="s">
        <v>9061</v>
      </c>
      <c r="E2551" s="8" t="s">
        <v>11711</v>
      </c>
      <c r="F2551" s="8" t="s">
        <v>201</v>
      </c>
      <c r="G2551" s="8" t="s">
        <v>11712</v>
      </c>
      <c r="H2551" s="8" t="s">
        <v>145</v>
      </c>
      <c r="I2551" s="8" t="s">
        <v>153</v>
      </c>
      <c r="J2551" s="8" t="s">
        <v>11713</v>
      </c>
      <c r="K2551" s="8" t="s">
        <v>114</v>
      </c>
      <c r="L2551" s="8" t="s">
        <v>11714</v>
      </c>
    </row>
    <row r="2552" customFormat="false" ht="34.5" hidden="false" customHeight="true" outlineLevel="0" collapsed="false">
      <c r="A2552" s="8" t="n">
        <v>2291</v>
      </c>
      <c r="B2552" s="8" t="s">
        <v>75</v>
      </c>
      <c r="C2552" s="8" t="s">
        <v>11715</v>
      </c>
      <c r="D2552" s="8" t="s">
        <v>8172</v>
      </c>
      <c r="E2552" s="8" t="s">
        <v>11716</v>
      </c>
      <c r="F2552" s="8" t="s">
        <v>11717</v>
      </c>
      <c r="G2552" s="8" t="s">
        <v>152</v>
      </c>
      <c r="H2552" s="8" t="s">
        <v>11718</v>
      </c>
      <c r="I2552" s="8" t="s">
        <v>208</v>
      </c>
      <c r="J2552" s="8" t="s">
        <v>11719</v>
      </c>
      <c r="K2552" s="8"/>
      <c r="L2552" s="8" t="s">
        <v>11720</v>
      </c>
    </row>
    <row r="2553" customFormat="false" ht="34.5" hidden="false" customHeight="true" outlineLevel="0" collapsed="false">
      <c r="A2553" s="8" t="n">
        <v>2292</v>
      </c>
      <c r="B2553" s="8" t="s">
        <v>75</v>
      </c>
      <c r="C2553" s="8" t="s">
        <v>11721</v>
      </c>
      <c r="D2553" s="8" t="s">
        <v>8140</v>
      </c>
      <c r="E2553" s="8" t="s">
        <v>11722</v>
      </c>
      <c r="F2553" s="8" t="s">
        <v>11723</v>
      </c>
      <c r="G2553" s="8" t="s">
        <v>798</v>
      </c>
      <c r="H2553" s="8" t="s">
        <v>145</v>
      </c>
      <c r="I2553" s="8" t="s">
        <v>208</v>
      </c>
      <c r="J2553" s="8" t="s">
        <v>11724</v>
      </c>
      <c r="K2553" s="8"/>
      <c r="L2553" s="8" t="s">
        <v>11725</v>
      </c>
    </row>
    <row r="2554" customFormat="false" ht="34.5" hidden="false" customHeight="true" outlineLevel="0" collapsed="false">
      <c r="A2554" s="8" t="n">
        <v>2293</v>
      </c>
      <c r="B2554" s="8" t="s">
        <v>75</v>
      </c>
      <c r="C2554" s="8" t="s">
        <v>11726</v>
      </c>
      <c r="D2554" s="8" t="s">
        <v>8125</v>
      </c>
      <c r="E2554" s="8" t="s">
        <v>11727</v>
      </c>
      <c r="F2554" s="8" t="s">
        <v>11108</v>
      </c>
      <c r="G2554" s="8" t="s">
        <v>11728</v>
      </c>
      <c r="H2554" s="8" t="s">
        <v>1904</v>
      </c>
      <c r="I2554" s="8" t="s">
        <v>146</v>
      </c>
      <c r="J2554" s="8" t="s">
        <v>11729</v>
      </c>
      <c r="K2554" s="8" t="s">
        <v>114</v>
      </c>
      <c r="L2554" s="8" t="s">
        <v>11730</v>
      </c>
    </row>
    <row r="2555" customFormat="false" ht="34.5" hidden="false" customHeight="true" outlineLevel="0" collapsed="false">
      <c r="A2555" s="8" t="n">
        <v>2294</v>
      </c>
      <c r="B2555" s="8" t="s">
        <v>75</v>
      </c>
      <c r="C2555" s="8" t="s">
        <v>11731</v>
      </c>
      <c r="D2555" s="8" t="s">
        <v>9061</v>
      </c>
      <c r="E2555" s="8" t="s">
        <v>11732</v>
      </c>
      <c r="F2555" s="8" t="s">
        <v>151</v>
      </c>
      <c r="G2555" s="8" t="s">
        <v>11733</v>
      </c>
      <c r="H2555" s="8" t="s">
        <v>11734</v>
      </c>
      <c r="I2555" s="8" t="s">
        <v>208</v>
      </c>
      <c r="J2555" s="8" t="s">
        <v>11735</v>
      </c>
      <c r="K2555" s="8"/>
      <c r="L2555" s="8" t="s">
        <v>11736</v>
      </c>
    </row>
    <row r="2556" customFormat="false" ht="34.5" hidden="false" customHeight="true" outlineLevel="0" collapsed="false">
      <c r="A2556" s="8" t="n">
        <v>2295</v>
      </c>
      <c r="B2556" s="8" t="s">
        <v>75</v>
      </c>
      <c r="C2556" s="8" t="s">
        <v>11737</v>
      </c>
      <c r="D2556" s="8" t="s">
        <v>11387</v>
      </c>
      <c r="E2556" s="8" t="s">
        <v>11738</v>
      </c>
      <c r="F2556" s="8" t="s">
        <v>4040</v>
      </c>
      <c r="G2556" s="8" t="s">
        <v>11739</v>
      </c>
      <c r="H2556" s="8" t="s">
        <v>145</v>
      </c>
      <c r="I2556" s="8" t="s">
        <v>11740</v>
      </c>
      <c r="J2556" s="8" t="s">
        <v>11741</v>
      </c>
      <c r="K2556" s="8"/>
      <c r="L2556" s="8" t="s">
        <v>11742</v>
      </c>
    </row>
    <row r="2557" customFormat="false" ht="34.5" hidden="false" customHeight="true" outlineLevel="0" collapsed="false">
      <c r="A2557" s="8" t="n">
        <v>2296</v>
      </c>
      <c r="B2557" s="8" t="s">
        <v>75</v>
      </c>
      <c r="C2557" s="8" t="s">
        <v>11743</v>
      </c>
      <c r="D2557" s="8" t="s">
        <v>8134</v>
      </c>
      <c r="E2557" s="8" t="s">
        <v>11744</v>
      </c>
      <c r="F2557" s="8" t="s">
        <v>201</v>
      </c>
      <c r="G2557" s="8" t="s">
        <v>11745</v>
      </c>
      <c r="H2557" s="8" t="s">
        <v>181</v>
      </c>
      <c r="I2557" s="8" t="s">
        <v>11647</v>
      </c>
      <c r="J2557" s="8" t="s">
        <v>11746</v>
      </c>
      <c r="K2557" s="8" t="s">
        <v>116</v>
      </c>
      <c r="L2557" s="8" t="s">
        <v>11747</v>
      </c>
    </row>
    <row r="2558" customFormat="false" ht="34.5" hidden="false" customHeight="true" outlineLevel="0" collapsed="false">
      <c r="A2558" s="8" t="n">
        <v>2297</v>
      </c>
      <c r="B2558" s="8" t="s">
        <v>75</v>
      </c>
      <c r="C2558" s="8" t="s">
        <v>11748</v>
      </c>
      <c r="D2558" s="8" t="s">
        <v>8140</v>
      </c>
      <c r="E2558" s="8" t="s">
        <v>11749</v>
      </c>
      <c r="F2558" s="8" t="s">
        <v>9198</v>
      </c>
      <c r="G2558" s="8" t="s">
        <v>1080</v>
      </c>
      <c r="H2558" s="8" t="s">
        <v>145</v>
      </c>
      <c r="I2558" s="8" t="s">
        <v>208</v>
      </c>
      <c r="J2558" s="8" t="s">
        <v>11750</v>
      </c>
      <c r="K2558" s="8"/>
      <c r="L2558" s="8" t="s">
        <v>11751</v>
      </c>
    </row>
    <row r="2559" customFormat="false" ht="34.5" hidden="false" customHeight="true" outlineLevel="0" collapsed="false">
      <c r="A2559" s="8" t="n">
        <v>2298</v>
      </c>
      <c r="B2559" s="8" t="s">
        <v>75</v>
      </c>
      <c r="C2559" s="8" t="s">
        <v>11752</v>
      </c>
      <c r="D2559" s="8" t="s">
        <v>8125</v>
      </c>
      <c r="E2559" s="8" t="s">
        <v>11753</v>
      </c>
      <c r="F2559" s="8" t="s">
        <v>143</v>
      </c>
      <c r="G2559" s="8" t="s">
        <v>11754</v>
      </c>
      <c r="H2559" s="8" t="s">
        <v>145</v>
      </c>
      <c r="I2559" s="8" t="s">
        <v>208</v>
      </c>
      <c r="J2559" s="8" t="s">
        <v>11755</v>
      </c>
      <c r="K2559" s="8" t="s">
        <v>116</v>
      </c>
      <c r="L2559" s="8" t="s">
        <v>11756</v>
      </c>
    </row>
    <row r="2560" customFormat="false" ht="34.5" hidden="false" customHeight="true" outlineLevel="0" collapsed="false">
      <c r="A2560" s="8" t="n">
        <v>2299</v>
      </c>
      <c r="B2560" s="8" t="s">
        <v>75</v>
      </c>
      <c r="C2560" s="8" t="s">
        <v>11757</v>
      </c>
      <c r="D2560" s="8" t="s">
        <v>8140</v>
      </c>
      <c r="E2560" s="8" t="s">
        <v>11758</v>
      </c>
      <c r="F2560" s="8" t="s">
        <v>151</v>
      </c>
      <c r="G2560" s="8" t="s">
        <v>4170</v>
      </c>
      <c r="H2560" s="8" t="s">
        <v>512</v>
      </c>
      <c r="I2560" s="8" t="s">
        <v>208</v>
      </c>
      <c r="J2560" s="8" t="s">
        <v>11759</v>
      </c>
      <c r="K2560" s="8"/>
      <c r="L2560" s="8" t="s">
        <v>11760</v>
      </c>
    </row>
    <row r="2561" customFormat="false" ht="34.5" hidden="false" customHeight="true" outlineLevel="0" collapsed="false">
      <c r="A2561" s="8" t="n">
        <v>2300</v>
      </c>
      <c r="B2561" s="8" t="s">
        <v>75</v>
      </c>
      <c r="C2561" s="8" t="s">
        <v>11761</v>
      </c>
      <c r="D2561" s="8" t="s">
        <v>9061</v>
      </c>
      <c r="E2561" s="8" t="s">
        <v>11762</v>
      </c>
      <c r="F2561" s="8" t="s">
        <v>143</v>
      </c>
      <c r="G2561" s="8" t="s">
        <v>11763</v>
      </c>
      <c r="H2561" s="8" t="s">
        <v>4711</v>
      </c>
      <c r="I2561" s="8" t="s">
        <v>208</v>
      </c>
      <c r="J2561" s="8" t="s">
        <v>11764</v>
      </c>
      <c r="K2561" s="8"/>
      <c r="L2561" s="8" t="s">
        <v>11765</v>
      </c>
    </row>
    <row r="2562" customFormat="false" ht="34.5" hidden="false" customHeight="true" outlineLevel="0" collapsed="false">
      <c r="A2562" s="8" t="n">
        <v>2301</v>
      </c>
      <c r="B2562" s="8" t="s">
        <v>75</v>
      </c>
      <c r="C2562" s="8" t="s">
        <v>11065</v>
      </c>
      <c r="D2562" s="8" t="s">
        <v>9094</v>
      </c>
      <c r="E2562" s="8" t="s">
        <v>11766</v>
      </c>
      <c r="F2562" s="8" t="s">
        <v>151</v>
      </c>
      <c r="G2562" s="8" t="s">
        <v>11767</v>
      </c>
      <c r="H2562" s="8" t="s">
        <v>11768</v>
      </c>
      <c r="I2562" s="8" t="s">
        <v>208</v>
      </c>
      <c r="J2562" s="8" t="s">
        <v>11769</v>
      </c>
      <c r="K2562" s="8"/>
      <c r="L2562" s="8" t="s">
        <v>11770</v>
      </c>
    </row>
    <row r="2563" customFormat="false" ht="23.25" hidden="false" customHeight="true" outlineLevel="0" collapsed="false">
      <c r="A2563" s="8" t="n">
        <v>2302</v>
      </c>
      <c r="B2563" s="8" t="s">
        <v>75</v>
      </c>
      <c r="C2563" s="8" t="s">
        <v>11771</v>
      </c>
      <c r="D2563" s="8" t="s">
        <v>8140</v>
      </c>
      <c r="E2563" s="8" t="s">
        <v>11772</v>
      </c>
      <c r="F2563" s="8" t="s">
        <v>151</v>
      </c>
      <c r="G2563" s="8" t="s">
        <v>11773</v>
      </c>
      <c r="H2563" s="8" t="s">
        <v>11774</v>
      </c>
      <c r="I2563" s="8" t="s">
        <v>11775</v>
      </c>
      <c r="J2563" s="8" t="s">
        <v>11776</v>
      </c>
      <c r="K2563" s="8"/>
      <c r="L2563" s="8" t="s">
        <v>11777</v>
      </c>
    </row>
    <row r="2564" customFormat="false" ht="34.5" hidden="false" customHeight="true" outlineLevel="0" collapsed="false">
      <c r="A2564" s="8" t="n">
        <v>2303</v>
      </c>
      <c r="B2564" s="8" t="s">
        <v>75</v>
      </c>
      <c r="C2564" s="8" t="s">
        <v>11778</v>
      </c>
      <c r="D2564" s="8" t="s">
        <v>8182</v>
      </c>
      <c r="E2564" s="8" t="s">
        <v>11779</v>
      </c>
      <c r="F2564" s="8" t="s">
        <v>11780</v>
      </c>
      <c r="G2564" s="8" t="s">
        <v>11781</v>
      </c>
      <c r="H2564" s="8" t="s">
        <v>11782</v>
      </c>
      <c r="I2564" s="8" t="s">
        <v>11775</v>
      </c>
      <c r="J2564" s="8" t="s">
        <v>11783</v>
      </c>
      <c r="K2564" s="8"/>
      <c r="L2564" s="8" t="s">
        <v>11784</v>
      </c>
    </row>
    <row r="2565" customFormat="false" ht="23.25" hidden="false" customHeight="true" outlineLevel="0" collapsed="false">
      <c r="A2565" s="8" t="n">
        <v>2304</v>
      </c>
      <c r="B2565" s="8" t="s">
        <v>75</v>
      </c>
      <c r="C2565" s="8" t="s">
        <v>11785</v>
      </c>
      <c r="D2565" s="8" t="s">
        <v>9094</v>
      </c>
      <c r="E2565" s="8" t="s">
        <v>11786</v>
      </c>
      <c r="F2565" s="8" t="s">
        <v>151</v>
      </c>
      <c r="G2565" s="8" t="s">
        <v>11787</v>
      </c>
      <c r="H2565" s="8" t="s">
        <v>11788</v>
      </c>
      <c r="I2565" s="8" t="s">
        <v>387</v>
      </c>
      <c r="J2565" s="8" t="s">
        <v>11789</v>
      </c>
      <c r="K2565" s="8"/>
      <c r="L2565" s="8" t="s">
        <v>11790</v>
      </c>
    </row>
    <row r="2566" customFormat="false" ht="34.5" hidden="false" customHeight="true" outlineLevel="0" collapsed="false">
      <c r="A2566" s="8" t="n">
        <v>2305</v>
      </c>
      <c r="B2566" s="8" t="s">
        <v>75</v>
      </c>
      <c r="C2566" s="8" t="s">
        <v>11065</v>
      </c>
      <c r="D2566" s="8" t="s">
        <v>9094</v>
      </c>
      <c r="E2566" s="8" t="s">
        <v>11791</v>
      </c>
      <c r="F2566" s="8" t="s">
        <v>151</v>
      </c>
      <c r="G2566" s="8" t="s">
        <v>11792</v>
      </c>
      <c r="H2566" s="8" t="s">
        <v>11793</v>
      </c>
      <c r="I2566" s="8" t="s">
        <v>387</v>
      </c>
      <c r="J2566" s="8" t="s">
        <v>11794</v>
      </c>
      <c r="K2566" s="8"/>
      <c r="L2566" s="8" t="s">
        <v>11795</v>
      </c>
    </row>
    <row r="2567" customFormat="false" ht="23.25" hidden="false" customHeight="true" outlineLevel="0" collapsed="false">
      <c r="A2567" s="8" t="n">
        <v>2306</v>
      </c>
      <c r="B2567" s="8" t="s">
        <v>75</v>
      </c>
      <c r="C2567" s="8" t="s">
        <v>11796</v>
      </c>
      <c r="D2567" s="8" t="s">
        <v>9061</v>
      </c>
      <c r="E2567" s="8" t="s">
        <v>11797</v>
      </c>
      <c r="F2567" s="8" t="s">
        <v>151</v>
      </c>
      <c r="G2567" s="8" t="s">
        <v>11798</v>
      </c>
      <c r="H2567" s="8" t="s">
        <v>145</v>
      </c>
      <c r="I2567" s="8" t="s">
        <v>748</v>
      </c>
      <c r="J2567" s="8" t="s">
        <v>11799</v>
      </c>
      <c r="K2567" s="8" t="s">
        <v>116</v>
      </c>
      <c r="L2567" s="8" t="s">
        <v>11800</v>
      </c>
    </row>
    <row r="2568" customFormat="false" ht="34.5" hidden="false" customHeight="true" outlineLevel="0" collapsed="false">
      <c r="A2568" s="8" t="n">
        <v>2307</v>
      </c>
      <c r="B2568" s="8" t="s">
        <v>75</v>
      </c>
      <c r="C2568" s="8" t="s">
        <v>11801</v>
      </c>
      <c r="D2568" s="8" t="s">
        <v>9094</v>
      </c>
      <c r="E2568" s="8" t="s">
        <v>11802</v>
      </c>
      <c r="F2568" s="8" t="s">
        <v>11803</v>
      </c>
      <c r="G2568" s="8" t="s">
        <v>4170</v>
      </c>
      <c r="H2568" s="8" t="s">
        <v>512</v>
      </c>
      <c r="I2568" s="8" t="s">
        <v>208</v>
      </c>
      <c r="J2568" s="8" t="s">
        <v>11804</v>
      </c>
      <c r="K2568" s="8"/>
      <c r="L2568" s="8" t="s">
        <v>11805</v>
      </c>
    </row>
    <row r="2569" customFormat="false" ht="34.5" hidden="false" customHeight="true" outlineLevel="0" collapsed="false">
      <c r="A2569" s="8" t="n">
        <v>2308</v>
      </c>
      <c r="B2569" s="8" t="s">
        <v>75</v>
      </c>
      <c r="C2569" s="8" t="s">
        <v>11806</v>
      </c>
      <c r="D2569" s="8" t="s">
        <v>8125</v>
      </c>
      <c r="E2569" s="8" t="s">
        <v>11807</v>
      </c>
      <c r="F2569" s="8" t="s">
        <v>201</v>
      </c>
      <c r="G2569" s="8" t="s">
        <v>11808</v>
      </c>
      <c r="H2569" s="8" t="s">
        <v>145</v>
      </c>
      <c r="I2569" s="8" t="s">
        <v>208</v>
      </c>
      <c r="J2569" s="8" t="s">
        <v>11809</v>
      </c>
      <c r="K2569" s="8" t="s">
        <v>116</v>
      </c>
      <c r="L2569" s="8" t="s">
        <v>11810</v>
      </c>
    </row>
    <row r="2570" customFormat="false" ht="34.5" hidden="false" customHeight="true" outlineLevel="0" collapsed="false">
      <c r="A2570" s="8" t="n">
        <v>2309</v>
      </c>
      <c r="B2570" s="8" t="s">
        <v>75</v>
      </c>
      <c r="C2570" s="8" t="s">
        <v>11811</v>
      </c>
      <c r="D2570" s="8" t="s">
        <v>9061</v>
      </c>
      <c r="E2570" s="8" t="s">
        <v>11812</v>
      </c>
      <c r="F2570" s="8" t="s">
        <v>11108</v>
      </c>
      <c r="G2570" s="8" t="s">
        <v>11813</v>
      </c>
      <c r="H2570" s="8" t="s">
        <v>11814</v>
      </c>
      <c r="I2570" s="8" t="s">
        <v>11647</v>
      </c>
      <c r="J2570" s="8" t="s">
        <v>11815</v>
      </c>
      <c r="K2570" s="8" t="s">
        <v>116</v>
      </c>
      <c r="L2570" s="8" t="s">
        <v>11816</v>
      </c>
    </row>
    <row r="2571" customFormat="false" ht="34.5" hidden="false" customHeight="true" outlineLevel="0" collapsed="false">
      <c r="A2571" s="8" t="n">
        <v>2310</v>
      </c>
      <c r="B2571" s="8" t="s">
        <v>75</v>
      </c>
      <c r="C2571" s="8" t="s">
        <v>11817</v>
      </c>
      <c r="D2571" s="8" t="s">
        <v>9094</v>
      </c>
      <c r="E2571" s="8" t="s">
        <v>11818</v>
      </c>
      <c r="F2571" s="8" t="s">
        <v>151</v>
      </c>
      <c r="G2571" s="8" t="s">
        <v>11819</v>
      </c>
      <c r="H2571" s="8" t="s">
        <v>11635</v>
      </c>
      <c r="I2571" s="8" t="s">
        <v>208</v>
      </c>
      <c r="J2571" s="8" t="s">
        <v>11820</v>
      </c>
      <c r="K2571" s="8"/>
      <c r="L2571" s="8" t="s">
        <v>11821</v>
      </c>
    </row>
    <row r="2572" customFormat="false" ht="34.5" hidden="false" customHeight="true" outlineLevel="0" collapsed="false">
      <c r="A2572" s="8" t="n">
        <v>2311</v>
      </c>
      <c r="B2572" s="8" t="s">
        <v>75</v>
      </c>
      <c r="C2572" s="8" t="s">
        <v>11822</v>
      </c>
      <c r="D2572" s="8" t="s">
        <v>8140</v>
      </c>
      <c r="E2572" s="8" t="s">
        <v>11823</v>
      </c>
      <c r="F2572" s="8" t="s">
        <v>1645</v>
      </c>
      <c r="G2572" s="8" t="s">
        <v>4170</v>
      </c>
      <c r="H2572" s="8" t="s">
        <v>145</v>
      </c>
      <c r="I2572" s="8" t="s">
        <v>208</v>
      </c>
      <c r="J2572" s="8" t="s">
        <v>11824</v>
      </c>
      <c r="K2572" s="8"/>
      <c r="L2572" s="8" t="s">
        <v>11825</v>
      </c>
    </row>
    <row r="2573" customFormat="false" ht="34.5" hidden="false" customHeight="true" outlineLevel="0" collapsed="false">
      <c r="A2573" s="8" t="n">
        <v>2312</v>
      </c>
      <c r="B2573" s="8" t="s">
        <v>75</v>
      </c>
      <c r="C2573" s="8" t="s">
        <v>11826</v>
      </c>
      <c r="D2573" s="8" t="s">
        <v>8134</v>
      </c>
      <c r="E2573" s="8" t="s">
        <v>11827</v>
      </c>
      <c r="F2573" s="8" t="s">
        <v>11828</v>
      </c>
      <c r="G2573" s="8" t="s">
        <v>3919</v>
      </c>
      <c r="H2573" s="8" t="s">
        <v>4711</v>
      </c>
      <c r="I2573" s="8" t="s">
        <v>208</v>
      </c>
      <c r="J2573" s="8" t="s">
        <v>11829</v>
      </c>
      <c r="K2573" s="8" t="s">
        <v>116</v>
      </c>
      <c r="L2573" s="8" t="s">
        <v>11830</v>
      </c>
    </row>
    <row r="2574" customFormat="false" ht="34.5" hidden="false" customHeight="true" outlineLevel="0" collapsed="false">
      <c r="A2574" s="8" t="n">
        <v>2313</v>
      </c>
      <c r="B2574" s="8" t="s">
        <v>75</v>
      </c>
      <c r="C2574" s="8" t="s">
        <v>11831</v>
      </c>
      <c r="D2574" s="8" t="s">
        <v>8140</v>
      </c>
      <c r="E2574" s="8" t="s">
        <v>11832</v>
      </c>
      <c r="F2574" s="8" t="s">
        <v>11833</v>
      </c>
      <c r="G2574" s="8" t="s">
        <v>11834</v>
      </c>
      <c r="H2574" s="8" t="s">
        <v>11835</v>
      </c>
      <c r="I2574" s="8" t="s">
        <v>146</v>
      </c>
      <c r="J2574" s="8" t="s">
        <v>11836</v>
      </c>
      <c r="K2574" s="8" t="s">
        <v>116</v>
      </c>
      <c r="L2574" s="8" t="s">
        <v>11837</v>
      </c>
    </row>
    <row r="2575" customFormat="false" ht="23.25" hidden="false" customHeight="true" outlineLevel="0" collapsed="false">
      <c r="A2575" s="8" t="n">
        <v>2314</v>
      </c>
      <c r="B2575" s="8" t="s">
        <v>75</v>
      </c>
      <c r="C2575" s="8" t="s">
        <v>11065</v>
      </c>
      <c r="D2575" s="8" t="s">
        <v>9094</v>
      </c>
      <c r="E2575" s="8" t="s">
        <v>11838</v>
      </c>
      <c r="F2575" s="8" t="s">
        <v>151</v>
      </c>
      <c r="G2575" s="8" t="s">
        <v>11839</v>
      </c>
      <c r="H2575" s="8" t="s">
        <v>11840</v>
      </c>
      <c r="I2575" s="8" t="s">
        <v>146</v>
      </c>
      <c r="J2575" s="8" t="s">
        <v>11841</v>
      </c>
      <c r="K2575" s="8"/>
      <c r="L2575" s="8" t="s">
        <v>11842</v>
      </c>
    </row>
    <row r="2576" customFormat="false" ht="34.5" hidden="false" customHeight="true" outlineLevel="0" collapsed="false">
      <c r="A2576" s="8" t="n">
        <v>2315</v>
      </c>
      <c r="B2576" s="8" t="s">
        <v>75</v>
      </c>
      <c r="C2576" s="8" t="s">
        <v>11843</v>
      </c>
      <c r="D2576" s="8" t="s">
        <v>8317</v>
      </c>
      <c r="E2576" s="8" t="s">
        <v>11844</v>
      </c>
      <c r="F2576" s="8" t="s">
        <v>11845</v>
      </c>
      <c r="G2576" s="8" t="s">
        <v>11846</v>
      </c>
      <c r="H2576" s="8" t="s">
        <v>145</v>
      </c>
      <c r="I2576" s="8" t="s">
        <v>11847</v>
      </c>
      <c r="J2576" s="8" t="s">
        <v>11848</v>
      </c>
      <c r="K2576" s="8" t="s">
        <v>116</v>
      </c>
      <c r="L2576" s="8" t="s">
        <v>11849</v>
      </c>
    </row>
    <row r="2577" customFormat="false" ht="34.5" hidden="false" customHeight="true" outlineLevel="0" collapsed="false">
      <c r="A2577" s="8" t="n">
        <v>2316</v>
      </c>
      <c r="B2577" s="8" t="s">
        <v>75</v>
      </c>
      <c r="C2577" s="8" t="s">
        <v>11850</v>
      </c>
      <c r="D2577" s="8" t="s">
        <v>8140</v>
      </c>
      <c r="E2577" s="8" t="s">
        <v>11851</v>
      </c>
      <c r="F2577" s="8" t="s">
        <v>151</v>
      </c>
      <c r="G2577" s="8" t="s">
        <v>11852</v>
      </c>
      <c r="H2577" s="8" t="s">
        <v>145</v>
      </c>
      <c r="I2577" s="8" t="s">
        <v>146</v>
      </c>
      <c r="J2577" s="8" t="s">
        <v>11853</v>
      </c>
      <c r="K2577" s="8"/>
      <c r="L2577" s="8" t="s">
        <v>11854</v>
      </c>
    </row>
    <row r="2578" customFormat="false" ht="34.5" hidden="false" customHeight="true" outlineLevel="0" collapsed="false">
      <c r="A2578" s="8" t="n">
        <v>2317</v>
      </c>
      <c r="B2578" s="8" t="s">
        <v>75</v>
      </c>
      <c r="C2578" s="8" t="s">
        <v>11855</v>
      </c>
      <c r="D2578" s="8" t="s">
        <v>11856</v>
      </c>
      <c r="E2578" s="8" t="s">
        <v>11857</v>
      </c>
      <c r="F2578" s="8" t="s">
        <v>151</v>
      </c>
      <c r="G2578" s="8" t="s">
        <v>11359</v>
      </c>
      <c r="H2578" s="8" t="s">
        <v>11858</v>
      </c>
      <c r="I2578" s="8" t="s">
        <v>11847</v>
      </c>
      <c r="J2578" s="8" t="s">
        <v>11859</v>
      </c>
      <c r="K2578" s="8"/>
      <c r="L2578" s="8" t="s">
        <v>11860</v>
      </c>
    </row>
    <row r="2579" customFormat="false" ht="34.5" hidden="false" customHeight="true" outlineLevel="0" collapsed="false">
      <c r="A2579" s="8" t="n">
        <v>2318</v>
      </c>
      <c r="B2579" s="8" t="s">
        <v>75</v>
      </c>
      <c r="C2579" s="8" t="s">
        <v>3243</v>
      </c>
      <c r="D2579" s="8" t="s">
        <v>8125</v>
      </c>
      <c r="E2579" s="8" t="s">
        <v>11861</v>
      </c>
      <c r="F2579" s="8" t="s">
        <v>143</v>
      </c>
      <c r="G2579" s="8" t="s">
        <v>11862</v>
      </c>
      <c r="H2579" s="8" t="s">
        <v>11863</v>
      </c>
      <c r="I2579" s="8" t="s">
        <v>146</v>
      </c>
      <c r="J2579" s="8" t="s">
        <v>11864</v>
      </c>
      <c r="K2579" s="8"/>
      <c r="L2579" s="8" t="s">
        <v>11865</v>
      </c>
    </row>
    <row r="2580" customFormat="false" ht="23.25" hidden="false" customHeight="true" outlineLevel="0" collapsed="false">
      <c r="A2580" s="8" t="n">
        <v>2319</v>
      </c>
      <c r="B2580" s="8" t="s">
        <v>75</v>
      </c>
      <c r="C2580" s="8" t="s">
        <v>11050</v>
      </c>
      <c r="D2580" s="8" t="s">
        <v>9094</v>
      </c>
      <c r="E2580" s="8" t="s">
        <v>11866</v>
      </c>
      <c r="F2580" s="8" t="s">
        <v>151</v>
      </c>
      <c r="G2580" s="8" t="s">
        <v>11792</v>
      </c>
      <c r="H2580" s="8" t="s">
        <v>11867</v>
      </c>
      <c r="I2580" s="8" t="s">
        <v>11847</v>
      </c>
      <c r="J2580" s="8" t="s">
        <v>11868</v>
      </c>
      <c r="K2580" s="8"/>
      <c r="L2580" s="8" t="s">
        <v>11869</v>
      </c>
    </row>
    <row r="2581" customFormat="false" ht="34.5" hidden="false" customHeight="true" outlineLevel="0" collapsed="false">
      <c r="A2581" s="8" t="n">
        <v>2320</v>
      </c>
      <c r="B2581" s="8" t="s">
        <v>75</v>
      </c>
      <c r="C2581" s="8" t="s">
        <v>11870</v>
      </c>
      <c r="D2581" s="8" t="s">
        <v>9094</v>
      </c>
      <c r="E2581" s="8" t="s">
        <v>11871</v>
      </c>
      <c r="F2581" s="8" t="s">
        <v>151</v>
      </c>
      <c r="G2581" s="8" t="s">
        <v>11872</v>
      </c>
      <c r="H2581" s="8" t="s">
        <v>11873</v>
      </c>
      <c r="I2581" s="8" t="s">
        <v>146</v>
      </c>
      <c r="J2581" s="8" t="s">
        <v>11874</v>
      </c>
      <c r="K2581" s="8" t="s">
        <v>114</v>
      </c>
      <c r="L2581" s="8" t="s">
        <v>11875</v>
      </c>
    </row>
    <row r="2582" customFormat="false" ht="34.5" hidden="false" customHeight="true" outlineLevel="0" collapsed="false">
      <c r="A2582" s="8" t="n">
        <v>2321</v>
      </c>
      <c r="B2582" s="8" t="s">
        <v>75</v>
      </c>
      <c r="C2582" s="8" t="s">
        <v>11876</v>
      </c>
      <c r="D2582" s="8" t="s">
        <v>11387</v>
      </c>
      <c r="E2582" s="8" t="s">
        <v>11877</v>
      </c>
      <c r="F2582" s="8" t="s">
        <v>1494</v>
      </c>
      <c r="G2582" s="8" t="s">
        <v>11878</v>
      </c>
      <c r="H2582" s="8" t="s">
        <v>4711</v>
      </c>
      <c r="I2582" s="8" t="s">
        <v>146</v>
      </c>
      <c r="J2582" s="8" t="s">
        <v>11879</v>
      </c>
      <c r="K2582" s="8" t="s">
        <v>116</v>
      </c>
      <c r="L2582" s="8" t="s">
        <v>11880</v>
      </c>
    </row>
    <row r="2583" customFormat="false" ht="34.5" hidden="false" customHeight="true" outlineLevel="0" collapsed="false">
      <c r="A2583" s="8" t="n">
        <v>2322</v>
      </c>
      <c r="B2583" s="8" t="s">
        <v>75</v>
      </c>
      <c r="C2583" s="8" t="s">
        <v>11881</v>
      </c>
      <c r="D2583" s="8" t="s">
        <v>8253</v>
      </c>
      <c r="E2583" s="8" t="s">
        <v>11882</v>
      </c>
      <c r="F2583" s="8" t="s">
        <v>11883</v>
      </c>
      <c r="G2583" s="8" t="s">
        <v>798</v>
      </c>
      <c r="H2583" s="8" t="s">
        <v>11884</v>
      </c>
      <c r="I2583" s="8" t="s">
        <v>146</v>
      </c>
      <c r="J2583" s="8" t="s">
        <v>11885</v>
      </c>
      <c r="K2583" s="8"/>
      <c r="L2583" s="8" t="s">
        <v>11886</v>
      </c>
    </row>
    <row r="2584" customFormat="false" ht="34.5" hidden="false" customHeight="true" outlineLevel="0" collapsed="false">
      <c r="A2584" s="8" t="n">
        <v>2323</v>
      </c>
      <c r="B2584" s="8" t="s">
        <v>75</v>
      </c>
      <c r="C2584" s="8" t="s">
        <v>11887</v>
      </c>
      <c r="D2584" s="8" t="s">
        <v>8125</v>
      </c>
      <c r="E2584" s="8" t="s">
        <v>11888</v>
      </c>
      <c r="F2584" s="8" t="s">
        <v>151</v>
      </c>
      <c r="G2584" s="8" t="s">
        <v>11889</v>
      </c>
      <c r="H2584" s="8" t="s">
        <v>11890</v>
      </c>
      <c r="I2584" s="8" t="s">
        <v>146</v>
      </c>
      <c r="J2584" s="8" t="s">
        <v>11891</v>
      </c>
      <c r="K2584" s="8"/>
      <c r="L2584" s="8" t="s">
        <v>11892</v>
      </c>
    </row>
    <row r="2585" customFormat="false" ht="34.5" hidden="false" customHeight="true" outlineLevel="0" collapsed="false">
      <c r="A2585" s="8" t="n">
        <v>2324</v>
      </c>
      <c r="B2585" s="8" t="s">
        <v>75</v>
      </c>
      <c r="C2585" s="8" t="s">
        <v>11893</v>
      </c>
      <c r="D2585" s="8" t="s">
        <v>8125</v>
      </c>
      <c r="E2585" s="8" t="s">
        <v>11894</v>
      </c>
      <c r="F2585" s="8" t="s">
        <v>4040</v>
      </c>
      <c r="G2585" s="8" t="s">
        <v>11895</v>
      </c>
      <c r="H2585" s="8" t="s">
        <v>3295</v>
      </c>
      <c r="I2585" s="8" t="s">
        <v>146</v>
      </c>
      <c r="J2585" s="8" t="s">
        <v>11896</v>
      </c>
      <c r="K2585" s="8"/>
      <c r="L2585" s="8" t="s">
        <v>11897</v>
      </c>
    </row>
    <row r="2586" customFormat="false" ht="34.5" hidden="false" customHeight="true" outlineLevel="0" collapsed="false">
      <c r="A2586" s="8" t="n">
        <v>2325</v>
      </c>
      <c r="B2586" s="8" t="s">
        <v>75</v>
      </c>
      <c r="C2586" s="8" t="s">
        <v>11898</v>
      </c>
      <c r="D2586" s="8" t="s">
        <v>9061</v>
      </c>
      <c r="E2586" s="8" t="s">
        <v>11899</v>
      </c>
      <c r="F2586" s="8" t="s">
        <v>151</v>
      </c>
      <c r="G2586" s="8" t="s">
        <v>11900</v>
      </c>
      <c r="H2586" s="8" t="s">
        <v>11901</v>
      </c>
      <c r="I2586" s="8" t="s">
        <v>146</v>
      </c>
      <c r="J2586" s="8" t="s">
        <v>11902</v>
      </c>
      <c r="K2586" s="8"/>
      <c r="L2586" s="8" t="s">
        <v>11903</v>
      </c>
    </row>
    <row r="2587" customFormat="false" ht="34.5" hidden="false" customHeight="true" outlineLevel="0" collapsed="false">
      <c r="A2587" s="8" t="n">
        <v>2326</v>
      </c>
      <c r="B2587" s="8" t="s">
        <v>75</v>
      </c>
      <c r="C2587" s="8" t="s">
        <v>11904</v>
      </c>
      <c r="D2587" s="8" t="s">
        <v>8125</v>
      </c>
      <c r="E2587" s="8" t="s">
        <v>11905</v>
      </c>
      <c r="F2587" s="8" t="s">
        <v>11108</v>
      </c>
      <c r="G2587" s="8" t="s">
        <v>11906</v>
      </c>
      <c r="H2587" s="8" t="s">
        <v>11907</v>
      </c>
      <c r="I2587" s="8" t="s">
        <v>11740</v>
      </c>
      <c r="J2587" s="8" t="s">
        <v>11908</v>
      </c>
      <c r="K2587" s="8" t="s">
        <v>114</v>
      </c>
      <c r="L2587" s="8" t="s">
        <v>11909</v>
      </c>
    </row>
    <row r="2588" customFormat="false" ht="23.25" hidden="false" customHeight="true" outlineLevel="0" collapsed="false">
      <c r="A2588" s="8" t="n">
        <v>2327</v>
      </c>
      <c r="B2588" s="8" t="s">
        <v>75</v>
      </c>
      <c r="C2588" s="8" t="s">
        <v>11910</v>
      </c>
      <c r="D2588" s="8" t="s">
        <v>8140</v>
      </c>
      <c r="E2588" s="8" t="s">
        <v>11911</v>
      </c>
      <c r="F2588" s="8" t="s">
        <v>143</v>
      </c>
      <c r="G2588" s="8" t="s">
        <v>11912</v>
      </c>
      <c r="H2588" s="8" t="s">
        <v>11913</v>
      </c>
      <c r="I2588" s="8" t="s">
        <v>11740</v>
      </c>
      <c r="J2588" s="8" t="s">
        <v>11914</v>
      </c>
      <c r="K2588" s="8"/>
      <c r="L2588" s="8" t="s">
        <v>11915</v>
      </c>
    </row>
    <row r="2589" customFormat="false" ht="34.5" hidden="false" customHeight="true" outlineLevel="0" collapsed="false">
      <c r="A2589" s="8" t="n">
        <v>2328</v>
      </c>
      <c r="B2589" s="8" t="s">
        <v>75</v>
      </c>
      <c r="C2589" s="8" t="s">
        <v>11916</v>
      </c>
      <c r="D2589" s="8" t="s">
        <v>9061</v>
      </c>
      <c r="E2589" s="8" t="s">
        <v>11917</v>
      </c>
      <c r="F2589" s="8" t="s">
        <v>11108</v>
      </c>
      <c r="G2589" s="8" t="s">
        <v>11918</v>
      </c>
      <c r="H2589" s="8" t="s">
        <v>11919</v>
      </c>
      <c r="I2589" s="8" t="s">
        <v>11740</v>
      </c>
      <c r="J2589" s="8" t="s">
        <v>11920</v>
      </c>
      <c r="K2589" s="8" t="s">
        <v>114</v>
      </c>
      <c r="L2589" s="8" t="s">
        <v>11921</v>
      </c>
    </row>
    <row r="2590" customFormat="false" ht="34.5" hidden="false" customHeight="true" outlineLevel="0" collapsed="false">
      <c r="A2590" s="8" t="n">
        <v>2329</v>
      </c>
      <c r="B2590" s="8" t="s">
        <v>75</v>
      </c>
      <c r="C2590" s="8" t="s">
        <v>11922</v>
      </c>
      <c r="D2590" s="8" t="s">
        <v>9094</v>
      </c>
      <c r="E2590" s="8" t="s">
        <v>11923</v>
      </c>
      <c r="F2590" s="8" t="s">
        <v>201</v>
      </c>
      <c r="G2590" s="8" t="s">
        <v>1080</v>
      </c>
      <c r="H2590" s="8" t="s">
        <v>4310</v>
      </c>
      <c r="I2590" s="8" t="s">
        <v>11740</v>
      </c>
      <c r="J2590" s="8" t="s">
        <v>11924</v>
      </c>
      <c r="K2590" s="8"/>
      <c r="L2590" s="8" t="s">
        <v>11925</v>
      </c>
    </row>
    <row r="2591" customFormat="false" ht="34.5" hidden="false" customHeight="true" outlineLevel="0" collapsed="false">
      <c r="A2591" s="8" t="n">
        <v>2330</v>
      </c>
      <c r="B2591" s="8" t="s">
        <v>75</v>
      </c>
      <c r="C2591" s="8" t="s">
        <v>11926</v>
      </c>
      <c r="D2591" s="8" t="s">
        <v>8182</v>
      </c>
      <c r="E2591" s="8" t="s">
        <v>11927</v>
      </c>
      <c r="F2591" s="8" t="s">
        <v>11108</v>
      </c>
      <c r="G2591" s="8" t="s">
        <v>11928</v>
      </c>
      <c r="H2591" s="8" t="s">
        <v>11929</v>
      </c>
      <c r="I2591" s="8" t="s">
        <v>146</v>
      </c>
      <c r="J2591" s="8" t="s">
        <v>11930</v>
      </c>
      <c r="K2591" s="8" t="s">
        <v>116</v>
      </c>
      <c r="L2591" s="8" t="s">
        <v>11931</v>
      </c>
    </row>
    <row r="2592" customFormat="false" ht="34.5" hidden="false" customHeight="true" outlineLevel="0" collapsed="false">
      <c r="A2592" s="8" t="n">
        <v>2331</v>
      </c>
      <c r="B2592" s="8" t="s">
        <v>75</v>
      </c>
      <c r="C2592" s="8" t="s">
        <v>11932</v>
      </c>
      <c r="D2592" s="8" t="s">
        <v>8125</v>
      </c>
      <c r="E2592" s="8" t="s">
        <v>11933</v>
      </c>
      <c r="F2592" s="8" t="s">
        <v>151</v>
      </c>
      <c r="G2592" s="8" t="s">
        <v>10445</v>
      </c>
      <c r="H2592" s="8" t="s">
        <v>145</v>
      </c>
      <c r="I2592" s="8" t="s">
        <v>208</v>
      </c>
      <c r="J2592" s="8" t="s">
        <v>11934</v>
      </c>
      <c r="K2592" s="8"/>
      <c r="L2592" s="8" t="s">
        <v>11935</v>
      </c>
    </row>
    <row r="2593" customFormat="false" ht="34.5" hidden="false" customHeight="true" outlineLevel="0" collapsed="false">
      <c r="A2593" s="8" t="n">
        <v>2332</v>
      </c>
      <c r="B2593" s="8" t="s">
        <v>75</v>
      </c>
      <c r="C2593" s="8" t="s">
        <v>11936</v>
      </c>
      <c r="D2593" s="8" t="s">
        <v>8125</v>
      </c>
      <c r="E2593" s="8" t="s">
        <v>11937</v>
      </c>
      <c r="F2593" s="8" t="s">
        <v>151</v>
      </c>
      <c r="G2593" s="8" t="s">
        <v>1678</v>
      </c>
      <c r="H2593" s="8" t="s">
        <v>11938</v>
      </c>
      <c r="I2593" s="8" t="s">
        <v>208</v>
      </c>
      <c r="J2593" s="8" t="s">
        <v>11939</v>
      </c>
      <c r="K2593" s="8"/>
      <c r="L2593" s="8" t="s">
        <v>11940</v>
      </c>
    </row>
    <row r="2594" customFormat="false" ht="34.5" hidden="false" customHeight="true" outlineLevel="0" collapsed="false">
      <c r="A2594" s="8" t="n">
        <v>2333</v>
      </c>
      <c r="B2594" s="8" t="s">
        <v>75</v>
      </c>
      <c r="C2594" s="8" t="s">
        <v>11941</v>
      </c>
      <c r="D2594" s="8" t="s">
        <v>9061</v>
      </c>
      <c r="E2594" s="8" t="s">
        <v>11942</v>
      </c>
      <c r="F2594" s="8" t="s">
        <v>151</v>
      </c>
      <c r="G2594" s="8" t="s">
        <v>1619</v>
      </c>
      <c r="H2594" s="8" t="s">
        <v>145</v>
      </c>
      <c r="I2594" s="8" t="s">
        <v>208</v>
      </c>
      <c r="J2594" s="8" t="s">
        <v>11943</v>
      </c>
      <c r="K2594" s="8"/>
      <c r="L2594" s="8" t="s">
        <v>11944</v>
      </c>
    </row>
    <row r="2595" customFormat="false" ht="34.5" hidden="false" customHeight="true" outlineLevel="0" collapsed="false">
      <c r="A2595" s="8" t="n">
        <v>2334</v>
      </c>
      <c r="B2595" s="8" t="s">
        <v>75</v>
      </c>
      <c r="C2595" s="8" t="s">
        <v>11945</v>
      </c>
      <c r="D2595" s="8" t="s">
        <v>8236</v>
      </c>
      <c r="E2595" s="8" t="s">
        <v>11946</v>
      </c>
      <c r="F2595" s="8" t="s">
        <v>201</v>
      </c>
      <c r="G2595" s="8" t="s">
        <v>10445</v>
      </c>
      <c r="H2595" s="8" t="s">
        <v>11947</v>
      </c>
      <c r="I2595" s="8" t="s">
        <v>748</v>
      </c>
      <c r="J2595" s="8" t="s">
        <v>11948</v>
      </c>
      <c r="K2595" s="8" t="s">
        <v>116</v>
      </c>
      <c r="L2595" s="8" t="s">
        <v>11949</v>
      </c>
    </row>
    <row r="2596" customFormat="false" ht="34.5" hidden="false" customHeight="true" outlineLevel="0" collapsed="false">
      <c r="A2596" s="8" t="n">
        <v>2335</v>
      </c>
      <c r="B2596" s="8" t="s">
        <v>75</v>
      </c>
      <c r="C2596" s="8" t="s">
        <v>11950</v>
      </c>
      <c r="D2596" s="8" t="s">
        <v>8125</v>
      </c>
      <c r="E2596" s="8" t="s">
        <v>11951</v>
      </c>
      <c r="F2596" s="8" t="s">
        <v>143</v>
      </c>
      <c r="G2596" s="8" t="s">
        <v>11952</v>
      </c>
      <c r="H2596" s="8" t="s">
        <v>145</v>
      </c>
      <c r="I2596" s="8" t="s">
        <v>208</v>
      </c>
      <c r="J2596" s="8" t="s">
        <v>11953</v>
      </c>
      <c r="K2596" s="8" t="s">
        <v>114</v>
      </c>
      <c r="L2596" s="8" t="s">
        <v>11954</v>
      </c>
    </row>
    <row r="2597" customFormat="false" ht="34.5" hidden="false" customHeight="true" outlineLevel="0" collapsed="false">
      <c r="A2597" s="8" t="n">
        <v>2336</v>
      </c>
      <c r="B2597" s="8" t="s">
        <v>75</v>
      </c>
      <c r="C2597" s="8" t="s">
        <v>11955</v>
      </c>
      <c r="D2597" s="8" t="s">
        <v>9061</v>
      </c>
      <c r="E2597" s="8" t="s">
        <v>11956</v>
      </c>
      <c r="F2597" s="8" t="s">
        <v>151</v>
      </c>
      <c r="G2597" s="8" t="s">
        <v>1678</v>
      </c>
      <c r="H2597" s="8" t="s">
        <v>11957</v>
      </c>
      <c r="I2597" s="8" t="s">
        <v>748</v>
      </c>
      <c r="J2597" s="8" t="s">
        <v>11958</v>
      </c>
      <c r="K2597" s="8"/>
      <c r="L2597" s="8" t="s">
        <v>11959</v>
      </c>
    </row>
    <row r="2598" customFormat="false" ht="34.5" hidden="false" customHeight="true" outlineLevel="0" collapsed="false">
      <c r="A2598" s="8" t="n">
        <v>2337</v>
      </c>
      <c r="B2598" s="8" t="s">
        <v>75</v>
      </c>
      <c r="C2598" s="8" t="s">
        <v>11960</v>
      </c>
      <c r="D2598" s="8" t="s">
        <v>9061</v>
      </c>
      <c r="E2598" s="8" t="s">
        <v>11961</v>
      </c>
      <c r="F2598" s="8" t="s">
        <v>151</v>
      </c>
      <c r="G2598" s="8" t="s">
        <v>11889</v>
      </c>
      <c r="H2598" s="8" t="s">
        <v>11962</v>
      </c>
      <c r="I2598" s="8" t="s">
        <v>11681</v>
      </c>
      <c r="J2598" s="8" t="s">
        <v>11963</v>
      </c>
      <c r="K2598" s="8"/>
      <c r="L2598" s="8" t="s">
        <v>11964</v>
      </c>
    </row>
    <row r="2599" customFormat="false" ht="34.5" hidden="false" customHeight="true" outlineLevel="0" collapsed="false">
      <c r="A2599" s="8" t="n">
        <v>2338</v>
      </c>
      <c r="B2599" s="8" t="s">
        <v>75</v>
      </c>
      <c r="C2599" s="8" t="s">
        <v>11965</v>
      </c>
      <c r="D2599" s="8" t="s">
        <v>9061</v>
      </c>
      <c r="E2599" s="8" t="s">
        <v>11966</v>
      </c>
      <c r="F2599" s="8" t="s">
        <v>151</v>
      </c>
      <c r="G2599" s="8" t="s">
        <v>11967</v>
      </c>
      <c r="H2599" s="8" t="s">
        <v>11968</v>
      </c>
      <c r="I2599" s="8" t="s">
        <v>208</v>
      </c>
      <c r="J2599" s="8" t="s">
        <v>11969</v>
      </c>
      <c r="K2599" s="8" t="s">
        <v>114</v>
      </c>
      <c r="L2599" s="8" t="s">
        <v>11970</v>
      </c>
    </row>
    <row r="2600" customFormat="false" ht="34.5" hidden="false" customHeight="true" outlineLevel="0" collapsed="false">
      <c r="A2600" s="8" t="n">
        <v>2339</v>
      </c>
      <c r="B2600" s="8" t="s">
        <v>75</v>
      </c>
      <c r="C2600" s="8" t="s">
        <v>11971</v>
      </c>
      <c r="D2600" s="8" t="s">
        <v>9061</v>
      </c>
      <c r="E2600" s="8" t="s">
        <v>11972</v>
      </c>
      <c r="F2600" s="8" t="s">
        <v>151</v>
      </c>
      <c r="G2600" s="8" t="s">
        <v>11973</v>
      </c>
      <c r="H2600" s="8" t="s">
        <v>945</v>
      </c>
      <c r="I2600" s="8" t="s">
        <v>11647</v>
      </c>
      <c r="J2600" s="8" t="s">
        <v>11974</v>
      </c>
      <c r="K2600" s="8"/>
      <c r="L2600" s="8" t="s">
        <v>11975</v>
      </c>
    </row>
    <row r="2601" customFormat="false" ht="34.5" hidden="false" customHeight="true" outlineLevel="0" collapsed="false">
      <c r="A2601" s="8" t="n">
        <v>2340</v>
      </c>
      <c r="B2601" s="8" t="s">
        <v>75</v>
      </c>
      <c r="C2601" s="8" t="s">
        <v>11976</v>
      </c>
      <c r="D2601" s="8" t="s">
        <v>9061</v>
      </c>
      <c r="E2601" s="8" t="s">
        <v>11977</v>
      </c>
      <c r="F2601" s="8" t="s">
        <v>151</v>
      </c>
      <c r="G2601" s="8" t="s">
        <v>11978</v>
      </c>
      <c r="H2601" s="8" t="s">
        <v>11979</v>
      </c>
      <c r="I2601" s="8" t="s">
        <v>208</v>
      </c>
      <c r="J2601" s="8" t="s">
        <v>11980</v>
      </c>
      <c r="K2601" s="8"/>
      <c r="L2601" s="8" t="s">
        <v>11981</v>
      </c>
    </row>
    <row r="2602" customFormat="false" ht="34.5" hidden="false" customHeight="true" outlineLevel="0" collapsed="false">
      <c r="A2602" s="8" t="n">
        <v>2341</v>
      </c>
      <c r="B2602" s="8" t="s">
        <v>75</v>
      </c>
      <c r="C2602" s="8" t="s">
        <v>11982</v>
      </c>
      <c r="D2602" s="8" t="s">
        <v>8125</v>
      </c>
      <c r="E2602" s="8" t="s">
        <v>11983</v>
      </c>
      <c r="F2602" s="8" t="s">
        <v>11108</v>
      </c>
      <c r="G2602" s="8" t="s">
        <v>11984</v>
      </c>
      <c r="H2602" s="8" t="s">
        <v>11985</v>
      </c>
      <c r="I2602" s="8" t="s">
        <v>11986</v>
      </c>
      <c r="J2602" s="8" t="s">
        <v>11987</v>
      </c>
      <c r="K2602" s="8" t="s">
        <v>116</v>
      </c>
      <c r="L2602" s="8" t="s">
        <v>11988</v>
      </c>
    </row>
    <row r="2603" customFormat="false" ht="34.5" hidden="false" customHeight="true" outlineLevel="0" collapsed="false">
      <c r="A2603" s="8" t="n">
        <v>2342</v>
      </c>
      <c r="B2603" s="8" t="s">
        <v>75</v>
      </c>
      <c r="C2603" s="8" t="s">
        <v>11989</v>
      </c>
      <c r="D2603" s="8" t="s">
        <v>9061</v>
      </c>
      <c r="E2603" s="8" t="s">
        <v>11990</v>
      </c>
      <c r="F2603" s="8" t="s">
        <v>11014</v>
      </c>
      <c r="G2603" s="8" t="s">
        <v>11991</v>
      </c>
      <c r="H2603" s="8" t="s">
        <v>11992</v>
      </c>
      <c r="I2603" s="8" t="s">
        <v>11986</v>
      </c>
      <c r="J2603" s="8" t="s">
        <v>11993</v>
      </c>
      <c r="K2603" s="8" t="s">
        <v>116</v>
      </c>
      <c r="L2603" s="8" t="s">
        <v>11994</v>
      </c>
    </row>
    <row r="2604" customFormat="false" ht="34.5" hidden="false" customHeight="true" outlineLevel="0" collapsed="false">
      <c r="A2604" s="8" t="n">
        <v>2343</v>
      </c>
      <c r="B2604" s="8" t="s">
        <v>75</v>
      </c>
      <c r="C2604" s="8" t="s">
        <v>11995</v>
      </c>
      <c r="D2604" s="8" t="s">
        <v>11387</v>
      </c>
      <c r="E2604" s="8" t="s">
        <v>11996</v>
      </c>
      <c r="F2604" s="8" t="s">
        <v>11108</v>
      </c>
      <c r="G2604" s="8" t="s">
        <v>11997</v>
      </c>
      <c r="H2604" s="8" t="s">
        <v>11998</v>
      </c>
      <c r="I2604" s="8" t="s">
        <v>11986</v>
      </c>
      <c r="J2604" s="8" t="s">
        <v>11999</v>
      </c>
      <c r="K2604" s="8" t="s">
        <v>116</v>
      </c>
      <c r="L2604" s="8" t="s">
        <v>12000</v>
      </c>
    </row>
    <row r="2605" customFormat="false" ht="23.25" hidden="false" customHeight="true" outlineLevel="0" collapsed="false">
      <c r="A2605" s="8" t="n">
        <v>2344</v>
      </c>
      <c r="B2605" s="8" t="s">
        <v>75</v>
      </c>
      <c r="C2605" s="8" t="s">
        <v>12001</v>
      </c>
      <c r="D2605" s="8" t="s">
        <v>11387</v>
      </c>
      <c r="E2605" s="8" t="s">
        <v>12002</v>
      </c>
      <c r="F2605" s="8" t="s">
        <v>151</v>
      </c>
      <c r="G2605" s="8" t="s">
        <v>12003</v>
      </c>
      <c r="H2605" s="8" t="s">
        <v>12004</v>
      </c>
      <c r="I2605" s="8" t="s">
        <v>11986</v>
      </c>
      <c r="J2605" s="8" t="s">
        <v>12005</v>
      </c>
      <c r="K2605" s="8"/>
      <c r="L2605" s="8" t="s">
        <v>12006</v>
      </c>
    </row>
    <row r="2606" customFormat="false" ht="34.5" hidden="false" customHeight="true" outlineLevel="0" collapsed="false">
      <c r="A2606" s="8" t="n">
        <v>2345</v>
      </c>
      <c r="B2606" s="8" t="s">
        <v>75</v>
      </c>
      <c r="C2606" s="8" t="s">
        <v>12007</v>
      </c>
      <c r="D2606" s="8" t="s">
        <v>8236</v>
      </c>
      <c r="E2606" s="8" t="s">
        <v>12008</v>
      </c>
      <c r="F2606" s="8" t="s">
        <v>151</v>
      </c>
      <c r="G2606" s="8" t="s">
        <v>798</v>
      </c>
      <c r="H2606" s="8" t="s">
        <v>12009</v>
      </c>
      <c r="I2606" s="8" t="s">
        <v>11681</v>
      </c>
      <c r="J2606" s="8" t="s">
        <v>12010</v>
      </c>
      <c r="K2606" s="8"/>
      <c r="L2606" s="8" t="s">
        <v>12011</v>
      </c>
    </row>
    <row r="2607" customFormat="false" ht="34.5" hidden="false" customHeight="true" outlineLevel="0" collapsed="false">
      <c r="A2607" s="8" t="n">
        <v>2346</v>
      </c>
      <c r="B2607" s="8" t="s">
        <v>75</v>
      </c>
      <c r="C2607" s="8" t="s">
        <v>12012</v>
      </c>
      <c r="D2607" s="8" t="s">
        <v>8172</v>
      </c>
      <c r="E2607" s="8" t="s">
        <v>12013</v>
      </c>
      <c r="F2607" s="8" t="s">
        <v>201</v>
      </c>
      <c r="G2607" s="8" t="s">
        <v>12014</v>
      </c>
      <c r="H2607" s="8" t="s">
        <v>12015</v>
      </c>
      <c r="I2607" s="8" t="s">
        <v>748</v>
      </c>
      <c r="J2607" s="8" t="s">
        <v>12016</v>
      </c>
      <c r="K2607" s="8" t="s">
        <v>116</v>
      </c>
      <c r="L2607" s="8" t="s">
        <v>12017</v>
      </c>
    </row>
    <row r="2608" customFormat="false" ht="34.5" hidden="false" customHeight="true" outlineLevel="0" collapsed="false">
      <c r="A2608" s="8" t="n">
        <v>2347</v>
      </c>
      <c r="B2608" s="8" t="s">
        <v>75</v>
      </c>
      <c r="C2608" s="8" t="s">
        <v>12018</v>
      </c>
      <c r="D2608" s="8" t="s">
        <v>8284</v>
      </c>
      <c r="E2608" s="8" t="s">
        <v>12019</v>
      </c>
      <c r="F2608" s="8" t="s">
        <v>11108</v>
      </c>
      <c r="G2608" s="8" t="s">
        <v>12020</v>
      </c>
      <c r="H2608" s="8" t="s">
        <v>12021</v>
      </c>
      <c r="I2608" s="8" t="s">
        <v>748</v>
      </c>
      <c r="J2608" s="8" t="s">
        <v>12022</v>
      </c>
      <c r="K2608" s="8" t="s">
        <v>116</v>
      </c>
      <c r="L2608" s="8" t="s">
        <v>12023</v>
      </c>
    </row>
    <row r="2609" customFormat="false" ht="34.5" hidden="false" customHeight="true" outlineLevel="0" collapsed="false">
      <c r="A2609" s="8" t="n">
        <v>2348</v>
      </c>
      <c r="B2609" s="8" t="s">
        <v>75</v>
      </c>
      <c r="C2609" s="8" t="s">
        <v>12024</v>
      </c>
      <c r="D2609" s="8" t="s">
        <v>8134</v>
      </c>
      <c r="E2609" s="8" t="s">
        <v>12025</v>
      </c>
      <c r="F2609" s="8" t="s">
        <v>151</v>
      </c>
      <c r="G2609" s="8" t="s">
        <v>798</v>
      </c>
      <c r="H2609" s="8" t="s">
        <v>12026</v>
      </c>
      <c r="I2609" s="8" t="s">
        <v>11681</v>
      </c>
      <c r="J2609" s="8" t="s">
        <v>12027</v>
      </c>
      <c r="K2609" s="8"/>
      <c r="L2609" s="8" t="s">
        <v>12028</v>
      </c>
    </row>
    <row r="2610" customFormat="false" ht="34.5" hidden="false" customHeight="true" outlineLevel="0" collapsed="false">
      <c r="A2610" s="8" t="n">
        <v>2349</v>
      </c>
      <c r="B2610" s="8" t="s">
        <v>75</v>
      </c>
      <c r="C2610" s="8" t="s">
        <v>12029</v>
      </c>
      <c r="D2610" s="8" t="s">
        <v>9094</v>
      </c>
      <c r="E2610" s="8" t="s">
        <v>12030</v>
      </c>
      <c r="F2610" s="8" t="s">
        <v>151</v>
      </c>
      <c r="G2610" s="8" t="s">
        <v>11634</v>
      </c>
      <c r="H2610" s="8" t="s">
        <v>12031</v>
      </c>
      <c r="I2610" s="8" t="s">
        <v>11681</v>
      </c>
      <c r="J2610" s="8" t="s">
        <v>12032</v>
      </c>
      <c r="K2610" s="8"/>
      <c r="L2610" s="8" t="s">
        <v>12033</v>
      </c>
    </row>
    <row r="2611" customFormat="false" ht="34.5" hidden="false" customHeight="true" outlineLevel="0" collapsed="false">
      <c r="A2611" s="8" t="n">
        <v>2350</v>
      </c>
      <c r="B2611" s="8" t="s">
        <v>75</v>
      </c>
      <c r="C2611" s="8" t="s">
        <v>12034</v>
      </c>
      <c r="D2611" s="8" t="s">
        <v>9061</v>
      </c>
      <c r="E2611" s="8" t="s">
        <v>12035</v>
      </c>
      <c r="F2611" s="8" t="s">
        <v>11014</v>
      </c>
      <c r="G2611" s="8" t="s">
        <v>12036</v>
      </c>
      <c r="H2611" s="8" t="s">
        <v>12037</v>
      </c>
      <c r="I2611" s="8" t="s">
        <v>12038</v>
      </c>
      <c r="J2611" s="8" t="s">
        <v>12039</v>
      </c>
      <c r="K2611" s="8" t="s">
        <v>116</v>
      </c>
      <c r="L2611" s="8" t="s">
        <v>12040</v>
      </c>
    </row>
    <row r="2612" customFormat="false" ht="34.5" hidden="false" customHeight="true" outlineLevel="0" collapsed="false">
      <c r="A2612" s="8" t="n">
        <v>2351</v>
      </c>
      <c r="B2612" s="8" t="s">
        <v>75</v>
      </c>
      <c r="C2612" s="8" t="s">
        <v>12041</v>
      </c>
      <c r="D2612" s="8" t="s">
        <v>8125</v>
      </c>
      <c r="E2612" s="8" t="s">
        <v>12042</v>
      </c>
      <c r="F2612" s="8" t="s">
        <v>11108</v>
      </c>
      <c r="G2612" s="8" t="s">
        <v>12043</v>
      </c>
      <c r="H2612" s="8" t="s">
        <v>12044</v>
      </c>
      <c r="I2612" s="8" t="s">
        <v>12038</v>
      </c>
      <c r="J2612" s="8" t="s">
        <v>12045</v>
      </c>
      <c r="K2612" s="8" t="s">
        <v>116</v>
      </c>
      <c r="L2612" s="8" t="s">
        <v>12046</v>
      </c>
    </row>
    <row r="2613" customFormat="false" ht="34.5" hidden="false" customHeight="true" outlineLevel="0" collapsed="false">
      <c r="A2613" s="8" t="n">
        <v>2352</v>
      </c>
      <c r="B2613" s="8" t="s">
        <v>75</v>
      </c>
      <c r="C2613" s="8" t="s">
        <v>2603</v>
      </c>
      <c r="D2613" s="8" t="s">
        <v>8125</v>
      </c>
      <c r="E2613" s="8" t="s">
        <v>12047</v>
      </c>
      <c r="F2613" s="8" t="s">
        <v>201</v>
      </c>
      <c r="G2613" s="8" t="s">
        <v>10445</v>
      </c>
      <c r="H2613" s="8" t="s">
        <v>12048</v>
      </c>
      <c r="I2613" s="8" t="s">
        <v>208</v>
      </c>
      <c r="J2613" s="8" t="s">
        <v>12049</v>
      </c>
      <c r="K2613" s="8" t="s">
        <v>116</v>
      </c>
      <c r="L2613" s="8" t="s">
        <v>12050</v>
      </c>
    </row>
    <row r="2614" customFormat="false" ht="34.5" hidden="false" customHeight="true" outlineLevel="0" collapsed="false">
      <c r="A2614" s="8" t="n">
        <v>2353</v>
      </c>
      <c r="B2614" s="8" t="s">
        <v>75</v>
      </c>
      <c r="C2614" s="8" t="s">
        <v>12051</v>
      </c>
      <c r="D2614" s="8" t="s">
        <v>8140</v>
      </c>
      <c r="E2614" s="8" t="s">
        <v>12052</v>
      </c>
      <c r="F2614" s="8" t="s">
        <v>12053</v>
      </c>
      <c r="G2614" s="8" t="s">
        <v>798</v>
      </c>
      <c r="H2614" s="8" t="s">
        <v>12054</v>
      </c>
      <c r="I2614" s="8" t="s">
        <v>208</v>
      </c>
      <c r="J2614" s="8" t="s">
        <v>12055</v>
      </c>
      <c r="K2614" s="8"/>
      <c r="L2614" s="8" t="s">
        <v>12056</v>
      </c>
    </row>
    <row r="2615" customFormat="false" ht="34.5" hidden="false" customHeight="true" outlineLevel="0" collapsed="false">
      <c r="A2615" s="8" t="n">
        <v>2354</v>
      </c>
      <c r="B2615" s="8" t="s">
        <v>75</v>
      </c>
      <c r="C2615" s="8" t="s">
        <v>12057</v>
      </c>
      <c r="D2615" s="8" t="s">
        <v>8236</v>
      </c>
      <c r="E2615" s="8" t="s">
        <v>12058</v>
      </c>
      <c r="F2615" s="8" t="s">
        <v>151</v>
      </c>
      <c r="G2615" s="8" t="s">
        <v>4170</v>
      </c>
      <c r="H2615" s="8" t="s">
        <v>145</v>
      </c>
      <c r="I2615" s="8" t="s">
        <v>208</v>
      </c>
      <c r="J2615" s="8" t="s">
        <v>12059</v>
      </c>
      <c r="K2615" s="8"/>
      <c r="L2615" s="8" t="s">
        <v>12060</v>
      </c>
    </row>
    <row r="2616" customFormat="false" ht="34.5" hidden="false" customHeight="true" outlineLevel="0" collapsed="false">
      <c r="A2616" s="8" t="n">
        <v>2355</v>
      </c>
      <c r="B2616" s="8" t="s">
        <v>75</v>
      </c>
      <c r="C2616" s="8" t="s">
        <v>12061</v>
      </c>
      <c r="D2616" s="8" t="s">
        <v>9094</v>
      </c>
      <c r="E2616" s="8" t="s">
        <v>12062</v>
      </c>
      <c r="F2616" s="8" t="s">
        <v>151</v>
      </c>
      <c r="G2616" s="8" t="s">
        <v>12003</v>
      </c>
      <c r="H2616" s="8" t="s">
        <v>12063</v>
      </c>
      <c r="I2616" s="8" t="s">
        <v>208</v>
      </c>
      <c r="J2616" s="8" t="s">
        <v>12064</v>
      </c>
      <c r="K2616" s="8"/>
      <c r="L2616" s="8" t="s">
        <v>12065</v>
      </c>
    </row>
    <row r="2617" customFormat="false" ht="34.5" hidden="false" customHeight="true" outlineLevel="0" collapsed="false">
      <c r="A2617" s="8" t="n">
        <v>2356</v>
      </c>
      <c r="B2617" s="8" t="s">
        <v>75</v>
      </c>
      <c r="C2617" s="8" t="s">
        <v>12066</v>
      </c>
      <c r="D2617" s="8" t="s">
        <v>8182</v>
      </c>
      <c r="E2617" s="8" t="s">
        <v>12067</v>
      </c>
      <c r="F2617" s="8" t="s">
        <v>11014</v>
      </c>
      <c r="G2617" s="8" t="s">
        <v>12068</v>
      </c>
      <c r="H2617" s="8" t="s">
        <v>12069</v>
      </c>
      <c r="I2617" s="8" t="s">
        <v>12038</v>
      </c>
      <c r="J2617" s="8" t="s">
        <v>12070</v>
      </c>
      <c r="K2617" s="8" t="s">
        <v>116</v>
      </c>
      <c r="L2617" s="8" t="s">
        <v>12071</v>
      </c>
    </row>
    <row r="2618" customFormat="false" ht="34.5" hidden="false" customHeight="true" outlineLevel="0" collapsed="false">
      <c r="A2618" s="8" t="n">
        <v>2357</v>
      </c>
      <c r="B2618" s="8" t="s">
        <v>75</v>
      </c>
      <c r="C2618" s="8" t="s">
        <v>12072</v>
      </c>
      <c r="D2618" s="8" t="s">
        <v>8125</v>
      </c>
      <c r="E2618" s="8" t="s">
        <v>12073</v>
      </c>
      <c r="F2618" s="8" t="s">
        <v>151</v>
      </c>
      <c r="G2618" s="8" t="s">
        <v>798</v>
      </c>
      <c r="H2618" s="8" t="s">
        <v>145</v>
      </c>
      <c r="I2618" s="8" t="s">
        <v>12038</v>
      </c>
      <c r="J2618" s="8" t="s">
        <v>12074</v>
      </c>
      <c r="K2618" s="8"/>
      <c r="L2618" s="8" t="s">
        <v>12075</v>
      </c>
    </row>
    <row r="2619" customFormat="false" ht="34.5" hidden="false" customHeight="true" outlineLevel="0" collapsed="false">
      <c r="A2619" s="8" t="n">
        <v>2358</v>
      </c>
      <c r="B2619" s="8" t="s">
        <v>75</v>
      </c>
      <c r="C2619" s="8" t="s">
        <v>12076</v>
      </c>
      <c r="D2619" s="8" t="s">
        <v>8259</v>
      </c>
      <c r="E2619" s="8" t="s">
        <v>12077</v>
      </c>
      <c r="F2619" s="8" t="s">
        <v>11014</v>
      </c>
      <c r="G2619" s="8" t="s">
        <v>12078</v>
      </c>
      <c r="H2619" s="8" t="s">
        <v>12079</v>
      </c>
      <c r="I2619" s="8" t="s">
        <v>11681</v>
      </c>
      <c r="J2619" s="8" t="s">
        <v>12080</v>
      </c>
      <c r="K2619" s="8" t="s">
        <v>116</v>
      </c>
      <c r="L2619" s="8" t="s">
        <v>12081</v>
      </c>
    </row>
    <row r="2620" customFormat="false" ht="34.5" hidden="false" customHeight="true" outlineLevel="0" collapsed="false">
      <c r="A2620" s="8" t="n">
        <v>2359</v>
      </c>
      <c r="B2620" s="8" t="s">
        <v>75</v>
      </c>
      <c r="C2620" s="8" t="s">
        <v>12082</v>
      </c>
      <c r="D2620" s="8" t="s">
        <v>8253</v>
      </c>
      <c r="E2620" s="8" t="s">
        <v>12083</v>
      </c>
      <c r="F2620" s="8" t="s">
        <v>1645</v>
      </c>
      <c r="G2620" s="8" t="s">
        <v>152</v>
      </c>
      <c r="H2620" s="8" t="s">
        <v>12084</v>
      </c>
      <c r="I2620" s="8" t="s">
        <v>11681</v>
      </c>
      <c r="J2620" s="8" t="s">
        <v>12085</v>
      </c>
      <c r="K2620" s="8" t="s">
        <v>116</v>
      </c>
      <c r="L2620" s="8" t="s">
        <v>12086</v>
      </c>
    </row>
    <row r="2621" customFormat="false" ht="34.5" hidden="false" customHeight="true" outlineLevel="0" collapsed="false">
      <c r="A2621" s="8" t="n">
        <v>2360</v>
      </c>
      <c r="B2621" s="8" t="s">
        <v>75</v>
      </c>
      <c r="C2621" s="8" t="s">
        <v>12087</v>
      </c>
      <c r="D2621" s="8" t="s">
        <v>8182</v>
      </c>
      <c r="E2621" s="8" t="s">
        <v>12088</v>
      </c>
      <c r="F2621" s="8" t="s">
        <v>201</v>
      </c>
      <c r="G2621" s="8" t="s">
        <v>12089</v>
      </c>
      <c r="H2621" s="8" t="s">
        <v>12090</v>
      </c>
      <c r="I2621" s="8" t="s">
        <v>12091</v>
      </c>
      <c r="J2621" s="8" t="s">
        <v>12092</v>
      </c>
      <c r="K2621" s="8" t="s">
        <v>116</v>
      </c>
      <c r="L2621" s="8" t="s">
        <v>12093</v>
      </c>
    </row>
    <row r="2622" customFormat="false" ht="34.5" hidden="false" customHeight="true" outlineLevel="0" collapsed="false">
      <c r="A2622" s="8" t="n">
        <v>2361</v>
      </c>
      <c r="B2622" s="8" t="s">
        <v>75</v>
      </c>
      <c r="C2622" s="8" t="s">
        <v>12094</v>
      </c>
      <c r="D2622" s="8" t="s">
        <v>9094</v>
      </c>
      <c r="E2622" s="8" t="s">
        <v>12095</v>
      </c>
      <c r="F2622" s="8" t="s">
        <v>151</v>
      </c>
      <c r="G2622" s="8" t="s">
        <v>12096</v>
      </c>
      <c r="H2622" s="8" t="s">
        <v>12063</v>
      </c>
      <c r="I2622" s="8" t="s">
        <v>12038</v>
      </c>
      <c r="J2622" s="8" t="s">
        <v>12097</v>
      </c>
      <c r="K2622" s="8"/>
      <c r="L2622" s="8" t="s">
        <v>12098</v>
      </c>
    </row>
    <row r="2623" customFormat="false" ht="34.5" hidden="false" customHeight="true" outlineLevel="0" collapsed="false">
      <c r="A2623" s="8" t="n">
        <v>2362</v>
      </c>
      <c r="B2623" s="8" t="s">
        <v>75</v>
      </c>
      <c r="C2623" s="8" t="s">
        <v>12099</v>
      </c>
      <c r="D2623" s="8" t="s">
        <v>8125</v>
      </c>
      <c r="E2623" s="8" t="s">
        <v>12100</v>
      </c>
      <c r="F2623" s="8" t="s">
        <v>11108</v>
      </c>
      <c r="G2623" s="8" t="s">
        <v>12101</v>
      </c>
      <c r="H2623" s="8" t="s">
        <v>12102</v>
      </c>
      <c r="I2623" s="8" t="s">
        <v>11681</v>
      </c>
      <c r="J2623" s="8" t="s">
        <v>12103</v>
      </c>
      <c r="K2623" s="8" t="s">
        <v>116</v>
      </c>
      <c r="L2623" s="8" t="s">
        <v>12104</v>
      </c>
    </row>
    <row r="2624" customFormat="false" ht="34.5" hidden="false" customHeight="true" outlineLevel="0" collapsed="false">
      <c r="A2624" s="8" t="n">
        <v>2363</v>
      </c>
      <c r="B2624" s="8" t="s">
        <v>75</v>
      </c>
      <c r="C2624" s="8" t="s">
        <v>12105</v>
      </c>
      <c r="D2624" s="8" t="s">
        <v>9061</v>
      </c>
      <c r="E2624" s="8" t="s">
        <v>12106</v>
      </c>
      <c r="F2624" s="8" t="s">
        <v>11108</v>
      </c>
      <c r="G2624" s="8" t="s">
        <v>12107</v>
      </c>
      <c r="H2624" s="8" t="s">
        <v>12108</v>
      </c>
      <c r="I2624" s="8" t="s">
        <v>12038</v>
      </c>
      <c r="J2624" s="8" t="s">
        <v>12109</v>
      </c>
      <c r="K2624" s="8" t="s">
        <v>116</v>
      </c>
      <c r="L2624" s="8" t="s">
        <v>12110</v>
      </c>
    </row>
    <row r="2625" customFormat="false" ht="34.5" hidden="false" customHeight="true" outlineLevel="0" collapsed="false">
      <c r="A2625" s="8" t="n">
        <v>2364</v>
      </c>
      <c r="B2625" s="8" t="s">
        <v>75</v>
      </c>
      <c r="C2625" s="8" t="s">
        <v>12111</v>
      </c>
      <c r="D2625" s="8" t="s">
        <v>9094</v>
      </c>
      <c r="E2625" s="8" t="s">
        <v>12112</v>
      </c>
      <c r="F2625" s="8" t="s">
        <v>151</v>
      </c>
      <c r="G2625" s="8" t="s">
        <v>11679</v>
      </c>
      <c r="H2625" s="8" t="s">
        <v>12113</v>
      </c>
      <c r="I2625" s="8" t="s">
        <v>11681</v>
      </c>
      <c r="J2625" s="8" t="s">
        <v>12114</v>
      </c>
      <c r="K2625" s="8"/>
      <c r="L2625" s="8" t="s">
        <v>12115</v>
      </c>
    </row>
    <row r="2626" customFormat="false" ht="34.5" hidden="false" customHeight="true" outlineLevel="0" collapsed="false">
      <c r="A2626" s="8" t="n">
        <v>2365</v>
      </c>
      <c r="B2626" s="8" t="s">
        <v>75</v>
      </c>
      <c r="C2626" s="8" t="s">
        <v>12116</v>
      </c>
      <c r="D2626" s="8" t="s">
        <v>8253</v>
      </c>
      <c r="E2626" s="8" t="s">
        <v>12117</v>
      </c>
      <c r="F2626" s="8" t="s">
        <v>201</v>
      </c>
      <c r="G2626" s="8" t="s">
        <v>798</v>
      </c>
      <c r="H2626" s="8" t="s">
        <v>145</v>
      </c>
      <c r="I2626" s="8" t="s">
        <v>387</v>
      </c>
      <c r="J2626" s="8" t="s">
        <v>12118</v>
      </c>
      <c r="K2626" s="8"/>
      <c r="L2626" s="8" t="s">
        <v>12119</v>
      </c>
    </row>
    <row r="2627" customFormat="false" ht="34.5" hidden="false" customHeight="true" outlineLevel="0" collapsed="false">
      <c r="A2627" s="8" t="n">
        <v>2366</v>
      </c>
      <c r="B2627" s="8" t="s">
        <v>75</v>
      </c>
      <c r="C2627" s="8" t="s">
        <v>12120</v>
      </c>
      <c r="D2627" s="8" t="s">
        <v>8125</v>
      </c>
      <c r="E2627" s="8" t="s">
        <v>12121</v>
      </c>
      <c r="F2627" s="8" t="s">
        <v>11014</v>
      </c>
      <c r="G2627" s="8" t="s">
        <v>12122</v>
      </c>
      <c r="H2627" s="8" t="s">
        <v>12123</v>
      </c>
      <c r="I2627" s="8" t="s">
        <v>11847</v>
      </c>
      <c r="J2627" s="8" t="s">
        <v>12124</v>
      </c>
      <c r="K2627" s="8" t="s">
        <v>116</v>
      </c>
      <c r="L2627" s="8" t="s">
        <v>12125</v>
      </c>
    </row>
    <row r="2628" customFormat="false" ht="34.5" hidden="false" customHeight="true" outlineLevel="0" collapsed="false">
      <c r="A2628" s="8" t="n">
        <v>2367</v>
      </c>
      <c r="B2628" s="8" t="s">
        <v>75</v>
      </c>
      <c r="C2628" s="8" t="s">
        <v>12126</v>
      </c>
      <c r="D2628" s="8" t="s">
        <v>8140</v>
      </c>
      <c r="E2628" s="8" t="s">
        <v>12127</v>
      </c>
      <c r="F2628" s="8" t="s">
        <v>151</v>
      </c>
      <c r="G2628" s="8" t="s">
        <v>12128</v>
      </c>
      <c r="H2628" s="8" t="s">
        <v>145</v>
      </c>
      <c r="I2628" s="8" t="s">
        <v>208</v>
      </c>
      <c r="J2628" s="8" t="s">
        <v>12129</v>
      </c>
      <c r="K2628" s="8"/>
      <c r="L2628" s="8" t="s">
        <v>12130</v>
      </c>
    </row>
    <row r="2629" customFormat="false" ht="34.5" hidden="false" customHeight="true" outlineLevel="0" collapsed="false">
      <c r="A2629" s="8" t="n">
        <v>2368</v>
      </c>
      <c r="B2629" s="8" t="s">
        <v>75</v>
      </c>
      <c r="C2629" s="8" t="s">
        <v>12029</v>
      </c>
      <c r="D2629" s="8" t="s">
        <v>9094</v>
      </c>
      <c r="E2629" s="8" t="s">
        <v>12131</v>
      </c>
      <c r="F2629" s="8" t="s">
        <v>151</v>
      </c>
      <c r="G2629" s="8" t="s">
        <v>12132</v>
      </c>
      <c r="H2629" s="8" t="s">
        <v>11348</v>
      </c>
      <c r="I2629" s="8" t="s">
        <v>208</v>
      </c>
      <c r="J2629" s="8" t="s">
        <v>12133</v>
      </c>
      <c r="K2629" s="8"/>
      <c r="L2629" s="8" t="s">
        <v>12134</v>
      </c>
    </row>
    <row r="2630" customFormat="false" ht="34.5" hidden="false" customHeight="true" outlineLevel="0" collapsed="false">
      <c r="A2630" s="8" t="n">
        <v>2369</v>
      </c>
      <c r="B2630" s="8" t="s">
        <v>75</v>
      </c>
      <c r="C2630" s="8" t="s">
        <v>10864</v>
      </c>
      <c r="D2630" s="8" t="s">
        <v>8236</v>
      </c>
      <c r="E2630" s="8" t="s">
        <v>12135</v>
      </c>
      <c r="F2630" s="8" t="s">
        <v>12136</v>
      </c>
      <c r="G2630" s="8" t="s">
        <v>12137</v>
      </c>
      <c r="H2630" s="8" t="s">
        <v>12138</v>
      </c>
      <c r="I2630" s="8" t="s">
        <v>387</v>
      </c>
      <c r="J2630" s="8" t="s">
        <v>12139</v>
      </c>
      <c r="K2630" s="8" t="s">
        <v>116</v>
      </c>
      <c r="L2630" s="8" t="s">
        <v>12140</v>
      </c>
    </row>
    <row r="2631" customFormat="false" ht="34.5" hidden="false" customHeight="true" outlineLevel="0" collapsed="false">
      <c r="A2631" s="8" t="n">
        <v>2370</v>
      </c>
      <c r="B2631" s="8" t="s">
        <v>75</v>
      </c>
      <c r="C2631" s="8" t="s">
        <v>12141</v>
      </c>
      <c r="D2631" s="8" t="s">
        <v>8134</v>
      </c>
      <c r="E2631" s="8" t="s">
        <v>12142</v>
      </c>
      <c r="F2631" s="8" t="s">
        <v>10512</v>
      </c>
      <c r="G2631" s="8" t="s">
        <v>12143</v>
      </c>
      <c r="H2631" s="8" t="s">
        <v>12144</v>
      </c>
      <c r="I2631" s="8" t="s">
        <v>208</v>
      </c>
      <c r="J2631" s="8" t="s">
        <v>12145</v>
      </c>
      <c r="K2631" s="8" t="s">
        <v>114</v>
      </c>
      <c r="L2631" s="8" t="s">
        <v>12146</v>
      </c>
    </row>
    <row r="2632" customFormat="false" ht="34.5" hidden="false" customHeight="true" outlineLevel="0" collapsed="false">
      <c r="A2632" s="8" t="n">
        <v>2371</v>
      </c>
      <c r="B2632" s="8" t="s">
        <v>75</v>
      </c>
      <c r="C2632" s="8" t="s">
        <v>12147</v>
      </c>
      <c r="D2632" s="8" t="s">
        <v>9061</v>
      </c>
      <c r="E2632" s="8" t="s">
        <v>12148</v>
      </c>
      <c r="F2632" s="8" t="s">
        <v>1494</v>
      </c>
      <c r="G2632" s="8" t="s">
        <v>12149</v>
      </c>
      <c r="H2632" s="8" t="s">
        <v>4711</v>
      </c>
      <c r="I2632" s="8" t="s">
        <v>208</v>
      </c>
      <c r="J2632" s="8" t="s">
        <v>12150</v>
      </c>
      <c r="K2632" s="8" t="s">
        <v>114</v>
      </c>
      <c r="L2632" s="8" t="s">
        <v>12151</v>
      </c>
    </row>
    <row r="2633" customFormat="false" ht="34.5" hidden="false" customHeight="true" outlineLevel="0" collapsed="false">
      <c r="A2633" s="8" t="n">
        <v>2372</v>
      </c>
      <c r="B2633" s="8" t="s">
        <v>75</v>
      </c>
      <c r="C2633" s="8" t="s">
        <v>12152</v>
      </c>
      <c r="D2633" s="8" t="s">
        <v>8293</v>
      </c>
      <c r="E2633" s="8" t="s">
        <v>12153</v>
      </c>
      <c r="F2633" s="8" t="s">
        <v>10652</v>
      </c>
      <c r="G2633" s="8" t="s">
        <v>12154</v>
      </c>
      <c r="H2633" s="8" t="s">
        <v>12144</v>
      </c>
      <c r="I2633" s="8" t="s">
        <v>208</v>
      </c>
      <c r="J2633" s="8" t="s">
        <v>12155</v>
      </c>
      <c r="K2633" s="8" t="s">
        <v>114</v>
      </c>
      <c r="L2633" s="8" t="s">
        <v>12156</v>
      </c>
    </row>
    <row r="2634" customFormat="false" ht="34.5" hidden="false" customHeight="true" outlineLevel="0" collapsed="false">
      <c r="A2634" s="8" t="n">
        <v>2373</v>
      </c>
      <c r="B2634" s="8" t="s">
        <v>75</v>
      </c>
      <c r="C2634" s="8" t="s">
        <v>12157</v>
      </c>
      <c r="D2634" s="8" t="s">
        <v>8140</v>
      </c>
      <c r="E2634" s="8" t="s">
        <v>12158</v>
      </c>
      <c r="F2634" s="8" t="s">
        <v>11014</v>
      </c>
      <c r="G2634" s="8" t="s">
        <v>12159</v>
      </c>
      <c r="H2634" s="8" t="s">
        <v>12160</v>
      </c>
      <c r="I2634" s="8" t="s">
        <v>748</v>
      </c>
      <c r="J2634" s="8" t="s">
        <v>12161</v>
      </c>
      <c r="K2634" s="8" t="s">
        <v>116</v>
      </c>
      <c r="L2634" s="8" t="s">
        <v>12162</v>
      </c>
    </row>
    <row r="2635" customFormat="false" ht="34.5" hidden="false" customHeight="true" outlineLevel="0" collapsed="false">
      <c r="A2635" s="8" t="n">
        <v>2374</v>
      </c>
      <c r="B2635" s="8" t="s">
        <v>75</v>
      </c>
      <c r="C2635" s="8" t="s">
        <v>12163</v>
      </c>
      <c r="D2635" s="8" t="s">
        <v>8140</v>
      </c>
      <c r="E2635" s="8" t="s">
        <v>12164</v>
      </c>
      <c r="F2635" s="8" t="s">
        <v>151</v>
      </c>
      <c r="G2635" s="8" t="s">
        <v>12165</v>
      </c>
      <c r="H2635" s="8" t="s">
        <v>12166</v>
      </c>
      <c r="I2635" s="8" t="s">
        <v>11740</v>
      </c>
      <c r="J2635" s="8" t="s">
        <v>12167</v>
      </c>
      <c r="K2635" s="8" t="s">
        <v>116</v>
      </c>
      <c r="L2635" s="8" t="s">
        <v>12168</v>
      </c>
    </row>
    <row r="2636" customFormat="false" ht="34.5" hidden="false" customHeight="true" outlineLevel="0" collapsed="false">
      <c r="A2636" s="8" t="n">
        <v>2375</v>
      </c>
      <c r="B2636" s="8" t="s">
        <v>75</v>
      </c>
      <c r="C2636" s="8" t="s">
        <v>12169</v>
      </c>
      <c r="D2636" s="8" t="s">
        <v>8172</v>
      </c>
      <c r="E2636" s="8" t="s">
        <v>12170</v>
      </c>
      <c r="F2636" s="8" t="s">
        <v>12171</v>
      </c>
      <c r="G2636" s="8" t="s">
        <v>798</v>
      </c>
      <c r="H2636" s="8" t="s">
        <v>12172</v>
      </c>
      <c r="I2636" s="8" t="s">
        <v>11740</v>
      </c>
      <c r="J2636" s="8" t="s">
        <v>12173</v>
      </c>
      <c r="K2636" s="8"/>
      <c r="L2636" s="8" t="s">
        <v>12174</v>
      </c>
    </row>
    <row r="2637" customFormat="false" ht="34.5" hidden="false" customHeight="true" outlineLevel="0" collapsed="false">
      <c r="A2637" s="8" t="n">
        <v>2376</v>
      </c>
      <c r="B2637" s="8" t="s">
        <v>75</v>
      </c>
      <c r="C2637" s="8" t="s">
        <v>12175</v>
      </c>
      <c r="D2637" s="8" t="s">
        <v>8125</v>
      </c>
      <c r="E2637" s="8" t="s">
        <v>12176</v>
      </c>
      <c r="F2637" s="8" t="s">
        <v>143</v>
      </c>
      <c r="G2637" s="8" t="s">
        <v>12177</v>
      </c>
      <c r="H2637" s="8" t="s">
        <v>12178</v>
      </c>
      <c r="I2637" s="8" t="s">
        <v>11740</v>
      </c>
      <c r="J2637" s="8" t="s">
        <v>12179</v>
      </c>
      <c r="K2637" s="8" t="s">
        <v>114</v>
      </c>
      <c r="L2637" s="8" t="s">
        <v>12180</v>
      </c>
    </row>
    <row r="2638" customFormat="false" ht="34.5" hidden="false" customHeight="true" outlineLevel="0" collapsed="false">
      <c r="A2638" s="8" t="n">
        <v>2377</v>
      </c>
      <c r="B2638" s="8" t="s">
        <v>75</v>
      </c>
      <c r="C2638" s="8" t="s">
        <v>12181</v>
      </c>
      <c r="D2638" s="8" t="s">
        <v>8134</v>
      </c>
      <c r="E2638" s="8" t="s">
        <v>12182</v>
      </c>
      <c r="F2638" s="8" t="s">
        <v>143</v>
      </c>
      <c r="G2638" s="8" t="s">
        <v>12183</v>
      </c>
      <c r="H2638" s="8" t="s">
        <v>145</v>
      </c>
      <c r="I2638" s="8" t="s">
        <v>208</v>
      </c>
      <c r="J2638" s="8" t="s">
        <v>12184</v>
      </c>
      <c r="K2638" s="8" t="s">
        <v>114</v>
      </c>
      <c r="L2638" s="8" t="s">
        <v>12185</v>
      </c>
    </row>
    <row r="2639" customFormat="false" ht="34.5" hidden="false" customHeight="true" outlineLevel="0" collapsed="false">
      <c r="A2639" s="8" t="n">
        <v>2378</v>
      </c>
      <c r="B2639" s="8" t="s">
        <v>75</v>
      </c>
      <c r="C2639" s="8" t="s">
        <v>12186</v>
      </c>
      <c r="D2639" s="8" t="s">
        <v>8134</v>
      </c>
      <c r="E2639" s="8" t="s">
        <v>12187</v>
      </c>
      <c r="F2639" s="8" t="s">
        <v>151</v>
      </c>
      <c r="G2639" s="8" t="s">
        <v>12188</v>
      </c>
      <c r="H2639" s="8" t="s">
        <v>12189</v>
      </c>
      <c r="I2639" s="8" t="s">
        <v>146</v>
      </c>
      <c r="J2639" s="8" t="s">
        <v>12190</v>
      </c>
      <c r="K2639" s="8"/>
      <c r="L2639" s="8" t="s">
        <v>12191</v>
      </c>
    </row>
    <row r="2640" customFormat="false" ht="34.5" hidden="false" customHeight="true" outlineLevel="0" collapsed="false">
      <c r="A2640" s="8" t="n">
        <v>2379</v>
      </c>
      <c r="B2640" s="8" t="s">
        <v>75</v>
      </c>
      <c r="C2640" s="8" t="s">
        <v>12192</v>
      </c>
      <c r="D2640" s="8" t="s">
        <v>9061</v>
      </c>
      <c r="E2640" s="8" t="s">
        <v>12193</v>
      </c>
      <c r="F2640" s="8" t="s">
        <v>12194</v>
      </c>
      <c r="G2640" s="8" t="s">
        <v>1264</v>
      </c>
      <c r="H2640" s="8" t="s">
        <v>145</v>
      </c>
      <c r="I2640" s="8" t="s">
        <v>387</v>
      </c>
      <c r="J2640" s="8" t="s">
        <v>12195</v>
      </c>
      <c r="K2640" s="8" t="s">
        <v>114</v>
      </c>
      <c r="L2640" s="8" t="s">
        <v>12196</v>
      </c>
    </row>
    <row r="2641" customFormat="false" ht="34.5" hidden="false" customHeight="true" outlineLevel="0" collapsed="false">
      <c r="A2641" s="8" t="n">
        <v>2380</v>
      </c>
      <c r="B2641" s="8" t="s">
        <v>75</v>
      </c>
      <c r="C2641" s="8" t="s">
        <v>12197</v>
      </c>
      <c r="D2641" s="8" t="s">
        <v>8134</v>
      </c>
      <c r="E2641" s="8" t="s">
        <v>12198</v>
      </c>
      <c r="F2641" s="8" t="s">
        <v>11202</v>
      </c>
      <c r="G2641" s="8" t="s">
        <v>1080</v>
      </c>
      <c r="H2641" s="8" t="s">
        <v>12199</v>
      </c>
      <c r="I2641" s="8" t="s">
        <v>146</v>
      </c>
      <c r="J2641" s="8" t="s">
        <v>12200</v>
      </c>
      <c r="K2641" s="8"/>
      <c r="L2641" s="8" t="s">
        <v>12201</v>
      </c>
    </row>
    <row r="2642" customFormat="false" ht="34.5" hidden="false" customHeight="true" outlineLevel="0" collapsed="false">
      <c r="A2642" s="8" t="n">
        <v>2381</v>
      </c>
      <c r="B2642" s="8" t="s">
        <v>75</v>
      </c>
      <c r="C2642" s="8" t="s">
        <v>12202</v>
      </c>
      <c r="D2642" s="8" t="s">
        <v>8125</v>
      </c>
      <c r="E2642" s="8" t="s">
        <v>12203</v>
      </c>
      <c r="F2642" s="8" t="s">
        <v>201</v>
      </c>
      <c r="G2642" s="8" t="s">
        <v>12204</v>
      </c>
      <c r="H2642" s="8" t="s">
        <v>12205</v>
      </c>
      <c r="I2642" s="8" t="s">
        <v>12206</v>
      </c>
      <c r="J2642" s="8" t="s">
        <v>12207</v>
      </c>
      <c r="K2642" s="8"/>
      <c r="L2642" s="8" t="s">
        <v>12208</v>
      </c>
    </row>
    <row r="2643" customFormat="false" ht="23.25" hidden="false" customHeight="true" outlineLevel="0" collapsed="false">
      <c r="A2643" s="8" t="n">
        <v>2382</v>
      </c>
      <c r="B2643" s="8" t="s">
        <v>75</v>
      </c>
      <c r="C2643" s="8" t="s">
        <v>12209</v>
      </c>
      <c r="D2643" s="8" t="s">
        <v>8182</v>
      </c>
      <c r="E2643" s="8" t="s">
        <v>12210</v>
      </c>
      <c r="F2643" s="8" t="s">
        <v>201</v>
      </c>
      <c r="G2643" s="8" t="s">
        <v>12211</v>
      </c>
      <c r="H2643" s="8" t="s">
        <v>12212</v>
      </c>
      <c r="I2643" s="8" t="s">
        <v>146</v>
      </c>
      <c r="J2643" s="8" t="s">
        <v>12213</v>
      </c>
      <c r="K2643" s="8" t="s">
        <v>114</v>
      </c>
      <c r="L2643" s="8" t="s">
        <v>12214</v>
      </c>
    </row>
    <row r="2644" customFormat="false" ht="34.5" hidden="false" customHeight="true" outlineLevel="0" collapsed="false">
      <c r="A2644" s="8" t="n">
        <v>2383</v>
      </c>
      <c r="B2644" s="8" t="s">
        <v>75</v>
      </c>
      <c r="C2644" s="8" t="s">
        <v>12215</v>
      </c>
      <c r="D2644" s="8" t="s">
        <v>8236</v>
      </c>
      <c r="E2644" s="8" t="s">
        <v>12216</v>
      </c>
      <c r="F2644" s="8" t="s">
        <v>201</v>
      </c>
      <c r="G2644" s="8" t="s">
        <v>12217</v>
      </c>
      <c r="H2644" s="8" t="s">
        <v>12218</v>
      </c>
      <c r="I2644" s="8" t="s">
        <v>146</v>
      </c>
      <c r="J2644" s="8" t="s">
        <v>12219</v>
      </c>
      <c r="K2644" s="8"/>
      <c r="L2644" s="8" t="s">
        <v>12220</v>
      </c>
    </row>
    <row r="2645" customFormat="false" ht="34.5" hidden="false" customHeight="true" outlineLevel="0" collapsed="false">
      <c r="A2645" s="8" t="n">
        <v>2384</v>
      </c>
      <c r="B2645" s="8" t="s">
        <v>75</v>
      </c>
      <c r="C2645" s="8" t="s">
        <v>12221</v>
      </c>
      <c r="D2645" s="8" t="s">
        <v>8140</v>
      </c>
      <c r="E2645" s="8" t="s">
        <v>12222</v>
      </c>
      <c r="F2645" s="8" t="s">
        <v>12223</v>
      </c>
      <c r="G2645" s="8" t="s">
        <v>12224</v>
      </c>
      <c r="H2645" s="8" t="s">
        <v>12225</v>
      </c>
      <c r="I2645" s="8" t="s">
        <v>146</v>
      </c>
      <c r="J2645" s="8" t="s">
        <v>12226</v>
      </c>
      <c r="K2645" s="8"/>
      <c r="L2645" s="8" t="s">
        <v>12227</v>
      </c>
    </row>
    <row r="2646" customFormat="false" ht="34.5" hidden="false" customHeight="true" outlineLevel="0" collapsed="false">
      <c r="A2646" s="8" t="n">
        <v>2385</v>
      </c>
      <c r="B2646" s="8" t="s">
        <v>75</v>
      </c>
      <c r="C2646" s="8" t="s">
        <v>12228</v>
      </c>
      <c r="D2646" s="8" t="s">
        <v>8236</v>
      </c>
      <c r="E2646" s="8" t="s">
        <v>12229</v>
      </c>
      <c r="F2646" s="8" t="s">
        <v>11263</v>
      </c>
      <c r="G2646" s="8" t="s">
        <v>4170</v>
      </c>
      <c r="H2646" s="8" t="s">
        <v>12230</v>
      </c>
      <c r="I2646" s="8" t="s">
        <v>146</v>
      </c>
      <c r="J2646" s="8" t="s">
        <v>12231</v>
      </c>
      <c r="K2646" s="8"/>
      <c r="L2646" s="8" t="s">
        <v>12232</v>
      </c>
    </row>
    <row r="2647" customFormat="false" ht="34.5" hidden="false" customHeight="true" outlineLevel="0" collapsed="false">
      <c r="A2647" s="8" t="n">
        <v>2386</v>
      </c>
      <c r="B2647" s="8" t="s">
        <v>75</v>
      </c>
      <c r="C2647" s="8" t="s">
        <v>12233</v>
      </c>
      <c r="D2647" s="8" t="s">
        <v>8134</v>
      </c>
      <c r="E2647" s="8" t="s">
        <v>12234</v>
      </c>
      <c r="F2647" s="8" t="s">
        <v>9198</v>
      </c>
      <c r="G2647" s="8" t="s">
        <v>798</v>
      </c>
      <c r="H2647" s="8" t="s">
        <v>5651</v>
      </c>
      <c r="I2647" s="8" t="s">
        <v>146</v>
      </c>
      <c r="J2647" s="8" t="s">
        <v>12235</v>
      </c>
      <c r="K2647" s="8"/>
      <c r="L2647" s="8" t="s">
        <v>12236</v>
      </c>
    </row>
    <row r="2648" customFormat="false" ht="34.5" hidden="false" customHeight="true" outlineLevel="0" collapsed="false">
      <c r="A2648" s="8" t="n">
        <v>2387</v>
      </c>
      <c r="B2648" s="8" t="s">
        <v>75</v>
      </c>
      <c r="C2648" s="8" t="s">
        <v>12237</v>
      </c>
      <c r="D2648" s="8" t="s">
        <v>8298</v>
      </c>
      <c r="E2648" s="8" t="s">
        <v>12238</v>
      </c>
      <c r="F2648" s="8" t="s">
        <v>11780</v>
      </c>
      <c r="G2648" s="8" t="s">
        <v>12217</v>
      </c>
      <c r="H2648" s="8" t="s">
        <v>12239</v>
      </c>
      <c r="I2648" s="8" t="s">
        <v>146</v>
      </c>
      <c r="J2648" s="8" t="s">
        <v>12240</v>
      </c>
      <c r="K2648" s="8" t="s">
        <v>116</v>
      </c>
      <c r="L2648" s="8" t="s">
        <v>12241</v>
      </c>
    </row>
    <row r="2649" customFormat="false" ht="34.5" hidden="false" customHeight="true" outlineLevel="0" collapsed="false">
      <c r="A2649" s="8" t="n">
        <v>2388</v>
      </c>
      <c r="B2649" s="8" t="s">
        <v>75</v>
      </c>
      <c r="C2649" s="8" t="s">
        <v>12242</v>
      </c>
      <c r="D2649" s="8" t="s">
        <v>11387</v>
      </c>
      <c r="E2649" s="8" t="s">
        <v>12243</v>
      </c>
      <c r="F2649" s="8" t="s">
        <v>12244</v>
      </c>
      <c r="G2649" s="8" t="s">
        <v>12245</v>
      </c>
      <c r="H2649" s="8" t="s">
        <v>12246</v>
      </c>
      <c r="I2649" s="8" t="s">
        <v>146</v>
      </c>
      <c r="J2649" s="8" t="s">
        <v>12247</v>
      </c>
      <c r="K2649" s="8"/>
      <c r="L2649" s="8" t="s">
        <v>12248</v>
      </c>
    </row>
    <row r="2650" customFormat="false" ht="34.5" hidden="false" customHeight="true" outlineLevel="0" collapsed="false">
      <c r="A2650" s="8" t="n">
        <v>2389</v>
      </c>
      <c r="B2650" s="8" t="s">
        <v>75</v>
      </c>
      <c r="C2650" s="8" t="s">
        <v>12249</v>
      </c>
      <c r="D2650" s="8" t="s">
        <v>9094</v>
      </c>
      <c r="E2650" s="8" t="s">
        <v>12250</v>
      </c>
      <c r="F2650" s="8" t="s">
        <v>151</v>
      </c>
      <c r="G2650" s="8" t="s">
        <v>12251</v>
      </c>
      <c r="H2650" s="8" t="s">
        <v>12252</v>
      </c>
      <c r="I2650" s="8" t="s">
        <v>146</v>
      </c>
      <c r="J2650" s="8" t="s">
        <v>12253</v>
      </c>
      <c r="K2650" s="8"/>
      <c r="L2650" s="8" t="s">
        <v>12254</v>
      </c>
    </row>
    <row r="2651" customFormat="false" ht="34.5" hidden="false" customHeight="true" outlineLevel="0" collapsed="false">
      <c r="A2651" s="8" t="n">
        <v>2390</v>
      </c>
      <c r="B2651" s="8" t="s">
        <v>75</v>
      </c>
      <c r="C2651" s="8" t="s">
        <v>12255</v>
      </c>
      <c r="D2651" s="8" t="s">
        <v>8172</v>
      </c>
      <c r="E2651" s="8" t="s">
        <v>12256</v>
      </c>
      <c r="F2651" s="8" t="s">
        <v>4040</v>
      </c>
      <c r="G2651" s="8" t="s">
        <v>12257</v>
      </c>
      <c r="H2651" s="8" t="s">
        <v>145</v>
      </c>
      <c r="I2651" s="8" t="s">
        <v>12206</v>
      </c>
      <c r="J2651" s="8" t="s">
        <v>12258</v>
      </c>
      <c r="K2651" s="8"/>
      <c r="L2651" s="8" t="s">
        <v>12259</v>
      </c>
    </row>
    <row r="2652" customFormat="false" ht="34.5" hidden="false" customHeight="true" outlineLevel="0" collapsed="false">
      <c r="A2652" s="8" t="n">
        <v>2391</v>
      </c>
      <c r="B2652" s="8" t="s">
        <v>75</v>
      </c>
      <c r="C2652" s="8" t="s">
        <v>12260</v>
      </c>
      <c r="D2652" s="8" t="s">
        <v>9061</v>
      </c>
      <c r="E2652" s="8" t="s">
        <v>12261</v>
      </c>
      <c r="F2652" s="8" t="s">
        <v>12136</v>
      </c>
      <c r="G2652" s="8" t="s">
        <v>12262</v>
      </c>
      <c r="H2652" s="8" t="s">
        <v>12263</v>
      </c>
      <c r="I2652" s="8" t="s">
        <v>12264</v>
      </c>
      <c r="J2652" s="8" t="s">
        <v>12265</v>
      </c>
      <c r="K2652" s="8"/>
      <c r="L2652" s="8" t="s">
        <v>12266</v>
      </c>
    </row>
    <row r="2653" customFormat="false" ht="34.5" hidden="false" customHeight="true" outlineLevel="0" collapsed="false">
      <c r="A2653" s="8" t="n">
        <v>2392</v>
      </c>
      <c r="B2653" s="8" t="s">
        <v>75</v>
      </c>
      <c r="C2653" s="8" t="s">
        <v>12267</v>
      </c>
      <c r="D2653" s="8" t="s">
        <v>8303</v>
      </c>
      <c r="E2653" s="8" t="s">
        <v>12268</v>
      </c>
      <c r="F2653" s="8" t="s">
        <v>12269</v>
      </c>
      <c r="G2653" s="8" t="s">
        <v>12270</v>
      </c>
      <c r="H2653" s="8" t="s">
        <v>3169</v>
      </c>
      <c r="I2653" s="8" t="s">
        <v>387</v>
      </c>
      <c r="J2653" s="8" t="s">
        <v>12271</v>
      </c>
      <c r="K2653" s="8"/>
      <c r="L2653" s="8" t="s">
        <v>12272</v>
      </c>
    </row>
    <row r="2654" customFormat="false" ht="34.5" hidden="false" customHeight="true" outlineLevel="0" collapsed="false">
      <c r="A2654" s="8" t="n">
        <v>2393</v>
      </c>
      <c r="B2654" s="8" t="s">
        <v>75</v>
      </c>
      <c r="C2654" s="8" t="s">
        <v>12273</v>
      </c>
      <c r="D2654" s="8" t="s">
        <v>8125</v>
      </c>
      <c r="E2654" s="8" t="s">
        <v>12274</v>
      </c>
      <c r="F2654" s="8" t="s">
        <v>11108</v>
      </c>
      <c r="G2654" s="8" t="s">
        <v>12275</v>
      </c>
      <c r="H2654" s="8" t="s">
        <v>12276</v>
      </c>
      <c r="I2654" s="8" t="s">
        <v>11647</v>
      </c>
      <c r="J2654" s="8" t="s">
        <v>12277</v>
      </c>
      <c r="K2654" s="8"/>
      <c r="L2654" s="8" t="s">
        <v>12278</v>
      </c>
    </row>
    <row r="2655" customFormat="false" ht="34.5" hidden="false" customHeight="true" outlineLevel="0" collapsed="false">
      <c r="A2655" s="8" t="n">
        <v>2394</v>
      </c>
      <c r="B2655" s="8" t="s">
        <v>75</v>
      </c>
      <c r="C2655" s="8" t="s">
        <v>12279</v>
      </c>
      <c r="D2655" s="8" t="s">
        <v>9061</v>
      </c>
      <c r="E2655" s="8" t="s">
        <v>12280</v>
      </c>
      <c r="F2655" s="8" t="s">
        <v>151</v>
      </c>
      <c r="G2655" s="8" t="s">
        <v>12281</v>
      </c>
      <c r="H2655" s="8" t="s">
        <v>12282</v>
      </c>
      <c r="I2655" s="8" t="s">
        <v>146</v>
      </c>
      <c r="J2655" s="8" t="s">
        <v>12283</v>
      </c>
      <c r="K2655" s="8"/>
      <c r="L2655" s="8" t="s">
        <v>12284</v>
      </c>
    </row>
    <row r="2656" customFormat="false" ht="34.5" hidden="false" customHeight="true" outlineLevel="0" collapsed="false">
      <c r="A2656" s="8" t="n">
        <v>2395</v>
      </c>
      <c r="B2656" s="8" t="s">
        <v>75</v>
      </c>
      <c r="C2656" s="8" t="s">
        <v>12285</v>
      </c>
      <c r="D2656" s="8" t="s">
        <v>8125</v>
      </c>
      <c r="E2656" s="8" t="s">
        <v>12286</v>
      </c>
      <c r="F2656" s="8" t="s">
        <v>11108</v>
      </c>
      <c r="G2656" s="8" t="s">
        <v>12287</v>
      </c>
      <c r="H2656" s="8" t="s">
        <v>12288</v>
      </c>
      <c r="I2656" s="8" t="s">
        <v>146</v>
      </c>
      <c r="J2656" s="8" t="s">
        <v>12289</v>
      </c>
      <c r="K2656" s="8"/>
      <c r="L2656" s="8" t="s">
        <v>12290</v>
      </c>
    </row>
    <row r="2657" customFormat="false" ht="34.5" hidden="false" customHeight="true" outlineLevel="0" collapsed="false">
      <c r="A2657" s="8" t="n">
        <v>2396</v>
      </c>
      <c r="B2657" s="8" t="s">
        <v>75</v>
      </c>
      <c r="C2657" s="8" t="s">
        <v>12291</v>
      </c>
      <c r="D2657" s="8" t="s">
        <v>9061</v>
      </c>
      <c r="E2657" s="8" t="s">
        <v>12292</v>
      </c>
      <c r="F2657" s="8" t="s">
        <v>10512</v>
      </c>
      <c r="G2657" s="8" t="s">
        <v>12287</v>
      </c>
      <c r="H2657" s="8" t="s">
        <v>244</v>
      </c>
      <c r="I2657" s="8" t="s">
        <v>146</v>
      </c>
      <c r="J2657" s="8" t="s">
        <v>12293</v>
      </c>
      <c r="K2657" s="8"/>
      <c r="L2657" s="8" t="s">
        <v>12294</v>
      </c>
    </row>
    <row r="2658" customFormat="false" ht="34.5" hidden="false" customHeight="true" outlineLevel="0" collapsed="false">
      <c r="A2658" s="8" t="n">
        <v>2397</v>
      </c>
      <c r="B2658" s="8" t="s">
        <v>75</v>
      </c>
      <c r="C2658" s="8" t="s">
        <v>12295</v>
      </c>
      <c r="D2658" s="8" t="s">
        <v>9061</v>
      </c>
      <c r="E2658" s="8" t="s">
        <v>12296</v>
      </c>
      <c r="F2658" s="8" t="s">
        <v>12297</v>
      </c>
      <c r="G2658" s="8" t="s">
        <v>10445</v>
      </c>
      <c r="H2658" s="8" t="s">
        <v>12298</v>
      </c>
      <c r="I2658" s="8" t="s">
        <v>146</v>
      </c>
      <c r="J2658" s="8" t="s">
        <v>12299</v>
      </c>
      <c r="K2658" s="8"/>
      <c r="L2658" s="8" t="s">
        <v>12300</v>
      </c>
    </row>
    <row r="2659" customFormat="false" ht="34.5" hidden="false" customHeight="true" outlineLevel="0" collapsed="false">
      <c r="A2659" s="8" t="n">
        <v>2398</v>
      </c>
      <c r="B2659" s="8" t="s">
        <v>75</v>
      </c>
      <c r="C2659" s="8" t="s">
        <v>12301</v>
      </c>
      <c r="D2659" s="8" t="s">
        <v>8182</v>
      </c>
      <c r="E2659" s="8" t="s">
        <v>12302</v>
      </c>
      <c r="F2659" s="8" t="s">
        <v>12303</v>
      </c>
      <c r="G2659" s="8" t="s">
        <v>152</v>
      </c>
      <c r="H2659" s="8" t="s">
        <v>12304</v>
      </c>
      <c r="I2659" s="8" t="s">
        <v>387</v>
      </c>
      <c r="J2659" s="8" t="s">
        <v>12305</v>
      </c>
      <c r="K2659" s="8"/>
      <c r="L2659" s="8" t="s">
        <v>12306</v>
      </c>
    </row>
    <row r="2660" customFormat="false" ht="34.5" hidden="false" customHeight="true" outlineLevel="0" collapsed="false">
      <c r="A2660" s="8" t="n">
        <v>2399</v>
      </c>
      <c r="B2660" s="8" t="s">
        <v>75</v>
      </c>
      <c r="C2660" s="8" t="s">
        <v>2436</v>
      </c>
      <c r="D2660" s="8" t="s">
        <v>11387</v>
      </c>
      <c r="E2660" s="8" t="s">
        <v>12307</v>
      </c>
      <c r="F2660" s="8" t="s">
        <v>201</v>
      </c>
      <c r="G2660" s="8" t="s">
        <v>798</v>
      </c>
      <c r="H2660" s="8" t="s">
        <v>12308</v>
      </c>
      <c r="I2660" s="8" t="s">
        <v>153</v>
      </c>
      <c r="J2660" s="8" t="s">
        <v>12309</v>
      </c>
      <c r="K2660" s="8"/>
      <c r="L2660" s="8" t="s">
        <v>12310</v>
      </c>
    </row>
    <row r="2661" customFormat="false" ht="34.5" hidden="false" customHeight="true" outlineLevel="0" collapsed="false">
      <c r="A2661" s="8" t="n">
        <v>2400</v>
      </c>
      <c r="B2661" s="8" t="s">
        <v>75</v>
      </c>
      <c r="C2661" s="8" t="s">
        <v>12311</v>
      </c>
      <c r="D2661" s="8" t="s">
        <v>8134</v>
      </c>
      <c r="E2661" s="8" t="s">
        <v>12312</v>
      </c>
      <c r="F2661" s="8" t="s">
        <v>12244</v>
      </c>
      <c r="G2661" s="8" t="s">
        <v>12313</v>
      </c>
      <c r="H2661" s="8" t="s">
        <v>145</v>
      </c>
      <c r="I2661" s="8" t="s">
        <v>748</v>
      </c>
      <c r="J2661" s="8" t="s">
        <v>12314</v>
      </c>
      <c r="K2661" s="8"/>
      <c r="L2661" s="8" t="s">
        <v>12315</v>
      </c>
    </row>
    <row r="2662" customFormat="false" ht="34.5" hidden="false" customHeight="true" outlineLevel="0" collapsed="false">
      <c r="A2662" s="8" t="n">
        <v>2401</v>
      </c>
      <c r="B2662" s="8" t="s">
        <v>75</v>
      </c>
      <c r="C2662" s="8" t="s">
        <v>12316</v>
      </c>
      <c r="D2662" s="8" t="s">
        <v>9061</v>
      </c>
      <c r="E2662" s="8" t="s">
        <v>12317</v>
      </c>
      <c r="F2662" s="8" t="s">
        <v>151</v>
      </c>
      <c r="G2662" s="8" t="s">
        <v>12318</v>
      </c>
      <c r="H2662" s="8" t="s">
        <v>12319</v>
      </c>
      <c r="I2662" s="8" t="s">
        <v>387</v>
      </c>
      <c r="J2662" s="8" t="s">
        <v>12320</v>
      </c>
      <c r="K2662" s="8"/>
      <c r="L2662" s="8" t="s">
        <v>12321</v>
      </c>
    </row>
    <row r="2663" customFormat="false" ht="34.5" hidden="false" customHeight="true" outlineLevel="0" collapsed="false">
      <c r="A2663" s="8" t="n">
        <v>2402</v>
      </c>
      <c r="B2663" s="8" t="s">
        <v>75</v>
      </c>
      <c r="C2663" s="8" t="s">
        <v>2658</v>
      </c>
      <c r="D2663" s="8" t="s">
        <v>8125</v>
      </c>
      <c r="E2663" s="8" t="s">
        <v>12322</v>
      </c>
      <c r="F2663" s="8" t="s">
        <v>12323</v>
      </c>
      <c r="G2663" s="8" t="s">
        <v>12324</v>
      </c>
      <c r="H2663" s="8" t="s">
        <v>145</v>
      </c>
      <c r="I2663" s="8" t="s">
        <v>387</v>
      </c>
      <c r="J2663" s="8" t="s">
        <v>12325</v>
      </c>
      <c r="K2663" s="8" t="s">
        <v>114</v>
      </c>
      <c r="L2663" s="8" t="s">
        <v>12326</v>
      </c>
    </row>
    <row r="2664" customFormat="false" ht="34.5" hidden="false" customHeight="true" outlineLevel="0" collapsed="false">
      <c r="A2664" s="8" t="n">
        <v>2403</v>
      </c>
      <c r="B2664" s="8" t="s">
        <v>75</v>
      </c>
      <c r="C2664" s="8" t="s">
        <v>12327</v>
      </c>
      <c r="D2664" s="8" t="s">
        <v>8125</v>
      </c>
      <c r="E2664" s="8" t="s">
        <v>12328</v>
      </c>
      <c r="F2664" s="8" t="s">
        <v>11014</v>
      </c>
      <c r="G2664" s="8" t="s">
        <v>12329</v>
      </c>
      <c r="H2664" s="8" t="s">
        <v>12330</v>
      </c>
      <c r="I2664" s="8" t="s">
        <v>748</v>
      </c>
      <c r="J2664" s="8" t="s">
        <v>12331</v>
      </c>
      <c r="K2664" s="8" t="s">
        <v>116</v>
      </c>
      <c r="L2664" s="8" t="s">
        <v>12332</v>
      </c>
    </row>
    <row r="2665" customFormat="false" ht="23.25" hidden="false" customHeight="true" outlineLevel="0" collapsed="false">
      <c r="A2665" s="8" t="n">
        <v>2404</v>
      </c>
      <c r="B2665" s="8" t="s">
        <v>75</v>
      </c>
      <c r="C2665" s="8" t="s">
        <v>12333</v>
      </c>
      <c r="D2665" s="8" t="s">
        <v>8134</v>
      </c>
      <c r="E2665" s="8" t="s">
        <v>12334</v>
      </c>
      <c r="F2665" s="8" t="s">
        <v>143</v>
      </c>
      <c r="G2665" s="8" t="s">
        <v>12335</v>
      </c>
      <c r="H2665" s="8" t="s">
        <v>145</v>
      </c>
      <c r="I2665" s="8" t="s">
        <v>387</v>
      </c>
      <c r="J2665" s="8" t="s">
        <v>12336</v>
      </c>
      <c r="K2665" s="8" t="s">
        <v>114</v>
      </c>
      <c r="L2665" s="8" t="s">
        <v>12337</v>
      </c>
    </row>
    <row r="2666" customFormat="false" ht="34.5" hidden="false" customHeight="true" outlineLevel="0" collapsed="false">
      <c r="A2666" s="8" t="n">
        <v>2405</v>
      </c>
      <c r="B2666" s="8" t="s">
        <v>75</v>
      </c>
      <c r="C2666" s="8" t="s">
        <v>12338</v>
      </c>
      <c r="D2666" s="8" t="s">
        <v>8125</v>
      </c>
      <c r="E2666" s="8" t="s">
        <v>12339</v>
      </c>
      <c r="F2666" s="8" t="s">
        <v>201</v>
      </c>
      <c r="G2666" s="8" t="s">
        <v>12340</v>
      </c>
      <c r="H2666" s="8" t="s">
        <v>12341</v>
      </c>
      <c r="I2666" s="8" t="s">
        <v>153</v>
      </c>
      <c r="J2666" s="8" t="s">
        <v>12342</v>
      </c>
      <c r="K2666" s="8" t="s">
        <v>114</v>
      </c>
      <c r="L2666" s="8" t="s">
        <v>12343</v>
      </c>
    </row>
    <row r="2667" customFormat="false" ht="34.5" hidden="false" customHeight="true" outlineLevel="0" collapsed="false">
      <c r="A2667" s="8" t="n">
        <v>2406</v>
      </c>
      <c r="B2667" s="8" t="s">
        <v>75</v>
      </c>
      <c r="C2667" s="8" t="s">
        <v>11206</v>
      </c>
      <c r="D2667" s="8" t="s">
        <v>9061</v>
      </c>
      <c r="E2667" s="8" t="s">
        <v>12344</v>
      </c>
      <c r="F2667" s="8" t="s">
        <v>151</v>
      </c>
      <c r="G2667" s="8" t="s">
        <v>12345</v>
      </c>
      <c r="H2667" s="8" t="s">
        <v>12346</v>
      </c>
      <c r="I2667" s="8" t="s">
        <v>387</v>
      </c>
      <c r="J2667" s="8" t="s">
        <v>12347</v>
      </c>
      <c r="K2667" s="8"/>
      <c r="L2667" s="8" t="s">
        <v>12348</v>
      </c>
    </row>
    <row r="2668" customFormat="false" ht="34.5" hidden="false" customHeight="true" outlineLevel="0" collapsed="false">
      <c r="A2668" s="8" t="n">
        <v>2407</v>
      </c>
      <c r="B2668" s="8" t="s">
        <v>75</v>
      </c>
      <c r="C2668" s="8" t="s">
        <v>12349</v>
      </c>
      <c r="D2668" s="8" t="s">
        <v>8134</v>
      </c>
      <c r="E2668" s="8" t="s">
        <v>12350</v>
      </c>
      <c r="F2668" s="8" t="s">
        <v>201</v>
      </c>
      <c r="G2668" s="8" t="s">
        <v>12351</v>
      </c>
      <c r="H2668" s="8" t="s">
        <v>12352</v>
      </c>
      <c r="I2668" s="8" t="s">
        <v>208</v>
      </c>
      <c r="J2668" s="8" t="s">
        <v>12353</v>
      </c>
      <c r="K2668" s="8"/>
      <c r="L2668" s="8" t="s">
        <v>12354</v>
      </c>
    </row>
    <row r="2669" customFormat="false" ht="34.5" hidden="false" customHeight="true" outlineLevel="0" collapsed="false">
      <c r="A2669" s="8" t="n">
        <v>2408</v>
      </c>
      <c r="B2669" s="8" t="s">
        <v>75</v>
      </c>
      <c r="C2669" s="8" t="s">
        <v>12355</v>
      </c>
      <c r="D2669" s="8" t="s">
        <v>8125</v>
      </c>
      <c r="E2669" s="8" t="s">
        <v>12356</v>
      </c>
      <c r="F2669" s="8" t="s">
        <v>12357</v>
      </c>
      <c r="G2669" s="8" t="s">
        <v>12358</v>
      </c>
      <c r="H2669" s="8" t="s">
        <v>12359</v>
      </c>
      <c r="I2669" s="8" t="s">
        <v>146</v>
      </c>
      <c r="J2669" s="8" t="s">
        <v>12360</v>
      </c>
      <c r="K2669" s="8" t="s">
        <v>114</v>
      </c>
      <c r="L2669" s="8" t="s">
        <v>12361</v>
      </c>
    </row>
    <row r="2670" customFormat="false" ht="34.5" hidden="false" customHeight="true" outlineLevel="0" collapsed="false">
      <c r="A2670" s="8" t="n">
        <v>2409</v>
      </c>
      <c r="B2670" s="8" t="s">
        <v>75</v>
      </c>
      <c r="C2670" s="8" t="s">
        <v>12362</v>
      </c>
      <c r="D2670" s="8" t="s">
        <v>8259</v>
      </c>
      <c r="E2670" s="8" t="s">
        <v>12363</v>
      </c>
      <c r="F2670" s="8" t="s">
        <v>579</v>
      </c>
      <c r="G2670" s="8" t="s">
        <v>12364</v>
      </c>
      <c r="H2670" s="8" t="s">
        <v>145</v>
      </c>
      <c r="I2670" s="8" t="s">
        <v>387</v>
      </c>
      <c r="J2670" s="8" t="s">
        <v>12365</v>
      </c>
      <c r="K2670" s="8"/>
      <c r="L2670" s="8" t="s">
        <v>12366</v>
      </c>
    </row>
    <row r="2671" customFormat="false" ht="34.5" hidden="false" customHeight="true" outlineLevel="0" collapsed="false">
      <c r="A2671" s="8" t="n">
        <v>2410</v>
      </c>
      <c r="B2671" s="8" t="s">
        <v>75</v>
      </c>
      <c r="C2671" s="8" t="s">
        <v>12367</v>
      </c>
      <c r="D2671" s="8" t="s">
        <v>8240</v>
      </c>
      <c r="E2671" s="8" t="s">
        <v>12368</v>
      </c>
      <c r="F2671" s="8" t="s">
        <v>201</v>
      </c>
      <c r="G2671" s="8" t="s">
        <v>12369</v>
      </c>
      <c r="H2671" s="8" t="s">
        <v>145</v>
      </c>
      <c r="I2671" s="8" t="s">
        <v>146</v>
      </c>
      <c r="J2671" s="8" t="s">
        <v>12370</v>
      </c>
      <c r="K2671" s="8"/>
      <c r="L2671" s="8" t="s">
        <v>12371</v>
      </c>
    </row>
    <row r="2672" customFormat="false" ht="34.5" hidden="false" customHeight="true" outlineLevel="0" collapsed="false">
      <c r="A2672" s="8" t="n">
        <v>2411</v>
      </c>
      <c r="B2672" s="8" t="s">
        <v>75</v>
      </c>
      <c r="C2672" s="8" t="s">
        <v>11084</v>
      </c>
      <c r="D2672" s="8" t="s">
        <v>9094</v>
      </c>
      <c r="E2672" s="8" t="s">
        <v>12372</v>
      </c>
      <c r="F2672" s="8" t="s">
        <v>151</v>
      </c>
      <c r="G2672" s="8" t="s">
        <v>12373</v>
      </c>
      <c r="H2672" s="8" t="s">
        <v>12374</v>
      </c>
      <c r="I2672" s="8" t="s">
        <v>146</v>
      </c>
      <c r="J2672" s="8" t="s">
        <v>12375</v>
      </c>
      <c r="K2672" s="8"/>
      <c r="L2672" s="8" t="s">
        <v>12376</v>
      </c>
    </row>
    <row r="2673" customFormat="false" ht="34.5" hidden="false" customHeight="true" outlineLevel="0" collapsed="false">
      <c r="A2673" s="8" t="n">
        <v>2412</v>
      </c>
      <c r="B2673" s="8" t="s">
        <v>75</v>
      </c>
      <c r="C2673" s="8" t="s">
        <v>12377</v>
      </c>
      <c r="D2673" s="8" t="s">
        <v>8125</v>
      </c>
      <c r="E2673" s="8" t="s">
        <v>12378</v>
      </c>
      <c r="F2673" s="8" t="s">
        <v>10672</v>
      </c>
      <c r="G2673" s="8" t="s">
        <v>4170</v>
      </c>
      <c r="H2673" s="8" t="s">
        <v>145</v>
      </c>
      <c r="I2673" s="8" t="s">
        <v>146</v>
      </c>
      <c r="J2673" s="8" t="s">
        <v>12379</v>
      </c>
      <c r="K2673" s="8"/>
      <c r="L2673" s="8" t="s">
        <v>12380</v>
      </c>
    </row>
    <row r="2674" customFormat="false" ht="34.5" hidden="false" customHeight="true" outlineLevel="0" collapsed="false">
      <c r="A2674" s="8" t="n">
        <v>2413</v>
      </c>
      <c r="B2674" s="8" t="s">
        <v>75</v>
      </c>
      <c r="C2674" s="8" t="s">
        <v>12381</v>
      </c>
      <c r="D2674" s="8" t="s">
        <v>8236</v>
      </c>
      <c r="E2674" s="8" t="s">
        <v>12382</v>
      </c>
      <c r="F2674" s="8" t="s">
        <v>201</v>
      </c>
      <c r="G2674" s="8" t="s">
        <v>12383</v>
      </c>
      <c r="H2674" s="8" t="s">
        <v>12384</v>
      </c>
      <c r="I2674" s="8" t="s">
        <v>146</v>
      </c>
      <c r="J2674" s="8" t="s">
        <v>12385</v>
      </c>
      <c r="K2674" s="8"/>
      <c r="L2674" s="8" t="s">
        <v>12386</v>
      </c>
    </row>
    <row r="2675" customFormat="false" ht="34.5" hidden="false" customHeight="true" outlineLevel="0" collapsed="false">
      <c r="A2675" s="8" t="n">
        <v>2414</v>
      </c>
      <c r="B2675" s="8" t="s">
        <v>75</v>
      </c>
      <c r="C2675" s="8" t="s">
        <v>12387</v>
      </c>
      <c r="D2675" s="8" t="s">
        <v>9094</v>
      </c>
      <c r="E2675" s="8" t="s">
        <v>12388</v>
      </c>
      <c r="F2675" s="8" t="s">
        <v>12389</v>
      </c>
      <c r="G2675" s="8" t="s">
        <v>4170</v>
      </c>
      <c r="H2675" s="8" t="s">
        <v>145</v>
      </c>
      <c r="I2675" s="8" t="s">
        <v>146</v>
      </c>
      <c r="J2675" s="8" t="s">
        <v>12390</v>
      </c>
      <c r="K2675" s="8"/>
      <c r="L2675" s="8" t="s">
        <v>12391</v>
      </c>
    </row>
    <row r="2676" customFormat="false" ht="34.5" hidden="false" customHeight="true" outlineLevel="0" collapsed="false">
      <c r="A2676" s="8" t="n">
        <v>2415</v>
      </c>
      <c r="B2676" s="8" t="s">
        <v>75</v>
      </c>
      <c r="C2676" s="8" t="s">
        <v>12392</v>
      </c>
      <c r="D2676" s="8" t="s">
        <v>9094</v>
      </c>
      <c r="E2676" s="8" t="s">
        <v>12393</v>
      </c>
      <c r="F2676" s="8" t="s">
        <v>11045</v>
      </c>
      <c r="G2676" s="8" t="s">
        <v>4170</v>
      </c>
      <c r="H2676" s="8" t="s">
        <v>145</v>
      </c>
      <c r="I2676" s="8" t="s">
        <v>146</v>
      </c>
      <c r="J2676" s="8" t="s">
        <v>12394</v>
      </c>
      <c r="K2676" s="8"/>
      <c r="L2676" s="8" t="s">
        <v>12395</v>
      </c>
    </row>
    <row r="2677" customFormat="false" ht="34.5" hidden="false" customHeight="true" outlineLevel="0" collapsed="false">
      <c r="A2677" s="8" t="n">
        <v>2416</v>
      </c>
      <c r="B2677" s="8" t="s">
        <v>75</v>
      </c>
      <c r="C2677" s="8" t="s">
        <v>12396</v>
      </c>
      <c r="D2677" s="8" t="s">
        <v>8182</v>
      </c>
      <c r="E2677" s="8" t="s">
        <v>12397</v>
      </c>
      <c r="F2677" s="8" t="s">
        <v>11717</v>
      </c>
      <c r="G2677" s="8" t="s">
        <v>12398</v>
      </c>
      <c r="H2677" s="8" t="s">
        <v>145</v>
      </c>
      <c r="I2677" s="8" t="s">
        <v>146</v>
      </c>
      <c r="J2677" s="8" t="s">
        <v>12399</v>
      </c>
      <c r="K2677" s="8"/>
      <c r="L2677" s="8" t="s">
        <v>12400</v>
      </c>
    </row>
    <row r="2678" customFormat="false" ht="34.5" hidden="false" customHeight="true" outlineLevel="0" collapsed="false">
      <c r="A2678" s="8" t="n">
        <v>2417</v>
      </c>
      <c r="B2678" s="8" t="s">
        <v>75</v>
      </c>
      <c r="C2678" s="8" t="s">
        <v>11206</v>
      </c>
      <c r="D2678" s="8" t="s">
        <v>9061</v>
      </c>
      <c r="E2678" s="8" t="s">
        <v>12401</v>
      </c>
      <c r="F2678" s="8" t="s">
        <v>151</v>
      </c>
      <c r="G2678" s="8" t="s">
        <v>12402</v>
      </c>
      <c r="H2678" s="8" t="s">
        <v>12403</v>
      </c>
      <c r="I2678" s="8" t="s">
        <v>146</v>
      </c>
      <c r="J2678" s="8" t="s">
        <v>12404</v>
      </c>
      <c r="K2678" s="8"/>
      <c r="L2678" s="8" t="s">
        <v>12405</v>
      </c>
    </row>
    <row r="2679" customFormat="false" ht="34.5" hidden="false" customHeight="true" outlineLevel="0" collapsed="false">
      <c r="A2679" s="8" t="n">
        <v>2418</v>
      </c>
      <c r="B2679" s="8" t="s">
        <v>75</v>
      </c>
      <c r="C2679" s="8" t="s">
        <v>12406</v>
      </c>
      <c r="D2679" s="8" t="s">
        <v>9094</v>
      </c>
      <c r="E2679" s="8" t="s">
        <v>12407</v>
      </c>
      <c r="F2679" s="8" t="s">
        <v>11108</v>
      </c>
      <c r="G2679" s="8" t="s">
        <v>12408</v>
      </c>
      <c r="H2679" s="8" t="s">
        <v>12409</v>
      </c>
      <c r="I2679" s="8" t="s">
        <v>748</v>
      </c>
      <c r="J2679" s="8" t="s">
        <v>12410</v>
      </c>
      <c r="K2679" s="8" t="s">
        <v>116</v>
      </c>
      <c r="L2679" s="8" t="s">
        <v>12411</v>
      </c>
    </row>
    <row r="2680" customFormat="false" ht="34.5" hidden="false" customHeight="true" outlineLevel="0" collapsed="false">
      <c r="A2680" s="8" t="n">
        <v>2419</v>
      </c>
      <c r="B2680" s="8" t="s">
        <v>75</v>
      </c>
      <c r="C2680" s="8" t="s">
        <v>12412</v>
      </c>
      <c r="D2680" s="8" t="s">
        <v>9094</v>
      </c>
      <c r="E2680" s="8" t="s">
        <v>12413</v>
      </c>
      <c r="F2680" s="8" t="s">
        <v>201</v>
      </c>
      <c r="G2680" s="8" t="s">
        <v>12414</v>
      </c>
      <c r="H2680" s="8" t="s">
        <v>12415</v>
      </c>
      <c r="I2680" s="8" t="s">
        <v>387</v>
      </c>
      <c r="J2680" s="8" t="s">
        <v>12416</v>
      </c>
      <c r="K2680" s="8" t="s">
        <v>114</v>
      </c>
      <c r="L2680" s="8" t="s">
        <v>12417</v>
      </c>
    </row>
    <row r="2681" customFormat="false" ht="34.5" hidden="false" customHeight="true" outlineLevel="0" collapsed="false">
      <c r="A2681" s="8" t="n">
        <v>2420</v>
      </c>
      <c r="B2681" s="8" t="s">
        <v>75</v>
      </c>
      <c r="C2681" s="8" t="s">
        <v>12418</v>
      </c>
      <c r="D2681" s="8" t="s">
        <v>8172</v>
      </c>
      <c r="E2681" s="8" t="s">
        <v>12419</v>
      </c>
      <c r="F2681" s="8" t="s">
        <v>151</v>
      </c>
      <c r="G2681" s="8" t="s">
        <v>12420</v>
      </c>
      <c r="H2681" s="8" t="s">
        <v>145</v>
      </c>
      <c r="I2681" s="8" t="s">
        <v>146</v>
      </c>
      <c r="J2681" s="8" t="s">
        <v>12421</v>
      </c>
      <c r="K2681" s="8"/>
      <c r="L2681" s="8" t="s">
        <v>12422</v>
      </c>
    </row>
    <row r="2682" customFormat="false" ht="34.5" hidden="false" customHeight="true" outlineLevel="0" collapsed="false">
      <c r="A2682" s="8" t="n">
        <v>2421</v>
      </c>
      <c r="B2682" s="8" t="s">
        <v>75</v>
      </c>
      <c r="C2682" s="8" t="s">
        <v>12423</v>
      </c>
      <c r="D2682" s="8" t="s">
        <v>9061</v>
      </c>
      <c r="E2682" s="8" t="s">
        <v>12424</v>
      </c>
      <c r="F2682" s="8" t="s">
        <v>143</v>
      </c>
      <c r="G2682" s="8" t="s">
        <v>12425</v>
      </c>
      <c r="H2682" s="8" t="s">
        <v>10838</v>
      </c>
      <c r="I2682" s="8" t="s">
        <v>153</v>
      </c>
      <c r="J2682" s="8" t="s">
        <v>12426</v>
      </c>
      <c r="K2682" s="8" t="s">
        <v>110</v>
      </c>
      <c r="L2682" s="8" t="s">
        <v>12427</v>
      </c>
    </row>
    <row r="2683" customFormat="false" ht="34.5" hidden="false" customHeight="true" outlineLevel="0" collapsed="false">
      <c r="A2683" s="8" t="n">
        <v>2422</v>
      </c>
      <c r="B2683" s="8" t="s">
        <v>75</v>
      </c>
      <c r="C2683" s="8" t="s">
        <v>12428</v>
      </c>
      <c r="D2683" s="8" t="s">
        <v>9094</v>
      </c>
      <c r="E2683" s="8" t="s">
        <v>12429</v>
      </c>
      <c r="F2683" s="8" t="s">
        <v>151</v>
      </c>
      <c r="G2683" s="8" t="s">
        <v>12430</v>
      </c>
      <c r="H2683" s="8" t="s">
        <v>12431</v>
      </c>
      <c r="I2683" s="8" t="s">
        <v>146</v>
      </c>
      <c r="J2683" s="8" t="s">
        <v>12432</v>
      </c>
      <c r="K2683" s="8"/>
      <c r="L2683" s="8" t="s">
        <v>12433</v>
      </c>
    </row>
    <row r="2684" customFormat="false" ht="34.5" hidden="false" customHeight="true" outlineLevel="0" collapsed="false">
      <c r="A2684" s="8" t="n">
        <v>2423</v>
      </c>
      <c r="B2684" s="8" t="s">
        <v>75</v>
      </c>
      <c r="C2684" s="8" t="s">
        <v>12434</v>
      </c>
      <c r="D2684" s="8" t="s">
        <v>8125</v>
      </c>
      <c r="E2684" s="8" t="s">
        <v>12435</v>
      </c>
      <c r="F2684" s="8" t="s">
        <v>10672</v>
      </c>
      <c r="G2684" s="8" t="s">
        <v>12436</v>
      </c>
      <c r="H2684" s="8" t="s">
        <v>145</v>
      </c>
      <c r="I2684" s="8" t="s">
        <v>146</v>
      </c>
      <c r="J2684" s="8" t="s">
        <v>12437</v>
      </c>
      <c r="K2684" s="8"/>
      <c r="L2684" s="8" t="s">
        <v>12438</v>
      </c>
    </row>
    <row r="2685" customFormat="false" ht="34.5" hidden="false" customHeight="true" outlineLevel="0" collapsed="false">
      <c r="A2685" s="8" t="n">
        <v>2424</v>
      </c>
      <c r="B2685" s="8" t="s">
        <v>75</v>
      </c>
      <c r="C2685" s="8" t="s">
        <v>12439</v>
      </c>
      <c r="D2685" s="8" t="s">
        <v>8125</v>
      </c>
      <c r="E2685" s="8" t="s">
        <v>12440</v>
      </c>
      <c r="F2685" s="8" t="s">
        <v>12244</v>
      </c>
      <c r="G2685" s="8" t="s">
        <v>12441</v>
      </c>
      <c r="H2685" s="8" t="s">
        <v>145</v>
      </c>
      <c r="I2685" s="8" t="s">
        <v>146</v>
      </c>
      <c r="J2685" s="8" t="s">
        <v>12442</v>
      </c>
      <c r="K2685" s="8"/>
      <c r="L2685" s="8" t="s">
        <v>12443</v>
      </c>
    </row>
    <row r="2686" customFormat="false" ht="34.5" hidden="false" customHeight="true" outlineLevel="0" collapsed="false">
      <c r="A2686" s="8" t="n">
        <v>2425</v>
      </c>
      <c r="B2686" s="8" t="s">
        <v>75</v>
      </c>
      <c r="C2686" s="8" t="s">
        <v>12444</v>
      </c>
      <c r="D2686" s="8" t="s">
        <v>8134</v>
      </c>
      <c r="E2686" s="8" t="s">
        <v>12445</v>
      </c>
      <c r="F2686" s="8" t="s">
        <v>10672</v>
      </c>
      <c r="G2686" s="8" t="s">
        <v>12446</v>
      </c>
      <c r="H2686" s="8" t="s">
        <v>12447</v>
      </c>
      <c r="I2686" s="8" t="s">
        <v>146</v>
      </c>
      <c r="J2686" s="8" t="s">
        <v>12448</v>
      </c>
      <c r="K2686" s="8"/>
      <c r="L2686" s="8" t="s">
        <v>12449</v>
      </c>
    </row>
    <row r="2687" customFormat="false" ht="34.5" hidden="false" customHeight="true" outlineLevel="0" collapsed="false">
      <c r="A2687" s="8" t="n">
        <v>2426</v>
      </c>
      <c r="B2687" s="8" t="s">
        <v>75</v>
      </c>
      <c r="C2687" s="8" t="s">
        <v>12450</v>
      </c>
      <c r="D2687" s="8" t="s">
        <v>9061</v>
      </c>
      <c r="E2687" s="8" t="s">
        <v>12451</v>
      </c>
      <c r="F2687" s="8" t="s">
        <v>151</v>
      </c>
      <c r="G2687" s="8" t="s">
        <v>12452</v>
      </c>
      <c r="H2687" s="8" t="s">
        <v>12453</v>
      </c>
      <c r="I2687" s="8" t="s">
        <v>146</v>
      </c>
      <c r="J2687" s="8" t="s">
        <v>12454</v>
      </c>
      <c r="K2687" s="8"/>
      <c r="L2687" s="8" t="s">
        <v>12455</v>
      </c>
    </row>
    <row r="2688" customFormat="false" ht="34.5" hidden="false" customHeight="true" outlineLevel="0" collapsed="false">
      <c r="A2688" s="8" t="n">
        <v>2427</v>
      </c>
      <c r="B2688" s="8" t="s">
        <v>75</v>
      </c>
      <c r="C2688" s="8" t="s">
        <v>10996</v>
      </c>
      <c r="D2688" s="8" t="s">
        <v>9094</v>
      </c>
      <c r="E2688" s="8" t="s">
        <v>12456</v>
      </c>
      <c r="F2688" s="8" t="s">
        <v>151</v>
      </c>
      <c r="G2688" s="8" t="s">
        <v>12457</v>
      </c>
      <c r="H2688" s="8" t="s">
        <v>12458</v>
      </c>
      <c r="I2688" s="8" t="s">
        <v>387</v>
      </c>
      <c r="J2688" s="8" t="s">
        <v>12459</v>
      </c>
      <c r="K2688" s="8"/>
      <c r="L2688" s="8" t="s">
        <v>12460</v>
      </c>
    </row>
    <row r="2689" customFormat="false" ht="34.5" hidden="false" customHeight="true" outlineLevel="0" collapsed="false">
      <c r="A2689" s="8" t="n">
        <v>2428</v>
      </c>
      <c r="B2689" s="8" t="s">
        <v>75</v>
      </c>
      <c r="C2689" s="8" t="s">
        <v>12461</v>
      </c>
      <c r="D2689" s="8" t="s">
        <v>8182</v>
      </c>
      <c r="E2689" s="8" t="s">
        <v>12462</v>
      </c>
      <c r="F2689" s="8" t="s">
        <v>12223</v>
      </c>
      <c r="G2689" s="8" t="s">
        <v>12463</v>
      </c>
      <c r="H2689" s="8" t="s">
        <v>145</v>
      </c>
      <c r="I2689" s="8" t="s">
        <v>146</v>
      </c>
      <c r="J2689" s="8" t="s">
        <v>12464</v>
      </c>
      <c r="K2689" s="8"/>
      <c r="L2689" s="8" t="s">
        <v>12465</v>
      </c>
    </row>
    <row r="2690" customFormat="false" ht="34.5" hidden="false" customHeight="true" outlineLevel="0" collapsed="false">
      <c r="A2690" s="8" t="n">
        <v>2429</v>
      </c>
      <c r="B2690" s="8" t="s">
        <v>75</v>
      </c>
      <c r="C2690" s="8" t="s">
        <v>12466</v>
      </c>
      <c r="D2690" s="8" t="s">
        <v>8125</v>
      </c>
      <c r="E2690" s="8" t="s">
        <v>12467</v>
      </c>
      <c r="F2690" s="8" t="s">
        <v>12468</v>
      </c>
      <c r="G2690" s="8" t="s">
        <v>12469</v>
      </c>
      <c r="H2690" s="8" t="s">
        <v>2262</v>
      </c>
      <c r="I2690" s="8" t="s">
        <v>146</v>
      </c>
      <c r="J2690" s="8" t="s">
        <v>12470</v>
      </c>
      <c r="K2690" s="8"/>
      <c r="L2690" s="8" t="s">
        <v>12471</v>
      </c>
    </row>
    <row r="2691" customFormat="false" ht="34.5" hidden="false" customHeight="true" outlineLevel="0" collapsed="false">
      <c r="A2691" s="8" t="n">
        <v>2430</v>
      </c>
      <c r="B2691" s="8" t="s">
        <v>75</v>
      </c>
      <c r="C2691" s="8" t="s">
        <v>12472</v>
      </c>
      <c r="D2691" s="8" t="s">
        <v>8134</v>
      </c>
      <c r="E2691" s="8" t="s">
        <v>12473</v>
      </c>
      <c r="F2691" s="8" t="s">
        <v>10672</v>
      </c>
      <c r="G2691" s="8" t="s">
        <v>12474</v>
      </c>
      <c r="H2691" s="8" t="s">
        <v>12475</v>
      </c>
      <c r="I2691" s="8" t="s">
        <v>748</v>
      </c>
      <c r="J2691" s="8" t="s">
        <v>12476</v>
      </c>
      <c r="K2691" s="8" t="s">
        <v>116</v>
      </c>
      <c r="L2691" s="8" t="s">
        <v>12477</v>
      </c>
    </row>
    <row r="2692" customFormat="false" ht="34.5" hidden="false" customHeight="true" outlineLevel="0" collapsed="false">
      <c r="A2692" s="8" t="n">
        <v>2431</v>
      </c>
      <c r="B2692" s="8" t="s">
        <v>75</v>
      </c>
      <c r="C2692" s="8" t="s">
        <v>12478</v>
      </c>
      <c r="D2692" s="8" t="s">
        <v>9061</v>
      </c>
      <c r="E2692" s="8" t="s">
        <v>12479</v>
      </c>
      <c r="F2692" s="8" t="s">
        <v>11108</v>
      </c>
      <c r="G2692" s="8" t="s">
        <v>12480</v>
      </c>
      <c r="H2692" s="8" t="s">
        <v>12481</v>
      </c>
      <c r="I2692" s="8" t="s">
        <v>387</v>
      </c>
      <c r="J2692" s="8" t="s">
        <v>12482</v>
      </c>
      <c r="K2692" s="8" t="s">
        <v>114</v>
      </c>
      <c r="L2692" s="8" t="s">
        <v>12483</v>
      </c>
    </row>
    <row r="2693" customFormat="false" ht="34.5" hidden="false" customHeight="true" outlineLevel="0" collapsed="false">
      <c r="A2693" s="8" t="n">
        <v>2432</v>
      </c>
      <c r="B2693" s="8" t="s">
        <v>75</v>
      </c>
      <c r="C2693" s="8" t="s">
        <v>12484</v>
      </c>
      <c r="D2693" s="8" t="s">
        <v>8134</v>
      </c>
      <c r="E2693" s="8" t="s">
        <v>12485</v>
      </c>
      <c r="F2693" s="8" t="s">
        <v>12486</v>
      </c>
      <c r="G2693" s="8" t="s">
        <v>12487</v>
      </c>
      <c r="H2693" s="8" t="s">
        <v>145</v>
      </c>
      <c r="I2693" s="8" t="s">
        <v>208</v>
      </c>
      <c r="J2693" s="8" t="s">
        <v>12488</v>
      </c>
      <c r="K2693" s="8"/>
      <c r="L2693" s="8" t="s">
        <v>12489</v>
      </c>
    </row>
    <row r="2694" customFormat="false" ht="34.5" hidden="false" customHeight="true" outlineLevel="0" collapsed="false">
      <c r="A2694" s="8" t="n">
        <v>2433</v>
      </c>
      <c r="B2694" s="8" t="s">
        <v>75</v>
      </c>
      <c r="C2694" s="8" t="s">
        <v>12490</v>
      </c>
      <c r="D2694" s="8" t="s">
        <v>9094</v>
      </c>
      <c r="E2694" s="8" t="s">
        <v>12491</v>
      </c>
      <c r="F2694" s="8" t="s">
        <v>10512</v>
      </c>
      <c r="G2694" s="8" t="s">
        <v>12492</v>
      </c>
      <c r="H2694" s="8" t="s">
        <v>12493</v>
      </c>
      <c r="I2694" s="8" t="s">
        <v>387</v>
      </c>
      <c r="J2694" s="8" t="s">
        <v>12494</v>
      </c>
      <c r="K2694" s="8" t="s">
        <v>114</v>
      </c>
      <c r="L2694" s="8" t="s">
        <v>12495</v>
      </c>
    </row>
    <row r="2695" customFormat="false" ht="34.5" hidden="false" customHeight="true" outlineLevel="0" collapsed="false">
      <c r="A2695" s="8" t="n">
        <v>2434</v>
      </c>
      <c r="B2695" s="8" t="s">
        <v>75</v>
      </c>
      <c r="C2695" s="8" t="s">
        <v>2958</v>
      </c>
      <c r="D2695" s="8" t="s">
        <v>9094</v>
      </c>
      <c r="E2695" s="8" t="s">
        <v>12496</v>
      </c>
      <c r="F2695" s="8" t="s">
        <v>1494</v>
      </c>
      <c r="G2695" s="8" t="s">
        <v>12497</v>
      </c>
      <c r="H2695" s="8" t="s">
        <v>145</v>
      </c>
      <c r="I2695" s="8" t="s">
        <v>153</v>
      </c>
      <c r="J2695" s="8" t="s">
        <v>12498</v>
      </c>
      <c r="K2695" s="8" t="s">
        <v>114</v>
      </c>
      <c r="L2695" s="8" t="s">
        <v>12499</v>
      </c>
    </row>
    <row r="2696" customFormat="false" ht="34.5" hidden="false" customHeight="true" outlineLevel="0" collapsed="false">
      <c r="A2696" s="8" t="n">
        <v>2435</v>
      </c>
      <c r="B2696" s="8" t="s">
        <v>75</v>
      </c>
      <c r="C2696" s="8" t="s">
        <v>12500</v>
      </c>
      <c r="D2696" s="8" t="s">
        <v>9061</v>
      </c>
      <c r="E2696" s="8" t="s">
        <v>12501</v>
      </c>
      <c r="F2696" s="8" t="s">
        <v>8720</v>
      </c>
      <c r="G2696" s="8" t="s">
        <v>12502</v>
      </c>
      <c r="H2696" s="8" t="s">
        <v>1689</v>
      </c>
      <c r="I2696" s="8" t="s">
        <v>146</v>
      </c>
      <c r="J2696" s="8" t="s">
        <v>12503</v>
      </c>
      <c r="K2696" s="8" t="s">
        <v>114</v>
      </c>
      <c r="L2696" s="8" t="s">
        <v>12504</v>
      </c>
    </row>
    <row r="2697" customFormat="false" ht="23.25" hidden="false" customHeight="true" outlineLevel="0" collapsed="false">
      <c r="A2697" s="8" t="n">
        <v>2436</v>
      </c>
      <c r="B2697" s="8" t="s">
        <v>75</v>
      </c>
      <c r="C2697" s="8" t="s">
        <v>12505</v>
      </c>
      <c r="D2697" s="8" t="s">
        <v>9094</v>
      </c>
      <c r="E2697" s="8" t="s">
        <v>12506</v>
      </c>
      <c r="F2697" s="8" t="s">
        <v>8720</v>
      </c>
      <c r="G2697" s="8" t="s">
        <v>12507</v>
      </c>
      <c r="H2697" s="8" t="s">
        <v>327</v>
      </c>
      <c r="I2697" s="8" t="s">
        <v>146</v>
      </c>
      <c r="J2697" s="8" t="s">
        <v>12508</v>
      </c>
      <c r="K2697" s="8" t="s">
        <v>114</v>
      </c>
      <c r="L2697" s="8" t="s">
        <v>12509</v>
      </c>
    </row>
    <row r="2698" customFormat="false" ht="34.5" hidden="false" customHeight="true" outlineLevel="0" collapsed="false">
      <c r="A2698" s="8" t="n">
        <v>2437</v>
      </c>
      <c r="B2698" s="8" t="s">
        <v>75</v>
      </c>
      <c r="C2698" s="8" t="s">
        <v>8826</v>
      </c>
      <c r="D2698" s="8" t="s">
        <v>9061</v>
      </c>
      <c r="E2698" s="8" t="s">
        <v>12510</v>
      </c>
      <c r="F2698" s="8" t="s">
        <v>12511</v>
      </c>
      <c r="G2698" s="8" t="s">
        <v>12512</v>
      </c>
      <c r="H2698" s="8" t="s">
        <v>11328</v>
      </c>
      <c r="I2698" s="8" t="s">
        <v>146</v>
      </c>
      <c r="J2698" s="8" t="s">
        <v>12513</v>
      </c>
      <c r="K2698" s="8" t="s">
        <v>116</v>
      </c>
      <c r="L2698" s="8" t="s">
        <v>12514</v>
      </c>
    </row>
    <row r="2699" customFormat="false" ht="34.5" hidden="false" customHeight="true" outlineLevel="0" collapsed="false">
      <c r="A2699" s="8" t="n">
        <v>2438</v>
      </c>
      <c r="B2699" s="8" t="s">
        <v>75</v>
      </c>
      <c r="C2699" s="8" t="s">
        <v>12515</v>
      </c>
      <c r="D2699" s="8" t="s">
        <v>9061</v>
      </c>
      <c r="E2699" s="8" t="s">
        <v>12516</v>
      </c>
      <c r="F2699" s="8" t="s">
        <v>10512</v>
      </c>
      <c r="G2699" s="8" t="s">
        <v>12517</v>
      </c>
      <c r="H2699" s="8" t="s">
        <v>12518</v>
      </c>
      <c r="I2699" s="8" t="s">
        <v>146</v>
      </c>
      <c r="J2699" s="8" t="s">
        <v>12519</v>
      </c>
      <c r="K2699" s="8" t="s">
        <v>116</v>
      </c>
      <c r="L2699" s="8" t="s">
        <v>12520</v>
      </c>
    </row>
    <row r="2700" customFormat="false" ht="34.5" hidden="false" customHeight="true" outlineLevel="0" collapsed="false">
      <c r="A2700" s="8" t="n">
        <v>2439</v>
      </c>
      <c r="B2700" s="8" t="s">
        <v>75</v>
      </c>
      <c r="C2700" s="8" t="s">
        <v>12521</v>
      </c>
      <c r="D2700" s="8" t="s">
        <v>11387</v>
      </c>
      <c r="E2700" s="8" t="s">
        <v>12522</v>
      </c>
      <c r="F2700" s="8" t="s">
        <v>11108</v>
      </c>
      <c r="G2700" s="8" t="s">
        <v>12523</v>
      </c>
      <c r="H2700" s="8" t="s">
        <v>12524</v>
      </c>
      <c r="I2700" s="8" t="s">
        <v>146</v>
      </c>
      <c r="J2700" s="8" t="s">
        <v>12525</v>
      </c>
      <c r="K2700" s="8" t="s">
        <v>116</v>
      </c>
      <c r="L2700" s="8" t="s">
        <v>12526</v>
      </c>
    </row>
    <row r="2701" customFormat="false" ht="34.5" hidden="false" customHeight="true" outlineLevel="0" collapsed="false">
      <c r="A2701" s="8" t="n">
        <v>2440</v>
      </c>
      <c r="B2701" s="8" t="s">
        <v>75</v>
      </c>
      <c r="C2701" s="8" t="s">
        <v>12527</v>
      </c>
      <c r="D2701" s="8" t="s">
        <v>8172</v>
      </c>
      <c r="E2701" s="8" t="s">
        <v>12528</v>
      </c>
      <c r="F2701" s="8" t="s">
        <v>12529</v>
      </c>
      <c r="G2701" s="8" t="s">
        <v>12530</v>
      </c>
      <c r="H2701" s="8" t="s">
        <v>12531</v>
      </c>
      <c r="I2701" s="8" t="s">
        <v>11740</v>
      </c>
      <c r="J2701" s="8" t="s">
        <v>12532</v>
      </c>
      <c r="K2701" s="8"/>
      <c r="L2701" s="8" t="s">
        <v>12533</v>
      </c>
    </row>
    <row r="2702" customFormat="false" ht="34.5" hidden="false" customHeight="true" outlineLevel="0" collapsed="false">
      <c r="A2702" s="8" t="n">
        <v>2441</v>
      </c>
      <c r="B2702" s="8" t="s">
        <v>75</v>
      </c>
      <c r="C2702" s="8" t="s">
        <v>12534</v>
      </c>
      <c r="D2702" s="8" t="s">
        <v>9094</v>
      </c>
      <c r="E2702" s="8" t="s">
        <v>12535</v>
      </c>
      <c r="F2702" s="8" t="s">
        <v>143</v>
      </c>
      <c r="G2702" s="8" t="s">
        <v>12536</v>
      </c>
      <c r="H2702" s="8" t="s">
        <v>12537</v>
      </c>
      <c r="I2702" s="8" t="s">
        <v>11740</v>
      </c>
      <c r="J2702" s="8" t="s">
        <v>12538</v>
      </c>
      <c r="K2702" s="8" t="s">
        <v>116</v>
      </c>
      <c r="L2702" s="8" t="s">
        <v>12539</v>
      </c>
    </row>
    <row r="2703" customFormat="false" ht="34.5" hidden="false" customHeight="true" outlineLevel="0" collapsed="false">
      <c r="A2703" s="8" t="n">
        <v>2442</v>
      </c>
      <c r="B2703" s="8" t="s">
        <v>75</v>
      </c>
      <c r="C2703" s="8" t="s">
        <v>12540</v>
      </c>
      <c r="D2703" s="8" t="s">
        <v>8140</v>
      </c>
      <c r="E2703" s="8" t="s">
        <v>12541</v>
      </c>
      <c r="F2703" s="8" t="s">
        <v>12542</v>
      </c>
      <c r="G2703" s="8" t="s">
        <v>12543</v>
      </c>
      <c r="H2703" s="8" t="s">
        <v>12544</v>
      </c>
      <c r="I2703" s="8" t="s">
        <v>208</v>
      </c>
      <c r="J2703" s="8" t="s">
        <v>12545</v>
      </c>
      <c r="K2703" s="8"/>
      <c r="L2703" s="8" t="s">
        <v>12546</v>
      </c>
    </row>
    <row r="2704" customFormat="false" ht="34.5" hidden="false" customHeight="true" outlineLevel="0" collapsed="false">
      <c r="A2704" s="8" t="n">
        <v>2443</v>
      </c>
      <c r="B2704" s="8" t="s">
        <v>75</v>
      </c>
      <c r="C2704" s="8" t="s">
        <v>12547</v>
      </c>
      <c r="D2704" s="8" t="s">
        <v>8172</v>
      </c>
      <c r="E2704" s="8" t="s">
        <v>12548</v>
      </c>
      <c r="F2704" s="8" t="s">
        <v>12549</v>
      </c>
      <c r="G2704" s="8" t="s">
        <v>12550</v>
      </c>
      <c r="H2704" s="8" t="s">
        <v>1075</v>
      </c>
      <c r="I2704" s="8" t="s">
        <v>11647</v>
      </c>
      <c r="J2704" s="8" t="s">
        <v>12551</v>
      </c>
      <c r="K2704" s="8" t="s">
        <v>116</v>
      </c>
      <c r="L2704" s="8" t="s">
        <v>12552</v>
      </c>
    </row>
    <row r="2705" customFormat="false" ht="34.5" hidden="false" customHeight="true" outlineLevel="0" collapsed="false">
      <c r="A2705" s="8" t="n">
        <v>2444</v>
      </c>
      <c r="B2705" s="8" t="s">
        <v>75</v>
      </c>
      <c r="C2705" s="8" t="s">
        <v>12553</v>
      </c>
      <c r="D2705" s="8" t="s">
        <v>8182</v>
      </c>
      <c r="E2705" s="8" t="s">
        <v>12554</v>
      </c>
      <c r="F2705" s="8" t="s">
        <v>12269</v>
      </c>
      <c r="G2705" s="8" t="s">
        <v>12555</v>
      </c>
      <c r="H2705" s="8" t="s">
        <v>914</v>
      </c>
      <c r="I2705" s="8" t="s">
        <v>146</v>
      </c>
      <c r="J2705" s="8" t="s">
        <v>12556</v>
      </c>
      <c r="K2705" s="8" t="s">
        <v>114</v>
      </c>
      <c r="L2705" s="8" t="s">
        <v>12557</v>
      </c>
    </row>
    <row r="2706" customFormat="false" ht="34.5" hidden="false" customHeight="true" outlineLevel="0" collapsed="false">
      <c r="A2706" s="8" t="n">
        <v>2445</v>
      </c>
      <c r="B2706" s="8" t="s">
        <v>75</v>
      </c>
      <c r="C2706" s="8" t="s">
        <v>12558</v>
      </c>
      <c r="D2706" s="8" t="s">
        <v>9094</v>
      </c>
      <c r="E2706" s="8" t="s">
        <v>12559</v>
      </c>
      <c r="F2706" s="8" t="s">
        <v>143</v>
      </c>
      <c r="G2706" s="8" t="s">
        <v>12560</v>
      </c>
      <c r="H2706" s="8" t="s">
        <v>12561</v>
      </c>
      <c r="I2706" s="8" t="s">
        <v>146</v>
      </c>
      <c r="J2706" s="8" t="s">
        <v>12562</v>
      </c>
      <c r="K2706" s="8" t="s">
        <v>114</v>
      </c>
      <c r="L2706" s="8" t="s">
        <v>12563</v>
      </c>
    </row>
    <row r="2707" customFormat="false" ht="34.5" hidden="false" customHeight="true" outlineLevel="0" collapsed="false">
      <c r="A2707" s="8" t="n">
        <v>2446</v>
      </c>
      <c r="B2707" s="8" t="s">
        <v>77</v>
      </c>
      <c r="C2707" s="8" t="s">
        <v>12564</v>
      </c>
      <c r="D2707" s="8" t="n">
        <v>2015</v>
      </c>
      <c r="E2707" s="8" t="s">
        <v>12565</v>
      </c>
      <c r="F2707" s="8" t="s">
        <v>143</v>
      </c>
      <c r="G2707" s="8" t="s">
        <v>1264</v>
      </c>
      <c r="H2707" s="8" t="s">
        <v>145</v>
      </c>
      <c r="I2707" s="8" t="s">
        <v>522</v>
      </c>
      <c r="J2707" s="8" t="s">
        <v>523</v>
      </c>
      <c r="K2707" s="8" t="s">
        <v>116</v>
      </c>
      <c r="L2707" s="8" t="s">
        <v>12566</v>
      </c>
    </row>
    <row r="2708" customFormat="false" ht="34.5" hidden="false" customHeight="true" outlineLevel="0" collapsed="false">
      <c r="A2708" s="8" t="n">
        <v>2447</v>
      </c>
      <c r="B2708" s="8" t="s">
        <v>77</v>
      </c>
      <c r="C2708" s="8" t="s">
        <v>12567</v>
      </c>
      <c r="D2708" s="8" t="n">
        <v>2005</v>
      </c>
      <c r="E2708" s="8" t="s">
        <v>12568</v>
      </c>
      <c r="F2708" s="8" t="s">
        <v>143</v>
      </c>
      <c r="G2708" s="8" t="s">
        <v>1678</v>
      </c>
      <c r="H2708" s="8" t="s">
        <v>145</v>
      </c>
      <c r="I2708" s="8" t="s">
        <v>522</v>
      </c>
      <c r="J2708" s="8" t="s">
        <v>10747</v>
      </c>
      <c r="K2708" s="8"/>
      <c r="L2708" s="8" t="s">
        <v>12569</v>
      </c>
    </row>
    <row r="2709" customFormat="false" ht="34.5" hidden="false" customHeight="true" outlineLevel="0" collapsed="false">
      <c r="A2709" s="8" t="n">
        <v>2448</v>
      </c>
      <c r="B2709" s="8" t="s">
        <v>77</v>
      </c>
      <c r="C2709" s="8" t="s">
        <v>12570</v>
      </c>
      <c r="D2709" s="8" t="n">
        <v>2014</v>
      </c>
      <c r="E2709" s="8" t="s">
        <v>12571</v>
      </c>
      <c r="F2709" s="8" t="s">
        <v>143</v>
      </c>
      <c r="G2709" s="8" t="s">
        <v>152</v>
      </c>
      <c r="H2709" s="8" t="s">
        <v>145</v>
      </c>
      <c r="I2709" s="8" t="s">
        <v>522</v>
      </c>
      <c r="J2709" s="8" t="s">
        <v>523</v>
      </c>
      <c r="K2709" s="8" t="s">
        <v>114</v>
      </c>
      <c r="L2709" s="8" t="s">
        <v>12572</v>
      </c>
    </row>
    <row r="2710" customFormat="false" ht="34.5" hidden="false" customHeight="true" outlineLevel="0" collapsed="false">
      <c r="A2710" s="8" t="n">
        <v>2449</v>
      </c>
      <c r="B2710" s="8" t="s">
        <v>77</v>
      </c>
      <c r="C2710" s="8" t="s">
        <v>12573</v>
      </c>
      <c r="D2710" s="8" t="n">
        <v>2015</v>
      </c>
      <c r="E2710" s="8" t="s">
        <v>12574</v>
      </c>
      <c r="F2710" s="8" t="s">
        <v>143</v>
      </c>
      <c r="G2710" s="8" t="s">
        <v>152</v>
      </c>
      <c r="H2710" s="8" t="s">
        <v>145</v>
      </c>
      <c r="I2710" s="8" t="s">
        <v>522</v>
      </c>
      <c r="J2710" s="8" t="s">
        <v>12575</v>
      </c>
      <c r="K2710" s="8" t="s">
        <v>116</v>
      </c>
      <c r="L2710" s="8" t="s">
        <v>12576</v>
      </c>
    </row>
    <row r="2711" customFormat="false" ht="34.5" hidden="false" customHeight="true" outlineLevel="0" collapsed="false">
      <c r="A2711" s="8" t="n">
        <v>2450</v>
      </c>
      <c r="B2711" s="8" t="s">
        <v>77</v>
      </c>
      <c r="C2711" s="8" t="s">
        <v>12577</v>
      </c>
      <c r="D2711" s="8" t="n">
        <v>2009</v>
      </c>
      <c r="E2711" s="8" t="s">
        <v>12578</v>
      </c>
      <c r="F2711" s="8" t="s">
        <v>201</v>
      </c>
      <c r="G2711" s="8" t="s">
        <v>12579</v>
      </c>
      <c r="H2711" s="8" t="s">
        <v>12580</v>
      </c>
      <c r="I2711" s="8" t="s">
        <v>146</v>
      </c>
      <c r="J2711" s="8" t="s">
        <v>1901</v>
      </c>
      <c r="K2711" s="8" t="s">
        <v>116</v>
      </c>
      <c r="L2711" s="8" t="s">
        <v>12581</v>
      </c>
    </row>
    <row r="2712" customFormat="false" ht="34.5" hidden="false" customHeight="true" outlineLevel="0" collapsed="false">
      <c r="A2712" s="8" t="n">
        <v>2451</v>
      </c>
      <c r="B2712" s="8" t="s">
        <v>77</v>
      </c>
      <c r="C2712" s="8" t="s">
        <v>362</v>
      </c>
      <c r="D2712" s="8" t="n">
        <v>2005</v>
      </c>
      <c r="E2712" s="8" t="s">
        <v>12582</v>
      </c>
      <c r="F2712" s="8" t="s">
        <v>201</v>
      </c>
      <c r="G2712" s="8" t="s">
        <v>364</v>
      </c>
      <c r="H2712" s="8" t="s">
        <v>145</v>
      </c>
      <c r="I2712" s="8" t="s">
        <v>533</v>
      </c>
      <c r="J2712" s="8" t="s">
        <v>594</v>
      </c>
      <c r="K2712" s="8" t="s">
        <v>116</v>
      </c>
      <c r="L2712" s="8" t="s">
        <v>12583</v>
      </c>
    </row>
    <row r="2713" customFormat="false" ht="34.5" hidden="false" customHeight="true" outlineLevel="0" collapsed="false">
      <c r="A2713" s="8" t="n">
        <v>2452</v>
      </c>
      <c r="B2713" s="8" t="s">
        <v>77</v>
      </c>
      <c r="C2713" s="8" t="s">
        <v>12584</v>
      </c>
      <c r="D2713" s="8" t="n">
        <v>2004</v>
      </c>
      <c r="E2713" s="8" t="s">
        <v>12585</v>
      </c>
      <c r="F2713" s="8" t="s">
        <v>143</v>
      </c>
      <c r="G2713" s="8" t="s">
        <v>12586</v>
      </c>
      <c r="H2713" s="8" t="s">
        <v>145</v>
      </c>
      <c r="I2713" s="8" t="s">
        <v>146</v>
      </c>
      <c r="J2713" s="8" t="s">
        <v>491</v>
      </c>
      <c r="K2713" s="8" t="s">
        <v>116</v>
      </c>
      <c r="L2713" s="8" t="s">
        <v>12587</v>
      </c>
    </row>
    <row r="2714" customFormat="false" ht="34.5" hidden="false" customHeight="true" outlineLevel="0" collapsed="false">
      <c r="A2714" s="8" t="n">
        <v>2453</v>
      </c>
      <c r="B2714" s="8" t="s">
        <v>77</v>
      </c>
      <c r="C2714" s="8" t="s">
        <v>12588</v>
      </c>
      <c r="D2714" s="8" t="n">
        <v>2007</v>
      </c>
      <c r="E2714" s="8" t="s">
        <v>12589</v>
      </c>
      <c r="F2714" s="8" t="s">
        <v>151</v>
      </c>
      <c r="G2714" s="8" t="s">
        <v>12590</v>
      </c>
      <c r="H2714" s="8" t="s">
        <v>2168</v>
      </c>
      <c r="I2714" s="8" t="s">
        <v>146</v>
      </c>
      <c r="J2714" s="8" t="s">
        <v>12591</v>
      </c>
      <c r="K2714" s="8" t="s">
        <v>112</v>
      </c>
      <c r="L2714" s="8" t="s">
        <v>12592</v>
      </c>
    </row>
    <row r="2715" customFormat="false" ht="34.5" hidden="false" customHeight="true" outlineLevel="0" collapsed="false">
      <c r="A2715" s="8" t="n">
        <v>2454</v>
      </c>
      <c r="B2715" s="8" t="s">
        <v>77</v>
      </c>
      <c r="C2715" s="8" t="s">
        <v>12593</v>
      </c>
      <c r="D2715" s="8" t="n">
        <v>2016</v>
      </c>
      <c r="E2715" s="8" t="s">
        <v>12594</v>
      </c>
      <c r="F2715" s="8" t="s">
        <v>201</v>
      </c>
      <c r="G2715" s="8" t="s">
        <v>5045</v>
      </c>
      <c r="H2715" s="8" t="s">
        <v>12595</v>
      </c>
      <c r="I2715" s="8" t="s">
        <v>146</v>
      </c>
      <c r="J2715" s="8" t="s">
        <v>12596</v>
      </c>
      <c r="K2715" s="8" t="s">
        <v>116</v>
      </c>
      <c r="L2715" s="8" t="s">
        <v>12597</v>
      </c>
    </row>
    <row r="2716" customFormat="false" ht="34.5" hidden="false" customHeight="true" outlineLevel="0" collapsed="false">
      <c r="A2716" s="8" t="n">
        <v>2455</v>
      </c>
      <c r="B2716" s="8" t="s">
        <v>77</v>
      </c>
      <c r="C2716" s="8" t="s">
        <v>12598</v>
      </c>
      <c r="D2716" s="8" t="n">
        <v>2019</v>
      </c>
      <c r="E2716" s="8" t="s">
        <v>12599</v>
      </c>
      <c r="F2716" s="8" t="s">
        <v>201</v>
      </c>
      <c r="G2716" s="8" t="s">
        <v>12600</v>
      </c>
      <c r="H2716" s="8" t="s">
        <v>327</v>
      </c>
      <c r="I2716" s="8" t="s">
        <v>146</v>
      </c>
      <c r="J2716" s="8" t="s">
        <v>12601</v>
      </c>
      <c r="K2716" s="8" t="s">
        <v>114</v>
      </c>
      <c r="L2716" s="8" t="s">
        <v>12602</v>
      </c>
    </row>
    <row r="2717" customFormat="false" ht="23.25" hidden="false" customHeight="true" outlineLevel="0" collapsed="false">
      <c r="A2717" s="8" t="n">
        <v>2456</v>
      </c>
      <c r="B2717" s="8" t="s">
        <v>77</v>
      </c>
      <c r="C2717" s="8" t="s">
        <v>9962</v>
      </c>
      <c r="D2717" s="8" t="n">
        <v>2008</v>
      </c>
      <c r="E2717" s="8" t="s">
        <v>12603</v>
      </c>
      <c r="F2717" s="8" t="s">
        <v>143</v>
      </c>
      <c r="G2717" s="8" t="s">
        <v>12604</v>
      </c>
      <c r="H2717" s="8" t="s">
        <v>1373</v>
      </c>
      <c r="I2717" s="8" t="s">
        <v>146</v>
      </c>
      <c r="J2717" s="8" t="s">
        <v>3553</v>
      </c>
      <c r="K2717" s="8" t="s">
        <v>116</v>
      </c>
      <c r="L2717" s="8" t="s">
        <v>12605</v>
      </c>
    </row>
    <row r="2718" customFormat="false" ht="23.25" hidden="false" customHeight="true" outlineLevel="0" collapsed="false">
      <c r="A2718" s="8" t="n">
        <v>2457</v>
      </c>
      <c r="B2718" s="8" t="s">
        <v>77</v>
      </c>
      <c r="C2718" s="8" t="s">
        <v>12606</v>
      </c>
      <c r="D2718" s="8" t="n">
        <v>2016</v>
      </c>
      <c r="E2718" s="8" t="s">
        <v>12607</v>
      </c>
      <c r="F2718" s="8" t="s">
        <v>151</v>
      </c>
      <c r="G2718" s="8" t="s">
        <v>830</v>
      </c>
      <c r="H2718" s="8" t="s">
        <v>12608</v>
      </c>
      <c r="I2718" s="8" t="s">
        <v>387</v>
      </c>
      <c r="J2718" s="8" t="s">
        <v>12609</v>
      </c>
      <c r="K2718" s="8" t="s">
        <v>116</v>
      </c>
      <c r="L2718" s="8" t="s">
        <v>12610</v>
      </c>
    </row>
    <row r="2719" customFormat="false" ht="23.25" hidden="false" customHeight="true" outlineLevel="0" collapsed="false">
      <c r="A2719" s="8" t="n">
        <v>2458</v>
      </c>
      <c r="B2719" s="8" t="s">
        <v>77</v>
      </c>
      <c r="C2719" s="8" t="s">
        <v>12611</v>
      </c>
      <c r="D2719" s="8" t="n">
        <v>2011</v>
      </c>
      <c r="E2719" s="8" t="s">
        <v>12612</v>
      </c>
      <c r="F2719" s="8" t="s">
        <v>143</v>
      </c>
      <c r="G2719" s="8" t="s">
        <v>1619</v>
      </c>
      <c r="H2719" s="8" t="s">
        <v>512</v>
      </c>
      <c r="I2719" s="8" t="s">
        <v>522</v>
      </c>
      <c r="J2719" s="8" t="s">
        <v>523</v>
      </c>
      <c r="K2719" s="8" t="s">
        <v>114</v>
      </c>
      <c r="L2719" s="8" t="s">
        <v>12613</v>
      </c>
    </row>
    <row r="2720" customFormat="false" ht="34.5" hidden="false" customHeight="true" outlineLevel="0" collapsed="false">
      <c r="A2720" s="8" t="n">
        <v>2459</v>
      </c>
      <c r="B2720" s="8" t="s">
        <v>77</v>
      </c>
      <c r="C2720" s="8" t="s">
        <v>12614</v>
      </c>
      <c r="D2720" s="8" t="n">
        <v>2017</v>
      </c>
      <c r="E2720" s="8" t="s">
        <v>12615</v>
      </c>
      <c r="F2720" s="8" t="s">
        <v>143</v>
      </c>
      <c r="G2720" s="8" t="s">
        <v>1619</v>
      </c>
      <c r="H2720" s="8" t="s">
        <v>12616</v>
      </c>
      <c r="I2720" s="8" t="s">
        <v>387</v>
      </c>
      <c r="J2720" s="8" t="s">
        <v>785</v>
      </c>
      <c r="K2720" s="8" t="s">
        <v>116</v>
      </c>
      <c r="L2720" s="8" t="s">
        <v>12617</v>
      </c>
    </row>
    <row r="2721" customFormat="false" ht="34.5" hidden="false" customHeight="true" outlineLevel="0" collapsed="false">
      <c r="A2721" s="8" t="n">
        <v>2460</v>
      </c>
      <c r="B2721" s="8" t="s">
        <v>77</v>
      </c>
      <c r="C2721" s="8" t="s">
        <v>12618</v>
      </c>
      <c r="D2721" s="8" t="n">
        <v>2017</v>
      </c>
      <c r="E2721" s="8" t="s">
        <v>12619</v>
      </c>
      <c r="F2721" s="8" t="s">
        <v>143</v>
      </c>
      <c r="G2721" s="8" t="s">
        <v>12620</v>
      </c>
      <c r="H2721" s="8" t="s">
        <v>501</v>
      </c>
      <c r="I2721" s="8" t="s">
        <v>146</v>
      </c>
      <c r="J2721" s="8" t="s">
        <v>12621</v>
      </c>
      <c r="K2721" s="8" t="s">
        <v>116</v>
      </c>
      <c r="L2721" s="8" t="s">
        <v>12622</v>
      </c>
    </row>
    <row r="2722" customFormat="false" ht="34.5" hidden="false" customHeight="true" outlineLevel="0" collapsed="false">
      <c r="A2722" s="8" t="n">
        <v>2461</v>
      </c>
      <c r="B2722" s="8" t="s">
        <v>77</v>
      </c>
      <c r="C2722" s="8" t="s">
        <v>12623</v>
      </c>
      <c r="D2722" s="8" t="n">
        <v>2021</v>
      </c>
      <c r="E2722" s="8" t="s">
        <v>12624</v>
      </c>
      <c r="F2722" s="8" t="s">
        <v>143</v>
      </c>
      <c r="G2722" s="8" t="s">
        <v>12625</v>
      </c>
      <c r="H2722" s="8" t="s">
        <v>2846</v>
      </c>
      <c r="I2722" s="8" t="s">
        <v>748</v>
      </c>
      <c r="J2722" s="8" t="s">
        <v>12626</v>
      </c>
      <c r="K2722" s="8" t="s">
        <v>116</v>
      </c>
      <c r="L2722" s="8" t="s">
        <v>12627</v>
      </c>
    </row>
    <row r="2723" customFormat="false" ht="34.5" hidden="false" customHeight="true" outlineLevel="0" collapsed="false">
      <c r="A2723" s="8" t="n">
        <v>2462</v>
      </c>
      <c r="B2723" s="8" t="s">
        <v>77</v>
      </c>
      <c r="C2723" s="8" t="s">
        <v>12628</v>
      </c>
      <c r="D2723" s="8" t="n">
        <v>2017</v>
      </c>
      <c r="E2723" s="8" t="s">
        <v>12629</v>
      </c>
      <c r="F2723" s="8" t="s">
        <v>201</v>
      </c>
      <c r="G2723" s="8" t="s">
        <v>8879</v>
      </c>
      <c r="H2723" s="8" t="s">
        <v>12630</v>
      </c>
      <c r="I2723" s="8" t="s">
        <v>522</v>
      </c>
      <c r="J2723" s="8" t="s">
        <v>12631</v>
      </c>
      <c r="K2723" s="8" t="s">
        <v>112</v>
      </c>
      <c r="L2723" s="8" t="s">
        <v>12632</v>
      </c>
    </row>
    <row r="2724" customFormat="false" ht="34.5" hidden="false" customHeight="true" outlineLevel="0" collapsed="false">
      <c r="A2724" s="8" t="n">
        <v>2463</v>
      </c>
      <c r="B2724" s="8" t="s">
        <v>77</v>
      </c>
      <c r="C2724" s="8" t="s">
        <v>12633</v>
      </c>
      <c r="D2724" s="8" t="n">
        <v>2016</v>
      </c>
      <c r="E2724" s="8" t="s">
        <v>12634</v>
      </c>
      <c r="F2724" s="8" t="s">
        <v>143</v>
      </c>
      <c r="G2724" s="8" t="s">
        <v>6721</v>
      </c>
      <c r="H2724" s="8" t="s">
        <v>12635</v>
      </c>
      <c r="I2724" s="8" t="s">
        <v>146</v>
      </c>
      <c r="J2724" s="8" t="s">
        <v>7512</v>
      </c>
      <c r="K2724" s="8" t="s">
        <v>116</v>
      </c>
      <c r="L2724" s="8" t="s">
        <v>12636</v>
      </c>
    </row>
    <row r="2725" customFormat="false" ht="23.25" hidden="false" customHeight="true" outlineLevel="0" collapsed="false">
      <c r="A2725" s="8" t="n">
        <v>2464</v>
      </c>
      <c r="B2725" s="8" t="s">
        <v>77</v>
      </c>
      <c r="C2725" s="8" t="s">
        <v>12637</v>
      </c>
      <c r="D2725" s="8" t="n">
        <v>2013</v>
      </c>
      <c r="E2725" s="8" t="s">
        <v>12638</v>
      </c>
      <c r="F2725" s="8" t="s">
        <v>143</v>
      </c>
      <c r="G2725" s="8" t="s">
        <v>832</v>
      </c>
      <c r="H2725" s="8" t="s">
        <v>145</v>
      </c>
      <c r="I2725" s="8" t="s">
        <v>146</v>
      </c>
      <c r="J2725" s="8" t="s">
        <v>12639</v>
      </c>
      <c r="K2725" s="8" t="s">
        <v>116</v>
      </c>
      <c r="L2725" s="8" t="s">
        <v>12640</v>
      </c>
    </row>
    <row r="2726" customFormat="false" ht="34.5" hidden="false" customHeight="true" outlineLevel="0" collapsed="false">
      <c r="A2726" s="8" t="n">
        <v>2465</v>
      </c>
      <c r="B2726" s="8" t="s">
        <v>77</v>
      </c>
      <c r="C2726" s="8" t="s">
        <v>12641</v>
      </c>
      <c r="D2726" s="8" t="n">
        <v>2014</v>
      </c>
      <c r="E2726" s="8" t="s">
        <v>12642</v>
      </c>
      <c r="F2726" s="8" t="s">
        <v>143</v>
      </c>
      <c r="G2726" s="8" t="s">
        <v>12643</v>
      </c>
      <c r="H2726" s="8" t="s">
        <v>3254</v>
      </c>
      <c r="I2726" s="8" t="s">
        <v>146</v>
      </c>
      <c r="J2726" s="8" t="s">
        <v>3553</v>
      </c>
      <c r="K2726" s="8" t="s">
        <v>116</v>
      </c>
      <c r="L2726" s="8" t="s">
        <v>12644</v>
      </c>
    </row>
    <row r="2727" customFormat="false" ht="34.5" hidden="false" customHeight="true" outlineLevel="0" collapsed="false">
      <c r="A2727" s="8" t="n">
        <v>2466</v>
      </c>
      <c r="B2727" s="8" t="s">
        <v>77</v>
      </c>
      <c r="C2727" s="8" t="s">
        <v>12564</v>
      </c>
      <c r="D2727" s="8" t="n">
        <v>2010</v>
      </c>
      <c r="E2727" s="8" t="s">
        <v>12645</v>
      </c>
      <c r="F2727" s="8" t="s">
        <v>143</v>
      </c>
      <c r="G2727" s="8" t="s">
        <v>152</v>
      </c>
      <c r="H2727" s="8" t="s">
        <v>145</v>
      </c>
      <c r="I2727" s="8" t="s">
        <v>146</v>
      </c>
      <c r="J2727" s="8" t="s">
        <v>12646</v>
      </c>
      <c r="K2727" s="8" t="s">
        <v>116</v>
      </c>
      <c r="L2727" s="8" t="s">
        <v>12647</v>
      </c>
    </row>
    <row r="2728" customFormat="false" ht="23.25" hidden="false" customHeight="true" outlineLevel="0" collapsed="false">
      <c r="A2728" s="8" t="n">
        <v>2467</v>
      </c>
      <c r="B2728" s="8" t="s">
        <v>77</v>
      </c>
      <c r="C2728" s="8" t="s">
        <v>12648</v>
      </c>
      <c r="D2728" s="8" t="n">
        <v>2010</v>
      </c>
      <c r="E2728" s="8" t="s">
        <v>12649</v>
      </c>
      <c r="F2728" s="8" t="s">
        <v>143</v>
      </c>
      <c r="G2728" s="8" t="s">
        <v>1499</v>
      </c>
      <c r="H2728" s="8" t="s">
        <v>145</v>
      </c>
      <c r="I2728" s="8" t="s">
        <v>387</v>
      </c>
      <c r="J2728" s="8" t="s">
        <v>1921</v>
      </c>
      <c r="K2728" s="8" t="s">
        <v>114</v>
      </c>
      <c r="L2728" s="8" t="s">
        <v>12650</v>
      </c>
    </row>
    <row r="2729" customFormat="false" ht="34.5" hidden="false" customHeight="true" outlineLevel="0" collapsed="false">
      <c r="A2729" s="8" t="n">
        <v>2468</v>
      </c>
      <c r="B2729" s="8" t="s">
        <v>77</v>
      </c>
      <c r="C2729" s="8" t="s">
        <v>12651</v>
      </c>
      <c r="D2729" s="8" t="n">
        <v>2014</v>
      </c>
      <c r="E2729" s="8" t="s">
        <v>12652</v>
      </c>
      <c r="F2729" s="8" t="s">
        <v>143</v>
      </c>
      <c r="G2729" s="8" t="s">
        <v>8335</v>
      </c>
      <c r="H2729" s="8" t="s">
        <v>3254</v>
      </c>
      <c r="I2729" s="8" t="s">
        <v>146</v>
      </c>
      <c r="J2729" s="8" t="s">
        <v>12653</v>
      </c>
      <c r="K2729" s="8" t="s">
        <v>116</v>
      </c>
      <c r="L2729" s="8" t="s">
        <v>12654</v>
      </c>
    </row>
    <row r="2730" customFormat="false" ht="34.5" hidden="false" customHeight="true" outlineLevel="0" collapsed="false">
      <c r="A2730" s="8" t="n">
        <v>2469</v>
      </c>
      <c r="B2730" s="8" t="s">
        <v>77</v>
      </c>
      <c r="C2730" s="8" t="s">
        <v>12655</v>
      </c>
      <c r="D2730" s="8" t="n">
        <v>2016</v>
      </c>
      <c r="E2730" s="8" t="s">
        <v>12656</v>
      </c>
      <c r="F2730" s="8" t="s">
        <v>579</v>
      </c>
      <c r="G2730" s="8" t="s">
        <v>7296</v>
      </c>
      <c r="H2730" s="8" t="s">
        <v>12657</v>
      </c>
      <c r="I2730" s="8" t="s">
        <v>387</v>
      </c>
      <c r="J2730" s="8" t="s">
        <v>12658</v>
      </c>
      <c r="K2730" s="8" t="s">
        <v>116</v>
      </c>
      <c r="L2730" s="8" t="s">
        <v>12659</v>
      </c>
    </row>
    <row r="2731" customFormat="false" ht="23.25" hidden="false" customHeight="true" outlineLevel="0" collapsed="false">
      <c r="A2731" s="8" t="n">
        <v>2470</v>
      </c>
      <c r="B2731" s="8" t="s">
        <v>77</v>
      </c>
      <c r="C2731" s="8" t="s">
        <v>12660</v>
      </c>
      <c r="D2731" s="8" t="n">
        <v>2020</v>
      </c>
      <c r="E2731" s="8" t="s">
        <v>12661</v>
      </c>
      <c r="F2731" s="8" t="s">
        <v>143</v>
      </c>
      <c r="G2731" s="8" t="s">
        <v>348</v>
      </c>
      <c r="H2731" s="8" t="s">
        <v>145</v>
      </c>
      <c r="I2731" s="8" t="s">
        <v>153</v>
      </c>
      <c r="J2731" s="8" t="s">
        <v>12662</v>
      </c>
      <c r="K2731" s="8"/>
      <c r="L2731" s="8" t="s">
        <v>12663</v>
      </c>
    </row>
    <row r="2732" customFormat="false" ht="23.25" hidden="false" customHeight="true" outlineLevel="0" collapsed="false">
      <c r="A2732" s="8" t="n">
        <v>2471</v>
      </c>
      <c r="B2732" s="8" t="s">
        <v>77</v>
      </c>
      <c r="C2732" s="8" t="s">
        <v>12664</v>
      </c>
      <c r="D2732" s="8" t="n">
        <v>2020</v>
      </c>
      <c r="E2732" s="8" t="s">
        <v>12665</v>
      </c>
      <c r="F2732" s="8" t="s">
        <v>143</v>
      </c>
      <c r="G2732" s="8" t="s">
        <v>12666</v>
      </c>
      <c r="H2732" s="8" t="s">
        <v>145</v>
      </c>
      <c r="I2732" s="8" t="s">
        <v>146</v>
      </c>
      <c r="J2732" s="8" t="s">
        <v>12667</v>
      </c>
      <c r="K2732" s="8" t="s">
        <v>116</v>
      </c>
      <c r="L2732" s="8" t="s">
        <v>12668</v>
      </c>
    </row>
    <row r="2733" customFormat="false" ht="34.5" hidden="false" customHeight="true" outlineLevel="0" collapsed="false">
      <c r="A2733" s="8" t="n">
        <v>2472</v>
      </c>
      <c r="B2733" s="8" t="s">
        <v>77</v>
      </c>
      <c r="C2733" s="8" t="s">
        <v>12669</v>
      </c>
      <c r="D2733" s="8" t="n">
        <v>2021</v>
      </c>
      <c r="E2733" s="8" t="s">
        <v>12670</v>
      </c>
      <c r="F2733" s="8" t="s">
        <v>143</v>
      </c>
      <c r="G2733" s="8" t="s">
        <v>7355</v>
      </c>
      <c r="H2733" s="8" t="s">
        <v>678</v>
      </c>
      <c r="I2733" s="8" t="s">
        <v>146</v>
      </c>
      <c r="J2733" s="8" t="s">
        <v>12601</v>
      </c>
      <c r="K2733" s="8" t="s">
        <v>116</v>
      </c>
      <c r="L2733" s="8" t="s">
        <v>12671</v>
      </c>
    </row>
    <row r="2734" customFormat="false" ht="23.25" hidden="false" customHeight="true" outlineLevel="0" collapsed="false">
      <c r="A2734" s="8" t="n">
        <v>2473</v>
      </c>
      <c r="B2734" s="8" t="s">
        <v>77</v>
      </c>
      <c r="C2734" s="8" t="s">
        <v>12672</v>
      </c>
      <c r="D2734" s="8" t="n">
        <v>2020</v>
      </c>
      <c r="E2734" s="8" t="s">
        <v>12673</v>
      </c>
      <c r="F2734" s="8" t="s">
        <v>143</v>
      </c>
      <c r="G2734" s="8" t="s">
        <v>152</v>
      </c>
      <c r="H2734" s="8" t="s">
        <v>145</v>
      </c>
      <c r="I2734" s="8" t="s">
        <v>522</v>
      </c>
      <c r="J2734" s="8" t="s">
        <v>12674</v>
      </c>
      <c r="K2734" s="8"/>
      <c r="L2734" s="8" t="s">
        <v>12675</v>
      </c>
    </row>
    <row r="2735" customFormat="false" ht="34.5" hidden="false" customHeight="true" outlineLevel="0" collapsed="false">
      <c r="A2735" s="8" t="n">
        <v>2474</v>
      </c>
      <c r="B2735" s="8" t="s">
        <v>77</v>
      </c>
      <c r="C2735" s="8" t="s">
        <v>12676</v>
      </c>
      <c r="D2735" s="8" t="n">
        <v>2013</v>
      </c>
      <c r="E2735" s="8" t="s">
        <v>12677</v>
      </c>
      <c r="F2735" s="8" t="s">
        <v>143</v>
      </c>
      <c r="G2735" s="8" t="s">
        <v>12678</v>
      </c>
      <c r="H2735" s="8" t="s">
        <v>779</v>
      </c>
      <c r="I2735" s="8" t="s">
        <v>748</v>
      </c>
      <c r="J2735" s="8" t="s">
        <v>12679</v>
      </c>
      <c r="K2735" s="8" t="s">
        <v>116</v>
      </c>
      <c r="L2735" s="8" t="s">
        <v>12680</v>
      </c>
    </row>
    <row r="2736" customFormat="false" ht="34.5" hidden="false" customHeight="true" outlineLevel="0" collapsed="false">
      <c r="A2736" s="8" t="n">
        <v>2475</v>
      </c>
      <c r="B2736" s="8" t="s">
        <v>77</v>
      </c>
      <c r="C2736" s="8" t="s">
        <v>12681</v>
      </c>
      <c r="D2736" s="8" t="n">
        <v>2002</v>
      </c>
      <c r="E2736" s="8" t="s">
        <v>12682</v>
      </c>
      <c r="F2736" s="8" t="s">
        <v>151</v>
      </c>
      <c r="G2736" s="8" t="s">
        <v>348</v>
      </c>
      <c r="H2736" s="8" t="s">
        <v>145</v>
      </c>
      <c r="I2736" s="8" t="s">
        <v>153</v>
      </c>
      <c r="J2736" s="8" t="s">
        <v>6504</v>
      </c>
      <c r="K2736" s="8"/>
      <c r="L2736" s="8" t="s">
        <v>12683</v>
      </c>
    </row>
    <row r="2737" customFormat="false" ht="23.25" hidden="false" customHeight="true" outlineLevel="0" collapsed="false">
      <c r="A2737" s="8" t="n">
        <v>2476</v>
      </c>
      <c r="B2737" s="8" t="s">
        <v>77</v>
      </c>
      <c r="C2737" s="8" t="s">
        <v>12684</v>
      </c>
      <c r="D2737" s="8" t="n">
        <v>2011</v>
      </c>
      <c r="E2737" s="8" t="s">
        <v>12685</v>
      </c>
      <c r="F2737" s="8" t="s">
        <v>151</v>
      </c>
      <c r="G2737" s="8" t="s">
        <v>348</v>
      </c>
      <c r="H2737" s="8" t="s">
        <v>145</v>
      </c>
      <c r="I2737" s="8" t="s">
        <v>153</v>
      </c>
      <c r="J2737" s="8" t="s">
        <v>6504</v>
      </c>
      <c r="K2737" s="8"/>
      <c r="L2737" s="8" t="s">
        <v>12686</v>
      </c>
    </row>
    <row r="2738" customFormat="false" ht="23.25" hidden="false" customHeight="true" outlineLevel="0" collapsed="false">
      <c r="A2738" s="8" t="n">
        <v>2477</v>
      </c>
      <c r="B2738" s="8" t="s">
        <v>77</v>
      </c>
      <c r="C2738" s="8" t="s">
        <v>12687</v>
      </c>
      <c r="D2738" s="8" t="n">
        <v>2022</v>
      </c>
      <c r="E2738" s="8" t="s">
        <v>12688</v>
      </c>
      <c r="F2738" s="8" t="s">
        <v>151</v>
      </c>
      <c r="G2738" s="8" t="s">
        <v>348</v>
      </c>
      <c r="H2738" s="8" t="s">
        <v>145</v>
      </c>
      <c r="I2738" s="8" t="s">
        <v>153</v>
      </c>
      <c r="J2738" s="8" t="s">
        <v>12689</v>
      </c>
      <c r="K2738" s="8"/>
      <c r="L2738" s="8" t="s">
        <v>12690</v>
      </c>
    </row>
    <row r="2739" customFormat="false" ht="23.25" hidden="false" customHeight="true" outlineLevel="0" collapsed="false">
      <c r="A2739" s="8" t="n">
        <v>2478</v>
      </c>
      <c r="B2739" s="8" t="s">
        <v>77</v>
      </c>
      <c r="C2739" s="8" t="s">
        <v>12691</v>
      </c>
      <c r="D2739" s="8" t="n">
        <v>2008</v>
      </c>
      <c r="E2739" s="8" t="s">
        <v>12692</v>
      </c>
      <c r="F2739" s="8" t="s">
        <v>151</v>
      </c>
      <c r="G2739" s="8" t="s">
        <v>348</v>
      </c>
      <c r="H2739" s="8" t="s">
        <v>145</v>
      </c>
      <c r="I2739" s="8" t="s">
        <v>153</v>
      </c>
      <c r="J2739" s="8" t="s">
        <v>12693</v>
      </c>
      <c r="K2739" s="8"/>
      <c r="L2739" s="8" t="s">
        <v>12694</v>
      </c>
    </row>
    <row r="2740" customFormat="false" ht="23.25" hidden="false" customHeight="true" outlineLevel="0" collapsed="false">
      <c r="A2740" s="8" t="n">
        <v>2479</v>
      </c>
      <c r="B2740" s="8" t="s">
        <v>77</v>
      </c>
      <c r="C2740" s="8" t="s">
        <v>12695</v>
      </c>
      <c r="D2740" s="8" t="n">
        <v>2007</v>
      </c>
      <c r="E2740" s="8" t="s">
        <v>12696</v>
      </c>
      <c r="F2740" s="8" t="s">
        <v>579</v>
      </c>
      <c r="G2740" s="8" t="s">
        <v>12697</v>
      </c>
      <c r="H2740" s="8" t="s">
        <v>12698</v>
      </c>
      <c r="I2740" s="8" t="s">
        <v>146</v>
      </c>
      <c r="J2740" s="8" t="s">
        <v>12699</v>
      </c>
      <c r="K2740" s="8" t="s">
        <v>116</v>
      </c>
      <c r="L2740" s="8" t="s">
        <v>12700</v>
      </c>
    </row>
    <row r="2741" customFormat="false" ht="34.5" hidden="false" customHeight="true" outlineLevel="0" collapsed="false">
      <c r="A2741" s="8" t="n">
        <v>2480</v>
      </c>
      <c r="B2741" s="8" t="s">
        <v>77</v>
      </c>
      <c r="C2741" s="8" t="s">
        <v>12701</v>
      </c>
      <c r="D2741" s="8" t="n">
        <v>2014</v>
      </c>
      <c r="E2741" s="8" t="s">
        <v>12702</v>
      </c>
      <c r="F2741" s="8" t="s">
        <v>201</v>
      </c>
      <c r="G2741" s="8" t="s">
        <v>6567</v>
      </c>
      <c r="H2741" s="8" t="s">
        <v>3254</v>
      </c>
      <c r="I2741" s="8" t="s">
        <v>146</v>
      </c>
      <c r="J2741" s="8" t="s">
        <v>3553</v>
      </c>
      <c r="K2741" s="8" t="s">
        <v>116</v>
      </c>
      <c r="L2741" s="8" t="s">
        <v>12703</v>
      </c>
    </row>
    <row r="2742" customFormat="false" ht="34.5" hidden="false" customHeight="true" outlineLevel="0" collapsed="false">
      <c r="A2742" s="8" t="n">
        <v>2481</v>
      </c>
      <c r="B2742" s="8" t="s">
        <v>77</v>
      </c>
      <c r="C2742" s="8" t="s">
        <v>12704</v>
      </c>
      <c r="D2742" s="8" t="n">
        <v>2019</v>
      </c>
      <c r="E2742" s="8" t="s">
        <v>12705</v>
      </c>
      <c r="F2742" s="8" t="s">
        <v>143</v>
      </c>
      <c r="G2742" s="8" t="s">
        <v>12706</v>
      </c>
      <c r="H2742" s="8" t="s">
        <v>12707</v>
      </c>
      <c r="I2742" s="8" t="s">
        <v>387</v>
      </c>
      <c r="J2742" s="8" t="s">
        <v>12708</v>
      </c>
      <c r="K2742" s="8" t="s">
        <v>116</v>
      </c>
      <c r="L2742" s="8" t="s">
        <v>12709</v>
      </c>
    </row>
    <row r="2743" customFormat="false" ht="34.5" hidden="false" customHeight="true" outlineLevel="0" collapsed="false">
      <c r="A2743" s="8" t="n">
        <v>2482</v>
      </c>
      <c r="B2743" s="8" t="s">
        <v>77</v>
      </c>
      <c r="C2743" s="8" t="s">
        <v>12710</v>
      </c>
      <c r="D2743" s="8" t="n">
        <v>2020</v>
      </c>
      <c r="E2743" s="8" t="s">
        <v>12711</v>
      </c>
      <c r="F2743" s="8" t="s">
        <v>143</v>
      </c>
      <c r="G2743" s="8" t="s">
        <v>1900</v>
      </c>
      <c r="H2743" s="8" t="s">
        <v>327</v>
      </c>
      <c r="I2743" s="8" t="s">
        <v>146</v>
      </c>
      <c r="J2743" s="8" t="s">
        <v>12601</v>
      </c>
      <c r="K2743" s="8" t="s">
        <v>116</v>
      </c>
      <c r="L2743" s="8" t="s">
        <v>12712</v>
      </c>
    </row>
    <row r="2744" customFormat="false" ht="23.25" hidden="false" customHeight="true" outlineLevel="0" collapsed="false">
      <c r="A2744" s="8" t="n">
        <v>2483</v>
      </c>
      <c r="B2744" s="8" t="s">
        <v>77</v>
      </c>
      <c r="C2744" s="8" t="s">
        <v>12713</v>
      </c>
      <c r="D2744" s="8" t="n">
        <v>2020</v>
      </c>
      <c r="E2744" s="8" t="s">
        <v>12714</v>
      </c>
      <c r="F2744" s="8" t="s">
        <v>201</v>
      </c>
      <c r="G2744" s="8" t="s">
        <v>12715</v>
      </c>
      <c r="H2744" s="8" t="s">
        <v>12716</v>
      </c>
      <c r="I2744" s="8" t="s">
        <v>146</v>
      </c>
      <c r="J2744" s="8" t="s">
        <v>12717</v>
      </c>
      <c r="K2744" s="8" t="s">
        <v>116</v>
      </c>
      <c r="L2744" s="8" t="s">
        <v>12718</v>
      </c>
    </row>
    <row r="2745" customFormat="false" ht="34.5" hidden="false" customHeight="true" outlineLevel="0" collapsed="false">
      <c r="A2745" s="8" t="n">
        <v>2484</v>
      </c>
      <c r="B2745" s="8" t="s">
        <v>77</v>
      </c>
      <c r="C2745" s="8" t="s">
        <v>12719</v>
      </c>
      <c r="D2745" s="8" t="n">
        <v>2018</v>
      </c>
      <c r="E2745" s="8" t="s">
        <v>12720</v>
      </c>
      <c r="F2745" s="8" t="s">
        <v>151</v>
      </c>
      <c r="G2745" s="8" t="s">
        <v>12721</v>
      </c>
      <c r="H2745" s="8" t="s">
        <v>327</v>
      </c>
      <c r="I2745" s="8" t="s">
        <v>522</v>
      </c>
      <c r="J2745" s="8" t="s">
        <v>12722</v>
      </c>
      <c r="K2745" s="8" t="s">
        <v>112</v>
      </c>
      <c r="L2745" s="8" t="s">
        <v>12723</v>
      </c>
    </row>
    <row r="2746" customFormat="false" ht="34.5" hidden="false" customHeight="true" outlineLevel="0" collapsed="false">
      <c r="A2746" s="8" t="n">
        <v>2485</v>
      </c>
      <c r="B2746" s="8" t="s">
        <v>77</v>
      </c>
      <c r="C2746" s="8" t="s">
        <v>12724</v>
      </c>
      <c r="D2746" s="8" t="n">
        <v>2008</v>
      </c>
      <c r="E2746" s="8" t="s">
        <v>12725</v>
      </c>
      <c r="F2746" s="8" t="s">
        <v>201</v>
      </c>
      <c r="G2746" s="8" t="s">
        <v>12726</v>
      </c>
      <c r="H2746" s="8" t="s">
        <v>12727</v>
      </c>
      <c r="I2746" s="8" t="s">
        <v>387</v>
      </c>
      <c r="J2746" s="8" t="s">
        <v>12728</v>
      </c>
      <c r="K2746" s="8" t="s">
        <v>116</v>
      </c>
      <c r="L2746" s="8" t="s">
        <v>12729</v>
      </c>
    </row>
    <row r="2747" customFormat="false" ht="34.5" hidden="false" customHeight="true" outlineLevel="0" collapsed="false">
      <c r="A2747" s="8" t="n">
        <v>2486</v>
      </c>
      <c r="B2747" s="8" t="s">
        <v>77</v>
      </c>
      <c r="C2747" s="8" t="s">
        <v>12730</v>
      </c>
      <c r="D2747" s="8" t="n">
        <v>2014</v>
      </c>
      <c r="E2747" s="8" t="s">
        <v>12731</v>
      </c>
      <c r="F2747" s="8" t="s">
        <v>201</v>
      </c>
      <c r="G2747" s="8" t="s">
        <v>7355</v>
      </c>
      <c r="H2747" s="8" t="s">
        <v>12732</v>
      </c>
      <c r="I2747" s="8" t="s">
        <v>146</v>
      </c>
      <c r="J2747" s="8" t="s">
        <v>12601</v>
      </c>
      <c r="K2747" s="8" t="s">
        <v>116</v>
      </c>
      <c r="L2747" s="8" t="s">
        <v>12733</v>
      </c>
    </row>
    <row r="2748" customFormat="false" ht="34.5" hidden="false" customHeight="true" outlineLevel="0" collapsed="false">
      <c r="A2748" s="8" t="n">
        <v>2487</v>
      </c>
      <c r="B2748" s="8" t="s">
        <v>77</v>
      </c>
      <c r="C2748" s="8" t="s">
        <v>8826</v>
      </c>
      <c r="D2748" s="8" t="n">
        <v>2022</v>
      </c>
      <c r="E2748" s="8" t="s">
        <v>12734</v>
      </c>
      <c r="F2748" s="8" t="s">
        <v>143</v>
      </c>
      <c r="G2748" s="8" t="s">
        <v>12735</v>
      </c>
      <c r="H2748" s="8" t="s">
        <v>145</v>
      </c>
      <c r="I2748" s="8" t="s">
        <v>387</v>
      </c>
      <c r="J2748" s="8" t="s">
        <v>12736</v>
      </c>
      <c r="K2748" s="8" t="s">
        <v>114</v>
      </c>
      <c r="L2748" s="8" t="s">
        <v>12737</v>
      </c>
    </row>
    <row r="2749" customFormat="false" ht="34.5" hidden="false" customHeight="true" outlineLevel="0" collapsed="false">
      <c r="A2749" s="8" t="n">
        <v>2488</v>
      </c>
      <c r="B2749" s="8" t="s">
        <v>77</v>
      </c>
      <c r="C2749" s="8" t="s">
        <v>12738</v>
      </c>
      <c r="D2749" s="8" t="n">
        <v>2016</v>
      </c>
      <c r="E2749" s="8" t="s">
        <v>12739</v>
      </c>
      <c r="F2749" s="8" t="s">
        <v>143</v>
      </c>
      <c r="G2749" s="8" t="s">
        <v>12740</v>
      </c>
      <c r="H2749" s="8" t="s">
        <v>12741</v>
      </c>
      <c r="I2749" s="8" t="s">
        <v>146</v>
      </c>
      <c r="J2749" s="8" t="s">
        <v>8710</v>
      </c>
      <c r="K2749" s="8" t="s">
        <v>112</v>
      </c>
      <c r="L2749" s="8" t="s">
        <v>12742</v>
      </c>
    </row>
    <row r="2750" customFormat="false" ht="34.5" hidden="false" customHeight="true" outlineLevel="0" collapsed="false">
      <c r="A2750" s="8" t="n">
        <v>2489</v>
      </c>
      <c r="B2750" s="8" t="s">
        <v>77</v>
      </c>
      <c r="C2750" s="8" t="s">
        <v>12743</v>
      </c>
      <c r="D2750" s="8" t="n">
        <v>2021</v>
      </c>
      <c r="E2750" s="8" t="s">
        <v>12744</v>
      </c>
      <c r="F2750" s="8" t="s">
        <v>201</v>
      </c>
      <c r="G2750" s="8" t="s">
        <v>12745</v>
      </c>
      <c r="H2750" s="8" t="s">
        <v>12746</v>
      </c>
      <c r="I2750" s="8" t="s">
        <v>146</v>
      </c>
      <c r="J2750" s="8" t="s">
        <v>12747</v>
      </c>
      <c r="K2750" s="8" t="s">
        <v>116</v>
      </c>
      <c r="L2750" s="8" t="s">
        <v>12748</v>
      </c>
    </row>
    <row r="2751" customFormat="false" ht="34.5" hidden="false" customHeight="true" outlineLevel="0" collapsed="false">
      <c r="A2751" s="8" t="n">
        <v>2490</v>
      </c>
      <c r="B2751" s="8" t="s">
        <v>77</v>
      </c>
      <c r="C2751" s="8" t="s">
        <v>12749</v>
      </c>
      <c r="D2751" s="8" t="n">
        <v>2019</v>
      </c>
      <c r="E2751" s="8" t="s">
        <v>12750</v>
      </c>
      <c r="F2751" s="8" t="s">
        <v>143</v>
      </c>
      <c r="G2751" s="8" t="s">
        <v>1424</v>
      </c>
      <c r="H2751" s="8" t="s">
        <v>5924</v>
      </c>
      <c r="I2751" s="8" t="s">
        <v>146</v>
      </c>
      <c r="J2751" s="8" t="s">
        <v>12751</v>
      </c>
      <c r="K2751" s="8" t="s">
        <v>112</v>
      </c>
      <c r="L2751" s="8" t="s">
        <v>12752</v>
      </c>
    </row>
    <row r="2752" customFormat="false" ht="34.5" hidden="false" customHeight="true" outlineLevel="0" collapsed="false">
      <c r="A2752" s="8" t="n">
        <v>2491</v>
      </c>
      <c r="B2752" s="8" t="s">
        <v>77</v>
      </c>
      <c r="C2752" s="8" t="s">
        <v>12753</v>
      </c>
      <c r="D2752" s="8" t="n">
        <v>2021</v>
      </c>
      <c r="E2752" s="8" t="s">
        <v>12754</v>
      </c>
      <c r="F2752" s="8" t="s">
        <v>201</v>
      </c>
      <c r="G2752" s="8" t="s">
        <v>12755</v>
      </c>
      <c r="H2752" s="8" t="s">
        <v>12756</v>
      </c>
      <c r="I2752" s="8" t="s">
        <v>146</v>
      </c>
      <c r="J2752" s="8" t="s">
        <v>12757</v>
      </c>
      <c r="K2752" s="8" t="s">
        <v>112</v>
      </c>
      <c r="L2752" s="8" t="s">
        <v>12758</v>
      </c>
    </row>
    <row r="2753" customFormat="false" ht="34.5" hidden="false" customHeight="true" outlineLevel="0" collapsed="false">
      <c r="A2753" s="8" t="n">
        <v>2492</v>
      </c>
      <c r="B2753" s="8" t="s">
        <v>77</v>
      </c>
      <c r="C2753" s="8" t="s">
        <v>12759</v>
      </c>
      <c r="D2753" s="8" t="n">
        <v>2006</v>
      </c>
      <c r="E2753" s="8" t="s">
        <v>12760</v>
      </c>
      <c r="F2753" s="8" t="s">
        <v>143</v>
      </c>
      <c r="G2753" s="8" t="s">
        <v>12761</v>
      </c>
      <c r="H2753" s="8" t="s">
        <v>327</v>
      </c>
      <c r="I2753" s="8" t="s">
        <v>522</v>
      </c>
      <c r="J2753" s="8" t="s">
        <v>12762</v>
      </c>
      <c r="K2753" s="8" t="s">
        <v>114</v>
      </c>
      <c r="L2753" s="8" t="s">
        <v>12763</v>
      </c>
    </row>
    <row r="2754" customFormat="false" ht="23.25" hidden="false" customHeight="true" outlineLevel="0" collapsed="false">
      <c r="A2754" s="8" t="n">
        <v>2493</v>
      </c>
      <c r="B2754" s="8" t="s">
        <v>77</v>
      </c>
      <c r="C2754" s="8" t="s">
        <v>12764</v>
      </c>
      <c r="D2754" s="8" t="n">
        <v>2022</v>
      </c>
      <c r="E2754" s="8" t="s">
        <v>12765</v>
      </c>
      <c r="F2754" s="8" t="s">
        <v>143</v>
      </c>
      <c r="G2754" s="8" t="s">
        <v>12766</v>
      </c>
      <c r="H2754" s="8" t="s">
        <v>145</v>
      </c>
      <c r="I2754" s="8" t="s">
        <v>153</v>
      </c>
      <c r="J2754" s="8" t="s">
        <v>12767</v>
      </c>
      <c r="K2754" s="8" t="s">
        <v>114</v>
      </c>
      <c r="L2754" s="8" t="s">
        <v>12768</v>
      </c>
    </row>
    <row r="2755" customFormat="false" ht="34.5" hidden="false" customHeight="true" outlineLevel="0" collapsed="false">
      <c r="A2755" s="8" t="n">
        <v>2494</v>
      </c>
      <c r="B2755" s="8" t="s">
        <v>77</v>
      </c>
      <c r="C2755" s="8" t="s">
        <v>12769</v>
      </c>
      <c r="D2755" s="8" t="n">
        <v>2011</v>
      </c>
      <c r="E2755" s="8" t="s">
        <v>12770</v>
      </c>
      <c r="F2755" s="8" t="s">
        <v>143</v>
      </c>
      <c r="G2755" s="8" t="s">
        <v>12771</v>
      </c>
      <c r="H2755" s="8" t="s">
        <v>12772</v>
      </c>
      <c r="I2755" s="8" t="s">
        <v>146</v>
      </c>
      <c r="J2755" s="8" t="s">
        <v>12658</v>
      </c>
      <c r="K2755" s="8" t="s">
        <v>116</v>
      </c>
      <c r="L2755" s="8" t="s">
        <v>12773</v>
      </c>
    </row>
    <row r="2756" customFormat="false" ht="34.5" hidden="false" customHeight="true" outlineLevel="0" collapsed="false">
      <c r="A2756" s="8" t="n">
        <v>2495</v>
      </c>
      <c r="B2756" s="8" t="s">
        <v>77</v>
      </c>
      <c r="C2756" s="8" t="s">
        <v>1622</v>
      </c>
      <c r="D2756" s="8" t="n">
        <v>2022</v>
      </c>
      <c r="E2756" s="8" t="s">
        <v>12774</v>
      </c>
      <c r="F2756" s="8" t="s">
        <v>143</v>
      </c>
      <c r="G2756" s="8" t="s">
        <v>12775</v>
      </c>
      <c r="H2756" s="8" t="s">
        <v>327</v>
      </c>
      <c r="I2756" s="8" t="s">
        <v>522</v>
      </c>
      <c r="J2756" s="8" t="s">
        <v>12776</v>
      </c>
      <c r="K2756" s="8" t="s">
        <v>114</v>
      </c>
      <c r="L2756" s="8" t="s">
        <v>12777</v>
      </c>
    </row>
    <row r="2757" customFormat="false" ht="34.5" hidden="false" customHeight="true" outlineLevel="0" collapsed="false">
      <c r="A2757" s="8" t="n">
        <v>2496</v>
      </c>
      <c r="B2757" s="8" t="s">
        <v>77</v>
      </c>
      <c r="C2757" s="8" t="s">
        <v>12778</v>
      </c>
      <c r="D2757" s="8" t="n">
        <v>2021</v>
      </c>
      <c r="E2757" s="8" t="s">
        <v>12779</v>
      </c>
      <c r="F2757" s="8" t="s">
        <v>151</v>
      </c>
      <c r="G2757" s="8" t="s">
        <v>12780</v>
      </c>
      <c r="H2757" s="8" t="s">
        <v>12781</v>
      </c>
      <c r="I2757" s="8" t="s">
        <v>146</v>
      </c>
      <c r="J2757" s="8" t="s">
        <v>12782</v>
      </c>
      <c r="K2757" s="8" t="s">
        <v>116</v>
      </c>
      <c r="L2757" s="8" t="s">
        <v>12783</v>
      </c>
    </row>
    <row r="2758" customFormat="false" ht="34.5" hidden="false" customHeight="true" outlineLevel="0" collapsed="false">
      <c r="A2758" s="8" t="n">
        <v>2497</v>
      </c>
      <c r="B2758" s="8" t="s">
        <v>77</v>
      </c>
      <c r="C2758" s="8" t="s">
        <v>12784</v>
      </c>
      <c r="D2758" s="8" t="n">
        <v>2018</v>
      </c>
      <c r="E2758" s="8" t="s">
        <v>12785</v>
      </c>
      <c r="F2758" s="8" t="s">
        <v>151</v>
      </c>
      <c r="G2758" s="8" t="s">
        <v>12786</v>
      </c>
      <c r="H2758" s="8" t="s">
        <v>9323</v>
      </c>
      <c r="I2758" s="8" t="s">
        <v>146</v>
      </c>
      <c r="J2758" s="8" t="s">
        <v>12787</v>
      </c>
      <c r="K2758" s="8" t="s">
        <v>116</v>
      </c>
      <c r="L2758" s="8" t="s">
        <v>12788</v>
      </c>
    </row>
    <row r="2759" customFormat="false" ht="34.5" hidden="false" customHeight="true" outlineLevel="0" collapsed="false">
      <c r="A2759" s="8" t="n">
        <v>2498</v>
      </c>
      <c r="B2759" s="8" t="s">
        <v>77</v>
      </c>
      <c r="C2759" s="8" t="s">
        <v>12789</v>
      </c>
      <c r="D2759" s="8" t="n">
        <v>2020</v>
      </c>
      <c r="E2759" s="8" t="s">
        <v>12790</v>
      </c>
      <c r="F2759" s="8" t="s">
        <v>151</v>
      </c>
      <c r="G2759" s="8" t="s">
        <v>12791</v>
      </c>
      <c r="H2759" s="8" t="s">
        <v>4711</v>
      </c>
      <c r="I2759" s="8" t="s">
        <v>146</v>
      </c>
      <c r="J2759" s="8" t="s">
        <v>12792</v>
      </c>
      <c r="K2759" s="8" t="s">
        <v>116</v>
      </c>
      <c r="L2759" s="8" t="s">
        <v>12793</v>
      </c>
    </row>
    <row r="2760" customFormat="false" ht="34.5" hidden="false" customHeight="true" outlineLevel="0" collapsed="false">
      <c r="A2760" s="8" t="n">
        <v>2499</v>
      </c>
      <c r="B2760" s="8" t="s">
        <v>77</v>
      </c>
      <c r="C2760" s="8" t="s">
        <v>12794</v>
      </c>
      <c r="D2760" s="8" t="n">
        <v>2015</v>
      </c>
      <c r="E2760" s="8" t="s">
        <v>12795</v>
      </c>
      <c r="F2760" s="8" t="s">
        <v>143</v>
      </c>
      <c r="G2760" s="8" t="s">
        <v>12796</v>
      </c>
      <c r="H2760" s="8" t="s">
        <v>145</v>
      </c>
      <c r="I2760" s="8" t="s">
        <v>153</v>
      </c>
      <c r="J2760" s="8" t="s">
        <v>12797</v>
      </c>
      <c r="K2760" s="8" t="s">
        <v>114</v>
      </c>
      <c r="L2760" s="8" t="s">
        <v>12798</v>
      </c>
    </row>
    <row r="2761" customFormat="false" ht="34.5" hidden="false" customHeight="true" outlineLevel="0" collapsed="false">
      <c r="A2761" s="8" t="n">
        <v>2500</v>
      </c>
      <c r="B2761" s="8" t="s">
        <v>77</v>
      </c>
      <c r="C2761" s="8" t="s">
        <v>12799</v>
      </c>
      <c r="D2761" s="8" t="n">
        <v>1992</v>
      </c>
      <c r="E2761" s="8" t="s">
        <v>12800</v>
      </c>
      <c r="F2761" s="8" t="s">
        <v>143</v>
      </c>
      <c r="G2761" s="8" t="s">
        <v>12801</v>
      </c>
      <c r="H2761" s="8" t="s">
        <v>512</v>
      </c>
      <c r="I2761" s="8" t="s">
        <v>153</v>
      </c>
      <c r="J2761" s="8" t="s">
        <v>12802</v>
      </c>
      <c r="K2761" s="8" t="s">
        <v>114</v>
      </c>
      <c r="L2761" s="8" t="s">
        <v>12803</v>
      </c>
    </row>
    <row r="2762" customFormat="false" ht="34.5" hidden="false" customHeight="true" outlineLevel="0" collapsed="false">
      <c r="A2762" s="8" t="n">
        <v>2501</v>
      </c>
      <c r="B2762" s="8" t="s">
        <v>77</v>
      </c>
      <c r="C2762" s="8" t="s">
        <v>12804</v>
      </c>
      <c r="D2762" s="8" t="n">
        <v>2017</v>
      </c>
      <c r="E2762" s="8" t="s">
        <v>12805</v>
      </c>
      <c r="F2762" s="8" t="s">
        <v>201</v>
      </c>
      <c r="G2762" s="8" t="s">
        <v>364</v>
      </c>
      <c r="H2762" s="8" t="s">
        <v>145</v>
      </c>
      <c r="I2762" s="8" t="s">
        <v>533</v>
      </c>
      <c r="J2762" s="8" t="s">
        <v>9005</v>
      </c>
      <c r="K2762" s="8" t="s">
        <v>114</v>
      </c>
      <c r="L2762" s="8" t="s">
        <v>12806</v>
      </c>
    </row>
    <row r="2763" customFormat="false" ht="34.5" hidden="false" customHeight="true" outlineLevel="0" collapsed="false">
      <c r="A2763" s="8" t="n">
        <v>2502</v>
      </c>
      <c r="B2763" s="8" t="s">
        <v>77</v>
      </c>
      <c r="C2763" s="8" t="s">
        <v>12807</v>
      </c>
      <c r="D2763" s="8" t="n">
        <v>2021</v>
      </c>
      <c r="E2763" s="8" t="s">
        <v>12808</v>
      </c>
      <c r="F2763" s="8" t="s">
        <v>201</v>
      </c>
      <c r="G2763" s="8" t="s">
        <v>12809</v>
      </c>
      <c r="H2763" s="8" t="s">
        <v>12810</v>
      </c>
      <c r="I2763" s="8" t="s">
        <v>146</v>
      </c>
      <c r="J2763" s="8" t="s">
        <v>12811</v>
      </c>
      <c r="K2763" s="8" t="s">
        <v>116</v>
      </c>
      <c r="L2763" s="8" t="s">
        <v>12812</v>
      </c>
    </row>
    <row r="2764" customFormat="false" ht="23.25" hidden="false" customHeight="true" outlineLevel="0" collapsed="false">
      <c r="A2764" s="8" t="n">
        <v>2503</v>
      </c>
      <c r="B2764" s="8" t="s">
        <v>77</v>
      </c>
      <c r="C2764" s="8" t="s">
        <v>12813</v>
      </c>
      <c r="D2764" s="8" t="n">
        <v>2021</v>
      </c>
      <c r="E2764" s="8" t="s">
        <v>12814</v>
      </c>
      <c r="F2764" s="8" t="s">
        <v>151</v>
      </c>
      <c r="G2764" s="8" t="s">
        <v>348</v>
      </c>
      <c r="H2764" s="8" t="s">
        <v>145</v>
      </c>
      <c r="I2764" s="8" t="s">
        <v>153</v>
      </c>
      <c r="J2764" s="8" t="s">
        <v>12815</v>
      </c>
      <c r="K2764" s="8"/>
      <c r="L2764" s="8" t="s">
        <v>12816</v>
      </c>
    </row>
    <row r="2765" customFormat="false" ht="34.5" hidden="false" customHeight="true" outlineLevel="0" collapsed="false">
      <c r="A2765" s="8" t="n">
        <v>2504</v>
      </c>
      <c r="B2765" s="8" t="s">
        <v>77</v>
      </c>
      <c r="C2765" s="8" t="s">
        <v>12817</v>
      </c>
      <c r="D2765" s="8" t="n">
        <v>2009</v>
      </c>
      <c r="E2765" s="8" t="s">
        <v>12818</v>
      </c>
      <c r="F2765" s="8" t="s">
        <v>143</v>
      </c>
      <c r="G2765" s="8" t="s">
        <v>12819</v>
      </c>
      <c r="H2765" s="8" t="s">
        <v>145</v>
      </c>
      <c r="I2765" s="8" t="s">
        <v>387</v>
      </c>
      <c r="J2765" s="8" t="s">
        <v>12820</v>
      </c>
      <c r="K2765" s="8" t="s">
        <v>114</v>
      </c>
      <c r="L2765" s="8" t="s">
        <v>12821</v>
      </c>
    </row>
    <row r="2766" customFormat="false" ht="34.5" hidden="false" customHeight="true" outlineLevel="0" collapsed="false">
      <c r="A2766" s="8" t="n">
        <v>2505</v>
      </c>
      <c r="B2766" s="8" t="s">
        <v>77</v>
      </c>
      <c r="C2766" s="8" t="s">
        <v>12822</v>
      </c>
      <c r="D2766" s="8" t="n">
        <v>2013</v>
      </c>
      <c r="E2766" s="8" t="s">
        <v>12823</v>
      </c>
      <c r="F2766" s="8" t="s">
        <v>143</v>
      </c>
      <c r="G2766" s="8" t="s">
        <v>12643</v>
      </c>
      <c r="H2766" s="8" t="s">
        <v>12824</v>
      </c>
      <c r="I2766" s="8" t="s">
        <v>146</v>
      </c>
      <c r="J2766" s="8" t="s">
        <v>3553</v>
      </c>
      <c r="K2766" s="8" t="s">
        <v>116</v>
      </c>
      <c r="L2766" s="8" t="s">
        <v>12825</v>
      </c>
    </row>
    <row r="2767" customFormat="false" ht="34.5" hidden="false" customHeight="true" outlineLevel="0" collapsed="false">
      <c r="A2767" s="8" t="n">
        <v>2506</v>
      </c>
      <c r="B2767" s="8" t="s">
        <v>77</v>
      </c>
      <c r="C2767" s="8" t="s">
        <v>12826</v>
      </c>
      <c r="D2767" s="8" t="n">
        <v>2013</v>
      </c>
      <c r="E2767" s="8" t="s">
        <v>12827</v>
      </c>
      <c r="F2767" s="8" t="s">
        <v>201</v>
      </c>
      <c r="G2767" s="8" t="s">
        <v>3552</v>
      </c>
      <c r="H2767" s="8" t="s">
        <v>145</v>
      </c>
      <c r="I2767" s="8" t="s">
        <v>387</v>
      </c>
      <c r="J2767" s="8" t="s">
        <v>785</v>
      </c>
      <c r="K2767" s="8" t="s">
        <v>116</v>
      </c>
      <c r="L2767" s="8" t="s">
        <v>12828</v>
      </c>
    </row>
    <row r="2768" customFormat="false" ht="34.5" hidden="false" customHeight="true" outlineLevel="0" collapsed="false">
      <c r="A2768" s="8" t="n">
        <v>2507</v>
      </c>
      <c r="B2768" s="8" t="s">
        <v>77</v>
      </c>
      <c r="C2768" s="8" t="s">
        <v>12829</v>
      </c>
      <c r="D2768" s="8" t="n">
        <v>2014</v>
      </c>
      <c r="E2768" s="8" t="s">
        <v>12830</v>
      </c>
      <c r="F2768" s="8" t="s">
        <v>143</v>
      </c>
      <c r="G2768" s="8" t="s">
        <v>152</v>
      </c>
      <c r="H2768" s="8" t="s">
        <v>145</v>
      </c>
      <c r="I2768" s="8" t="s">
        <v>387</v>
      </c>
      <c r="J2768" s="8" t="s">
        <v>12831</v>
      </c>
      <c r="K2768" s="8" t="s">
        <v>114</v>
      </c>
      <c r="L2768" s="8" t="s">
        <v>12832</v>
      </c>
    </row>
    <row r="2769" customFormat="false" ht="34.5" hidden="false" customHeight="true" outlineLevel="0" collapsed="false">
      <c r="A2769" s="8" t="n">
        <v>2508</v>
      </c>
      <c r="B2769" s="8" t="s">
        <v>77</v>
      </c>
      <c r="C2769" s="8" t="s">
        <v>12833</v>
      </c>
      <c r="D2769" s="8" t="n">
        <v>2009</v>
      </c>
      <c r="E2769" s="8" t="s">
        <v>12834</v>
      </c>
      <c r="F2769" s="8" t="s">
        <v>201</v>
      </c>
      <c r="G2769" s="8" t="s">
        <v>1441</v>
      </c>
      <c r="H2769" s="8" t="s">
        <v>145</v>
      </c>
      <c r="I2769" s="8" t="s">
        <v>146</v>
      </c>
      <c r="J2769" s="8" t="s">
        <v>491</v>
      </c>
      <c r="K2769" s="8" t="s">
        <v>112</v>
      </c>
      <c r="L2769" s="8" t="s">
        <v>12835</v>
      </c>
    </row>
    <row r="2770" customFormat="false" ht="34.5" hidden="false" customHeight="true" outlineLevel="0" collapsed="false">
      <c r="A2770" s="8" t="n">
        <v>2509</v>
      </c>
      <c r="B2770" s="8" t="s">
        <v>77</v>
      </c>
      <c r="C2770" s="8" t="s">
        <v>12836</v>
      </c>
      <c r="D2770" s="8" t="n">
        <v>2008</v>
      </c>
      <c r="E2770" s="8" t="s">
        <v>12837</v>
      </c>
      <c r="F2770" s="8" t="s">
        <v>201</v>
      </c>
      <c r="G2770" s="8" t="s">
        <v>12838</v>
      </c>
      <c r="H2770" s="8" t="s">
        <v>3558</v>
      </c>
      <c r="I2770" s="8" t="s">
        <v>387</v>
      </c>
      <c r="J2770" s="8" t="s">
        <v>12839</v>
      </c>
      <c r="K2770" s="8" t="s">
        <v>116</v>
      </c>
      <c r="L2770" s="8" t="s">
        <v>12840</v>
      </c>
    </row>
    <row r="2771" customFormat="false" ht="34.5" hidden="false" customHeight="true" outlineLevel="0" collapsed="false">
      <c r="A2771" s="8" t="n">
        <v>2510</v>
      </c>
      <c r="B2771" s="8" t="s">
        <v>77</v>
      </c>
      <c r="C2771" s="8" t="s">
        <v>12841</v>
      </c>
      <c r="D2771" s="8" t="n">
        <v>2022</v>
      </c>
      <c r="E2771" s="8" t="s">
        <v>12842</v>
      </c>
      <c r="F2771" s="8" t="s">
        <v>151</v>
      </c>
      <c r="G2771" s="8" t="s">
        <v>12843</v>
      </c>
      <c r="H2771" s="8" t="s">
        <v>12844</v>
      </c>
      <c r="I2771" s="8" t="s">
        <v>146</v>
      </c>
      <c r="J2771" s="8" t="s">
        <v>12845</v>
      </c>
      <c r="K2771" s="8" t="s">
        <v>116</v>
      </c>
      <c r="L2771" s="8" t="s">
        <v>12846</v>
      </c>
    </row>
    <row r="2772" customFormat="false" ht="34.5" hidden="false" customHeight="true" outlineLevel="0" collapsed="false">
      <c r="A2772" s="8" t="n">
        <v>2511</v>
      </c>
      <c r="B2772" s="8" t="s">
        <v>77</v>
      </c>
      <c r="C2772" s="8" t="s">
        <v>12847</v>
      </c>
      <c r="D2772" s="8" t="n">
        <v>2013</v>
      </c>
      <c r="E2772" s="8" t="s">
        <v>12848</v>
      </c>
      <c r="F2772" s="8" t="s">
        <v>143</v>
      </c>
      <c r="G2772" s="8" t="s">
        <v>3510</v>
      </c>
      <c r="H2772" s="8" t="s">
        <v>12849</v>
      </c>
      <c r="I2772" s="8" t="s">
        <v>146</v>
      </c>
      <c r="J2772" s="8" t="s">
        <v>12850</v>
      </c>
      <c r="K2772" s="8" t="s">
        <v>116</v>
      </c>
      <c r="L2772" s="8" t="s">
        <v>12851</v>
      </c>
    </row>
    <row r="2773" customFormat="false" ht="34.5" hidden="false" customHeight="true" outlineLevel="0" collapsed="false">
      <c r="A2773" s="8" t="n">
        <v>2512</v>
      </c>
      <c r="B2773" s="8" t="s">
        <v>77</v>
      </c>
      <c r="C2773" s="8" t="s">
        <v>12852</v>
      </c>
      <c r="D2773" s="8" t="n">
        <v>2014</v>
      </c>
      <c r="E2773" s="8" t="s">
        <v>12853</v>
      </c>
      <c r="F2773" s="8" t="s">
        <v>201</v>
      </c>
      <c r="G2773" s="8" t="s">
        <v>12854</v>
      </c>
      <c r="H2773" s="8" t="s">
        <v>12855</v>
      </c>
      <c r="I2773" s="8" t="s">
        <v>146</v>
      </c>
      <c r="J2773" s="8" t="s">
        <v>12856</v>
      </c>
      <c r="K2773" s="8" t="s">
        <v>116</v>
      </c>
      <c r="L2773" s="8" t="s">
        <v>12857</v>
      </c>
    </row>
    <row r="2774" customFormat="false" ht="34.5" hidden="false" customHeight="true" outlineLevel="0" collapsed="false">
      <c r="A2774" s="8" t="n">
        <v>2513</v>
      </c>
      <c r="B2774" s="8" t="s">
        <v>77</v>
      </c>
      <c r="C2774" s="8" t="s">
        <v>12858</v>
      </c>
      <c r="D2774" s="8" t="n">
        <v>2014</v>
      </c>
      <c r="E2774" s="8" t="s">
        <v>12859</v>
      </c>
      <c r="F2774" s="8" t="s">
        <v>143</v>
      </c>
      <c r="G2774" s="8" t="s">
        <v>12860</v>
      </c>
      <c r="H2774" s="8" t="s">
        <v>12861</v>
      </c>
      <c r="I2774" s="8" t="s">
        <v>146</v>
      </c>
      <c r="J2774" s="8" t="s">
        <v>12862</v>
      </c>
      <c r="K2774" s="8" t="s">
        <v>116</v>
      </c>
      <c r="L2774" s="8" t="s">
        <v>12863</v>
      </c>
    </row>
    <row r="2775" customFormat="false" ht="34.5" hidden="false" customHeight="true" outlineLevel="0" collapsed="false">
      <c r="A2775" s="8" t="n">
        <v>2514</v>
      </c>
      <c r="B2775" s="8" t="s">
        <v>77</v>
      </c>
      <c r="C2775" s="8" t="s">
        <v>12864</v>
      </c>
      <c r="D2775" s="8" t="n">
        <v>2019</v>
      </c>
      <c r="E2775" s="8" t="s">
        <v>12865</v>
      </c>
      <c r="F2775" s="8" t="s">
        <v>151</v>
      </c>
      <c r="G2775" s="8" t="s">
        <v>3552</v>
      </c>
      <c r="H2775" s="8" t="s">
        <v>12866</v>
      </c>
      <c r="I2775" s="8" t="s">
        <v>748</v>
      </c>
      <c r="J2775" s="8" t="s">
        <v>12867</v>
      </c>
      <c r="K2775" s="8" t="s">
        <v>116</v>
      </c>
      <c r="L2775" s="8" t="s">
        <v>12868</v>
      </c>
    </row>
    <row r="2776" customFormat="false" ht="34.5" hidden="false" customHeight="true" outlineLevel="0" collapsed="false">
      <c r="A2776" s="8" t="n">
        <v>2515</v>
      </c>
      <c r="B2776" s="8" t="s">
        <v>77</v>
      </c>
      <c r="C2776" s="8" t="s">
        <v>12869</v>
      </c>
      <c r="D2776" s="8" t="n">
        <v>2013</v>
      </c>
      <c r="E2776" s="8" t="s">
        <v>12870</v>
      </c>
      <c r="F2776" s="8" t="s">
        <v>143</v>
      </c>
      <c r="G2776" s="8" t="s">
        <v>12871</v>
      </c>
      <c r="H2776" s="8" t="s">
        <v>12872</v>
      </c>
      <c r="I2776" s="8" t="s">
        <v>146</v>
      </c>
      <c r="J2776" s="8" t="s">
        <v>12873</v>
      </c>
      <c r="K2776" s="8" t="s">
        <v>116</v>
      </c>
      <c r="L2776" s="8" t="s">
        <v>12874</v>
      </c>
    </row>
    <row r="2777" customFormat="false" ht="34.5" hidden="false" customHeight="true" outlineLevel="0" collapsed="false">
      <c r="A2777" s="8" t="n">
        <v>2516</v>
      </c>
      <c r="B2777" s="8" t="s">
        <v>77</v>
      </c>
      <c r="C2777" s="8" t="s">
        <v>12875</v>
      </c>
      <c r="D2777" s="8" t="n">
        <v>2015</v>
      </c>
      <c r="E2777" s="8" t="s">
        <v>12876</v>
      </c>
      <c r="F2777" s="8" t="s">
        <v>151</v>
      </c>
      <c r="G2777" s="8" t="s">
        <v>12877</v>
      </c>
      <c r="H2777" s="8" t="s">
        <v>2037</v>
      </c>
      <c r="I2777" s="8" t="s">
        <v>146</v>
      </c>
      <c r="J2777" s="8" t="s">
        <v>691</v>
      </c>
      <c r="K2777" s="8" t="s">
        <v>116</v>
      </c>
      <c r="L2777" s="8" t="s">
        <v>12878</v>
      </c>
    </row>
    <row r="2778" customFormat="false" ht="34.5" hidden="false" customHeight="true" outlineLevel="0" collapsed="false">
      <c r="A2778" s="8" t="n">
        <v>2517</v>
      </c>
      <c r="B2778" s="8" t="s">
        <v>77</v>
      </c>
      <c r="C2778" s="8" t="s">
        <v>12879</v>
      </c>
      <c r="D2778" s="8" t="n">
        <v>2007</v>
      </c>
      <c r="E2778" s="8" t="s">
        <v>12880</v>
      </c>
      <c r="F2778" s="8" t="s">
        <v>201</v>
      </c>
      <c r="G2778" s="8" t="s">
        <v>152</v>
      </c>
      <c r="H2778" s="8" t="s">
        <v>145</v>
      </c>
      <c r="I2778" s="8" t="s">
        <v>153</v>
      </c>
      <c r="J2778" s="8" t="s">
        <v>12881</v>
      </c>
      <c r="K2778" s="8"/>
      <c r="L2778" s="8" t="s">
        <v>12882</v>
      </c>
    </row>
    <row r="2779" customFormat="false" ht="34.5" hidden="false" customHeight="true" outlineLevel="0" collapsed="false">
      <c r="A2779" s="8" t="n">
        <v>2518</v>
      </c>
      <c r="B2779" s="8" t="s">
        <v>77</v>
      </c>
      <c r="C2779" s="8" t="s">
        <v>12704</v>
      </c>
      <c r="D2779" s="8" t="n">
        <v>2021</v>
      </c>
      <c r="E2779" s="8" t="s">
        <v>12883</v>
      </c>
      <c r="F2779" s="8" t="s">
        <v>143</v>
      </c>
      <c r="G2779" s="8" t="s">
        <v>12884</v>
      </c>
      <c r="H2779" s="8" t="s">
        <v>9696</v>
      </c>
      <c r="I2779" s="8" t="s">
        <v>146</v>
      </c>
      <c r="J2779" s="8" t="s">
        <v>902</v>
      </c>
      <c r="K2779" s="8" t="s">
        <v>116</v>
      </c>
      <c r="L2779" s="8" t="s">
        <v>12885</v>
      </c>
    </row>
    <row r="2780" customFormat="false" ht="34.5" hidden="false" customHeight="true" outlineLevel="0" collapsed="false">
      <c r="A2780" s="8" t="n">
        <v>2519</v>
      </c>
      <c r="B2780" s="8" t="s">
        <v>77</v>
      </c>
      <c r="C2780" s="8" t="s">
        <v>12886</v>
      </c>
      <c r="D2780" s="8" t="n">
        <v>2015</v>
      </c>
      <c r="E2780" s="8" t="s">
        <v>12887</v>
      </c>
      <c r="F2780" s="8" t="s">
        <v>143</v>
      </c>
      <c r="G2780" s="8" t="s">
        <v>1619</v>
      </c>
      <c r="H2780" s="8" t="s">
        <v>2846</v>
      </c>
      <c r="I2780" s="8" t="s">
        <v>387</v>
      </c>
      <c r="J2780" s="8" t="s">
        <v>1921</v>
      </c>
      <c r="K2780" s="8" t="s">
        <v>116</v>
      </c>
      <c r="L2780" s="8" t="s">
        <v>12888</v>
      </c>
    </row>
    <row r="2781" customFormat="false" ht="34.5" hidden="false" customHeight="true" outlineLevel="0" collapsed="false">
      <c r="A2781" s="8" t="n">
        <v>2520</v>
      </c>
      <c r="B2781" s="8" t="s">
        <v>77</v>
      </c>
      <c r="C2781" s="8" t="s">
        <v>12889</v>
      </c>
      <c r="D2781" s="8" t="n">
        <v>2021</v>
      </c>
      <c r="E2781" s="8" t="s">
        <v>12890</v>
      </c>
      <c r="F2781" s="8" t="s">
        <v>143</v>
      </c>
      <c r="G2781" s="8" t="s">
        <v>832</v>
      </c>
      <c r="H2781" s="8" t="s">
        <v>4310</v>
      </c>
      <c r="I2781" s="8" t="s">
        <v>146</v>
      </c>
      <c r="J2781" s="8" t="s">
        <v>12891</v>
      </c>
      <c r="K2781" s="8" t="s">
        <v>116</v>
      </c>
      <c r="L2781" s="8" t="s">
        <v>12892</v>
      </c>
    </row>
    <row r="2782" customFormat="false" ht="34.5" hidden="false" customHeight="true" outlineLevel="0" collapsed="false">
      <c r="A2782" s="8" t="n">
        <v>2521</v>
      </c>
      <c r="B2782" s="8" t="s">
        <v>77</v>
      </c>
      <c r="C2782" s="8" t="s">
        <v>12893</v>
      </c>
      <c r="D2782" s="8" t="n">
        <v>2019</v>
      </c>
      <c r="E2782" s="8" t="s">
        <v>12894</v>
      </c>
      <c r="F2782" s="8" t="s">
        <v>143</v>
      </c>
      <c r="G2782" s="8" t="s">
        <v>1619</v>
      </c>
      <c r="H2782" s="8" t="s">
        <v>145</v>
      </c>
      <c r="I2782" s="8" t="s">
        <v>748</v>
      </c>
      <c r="J2782" s="8" t="s">
        <v>12895</v>
      </c>
      <c r="K2782" s="8" t="s">
        <v>114</v>
      </c>
      <c r="L2782" s="8" t="s">
        <v>12896</v>
      </c>
    </row>
    <row r="2783" customFormat="false" ht="34.5" hidden="false" customHeight="true" outlineLevel="0" collapsed="false">
      <c r="A2783" s="8" t="n">
        <v>2522</v>
      </c>
      <c r="B2783" s="8" t="s">
        <v>77</v>
      </c>
      <c r="C2783" s="8" t="s">
        <v>12897</v>
      </c>
      <c r="D2783" s="8" t="n">
        <v>2022</v>
      </c>
      <c r="E2783" s="8" t="s">
        <v>12898</v>
      </c>
      <c r="F2783" s="8" t="s">
        <v>151</v>
      </c>
      <c r="G2783" s="8" t="s">
        <v>12899</v>
      </c>
      <c r="H2783" s="8" t="s">
        <v>145</v>
      </c>
      <c r="I2783" s="8" t="s">
        <v>146</v>
      </c>
      <c r="J2783" s="8" t="s">
        <v>3553</v>
      </c>
      <c r="K2783" s="8" t="s">
        <v>116</v>
      </c>
      <c r="L2783" s="8" t="s">
        <v>12900</v>
      </c>
    </row>
    <row r="2784" customFormat="false" ht="34.5" hidden="false" customHeight="true" outlineLevel="0" collapsed="false">
      <c r="A2784" s="8" t="n">
        <v>2523</v>
      </c>
      <c r="B2784" s="8" t="s">
        <v>77</v>
      </c>
      <c r="C2784" s="8" t="s">
        <v>12901</v>
      </c>
      <c r="D2784" s="8" t="n">
        <v>2017</v>
      </c>
      <c r="E2784" s="8" t="s">
        <v>12902</v>
      </c>
      <c r="F2784" s="8" t="s">
        <v>201</v>
      </c>
      <c r="G2784" s="8" t="s">
        <v>12903</v>
      </c>
      <c r="H2784" s="8" t="s">
        <v>12904</v>
      </c>
      <c r="I2784" s="8" t="s">
        <v>146</v>
      </c>
      <c r="J2784" s="8" t="s">
        <v>12905</v>
      </c>
      <c r="K2784" s="8" t="s">
        <v>116</v>
      </c>
      <c r="L2784" s="8" t="s">
        <v>12906</v>
      </c>
    </row>
    <row r="2785" customFormat="false" ht="23.25" hidden="false" customHeight="true" outlineLevel="0" collapsed="false">
      <c r="A2785" s="8" t="n">
        <v>2524</v>
      </c>
      <c r="B2785" s="8" t="s">
        <v>77</v>
      </c>
      <c r="C2785" s="8" t="s">
        <v>12907</v>
      </c>
      <c r="D2785" s="8" t="n">
        <v>2015</v>
      </c>
      <c r="E2785" s="8" t="s">
        <v>12908</v>
      </c>
      <c r="F2785" s="8" t="s">
        <v>201</v>
      </c>
      <c r="G2785" s="8" t="s">
        <v>12909</v>
      </c>
      <c r="H2785" s="8" t="s">
        <v>12910</v>
      </c>
      <c r="I2785" s="8" t="s">
        <v>146</v>
      </c>
      <c r="J2785" s="8" t="s">
        <v>12911</v>
      </c>
      <c r="K2785" s="8" t="s">
        <v>112</v>
      </c>
      <c r="L2785" s="8" t="s">
        <v>12912</v>
      </c>
    </row>
    <row r="2786" customFormat="false" ht="34.5" hidden="false" customHeight="true" outlineLevel="0" collapsed="false">
      <c r="A2786" s="8" t="n">
        <v>2525</v>
      </c>
      <c r="B2786" s="8" t="s">
        <v>77</v>
      </c>
      <c r="C2786" s="8" t="s">
        <v>12913</v>
      </c>
      <c r="D2786" s="8" t="n">
        <v>2017</v>
      </c>
      <c r="E2786" s="8" t="s">
        <v>12914</v>
      </c>
      <c r="F2786" s="8" t="s">
        <v>151</v>
      </c>
      <c r="G2786" s="8" t="s">
        <v>12915</v>
      </c>
      <c r="H2786" s="8" t="s">
        <v>5271</v>
      </c>
      <c r="I2786" s="8" t="s">
        <v>146</v>
      </c>
      <c r="J2786" s="8" t="s">
        <v>12916</v>
      </c>
      <c r="K2786" s="8" t="s">
        <v>116</v>
      </c>
      <c r="L2786" s="8" t="s">
        <v>12917</v>
      </c>
    </row>
    <row r="2787" customFormat="false" ht="34.5" hidden="false" customHeight="true" outlineLevel="0" collapsed="false">
      <c r="A2787" s="8" t="n">
        <v>2526</v>
      </c>
      <c r="B2787" s="8" t="s">
        <v>77</v>
      </c>
      <c r="C2787" s="8" t="s">
        <v>8826</v>
      </c>
      <c r="D2787" s="8" t="n">
        <v>2018</v>
      </c>
      <c r="E2787" s="8" t="s">
        <v>12918</v>
      </c>
      <c r="F2787" s="8" t="s">
        <v>143</v>
      </c>
      <c r="G2787" s="8" t="s">
        <v>12919</v>
      </c>
      <c r="H2787" s="8" t="s">
        <v>12920</v>
      </c>
      <c r="I2787" s="8" t="s">
        <v>146</v>
      </c>
      <c r="J2787" s="8" t="s">
        <v>12921</v>
      </c>
      <c r="K2787" s="8" t="s">
        <v>116</v>
      </c>
      <c r="L2787" s="8" t="s">
        <v>12922</v>
      </c>
    </row>
    <row r="2788" customFormat="false" ht="34.5" hidden="false" customHeight="true" outlineLevel="0" collapsed="false">
      <c r="A2788" s="8" t="n">
        <v>2527</v>
      </c>
      <c r="B2788" s="8" t="s">
        <v>77</v>
      </c>
      <c r="C2788" s="8" t="s">
        <v>12923</v>
      </c>
      <c r="D2788" s="8" t="n">
        <v>2021</v>
      </c>
      <c r="E2788" s="8" t="s">
        <v>12924</v>
      </c>
      <c r="F2788" s="8" t="s">
        <v>143</v>
      </c>
      <c r="G2788" s="8" t="s">
        <v>12925</v>
      </c>
      <c r="H2788" s="8" t="s">
        <v>327</v>
      </c>
      <c r="I2788" s="8" t="s">
        <v>146</v>
      </c>
      <c r="J2788" s="8" t="s">
        <v>12926</v>
      </c>
      <c r="K2788" s="8" t="s">
        <v>116</v>
      </c>
      <c r="L2788" s="8" t="s">
        <v>12927</v>
      </c>
    </row>
    <row r="2789" customFormat="false" ht="34.5" hidden="false" customHeight="true" outlineLevel="0" collapsed="false">
      <c r="A2789" s="8" t="n">
        <v>2528</v>
      </c>
      <c r="B2789" s="8" t="s">
        <v>77</v>
      </c>
      <c r="C2789" s="8" t="s">
        <v>12928</v>
      </c>
      <c r="D2789" s="8" t="n">
        <v>2021</v>
      </c>
      <c r="E2789" s="8" t="s">
        <v>12929</v>
      </c>
      <c r="F2789" s="8" t="s">
        <v>201</v>
      </c>
      <c r="G2789" s="8" t="s">
        <v>12930</v>
      </c>
      <c r="H2789" s="8" t="s">
        <v>1904</v>
      </c>
      <c r="I2789" s="8" t="s">
        <v>146</v>
      </c>
      <c r="J2789" s="8" t="s">
        <v>12931</v>
      </c>
      <c r="K2789" s="8" t="s">
        <v>116</v>
      </c>
      <c r="L2789" s="8" t="s">
        <v>12932</v>
      </c>
    </row>
    <row r="2790" customFormat="false" ht="34.5" hidden="false" customHeight="true" outlineLevel="0" collapsed="false">
      <c r="A2790" s="8" t="n">
        <v>2529</v>
      </c>
      <c r="B2790" s="8" t="s">
        <v>77</v>
      </c>
      <c r="C2790" s="8" t="s">
        <v>12933</v>
      </c>
      <c r="D2790" s="8" t="n">
        <v>2015</v>
      </c>
      <c r="E2790" s="8" t="s">
        <v>12934</v>
      </c>
      <c r="F2790" s="8" t="s">
        <v>143</v>
      </c>
      <c r="G2790" s="8" t="s">
        <v>12935</v>
      </c>
      <c r="H2790" s="8" t="s">
        <v>12936</v>
      </c>
      <c r="I2790" s="8" t="s">
        <v>146</v>
      </c>
      <c r="J2790" s="8" t="s">
        <v>12937</v>
      </c>
      <c r="K2790" s="8" t="s">
        <v>116</v>
      </c>
      <c r="L2790" s="8" t="s">
        <v>12938</v>
      </c>
    </row>
    <row r="2791" customFormat="false" ht="34.5" hidden="false" customHeight="true" outlineLevel="0" collapsed="false">
      <c r="A2791" s="8" t="n">
        <v>2530</v>
      </c>
      <c r="B2791" s="8" t="s">
        <v>77</v>
      </c>
      <c r="C2791" s="8" t="s">
        <v>12939</v>
      </c>
      <c r="D2791" s="8" t="n">
        <v>2019</v>
      </c>
      <c r="E2791" s="8" t="s">
        <v>12940</v>
      </c>
      <c r="F2791" s="8" t="s">
        <v>143</v>
      </c>
      <c r="G2791" s="8" t="s">
        <v>12941</v>
      </c>
      <c r="H2791" s="8" t="s">
        <v>2037</v>
      </c>
      <c r="I2791" s="8" t="s">
        <v>146</v>
      </c>
      <c r="J2791" s="8" t="s">
        <v>12942</v>
      </c>
      <c r="K2791" s="8" t="s">
        <v>116</v>
      </c>
      <c r="L2791" s="8" t="s">
        <v>12943</v>
      </c>
    </row>
    <row r="2792" customFormat="false" ht="34.5" hidden="false" customHeight="true" outlineLevel="0" collapsed="false">
      <c r="A2792" s="8" t="n">
        <v>2531</v>
      </c>
      <c r="B2792" s="8" t="s">
        <v>77</v>
      </c>
      <c r="C2792" s="8" t="s">
        <v>12944</v>
      </c>
      <c r="D2792" s="8" t="n">
        <v>2018</v>
      </c>
      <c r="E2792" s="8" t="s">
        <v>12945</v>
      </c>
      <c r="F2792" s="8" t="s">
        <v>143</v>
      </c>
      <c r="G2792" s="8" t="s">
        <v>364</v>
      </c>
      <c r="H2792" s="8" t="s">
        <v>4294</v>
      </c>
      <c r="I2792" s="8" t="s">
        <v>153</v>
      </c>
      <c r="J2792" s="8" t="s">
        <v>12946</v>
      </c>
      <c r="K2792" s="8" t="s">
        <v>114</v>
      </c>
      <c r="L2792" s="8" t="s">
        <v>12947</v>
      </c>
    </row>
    <row r="2793" customFormat="false" ht="34.5" hidden="false" customHeight="true" outlineLevel="0" collapsed="false">
      <c r="A2793" s="8" t="n">
        <v>2532</v>
      </c>
      <c r="B2793" s="8" t="s">
        <v>77</v>
      </c>
      <c r="C2793" s="8" t="s">
        <v>12948</v>
      </c>
      <c r="D2793" s="8" t="n">
        <v>2021</v>
      </c>
      <c r="E2793" s="8" t="s">
        <v>12949</v>
      </c>
      <c r="F2793" s="8" t="s">
        <v>201</v>
      </c>
      <c r="G2793" s="8" t="s">
        <v>12950</v>
      </c>
      <c r="H2793" s="8" t="s">
        <v>12746</v>
      </c>
      <c r="I2793" s="8" t="s">
        <v>146</v>
      </c>
      <c r="J2793" s="8" t="s">
        <v>12951</v>
      </c>
      <c r="K2793" s="8" t="s">
        <v>116</v>
      </c>
      <c r="L2793" s="8" t="s">
        <v>12952</v>
      </c>
    </row>
    <row r="2794" customFormat="false" ht="34.5" hidden="false" customHeight="true" outlineLevel="0" collapsed="false">
      <c r="A2794" s="8" t="n">
        <v>2533</v>
      </c>
      <c r="B2794" s="8" t="s">
        <v>77</v>
      </c>
      <c r="C2794" s="8" t="s">
        <v>12953</v>
      </c>
      <c r="D2794" s="8" t="n">
        <v>2018</v>
      </c>
      <c r="E2794" s="8" t="s">
        <v>12954</v>
      </c>
      <c r="F2794" s="8" t="s">
        <v>143</v>
      </c>
      <c r="G2794" s="8" t="s">
        <v>12955</v>
      </c>
      <c r="H2794" s="8" t="s">
        <v>9830</v>
      </c>
      <c r="I2794" s="8" t="s">
        <v>146</v>
      </c>
      <c r="J2794" s="8" t="s">
        <v>12956</v>
      </c>
      <c r="K2794" s="8" t="s">
        <v>116</v>
      </c>
      <c r="L2794" s="8" t="s">
        <v>12957</v>
      </c>
    </row>
    <row r="2795" customFormat="false" ht="34.5" hidden="false" customHeight="true" outlineLevel="0" collapsed="false">
      <c r="A2795" s="8" t="n">
        <v>2534</v>
      </c>
      <c r="B2795" s="8" t="s">
        <v>77</v>
      </c>
      <c r="C2795" s="8" t="s">
        <v>12958</v>
      </c>
      <c r="D2795" s="8" t="n">
        <v>2016</v>
      </c>
      <c r="E2795" s="8" t="s">
        <v>12959</v>
      </c>
      <c r="F2795" s="8" t="s">
        <v>201</v>
      </c>
      <c r="G2795" s="8" t="s">
        <v>12960</v>
      </c>
      <c r="H2795" s="8" t="s">
        <v>12961</v>
      </c>
      <c r="I2795" s="8" t="s">
        <v>146</v>
      </c>
      <c r="J2795" s="8" t="s">
        <v>12962</v>
      </c>
      <c r="K2795" s="8" t="s">
        <v>116</v>
      </c>
      <c r="L2795" s="8" t="s">
        <v>12963</v>
      </c>
    </row>
    <row r="2796" customFormat="false" ht="34.5" hidden="false" customHeight="true" outlineLevel="0" collapsed="false">
      <c r="A2796" s="8" t="n">
        <v>2535</v>
      </c>
      <c r="B2796" s="8" t="s">
        <v>77</v>
      </c>
      <c r="C2796" s="8" t="s">
        <v>12964</v>
      </c>
      <c r="D2796" s="8" t="n">
        <v>2015</v>
      </c>
      <c r="E2796" s="8" t="s">
        <v>12965</v>
      </c>
      <c r="F2796" s="8" t="s">
        <v>143</v>
      </c>
      <c r="G2796" s="8" t="s">
        <v>12966</v>
      </c>
      <c r="H2796" s="8" t="s">
        <v>12967</v>
      </c>
      <c r="I2796" s="8" t="s">
        <v>146</v>
      </c>
      <c r="J2796" s="8" t="s">
        <v>12968</v>
      </c>
      <c r="K2796" s="8" t="s">
        <v>116</v>
      </c>
      <c r="L2796" s="8" t="s">
        <v>12969</v>
      </c>
    </row>
    <row r="2797" customFormat="false" ht="34.5" hidden="false" customHeight="true" outlineLevel="0" collapsed="false">
      <c r="A2797" s="8" t="n">
        <v>2536</v>
      </c>
      <c r="B2797" s="8" t="s">
        <v>77</v>
      </c>
      <c r="C2797" s="8" t="s">
        <v>12970</v>
      </c>
      <c r="D2797" s="8" t="n">
        <v>2017</v>
      </c>
      <c r="E2797" s="8" t="s">
        <v>12971</v>
      </c>
      <c r="F2797" s="8" t="s">
        <v>143</v>
      </c>
      <c r="G2797" s="8" t="s">
        <v>12972</v>
      </c>
      <c r="H2797" s="8" t="s">
        <v>12973</v>
      </c>
      <c r="I2797" s="8" t="s">
        <v>146</v>
      </c>
      <c r="J2797" s="8" t="s">
        <v>12974</v>
      </c>
      <c r="K2797" s="8" t="s">
        <v>112</v>
      </c>
      <c r="L2797" s="8" t="s">
        <v>12975</v>
      </c>
    </row>
    <row r="2798" customFormat="false" ht="34.5" hidden="false" customHeight="true" outlineLevel="0" collapsed="false">
      <c r="A2798" s="8" t="n">
        <v>2537</v>
      </c>
      <c r="B2798" s="8" t="s">
        <v>77</v>
      </c>
      <c r="C2798" s="8" t="s">
        <v>12976</v>
      </c>
      <c r="D2798" s="8" t="n">
        <v>2019</v>
      </c>
      <c r="E2798" s="8" t="s">
        <v>12977</v>
      </c>
      <c r="F2798" s="8" t="s">
        <v>151</v>
      </c>
      <c r="G2798" s="8" t="s">
        <v>12978</v>
      </c>
      <c r="H2798" s="8" t="s">
        <v>12979</v>
      </c>
      <c r="I2798" s="8" t="s">
        <v>146</v>
      </c>
      <c r="J2798" s="8" t="s">
        <v>12980</v>
      </c>
      <c r="K2798" s="8" t="s">
        <v>116</v>
      </c>
      <c r="L2798" s="8" t="s">
        <v>12981</v>
      </c>
    </row>
    <row r="2799" customFormat="false" ht="34.5" hidden="false" customHeight="true" outlineLevel="0" collapsed="false">
      <c r="A2799" s="8" t="n">
        <v>2538</v>
      </c>
      <c r="B2799" s="8" t="s">
        <v>77</v>
      </c>
      <c r="C2799" s="8" t="s">
        <v>12982</v>
      </c>
      <c r="D2799" s="8" t="n">
        <v>2020</v>
      </c>
      <c r="E2799" s="8" t="s">
        <v>12983</v>
      </c>
      <c r="F2799" s="8" t="s">
        <v>151</v>
      </c>
      <c r="G2799" s="8" t="s">
        <v>12984</v>
      </c>
      <c r="H2799" s="8" t="s">
        <v>490</v>
      </c>
      <c r="I2799" s="8" t="s">
        <v>748</v>
      </c>
      <c r="J2799" s="8" t="s">
        <v>12985</v>
      </c>
      <c r="K2799" s="8" t="s">
        <v>116</v>
      </c>
      <c r="L2799" s="8" t="s">
        <v>12986</v>
      </c>
    </row>
    <row r="2800" customFormat="false" ht="34.5" hidden="false" customHeight="true" outlineLevel="0" collapsed="false">
      <c r="A2800" s="8" t="n">
        <v>2539</v>
      </c>
      <c r="B2800" s="8" t="s">
        <v>77</v>
      </c>
      <c r="C2800" s="8" t="s">
        <v>12987</v>
      </c>
      <c r="D2800" s="8" t="n">
        <v>2015</v>
      </c>
      <c r="E2800" s="8" t="s">
        <v>12988</v>
      </c>
      <c r="F2800" s="8" t="s">
        <v>143</v>
      </c>
      <c r="G2800" s="8" t="s">
        <v>12989</v>
      </c>
      <c r="H2800" s="8" t="s">
        <v>501</v>
      </c>
      <c r="I2800" s="8" t="s">
        <v>146</v>
      </c>
      <c r="J2800" s="8" t="s">
        <v>12990</v>
      </c>
      <c r="K2800" s="8" t="s">
        <v>116</v>
      </c>
      <c r="L2800" s="8" t="s">
        <v>12991</v>
      </c>
    </row>
    <row r="2801" customFormat="false" ht="34.5" hidden="false" customHeight="true" outlineLevel="0" collapsed="false">
      <c r="A2801" s="8" t="n">
        <v>2540</v>
      </c>
      <c r="B2801" s="8" t="s">
        <v>77</v>
      </c>
      <c r="C2801" s="8" t="s">
        <v>12992</v>
      </c>
      <c r="D2801" s="8" t="n">
        <v>2020</v>
      </c>
      <c r="E2801" s="8" t="s">
        <v>12993</v>
      </c>
      <c r="F2801" s="8" t="s">
        <v>143</v>
      </c>
      <c r="G2801" s="8" t="s">
        <v>6079</v>
      </c>
      <c r="H2801" s="8" t="s">
        <v>145</v>
      </c>
      <c r="I2801" s="8" t="s">
        <v>146</v>
      </c>
      <c r="J2801" s="8" t="s">
        <v>12994</v>
      </c>
      <c r="K2801" s="8" t="s">
        <v>114</v>
      </c>
      <c r="L2801" s="8" t="s">
        <v>12995</v>
      </c>
    </row>
    <row r="2802" customFormat="false" ht="34.5" hidden="false" customHeight="true" outlineLevel="0" collapsed="false">
      <c r="A2802" s="8" t="n">
        <v>2541</v>
      </c>
      <c r="B2802" s="8" t="s">
        <v>77</v>
      </c>
      <c r="C2802" s="8" t="s">
        <v>12996</v>
      </c>
      <c r="D2802" s="8" t="n">
        <v>2014</v>
      </c>
      <c r="E2802" s="8" t="s">
        <v>12997</v>
      </c>
      <c r="F2802" s="8" t="s">
        <v>201</v>
      </c>
      <c r="G2802" s="8" t="s">
        <v>12998</v>
      </c>
      <c r="H2802" s="8" t="s">
        <v>12999</v>
      </c>
      <c r="I2802" s="8" t="s">
        <v>387</v>
      </c>
      <c r="J2802" s="8" t="s">
        <v>13000</v>
      </c>
      <c r="K2802" s="8" t="s">
        <v>116</v>
      </c>
      <c r="L2802" s="8" t="s">
        <v>13001</v>
      </c>
    </row>
    <row r="2803" customFormat="false" ht="34.5" hidden="false" customHeight="true" outlineLevel="0" collapsed="false">
      <c r="A2803" s="8" t="n">
        <v>2542</v>
      </c>
      <c r="B2803" s="8" t="s">
        <v>77</v>
      </c>
      <c r="C2803" s="8" t="s">
        <v>13002</v>
      </c>
      <c r="D2803" s="8" t="n">
        <v>2017</v>
      </c>
      <c r="E2803" s="8" t="s">
        <v>13003</v>
      </c>
      <c r="F2803" s="8" t="s">
        <v>143</v>
      </c>
      <c r="G2803" s="8" t="s">
        <v>13004</v>
      </c>
      <c r="H2803" s="8" t="s">
        <v>13005</v>
      </c>
      <c r="I2803" s="8" t="s">
        <v>146</v>
      </c>
      <c r="J2803" s="8" t="s">
        <v>13006</v>
      </c>
      <c r="K2803" s="8" t="s">
        <v>116</v>
      </c>
      <c r="L2803" s="8" t="s">
        <v>13007</v>
      </c>
    </row>
    <row r="2804" customFormat="false" ht="34.5" hidden="false" customHeight="true" outlineLevel="0" collapsed="false">
      <c r="A2804" s="8" t="n">
        <v>2543</v>
      </c>
      <c r="B2804" s="8" t="s">
        <v>77</v>
      </c>
      <c r="C2804" s="8" t="s">
        <v>13008</v>
      </c>
      <c r="D2804" s="8" t="n">
        <v>2022</v>
      </c>
      <c r="E2804" s="8" t="s">
        <v>13009</v>
      </c>
      <c r="F2804" s="8" t="s">
        <v>143</v>
      </c>
      <c r="G2804" s="8" t="s">
        <v>13010</v>
      </c>
      <c r="H2804" s="8" t="s">
        <v>327</v>
      </c>
      <c r="I2804" s="8" t="s">
        <v>146</v>
      </c>
      <c r="J2804" s="8" t="s">
        <v>13011</v>
      </c>
      <c r="K2804" s="8" t="s">
        <v>116</v>
      </c>
      <c r="L2804" s="8" t="s">
        <v>13012</v>
      </c>
    </row>
    <row r="2805" customFormat="false" ht="34.5" hidden="false" customHeight="true" outlineLevel="0" collapsed="false">
      <c r="A2805" s="8" t="n">
        <v>2544</v>
      </c>
      <c r="B2805" s="8" t="s">
        <v>77</v>
      </c>
      <c r="C2805" s="8" t="s">
        <v>2051</v>
      </c>
      <c r="D2805" s="8" t="n">
        <v>2022</v>
      </c>
      <c r="E2805" s="8" t="s">
        <v>13013</v>
      </c>
      <c r="F2805" s="8" t="s">
        <v>143</v>
      </c>
      <c r="G2805" s="8" t="s">
        <v>13014</v>
      </c>
      <c r="H2805" s="8" t="s">
        <v>145</v>
      </c>
      <c r="I2805" s="8" t="s">
        <v>522</v>
      </c>
      <c r="J2805" s="8" t="s">
        <v>13015</v>
      </c>
      <c r="K2805" s="8" t="s">
        <v>112</v>
      </c>
      <c r="L2805" s="8" t="s">
        <v>13016</v>
      </c>
    </row>
    <row r="2806" customFormat="false" ht="34.5" hidden="false" customHeight="true" outlineLevel="0" collapsed="false">
      <c r="A2806" s="8" t="n">
        <v>2545</v>
      </c>
      <c r="B2806" s="8" t="s">
        <v>77</v>
      </c>
      <c r="C2806" s="8" t="s">
        <v>8162</v>
      </c>
      <c r="D2806" s="8" t="n">
        <v>2021</v>
      </c>
      <c r="E2806" s="8" t="s">
        <v>13017</v>
      </c>
      <c r="F2806" s="8" t="s">
        <v>143</v>
      </c>
      <c r="G2806" s="8" t="s">
        <v>13018</v>
      </c>
      <c r="H2806" s="8" t="s">
        <v>145</v>
      </c>
      <c r="I2806" s="8" t="s">
        <v>153</v>
      </c>
      <c r="J2806" s="8" t="s">
        <v>13019</v>
      </c>
      <c r="K2806" s="8" t="s">
        <v>114</v>
      </c>
      <c r="L2806" s="8" t="s">
        <v>13020</v>
      </c>
    </row>
    <row r="2807" customFormat="false" ht="34.5" hidden="false" customHeight="true" outlineLevel="0" collapsed="false">
      <c r="A2807" s="8" t="n">
        <v>2546</v>
      </c>
      <c r="B2807" s="8" t="s">
        <v>77</v>
      </c>
      <c r="C2807" s="8" t="s">
        <v>13021</v>
      </c>
      <c r="D2807" s="8" t="n">
        <v>2014</v>
      </c>
      <c r="E2807" s="8" t="s">
        <v>13022</v>
      </c>
      <c r="F2807" s="8" t="s">
        <v>143</v>
      </c>
      <c r="G2807" s="8" t="s">
        <v>1619</v>
      </c>
      <c r="H2807" s="8" t="s">
        <v>145</v>
      </c>
      <c r="I2807" s="8" t="s">
        <v>153</v>
      </c>
      <c r="J2807" s="8" t="s">
        <v>13023</v>
      </c>
      <c r="K2807" s="8" t="s">
        <v>114</v>
      </c>
      <c r="L2807" s="8" t="s">
        <v>13024</v>
      </c>
    </row>
    <row r="2808" customFormat="false" ht="34.5" hidden="false" customHeight="true" outlineLevel="0" collapsed="false">
      <c r="A2808" s="8" t="n">
        <v>2547</v>
      </c>
      <c r="B2808" s="8" t="s">
        <v>77</v>
      </c>
      <c r="C2808" s="8" t="s">
        <v>13025</v>
      </c>
      <c r="D2808" s="8" t="n">
        <v>2010</v>
      </c>
      <c r="E2808" s="8" t="s">
        <v>13026</v>
      </c>
      <c r="F2808" s="8" t="s">
        <v>143</v>
      </c>
      <c r="G2808" s="8" t="s">
        <v>13027</v>
      </c>
      <c r="H2808" s="8" t="s">
        <v>3254</v>
      </c>
      <c r="I2808" s="8" t="s">
        <v>146</v>
      </c>
      <c r="J2808" s="8" t="s">
        <v>13028</v>
      </c>
      <c r="K2808" s="8" t="s">
        <v>116</v>
      </c>
      <c r="L2808" s="8" t="s">
        <v>13029</v>
      </c>
    </row>
    <row r="2809" customFormat="false" ht="34.5" hidden="false" customHeight="true" outlineLevel="0" collapsed="false">
      <c r="A2809" s="8" t="n">
        <v>2548</v>
      </c>
      <c r="B2809" s="8" t="s">
        <v>79</v>
      </c>
      <c r="C2809" s="8" t="s">
        <v>13030</v>
      </c>
      <c r="D2809" s="8" t="s">
        <v>13031</v>
      </c>
      <c r="E2809" s="8" t="s">
        <v>13032</v>
      </c>
      <c r="F2809" s="8" t="s">
        <v>143</v>
      </c>
      <c r="G2809" s="8" t="s">
        <v>13033</v>
      </c>
      <c r="H2809" s="8" t="s">
        <v>7146</v>
      </c>
      <c r="I2809" s="8" t="s">
        <v>522</v>
      </c>
      <c r="J2809" s="8" t="s">
        <v>13034</v>
      </c>
      <c r="K2809" s="8" t="s">
        <v>112</v>
      </c>
      <c r="L2809" s="8" t="s">
        <v>13035</v>
      </c>
    </row>
    <row r="2810" customFormat="false" ht="34.5" hidden="false" customHeight="true" outlineLevel="0" collapsed="false">
      <c r="A2810" s="8" t="n">
        <v>2549</v>
      </c>
      <c r="B2810" s="8" t="s">
        <v>79</v>
      </c>
      <c r="C2810" s="8" t="s">
        <v>2693</v>
      </c>
      <c r="D2810" s="8" t="s">
        <v>13031</v>
      </c>
      <c r="E2810" s="8" t="s">
        <v>13036</v>
      </c>
      <c r="F2810" s="8" t="s">
        <v>143</v>
      </c>
      <c r="G2810" s="8" t="s">
        <v>13037</v>
      </c>
      <c r="H2810" s="8" t="s">
        <v>145</v>
      </c>
      <c r="I2810" s="8" t="s">
        <v>153</v>
      </c>
      <c r="J2810" s="8" t="s">
        <v>13038</v>
      </c>
      <c r="K2810" s="8"/>
      <c r="L2810" s="8" t="s">
        <v>13039</v>
      </c>
    </row>
    <row r="2811" customFormat="false" ht="34.5" hidden="false" customHeight="true" outlineLevel="0" collapsed="false">
      <c r="A2811" s="8" t="n">
        <v>2550</v>
      </c>
      <c r="B2811" s="8" t="s">
        <v>79</v>
      </c>
      <c r="C2811" s="8" t="s">
        <v>2051</v>
      </c>
      <c r="D2811" s="8" t="s">
        <v>8134</v>
      </c>
      <c r="E2811" s="8" t="s">
        <v>13013</v>
      </c>
      <c r="F2811" s="8" t="s">
        <v>143</v>
      </c>
      <c r="G2811" s="8" t="s">
        <v>3217</v>
      </c>
      <c r="H2811" s="8" t="s">
        <v>145</v>
      </c>
      <c r="I2811" s="8" t="s">
        <v>153</v>
      </c>
      <c r="J2811" s="8" t="s">
        <v>13040</v>
      </c>
      <c r="K2811" s="8" t="s">
        <v>112</v>
      </c>
      <c r="L2811" s="8" t="s">
        <v>13041</v>
      </c>
    </row>
    <row r="2812" customFormat="false" ht="34.5" hidden="false" customHeight="true" outlineLevel="0" collapsed="false">
      <c r="A2812" s="8" t="n">
        <v>2551</v>
      </c>
      <c r="B2812" s="8" t="s">
        <v>79</v>
      </c>
      <c r="C2812" s="8" t="s">
        <v>13042</v>
      </c>
      <c r="D2812" s="8" t="s">
        <v>13031</v>
      </c>
      <c r="E2812" s="8" t="s">
        <v>13043</v>
      </c>
      <c r="F2812" s="8" t="s">
        <v>143</v>
      </c>
      <c r="G2812" s="8" t="s">
        <v>13044</v>
      </c>
      <c r="H2812" s="8" t="s">
        <v>145</v>
      </c>
      <c r="I2812" s="8" t="s">
        <v>522</v>
      </c>
      <c r="J2812" s="8" t="s">
        <v>13045</v>
      </c>
      <c r="K2812" s="8" t="s">
        <v>112</v>
      </c>
      <c r="L2812" s="8" t="s">
        <v>13046</v>
      </c>
    </row>
    <row r="2813" customFormat="false" ht="34.5" hidden="false" customHeight="true" outlineLevel="0" collapsed="false">
      <c r="A2813" s="8" t="n">
        <v>2552</v>
      </c>
      <c r="B2813" s="8" t="s">
        <v>79</v>
      </c>
      <c r="C2813" s="8" t="s">
        <v>13047</v>
      </c>
      <c r="D2813" s="8" t="s">
        <v>13031</v>
      </c>
      <c r="E2813" s="8" t="s">
        <v>13048</v>
      </c>
      <c r="F2813" s="8" t="s">
        <v>143</v>
      </c>
      <c r="G2813" s="8" t="s">
        <v>13037</v>
      </c>
      <c r="H2813" s="8" t="s">
        <v>9323</v>
      </c>
      <c r="I2813" s="8" t="s">
        <v>522</v>
      </c>
      <c r="J2813" s="8" t="s">
        <v>13049</v>
      </c>
      <c r="K2813" s="8"/>
      <c r="L2813" s="8" t="s">
        <v>13050</v>
      </c>
    </row>
    <row r="2814" customFormat="false" ht="34.5" hidden="false" customHeight="true" outlineLevel="0" collapsed="false">
      <c r="A2814" s="8" t="n">
        <v>2553</v>
      </c>
      <c r="B2814" s="8" t="s">
        <v>79</v>
      </c>
      <c r="C2814" s="8" t="s">
        <v>13051</v>
      </c>
      <c r="D2814" s="8" t="s">
        <v>13052</v>
      </c>
      <c r="E2814" s="8" t="s">
        <v>13053</v>
      </c>
      <c r="F2814" s="8" t="s">
        <v>143</v>
      </c>
      <c r="G2814" s="8" t="s">
        <v>13037</v>
      </c>
      <c r="H2814" s="8" t="s">
        <v>145</v>
      </c>
      <c r="I2814" s="8" t="s">
        <v>153</v>
      </c>
      <c r="J2814" s="8" t="s">
        <v>13054</v>
      </c>
      <c r="K2814" s="8"/>
      <c r="L2814" s="8" t="s">
        <v>13055</v>
      </c>
    </row>
    <row r="2815" customFormat="false" ht="34.5" hidden="false" customHeight="true" outlineLevel="0" collapsed="false">
      <c r="A2815" s="8" t="n">
        <v>2554</v>
      </c>
      <c r="B2815" s="8" t="s">
        <v>79</v>
      </c>
      <c r="C2815" s="8" t="s">
        <v>13056</v>
      </c>
      <c r="D2815" s="8" t="s">
        <v>13031</v>
      </c>
      <c r="E2815" s="8" t="s">
        <v>13057</v>
      </c>
      <c r="F2815" s="8" t="s">
        <v>579</v>
      </c>
      <c r="G2815" s="8" t="s">
        <v>197</v>
      </c>
      <c r="H2815" s="8" t="s">
        <v>901</v>
      </c>
      <c r="I2815" s="8" t="s">
        <v>153</v>
      </c>
      <c r="J2815" s="8" t="s">
        <v>13058</v>
      </c>
      <c r="K2815" s="8"/>
      <c r="L2815" s="8" t="s">
        <v>13059</v>
      </c>
    </row>
    <row r="2816" customFormat="false" ht="23.25" hidden="false" customHeight="true" outlineLevel="0" collapsed="false">
      <c r="A2816" s="8" t="n">
        <v>2555</v>
      </c>
      <c r="B2816" s="8" t="s">
        <v>79</v>
      </c>
      <c r="C2816" s="8" t="s">
        <v>2693</v>
      </c>
      <c r="D2816" s="8" t="s">
        <v>13031</v>
      </c>
      <c r="E2816" s="8" t="s">
        <v>13060</v>
      </c>
      <c r="F2816" s="8" t="s">
        <v>143</v>
      </c>
      <c r="G2816" s="8" t="s">
        <v>1678</v>
      </c>
      <c r="H2816" s="8" t="s">
        <v>145</v>
      </c>
      <c r="I2816" s="8" t="s">
        <v>153</v>
      </c>
      <c r="J2816" s="8" t="s">
        <v>13061</v>
      </c>
      <c r="K2816" s="8"/>
      <c r="L2816" s="8" t="s">
        <v>13062</v>
      </c>
    </row>
    <row r="2817" customFormat="false" ht="23.25" hidden="false" customHeight="true" outlineLevel="0" collapsed="false">
      <c r="A2817" s="8" t="n">
        <v>2556</v>
      </c>
      <c r="B2817" s="8" t="s">
        <v>79</v>
      </c>
      <c r="C2817" s="8" t="s">
        <v>13063</v>
      </c>
      <c r="D2817" s="8" t="s">
        <v>13031</v>
      </c>
      <c r="E2817" s="8" t="s">
        <v>13064</v>
      </c>
      <c r="F2817" s="8" t="s">
        <v>143</v>
      </c>
      <c r="G2817" s="8" t="s">
        <v>1619</v>
      </c>
      <c r="H2817" s="8" t="s">
        <v>145</v>
      </c>
      <c r="I2817" s="8" t="s">
        <v>153</v>
      </c>
      <c r="J2817" s="8" t="s">
        <v>13065</v>
      </c>
      <c r="K2817" s="8"/>
      <c r="L2817" s="8" t="s">
        <v>13066</v>
      </c>
    </row>
    <row r="2818" customFormat="false" ht="34.5" hidden="false" customHeight="true" outlineLevel="0" collapsed="false">
      <c r="A2818" s="8" t="n">
        <v>2557</v>
      </c>
      <c r="B2818" s="8" t="s">
        <v>79</v>
      </c>
      <c r="C2818" s="8" t="s">
        <v>2693</v>
      </c>
      <c r="D2818" s="8" t="s">
        <v>13031</v>
      </c>
      <c r="E2818" s="8" t="s">
        <v>13067</v>
      </c>
      <c r="F2818" s="8" t="s">
        <v>143</v>
      </c>
      <c r="G2818" s="8" t="s">
        <v>13068</v>
      </c>
      <c r="H2818" s="8" t="s">
        <v>1373</v>
      </c>
      <c r="I2818" s="8" t="s">
        <v>522</v>
      </c>
      <c r="J2818" s="8" t="s">
        <v>13069</v>
      </c>
      <c r="K2818" s="8" t="s">
        <v>112</v>
      </c>
      <c r="L2818" s="8" t="s">
        <v>13070</v>
      </c>
    </row>
    <row r="2819" customFormat="false" ht="34.5" hidden="false" customHeight="true" outlineLevel="0" collapsed="false">
      <c r="A2819" s="8" t="n">
        <v>2558</v>
      </c>
      <c r="B2819" s="8" t="s">
        <v>79</v>
      </c>
      <c r="C2819" s="8" t="s">
        <v>13071</v>
      </c>
      <c r="D2819" s="8" t="s">
        <v>13031</v>
      </c>
      <c r="E2819" s="8" t="s">
        <v>13072</v>
      </c>
      <c r="F2819" s="8" t="s">
        <v>143</v>
      </c>
      <c r="G2819" s="8" t="s">
        <v>1678</v>
      </c>
      <c r="H2819" s="8" t="s">
        <v>145</v>
      </c>
      <c r="I2819" s="8" t="s">
        <v>153</v>
      </c>
      <c r="J2819" s="8" t="s">
        <v>13073</v>
      </c>
      <c r="K2819" s="8" t="s">
        <v>112</v>
      </c>
      <c r="L2819" s="8" t="s">
        <v>13074</v>
      </c>
    </row>
    <row r="2820" customFormat="false" ht="23.25" hidden="false" customHeight="true" outlineLevel="0" collapsed="false">
      <c r="A2820" s="8" t="n">
        <v>2559</v>
      </c>
      <c r="B2820" s="8" t="s">
        <v>79</v>
      </c>
      <c r="C2820" s="8" t="s">
        <v>13056</v>
      </c>
      <c r="D2820" s="8" t="s">
        <v>13031</v>
      </c>
      <c r="E2820" s="8" t="s">
        <v>13075</v>
      </c>
      <c r="F2820" s="8" t="s">
        <v>151</v>
      </c>
      <c r="G2820" s="8" t="s">
        <v>152</v>
      </c>
      <c r="H2820" s="8" t="s">
        <v>145</v>
      </c>
      <c r="I2820" s="8" t="s">
        <v>153</v>
      </c>
      <c r="J2820" s="8" t="s">
        <v>13076</v>
      </c>
      <c r="K2820" s="8"/>
      <c r="L2820" s="8" t="s">
        <v>13077</v>
      </c>
    </row>
    <row r="2821" customFormat="false" ht="34.5" hidden="false" customHeight="true" outlineLevel="0" collapsed="false">
      <c r="A2821" s="8" t="n">
        <v>2560</v>
      </c>
      <c r="B2821" s="8" t="s">
        <v>79</v>
      </c>
      <c r="C2821" s="8" t="s">
        <v>1622</v>
      </c>
      <c r="D2821" s="8" t="s">
        <v>13031</v>
      </c>
      <c r="E2821" s="8" t="s">
        <v>13078</v>
      </c>
      <c r="F2821" s="8" t="s">
        <v>201</v>
      </c>
      <c r="G2821" s="8" t="s">
        <v>13079</v>
      </c>
      <c r="H2821" s="8" t="s">
        <v>327</v>
      </c>
      <c r="I2821" s="8" t="s">
        <v>522</v>
      </c>
      <c r="J2821" s="8" t="s">
        <v>13080</v>
      </c>
      <c r="K2821" s="8" t="s">
        <v>112</v>
      </c>
      <c r="L2821" s="8" t="s">
        <v>13081</v>
      </c>
    </row>
    <row r="2822" customFormat="false" ht="23.25" hidden="false" customHeight="true" outlineLevel="0" collapsed="false">
      <c r="A2822" s="8" t="n">
        <v>2561</v>
      </c>
      <c r="B2822" s="8" t="s">
        <v>79</v>
      </c>
      <c r="C2822" s="8" t="s">
        <v>13082</v>
      </c>
      <c r="D2822" s="8" t="s">
        <v>13031</v>
      </c>
      <c r="E2822" s="8" t="s">
        <v>13083</v>
      </c>
      <c r="F2822" s="8" t="s">
        <v>201</v>
      </c>
      <c r="G2822" s="8" t="s">
        <v>13084</v>
      </c>
      <c r="H2822" s="8" t="s">
        <v>684</v>
      </c>
      <c r="I2822" s="8" t="s">
        <v>146</v>
      </c>
      <c r="J2822" s="8" t="s">
        <v>13085</v>
      </c>
      <c r="K2822" s="8" t="s">
        <v>112</v>
      </c>
      <c r="L2822" s="8" t="s">
        <v>13086</v>
      </c>
    </row>
    <row r="2823" customFormat="false" ht="34.5" hidden="false" customHeight="true" outlineLevel="0" collapsed="false">
      <c r="A2823" s="8" t="n">
        <v>2562</v>
      </c>
      <c r="B2823" s="8" t="s">
        <v>79</v>
      </c>
      <c r="C2823" s="8" t="s">
        <v>13087</v>
      </c>
      <c r="D2823" s="8" t="s">
        <v>8134</v>
      </c>
      <c r="E2823" s="8" t="s">
        <v>13088</v>
      </c>
      <c r="F2823" s="8" t="s">
        <v>151</v>
      </c>
      <c r="G2823" s="8" t="s">
        <v>13089</v>
      </c>
      <c r="H2823" s="8" t="s">
        <v>684</v>
      </c>
      <c r="I2823" s="8" t="s">
        <v>146</v>
      </c>
      <c r="J2823" s="8" t="s">
        <v>13090</v>
      </c>
      <c r="K2823" s="8" t="s">
        <v>112</v>
      </c>
      <c r="L2823" s="8" t="s">
        <v>13091</v>
      </c>
    </row>
    <row r="2824" customFormat="false" ht="34.5" hidden="false" customHeight="true" outlineLevel="0" collapsed="false">
      <c r="A2824" s="8" t="n">
        <v>2563</v>
      </c>
      <c r="B2824" s="8" t="s">
        <v>79</v>
      </c>
      <c r="C2824" s="8" t="s">
        <v>13092</v>
      </c>
      <c r="D2824" s="8" t="s">
        <v>13031</v>
      </c>
      <c r="E2824" s="8" t="s">
        <v>13093</v>
      </c>
      <c r="F2824" s="8" t="s">
        <v>143</v>
      </c>
      <c r="G2824" s="8" t="s">
        <v>13094</v>
      </c>
      <c r="H2824" s="8" t="s">
        <v>684</v>
      </c>
      <c r="I2824" s="8" t="s">
        <v>146</v>
      </c>
      <c r="J2824" s="8" t="s">
        <v>13095</v>
      </c>
      <c r="K2824" s="8" t="s">
        <v>112</v>
      </c>
      <c r="L2824" s="8" t="s">
        <v>13096</v>
      </c>
    </row>
    <row r="2825" customFormat="false" ht="34.5" hidden="false" customHeight="true" outlineLevel="0" collapsed="false">
      <c r="A2825" s="8" t="n">
        <v>2564</v>
      </c>
      <c r="B2825" s="8" t="s">
        <v>79</v>
      </c>
      <c r="C2825" s="8" t="s">
        <v>11887</v>
      </c>
      <c r="D2825" s="8" t="s">
        <v>8134</v>
      </c>
      <c r="E2825" s="8" t="s">
        <v>13097</v>
      </c>
      <c r="F2825" s="8" t="s">
        <v>579</v>
      </c>
      <c r="G2825" s="8" t="s">
        <v>13098</v>
      </c>
      <c r="H2825" s="8" t="s">
        <v>684</v>
      </c>
      <c r="I2825" s="8" t="s">
        <v>146</v>
      </c>
      <c r="J2825" s="8" t="s">
        <v>13099</v>
      </c>
      <c r="K2825" s="8" t="s">
        <v>112</v>
      </c>
      <c r="L2825" s="8" t="s">
        <v>13100</v>
      </c>
    </row>
    <row r="2826" customFormat="false" ht="23.25" hidden="false" customHeight="true" outlineLevel="0" collapsed="false">
      <c r="A2826" s="8" t="n">
        <v>2565</v>
      </c>
      <c r="B2826" s="8" t="s">
        <v>79</v>
      </c>
      <c r="C2826" s="8" t="s">
        <v>13101</v>
      </c>
      <c r="D2826" s="8" t="s">
        <v>8140</v>
      </c>
      <c r="E2826" s="8" t="s">
        <v>13102</v>
      </c>
      <c r="F2826" s="8" t="s">
        <v>143</v>
      </c>
      <c r="G2826" s="8" t="s">
        <v>1264</v>
      </c>
      <c r="H2826" s="8" t="s">
        <v>684</v>
      </c>
      <c r="I2826" s="8" t="s">
        <v>146</v>
      </c>
      <c r="J2826" s="8" t="s">
        <v>13103</v>
      </c>
      <c r="K2826" s="8" t="s">
        <v>112</v>
      </c>
      <c r="L2826" s="8" t="s">
        <v>13104</v>
      </c>
    </row>
    <row r="2827" customFormat="false" ht="34.5" hidden="false" customHeight="true" outlineLevel="0" collapsed="false">
      <c r="A2827" s="8" t="n">
        <v>2566</v>
      </c>
      <c r="B2827" s="8" t="s">
        <v>79</v>
      </c>
      <c r="C2827" s="8" t="s">
        <v>1622</v>
      </c>
      <c r="D2827" s="8" t="s">
        <v>8140</v>
      </c>
      <c r="E2827" s="8" t="s">
        <v>13105</v>
      </c>
      <c r="F2827" s="8" t="s">
        <v>143</v>
      </c>
      <c r="G2827" s="8" t="s">
        <v>13106</v>
      </c>
      <c r="H2827" s="8" t="s">
        <v>327</v>
      </c>
      <c r="I2827" s="8" t="s">
        <v>153</v>
      </c>
      <c r="J2827" s="8" t="s">
        <v>13107</v>
      </c>
      <c r="K2827" s="8" t="s">
        <v>114</v>
      </c>
      <c r="L2827" s="8" t="s">
        <v>13108</v>
      </c>
    </row>
    <row r="2828" customFormat="false" ht="34.5" hidden="false" customHeight="true" outlineLevel="0" collapsed="false">
      <c r="A2828" s="8" t="n">
        <v>2567</v>
      </c>
      <c r="B2828" s="8" t="s">
        <v>79</v>
      </c>
      <c r="C2828" s="8" t="s">
        <v>1622</v>
      </c>
      <c r="D2828" s="8" t="s">
        <v>13031</v>
      </c>
      <c r="E2828" s="8" t="s">
        <v>13109</v>
      </c>
      <c r="F2828" s="8" t="s">
        <v>143</v>
      </c>
      <c r="G2828" s="8" t="s">
        <v>13110</v>
      </c>
      <c r="H2828" s="8" t="s">
        <v>327</v>
      </c>
      <c r="I2828" s="8" t="s">
        <v>387</v>
      </c>
      <c r="J2828" s="8" t="s">
        <v>13111</v>
      </c>
      <c r="K2828" s="8" t="s">
        <v>112</v>
      </c>
      <c r="L2828" s="8" t="s">
        <v>13112</v>
      </c>
    </row>
    <row r="2829" customFormat="false" ht="34.5" hidden="false" customHeight="true" outlineLevel="0" collapsed="false">
      <c r="A2829" s="8" t="n">
        <v>2568</v>
      </c>
      <c r="B2829" s="8" t="s">
        <v>79</v>
      </c>
      <c r="C2829" s="8" t="s">
        <v>13113</v>
      </c>
      <c r="D2829" s="8" t="s">
        <v>13031</v>
      </c>
      <c r="E2829" s="8" t="s">
        <v>13114</v>
      </c>
      <c r="F2829" s="8" t="s">
        <v>151</v>
      </c>
      <c r="G2829" s="8" t="s">
        <v>13115</v>
      </c>
      <c r="H2829" s="8" t="s">
        <v>327</v>
      </c>
      <c r="I2829" s="8" t="s">
        <v>522</v>
      </c>
      <c r="J2829" s="8" t="s">
        <v>13116</v>
      </c>
      <c r="K2829" s="8" t="s">
        <v>112</v>
      </c>
      <c r="L2829" s="8" t="s">
        <v>13117</v>
      </c>
    </row>
    <row r="2830" customFormat="false" ht="34.5" hidden="false" customHeight="true" outlineLevel="0" collapsed="false">
      <c r="A2830" s="8" t="n">
        <v>2569</v>
      </c>
      <c r="B2830" s="8" t="s">
        <v>79</v>
      </c>
      <c r="C2830" s="8" t="s">
        <v>13118</v>
      </c>
      <c r="D2830" s="8" t="s">
        <v>8134</v>
      </c>
      <c r="E2830" s="8" t="s">
        <v>13119</v>
      </c>
      <c r="F2830" s="8" t="s">
        <v>143</v>
      </c>
      <c r="G2830" s="8" t="s">
        <v>13120</v>
      </c>
      <c r="H2830" s="8" t="s">
        <v>9323</v>
      </c>
      <c r="I2830" s="8" t="s">
        <v>522</v>
      </c>
      <c r="J2830" s="8" t="s">
        <v>13121</v>
      </c>
      <c r="K2830" s="8" t="s">
        <v>112</v>
      </c>
      <c r="L2830" s="8" t="s">
        <v>13122</v>
      </c>
    </row>
    <row r="2831" customFormat="false" ht="34.5" hidden="false" customHeight="true" outlineLevel="0" collapsed="false">
      <c r="A2831" s="8" t="n">
        <v>2570</v>
      </c>
      <c r="B2831" s="8" t="s">
        <v>79</v>
      </c>
      <c r="C2831" s="8" t="s">
        <v>5984</v>
      </c>
      <c r="D2831" s="8" t="s">
        <v>8253</v>
      </c>
      <c r="E2831" s="8" t="s">
        <v>13123</v>
      </c>
      <c r="F2831" s="8" t="s">
        <v>579</v>
      </c>
      <c r="G2831" s="8" t="s">
        <v>13124</v>
      </c>
      <c r="H2831" s="8" t="s">
        <v>9323</v>
      </c>
      <c r="I2831" s="8" t="s">
        <v>11094</v>
      </c>
      <c r="J2831" s="8" t="s">
        <v>13125</v>
      </c>
      <c r="K2831" s="8"/>
      <c r="L2831" s="8" t="s">
        <v>13126</v>
      </c>
    </row>
    <row r="2832" customFormat="false" ht="34.5" hidden="false" customHeight="true" outlineLevel="0" collapsed="false">
      <c r="A2832" s="8" t="n">
        <v>2571</v>
      </c>
      <c r="B2832" s="8" t="s">
        <v>79</v>
      </c>
      <c r="C2832" s="8" t="s">
        <v>13127</v>
      </c>
      <c r="D2832" s="8" t="s">
        <v>8125</v>
      </c>
      <c r="E2832" s="8" t="s">
        <v>13128</v>
      </c>
      <c r="F2832" s="8" t="s">
        <v>143</v>
      </c>
      <c r="G2832" s="8" t="s">
        <v>13129</v>
      </c>
      <c r="H2832" s="8" t="s">
        <v>9323</v>
      </c>
      <c r="I2832" s="8" t="s">
        <v>522</v>
      </c>
      <c r="J2832" s="8" t="s">
        <v>13130</v>
      </c>
      <c r="K2832" s="8" t="s">
        <v>112</v>
      </c>
      <c r="L2832" s="8" t="s">
        <v>13131</v>
      </c>
    </row>
    <row r="2833" customFormat="false" ht="34.5" hidden="false" customHeight="true" outlineLevel="0" collapsed="false">
      <c r="A2833" s="8" t="n">
        <v>2572</v>
      </c>
      <c r="B2833" s="8" t="s">
        <v>79</v>
      </c>
      <c r="C2833" s="8" t="s">
        <v>13132</v>
      </c>
      <c r="D2833" s="8" t="s">
        <v>13031</v>
      </c>
      <c r="E2833" s="8" t="s">
        <v>13133</v>
      </c>
      <c r="F2833" s="8" t="s">
        <v>143</v>
      </c>
      <c r="G2833" s="8" t="s">
        <v>13134</v>
      </c>
      <c r="H2833" s="8" t="s">
        <v>13135</v>
      </c>
      <c r="I2833" s="8" t="s">
        <v>146</v>
      </c>
      <c r="J2833" s="8" t="s">
        <v>13136</v>
      </c>
      <c r="K2833" s="8" t="s">
        <v>112</v>
      </c>
      <c r="L2833" s="8" t="s">
        <v>13137</v>
      </c>
    </row>
    <row r="2834" customFormat="false" ht="34.5" hidden="false" customHeight="true" outlineLevel="0" collapsed="false">
      <c r="A2834" s="8" t="n">
        <v>2573</v>
      </c>
      <c r="B2834" s="8" t="s">
        <v>79</v>
      </c>
      <c r="C2834" s="8" t="s">
        <v>13138</v>
      </c>
      <c r="D2834" s="8" t="s">
        <v>13031</v>
      </c>
      <c r="E2834" s="8" t="s">
        <v>13139</v>
      </c>
      <c r="F2834" s="8" t="s">
        <v>143</v>
      </c>
      <c r="G2834" s="8" t="s">
        <v>364</v>
      </c>
      <c r="H2834" s="8" t="s">
        <v>9323</v>
      </c>
      <c r="I2834" s="8" t="s">
        <v>522</v>
      </c>
      <c r="J2834" s="8" t="s">
        <v>13140</v>
      </c>
      <c r="K2834" s="8" t="s">
        <v>114</v>
      </c>
      <c r="L2834" s="8" t="s">
        <v>13141</v>
      </c>
    </row>
    <row r="2835" customFormat="false" ht="23.25" hidden="false" customHeight="true" outlineLevel="0" collapsed="false">
      <c r="A2835" s="8" t="n">
        <v>2574</v>
      </c>
      <c r="B2835" s="8" t="s">
        <v>79</v>
      </c>
      <c r="C2835" s="8" t="s">
        <v>13132</v>
      </c>
      <c r="D2835" s="8" t="s">
        <v>13031</v>
      </c>
      <c r="E2835" s="8" t="s">
        <v>13142</v>
      </c>
      <c r="F2835" s="8" t="s">
        <v>143</v>
      </c>
      <c r="G2835" s="8" t="s">
        <v>5192</v>
      </c>
      <c r="H2835" s="8" t="s">
        <v>145</v>
      </c>
      <c r="I2835" s="8" t="s">
        <v>146</v>
      </c>
      <c r="J2835" s="8" t="s">
        <v>13143</v>
      </c>
      <c r="K2835" s="8" t="s">
        <v>112</v>
      </c>
      <c r="L2835" s="8" t="s">
        <v>13144</v>
      </c>
    </row>
    <row r="2836" customFormat="false" ht="23.25" hidden="false" customHeight="true" outlineLevel="0" collapsed="false">
      <c r="A2836" s="8" t="n">
        <v>2575</v>
      </c>
      <c r="B2836" s="8" t="s">
        <v>79</v>
      </c>
      <c r="C2836" s="8" t="s">
        <v>13138</v>
      </c>
      <c r="D2836" s="8" t="s">
        <v>13031</v>
      </c>
      <c r="E2836" s="8" t="s">
        <v>13145</v>
      </c>
      <c r="F2836" s="8" t="s">
        <v>143</v>
      </c>
      <c r="G2836" s="8" t="s">
        <v>13146</v>
      </c>
      <c r="H2836" s="8" t="s">
        <v>9323</v>
      </c>
      <c r="I2836" s="8" t="s">
        <v>146</v>
      </c>
      <c r="J2836" s="8" t="s">
        <v>13147</v>
      </c>
      <c r="K2836" s="8" t="s">
        <v>114</v>
      </c>
      <c r="L2836" s="8" t="s">
        <v>13148</v>
      </c>
    </row>
    <row r="2837" customFormat="false" ht="34.5" hidden="false" customHeight="true" outlineLevel="0" collapsed="false">
      <c r="A2837" s="8" t="n">
        <v>2576</v>
      </c>
      <c r="B2837" s="8" t="s">
        <v>79</v>
      </c>
      <c r="C2837" s="8" t="s">
        <v>13149</v>
      </c>
      <c r="D2837" s="8" t="s">
        <v>13031</v>
      </c>
      <c r="E2837" s="8" t="s">
        <v>13150</v>
      </c>
      <c r="F2837" s="8" t="s">
        <v>201</v>
      </c>
      <c r="G2837" s="8" t="s">
        <v>13151</v>
      </c>
      <c r="H2837" s="8" t="s">
        <v>9323</v>
      </c>
      <c r="I2837" s="8" t="s">
        <v>146</v>
      </c>
      <c r="J2837" s="8" t="s">
        <v>13152</v>
      </c>
      <c r="K2837" s="8" t="s">
        <v>112</v>
      </c>
      <c r="L2837" s="8" t="s">
        <v>13153</v>
      </c>
    </row>
    <row r="2838" customFormat="false" ht="23.25" hidden="false" customHeight="true" outlineLevel="0" collapsed="false">
      <c r="A2838" s="8" t="n">
        <v>2577</v>
      </c>
      <c r="B2838" s="8" t="s">
        <v>79</v>
      </c>
      <c r="C2838" s="8" t="s">
        <v>13154</v>
      </c>
      <c r="D2838" s="8" t="s">
        <v>13031</v>
      </c>
      <c r="E2838" s="8" t="s">
        <v>13155</v>
      </c>
      <c r="F2838" s="8" t="s">
        <v>143</v>
      </c>
      <c r="G2838" s="8" t="s">
        <v>1678</v>
      </c>
      <c r="H2838" s="8" t="s">
        <v>9323</v>
      </c>
      <c r="I2838" s="8" t="s">
        <v>146</v>
      </c>
      <c r="J2838" s="8" t="s">
        <v>13156</v>
      </c>
      <c r="K2838" s="8"/>
      <c r="L2838" s="8" t="s">
        <v>13157</v>
      </c>
    </row>
    <row r="2839" customFormat="false" ht="23.25" hidden="false" customHeight="true" outlineLevel="0" collapsed="false">
      <c r="A2839" s="8" t="n">
        <v>2578</v>
      </c>
      <c r="B2839" s="8" t="s">
        <v>79</v>
      </c>
      <c r="C2839" s="8" t="s">
        <v>13158</v>
      </c>
      <c r="D2839" s="8" t="s">
        <v>8134</v>
      </c>
      <c r="E2839" s="8" t="s">
        <v>13159</v>
      </c>
      <c r="F2839" s="8" t="s">
        <v>143</v>
      </c>
      <c r="G2839" s="8" t="s">
        <v>13160</v>
      </c>
      <c r="H2839" s="8" t="s">
        <v>9323</v>
      </c>
      <c r="I2839" s="8" t="s">
        <v>146</v>
      </c>
      <c r="J2839" s="8" t="s">
        <v>13161</v>
      </c>
      <c r="K2839" s="8" t="s">
        <v>112</v>
      </c>
      <c r="L2839" s="8" t="s">
        <v>13162</v>
      </c>
    </row>
    <row r="2840" customFormat="false" ht="34.5" hidden="false" customHeight="true" outlineLevel="0" collapsed="false">
      <c r="A2840" s="8" t="n">
        <v>2579</v>
      </c>
      <c r="B2840" s="8" t="s">
        <v>79</v>
      </c>
      <c r="C2840" s="8" t="s">
        <v>13163</v>
      </c>
      <c r="D2840" s="8" t="s">
        <v>13031</v>
      </c>
      <c r="E2840" s="8" t="s">
        <v>13164</v>
      </c>
      <c r="F2840" s="8" t="s">
        <v>143</v>
      </c>
      <c r="G2840" s="8" t="s">
        <v>13165</v>
      </c>
      <c r="H2840" s="8" t="s">
        <v>9323</v>
      </c>
      <c r="I2840" s="8" t="s">
        <v>146</v>
      </c>
      <c r="J2840" s="8" t="s">
        <v>13166</v>
      </c>
      <c r="K2840" s="8" t="s">
        <v>112</v>
      </c>
      <c r="L2840" s="8" t="s">
        <v>13167</v>
      </c>
    </row>
    <row r="2841" customFormat="false" ht="34.5" hidden="false" customHeight="true" outlineLevel="0" collapsed="false">
      <c r="A2841" s="8" t="n">
        <v>2580</v>
      </c>
      <c r="B2841" s="8" t="s">
        <v>79</v>
      </c>
      <c r="C2841" s="8" t="s">
        <v>13149</v>
      </c>
      <c r="D2841" s="8" t="s">
        <v>13031</v>
      </c>
      <c r="E2841" s="8" t="s">
        <v>13168</v>
      </c>
      <c r="F2841" s="8" t="s">
        <v>143</v>
      </c>
      <c r="G2841" s="8" t="s">
        <v>13169</v>
      </c>
      <c r="H2841" s="8" t="s">
        <v>9323</v>
      </c>
      <c r="I2841" s="8" t="s">
        <v>146</v>
      </c>
      <c r="J2841" s="8" t="s">
        <v>13170</v>
      </c>
      <c r="K2841" s="8" t="s">
        <v>112</v>
      </c>
      <c r="L2841" s="8" t="s">
        <v>13171</v>
      </c>
    </row>
    <row r="2842" customFormat="false" ht="23.25" hidden="false" customHeight="true" outlineLevel="0" collapsed="false">
      <c r="A2842" s="8" t="n">
        <v>2581</v>
      </c>
      <c r="B2842" s="8" t="s">
        <v>79</v>
      </c>
      <c r="C2842" s="8" t="s">
        <v>13154</v>
      </c>
      <c r="D2842" s="8" t="s">
        <v>13031</v>
      </c>
      <c r="E2842" s="8" t="s">
        <v>13172</v>
      </c>
      <c r="F2842" s="8" t="s">
        <v>143</v>
      </c>
      <c r="G2842" s="8" t="s">
        <v>13173</v>
      </c>
      <c r="H2842" s="8" t="s">
        <v>9323</v>
      </c>
      <c r="I2842" s="8" t="s">
        <v>146</v>
      </c>
      <c r="J2842" s="8" t="s">
        <v>13174</v>
      </c>
      <c r="K2842" s="8"/>
      <c r="L2842" s="8" t="s">
        <v>13175</v>
      </c>
    </row>
    <row r="2843" customFormat="false" ht="34.5" hidden="false" customHeight="true" outlineLevel="0" collapsed="false">
      <c r="A2843" s="8" t="n">
        <v>2582</v>
      </c>
      <c r="B2843" s="8" t="s">
        <v>79</v>
      </c>
      <c r="C2843" s="8" t="s">
        <v>13176</v>
      </c>
      <c r="D2843" s="8" t="s">
        <v>8125</v>
      </c>
      <c r="E2843" s="8" t="s">
        <v>13177</v>
      </c>
      <c r="F2843" s="8" t="s">
        <v>143</v>
      </c>
      <c r="G2843" s="8" t="s">
        <v>8664</v>
      </c>
      <c r="H2843" s="8" t="s">
        <v>9323</v>
      </c>
      <c r="I2843" s="8" t="s">
        <v>522</v>
      </c>
      <c r="J2843" s="8" t="s">
        <v>13178</v>
      </c>
      <c r="K2843" s="8" t="s">
        <v>112</v>
      </c>
      <c r="L2843" s="8" t="s">
        <v>13179</v>
      </c>
    </row>
    <row r="2844" customFormat="false" ht="34.5" hidden="false" customHeight="true" outlineLevel="0" collapsed="false">
      <c r="A2844" s="8" t="n">
        <v>2583</v>
      </c>
      <c r="B2844" s="8" t="s">
        <v>79</v>
      </c>
      <c r="C2844" s="8" t="s">
        <v>13180</v>
      </c>
      <c r="D2844" s="8" t="s">
        <v>8140</v>
      </c>
      <c r="E2844" s="8" t="s">
        <v>13181</v>
      </c>
      <c r="F2844" s="8" t="s">
        <v>201</v>
      </c>
      <c r="G2844" s="8" t="s">
        <v>13182</v>
      </c>
      <c r="H2844" s="8" t="s">
        <v>11158</v>
      </c>
      <c r="I2844" s="8" t="s">
        <v>146</v>
      </c>
      <c r="J2844" s="8" t="s">
        <v>13183</v>
      </c>
      <c r="K2844" s="8" t="s">
        <v>112</v>
      </c>
      <c r="L2844" s="8" t="s">
        <v>13184</v>
      </c>
    </row>
    <row r="2845" customFormat="false" ht="34.5" hidden="false" customHeight="true" outlineLevel="0" collapsed="false">
      <c r="A2845" s="8" t="n">
        <v>2584</v>
      </c>
      <c r="B2845" s="8" t="s">
        <v>79</v>
      </c>
      <c r="C2845" s="8" t="s">
        <v>13185</v>
      </c>
      <c r="D2845" s="8" t="s">
        <v>13031</v>
      </c>
      <c r="E2845" s="8" t="s">
        <v>13186</v>
      </c>
      <c r="F2845" s="8" t="s">
        <v>151</v>
      </c>
      <c r="G2845" s="8" t="s">
        <v>13187</v>
      </c>
      <c r="H2845" s="8" t="s">
        <v>9323</v>
      </c>
      <c r="I2845" s="8" t="s">
        <v>146</v>
      </c>
      <c r="J2845" s="8" t="s">
        <v>13188</v>
      </c>
      <c r="K2845" s="8" t="s">
        <v>112</v>
      </c>
      <c r="L2845" s="8" t="s">
        <v>13189</v>
      </c>
    </row>
    <row r="2846" customFormat="false" ht="34.5" hidden="false" customHeight="true" outlineLevel="0" collapsed="false">
      <c r="A2846" s="8" t="n">
        <v>2585</v>
      </c>
      <c r="B2846" s="8" t="s">
        <v>79</v>
      </c>
      <c r="C2846" s="8" t="s">
        <v>13190</v>
      </c>
      <c r="D2846" s="8" t="s">
        <v>13031</v>
      </c>
      <c r="E2846" s="8" t="s">
        <v>13191</v>
      </c>
      <c r="F2846" s="8" t="s">
        <v>151</v>
      </c>
      <c r="G2846" s="8" t="s">
        <v>13192</v>
      </c>
      <c r="H2846" s="8" t="s">
        <v>9323</v>
      </c>
      <c r="I2846" s="8" t="s">
        <v>146</v>
      </c>
      <c r="J2846" s="8" t="s">
        <v>13193</v>
      </c>
      <c r="K2846" s="8"/>
      <c r="L2846" s="8" t="s">
        <v>13194</v>
      </c>
    </row>
    <row r="2847" customFormat="false" ht="34.5" hidden="false" customHeight="true" outlineLevel="0" collapsed="false">
      <c r="A2847" s="8" t="n">
        <v>2586</v>
      </c>
      <c r="B2847" s="8" t="s">
        <v>79</v>
      </c>
      <c r="C2847" s="8" t="s">
        <v>13195</v>
      </c>
      <c r="D2847" s="8" t="s">
        <v>8140</v>
      </c>
      <c r="E2847" s="8" t="s">
        <v>13196</v>
      </c>
      <c r="F2847" s="8" t="s">
        <v>201</v>
      </c>
      <c r="G2847" s="8" t="s">
        <v>13197</v>
      </c>
      <c r="H2847" s="8" t="s">
        <v>9323</v>
      </c>
      <c r="I2847" s="8" t="s">
        <v>11094</v>
      </c>
      <c r="J2847" s="8" t="s">
        <v>13198</v>
      </c>
      <c r="K2847" s="8"/>
      <c r="L2847" s="8" t="s">
        <v>13199</v>
      </c>
    </row>
    <row r="2848" customFormat="false" ht="34.5" hidden="false" customHeight="true" outlineLevel="0" collapsed="false">
      <c r="A2848" s="8" t="n">
        <v>2587</v>
      </c>
      <c r="B2848" s="8" t="s">
        <v>79</v>
      </c>
      <c r="C2848" s="8" t="s">
        <v>13200</v>
      </c>
      <c r="D2848" s="8" t="s">
        <v>8140</v>
      </c>
      <c r="E2848" s="8" t="s">
        <v>13201</v>
      </c>
      <c r="F2848" s="8" t="s">
        <v>151</v>
      </c>
      <c r="G2848" s="8" t="s">
        <v>13202</v>
      </c>
      <c r="H2848" s="8" t="s">
        <v>9323</v>
      </c>
      <c r="I2848" s="8" t="s">
        <v>146</v>
      </c>
      <c r="J2848" s="8" t="s">
        <v>13203</v>
      </c>
      <c r="K2848" s="8" t="s">
        <v>112</v>
      </c>
      <c r="L2848" s="8" t="s">
        <v>13204</v>
      </c>
    </row>
    <row r="2849" customFormat="false" ht="34.5" hidden="false" customHeight="true" outlineLevel="0" collapsed="false">
      <c r="A2849" s="8" t="n">
        <v>2588</v>
      </c>
      <c r="B2849" s="8" t="s">
        <v>79</v>
      </c>
      <c r="C2849" s="8" t="s">
        <v>13205</v>
      </c>
      <c r="D2849" s="8" t="s">
        <v>8134</v>
      </c>
      <c r="E2849" s="8" t="s">
        <v>13206</v>
      </c>
      <c r="F2849" s="8" t="s">
        <v>201</v>
      </c>
      <c r="G2849" s="8" t="s">
        <v>13207</v>
      </c>
      <c r="H2849" s="8" t="s">
        <v>9323</v>
      </c>
      <c r="I2849" s="8" t="s">
        <v>146</v>
      </c>
      <c r="J2849" s="8" t="s">
        <v>13208</v>
      </c>
      <c r="K2849" s="8" t="s">
        <v>112</v>
      </c>
      <c r="L2849" s="8" t="s">
        <v>13209</v>
      </c>
    </row>
    <row r="2850" customFormat="false" ht="34.5" hidden="false" customHeight="true" outlineLevel="0" collapsed="false">
      <c r="A2850" s="8" t="n">
        <v>2589</v>
      </c>
      <c r="B2850" s="8" t="s">
        <v>79</v>
      </c>
      <c r="C2850" s="8" t="s">
        <v>13210</v>
      </c>
      <c r="D2850" s="8" t="s">
        <v>13031</v>
      </c>
      <c r="E2850" s="8" t="s">
        <v>13211</v>
      </c>
      <c r="F2850" s="8" t="s">
        <v>143</v>
      </c>
      <c r="G2850" s="8" t="s">
        <v>1678</v>
      </c>
      <c r="H2850" s="8" t="s">
        <v>9323</v>
      </c>
      <c r="I2850" s="8" t="s">
        <v>146</v>
      </c>
      <c r="J2850" s="8" t="s">
        <v>13212</v>
      </c>
      <c r="K2850" s="8"/>
      <c r="L2850" s="8" t="s">
        <v>13213</v>
      </c>
    </row>
    <row r="2851" customFormat="false" ht="34.5" hidden="false" customHeight="true" outlineLevel="0" collapsed="false">
      <c r="A2851" s="8" t="n">
        <v>2590</v>
      </c>
      <c r="B2851" s="8" t="s">
        <v>79</v>
      </c>
      <c r="C2851" s="8" t="s">
        <v>13214</v>
      </c>
      <c r="D2851" s="8" t="s">
        <v>8140</v>
      </c>
      <c r="E2851" s="8" t="s">
        <v>13215</v>
      </c>
      <c r="F2851" s="8" t="s">
        <v>579</v>
      </c>
      <c r="G2851" s="8" t="s">
        <v>13216</v>
      </c>
      <c r="H2851" s="8" t="s">
        <v>9323</v>
      </c>
      <c r="I2851" s="8" t="s">
        <v>146</v>
      </c>
      <c r="J2851" s="8" t="s">
        <v>13217</v>
      </c>
      <c r="K2851" s="8"/>
      <c r="L2851" s="8" t="s">
        <v>13218</v>
      </c>
    </row>
    <row r="2852" customFormat="false" ht="23.25" hidden="false" customHeight="true" outlineLevel="0" collapsed="false">
      <c r="A2852" s="8" t="n">
        <v>2591</v>
      </c>
      <c r="B2852" s="8" t="s">
        <v>79</v>
      </c>
      <c r="C2852" s="8" t="s">
        <v>13219</v>
      </c>
      <c r="D2852" s="8" t="s">
        <v>13031</v>
      </c>
      <c r="E2852" s="8" t="s">
        <v>13220</v>
      </c>
      <c r="F2852" s="8" t="s">
        <v>151</v>
      </c>
      <c r="G2852" s="8" t="s">
        <v>13221</v>
      </c>
      <c r="H2852" s="8" t="s">
        <v>9323</v>
      </c>
      <c r="I2852" s="8" t="s">
        <v>146</v>
      </c>
      <c r="J2852" s="8" t="s">
        <v>13222</v>
      </c>
      <c r="K2852" s="8"/>
      <c r="L2852" s="8" t="s">
        <v>13223</v>
      </c>
    </row>
    <row r="2853" customFormat="false" ht="34.5" hidden="false" customHeight="true" outlineLevel="0" collapsed="false">
      <c r="A2853" s="8" t="n">
        <v>2592</v>
      </c>
      <c r="B2853" s="8" t="s">
        <v>79</v>
      </c>
      <c r="C2853" s="8" t="s">
        <v>13149</v>
      </c>
      <c r="D2853" s="8" t="s">
        <v>13031</v>
      </c>
      <c r="E2853" s="8" t="s">
        <v>13224</v>
      </c>
      <c r="F2853" s="8" t="s">
        <v>151</v>
      </c>
      <c r="G2853" s="8" t="s">
        <v>13169</v>
      </c>
      <c r="H2853" s="8" t="s">
        <v>9323</v>
      </c>
      <c r="I2853" s="8" t="s">
        <v>146</v>
      </c>
      <c r="J2853" s="8" t="s">
        <v>13225</v>
      </c>
      <c r="K2853" s="8" t="s">
        <v>112</v>
      </c>
      <c r="L2853" s="8" t="s">
        <v>13226</v>
      </c>
    </row>
    <row r="2854" customFormat="false" ht="34.5" hidden="false" customHeight="true" outlineLevel="0" collapsed="false">
      <c r="A2854" s="8" t="n">
        <v>2593</v>
      </c>
      <c r="B2854" s="8" t="s">
        <v>79</v>
      </c>
      <c r="C2854" s="8" t="s">
        <v>13227</v>
      </c>
      <c r="D2854" s="8" t="s">
        <v>13031</v>
      </c>
      <c r="E2854" s="8" t="s">
        <v>13228</v>
      </c>
      <c r="F2854" s="8" t="s">
        <v>201</v>
      </c>
      <c r="G2854" s="8" t="s">
        <v>13229</v>
      </c>
      <c r="H2854" s="8" t="s">
        <v>9323</v>
      </c>
      <c r="I2854" s="8" t="s">
        <v>146</v>
      </c>
      <c r="J2854" s="8" t="s">
        <v>13230</v>
      </c>
      <c r="K2854" s="8"/>
      <c r="L2854" s="8" t="s">
        <v>13231</v>
      </c>
    </row>
    <row r="2855" customFormat="false" ht="34.5" hidden="false" customHeight="true" outlineLevel="0" collapsed="false">
      <c r="A2855" s="8" t="n">
        <v>2594</v>
      </c>
      <c r="B2855" s="8" t="s">
        <v>79</v>
      </c>
      <c r="C2855" s="8" t="s">
        <v>13132</v>
      </c>
      <c r="D2855" s="8" t="s">
        <v>13031</v>
      </c>
      <c r="E2855" s="8" t="s">
        <v>13232</v>
      </c>
      <c r="F2855" s="8" t="s">
        <v>143</v>
      </c>
      <c r="G2855" s="8" t="s">
        <v>13233</v>
      </c>
      <c r="H2855" s="8" t="s">
        <v>145</v>
      </c>
      <c r="I2855" s="8" t="s">
        <v>522</v>
      </c>
      <c r="J2855" s="8" t="s">
        <v>13234</v>
      </c>
      <c r="K2855" s="8" t="s">
        <v>112</v>
      </c>
      <c r="L2855" s="8" t="s">
        <v>13235</v>
      </c>
    </row>
    <row r="2856" customFormat="false" ht="34.5" hidden="false" customHeight="true" outlineLevel="0" collapsed="false">
      <c r="A2856" s="8" t="n">
        <v>2595</v>
      </c>
      <c r="B2856" s="8" t="s">
        <v>79</v>
      </c>
      <c r="C2856" s="8" t="s">
        <v>13149</v>
      </c>
      <c r="D2856" s="8" t="s">
        <v>8259</v>
      </c>
      <c r="E2856" s="8" t="s">
        <v>13236</v>
      </c>
      <c r="F2856" s="8" t="s">
        <v>579</v>
      </c>
      <c r="G2856" s="8" t="s">
        <v>13237</v>
      </c>
      <c r="H2856" s="8" t="s">
        <v>9323</v>
      </c>
      <c r="I2856" s="8" t="s">
        <v>146</v>
      </c>
      <c r="J2856" s="8" t="s">
        <v>13238</v>
      </c>
      <c r="K2856" s="8" t="s">
        <v>112</v>
      </c>
      <c r="L2856" s="8" t="s">
        <v>13239</v>
      </c>
    </row>
    <row r="2857" customFormat="false" ht="34.5" hidden="false" customHeight="true" outlineLevel="0" collapsed="false">
      <c r="A2857" s="8" t="n">
        <v>2596</v>
      </c>
      <c r="B2857" s="8" t="s">
        <v>81</v>
      </c>
      <c r="C2857" s="8" t="s">
        <v>13240</v>
      </c>
      <c r="D2857" s="8" t="n">
        <v>1991</v>
      </c>
      <c r="E2857" s="8" t="s">
        <v>13241</v>
      </c>
      <c r="F2857" s="8" t="s">
        <v>579</v>
      </c>
      <c r="G2857" s="8" t="s">
        <v>152</v>
      </c>
      <c r="H2857" s="8" t="s">
        <v>145</v>
      </c>
      <c r="I2857" s="8" t="s">
        <v>153</v>
      </c>
      <c r="J2857" s="8" t="s">
        <v>13242</v>
      </c>
      <c r="K2857" s="8"/>
      <c r="L2857" s="8" t="s">
        <v>13243</v>
      </c>
    </row>
    <row r="2858" customFormat="false" ht="23.25" hidden="false" customHeight="true" outlineLevel="0" collapsed="false">
      <c r="A2858" s="8" t="n">
        <v>2597</v>
      </c>
      <c r="B2858" s="8" t="s">
        <v>81</v>
      </c>
      <c r="C2858" s="8" t="s">
        <v>6615</v>
      </c>
      <c r="D2858" s="8" t="n">
        <v>2008</v>
      </c>
      <c r="E2858" s="8" t="s">
        <v>13244</v>
      </c>
      <c r="F2858" s="8" t="s">
        <v>579</v>
      </c>
      <c r="G2858" s="8" t="s">
        <v>152</v>
      </c>
      <c r="H2858" s="8" t="s">
        <v>145</v>
      </c>
      <c r="I2858" s="8" t="s">
        <v>153</v>
      </c>
      <c r="J2858" s="8" t="s">
        <v>13245</v>
      </c>
      <c r="K2858" s="8" t="s">
        <v>114</v>
      </c>
      <c r="L2858" s="8" t="s">
        <v>13246</v>
      </c>
    </row>
    <row r="2859" customFormat="false" ht="34.5" hidden="false" customHeight="true" outlineLevel="0" collapsed="false">
      <c r="A2859" s="8" t="n">
        <v>2598</v>
      </c>
      <c r="B2859" s="8" t="s">
        <v>81</v>
      </c>
      <c r="C2859" s="8" t="s">
        <v>13247</v>
      </c>
      <c r="D2859" s="8" t="n">
        <v>2019</v>
      </c>
      <c r="E2859" s="8" t="s">
        <v>13248</v>
      </c>
      <c r="F2859" s="8" t="s">
        <v>143</v>
      </c>
      <c r="G2859" s="8" t="s">
        <v>13249</v>
      </c>
      <c r="H2859" s="8" t="s">
        <v>145</v>
      </c>
      <c r="I2859" s="8" t="s">
        <v>153</v>
      </c>
      <c r="J2859" s="8" t="s">
        <v>13250</v>
      </c>
      <c r="K2859" s="8" t="s">
        <v>114</v>
      </c>
      <c r="L2859" s="8" t="s">
        <v>13251</v>
      </c>
    </row>
    <row r="2860" customFormat="false" ht="23.25" hidden="false" customHeight="true" outlineLevel="0" collapsed="false">
      <c r="A2860" s="8" t="n">
        <v>2599</v>
      </c>
      <c r="B2860" s="8" t="s">
        <v>81</v>
      </c>
      <c r="C2860" s="8" t="s">
        <v>13252</v>
      </c>
      <c r="D2860" s="8" t="n">
        <v>2021</v>
      </c>
      <c r="E2860" s="8" t="s">
        <v>13253</v>
      </c>
      <c r="F2860" s="8" t="s">
        <v>579</v>
      </c>
      <c r="G2860" s="8" t="s">
        <v>152</v>
      </c>
      <c r="H2860" s="8" t="s">
        <v>145</v>
      </c>
      <c r="I2860" s="8" t="s">
        <v>153</v>
      </c>
      <c r="J2860" s="8" t="s">
        <v>13254</v>
      </c>
      <c r="K2860" s="8" t="s">
        <v>114</v>
      </c>
      <c r="L2860" s="8" t="s">
        <v>13255</v>
      </c>
    </row>
    <row r="2861" customFormat="false" ht="34.5" hidden="false" customHeight="true" outlineLevel="0" collapsed="false">
      <c r="A2861" s="8" t="n">
        <v>2600</v>
      </c>
      <c r="B2861" s="8" t="s">
        <v>81</v>
      </c>
      <c r="C2861" s="8" t="s">
        <v>13256</v>
      </c>
      <c r="D2861" s="8" t="n">
        <v>2012</v>
      </c>
      <c r="E2861" s="8" t="s">
        <v>13257</v>
      </c>
      <c r="F2861" s="8" t="s">
        <v>201</v>
      </c>
      <c r="G2861" s="8" t="s">
        <v>364</v>
      </c>
      <c r="H2861" s="8" t="s">
        <v>244</v>
      </c>
      <c r="I2861" s="8" t="s">
        <v>153</v>
      </c>
      <c r="J2861" s="8" t="s">
        <v>13258</v>
      </c>
      <c r="K2861" s="8"/>
      <c r="L2861" s="8" t="s">
        <v>13259</v>
      </c>
    </row>
    <row r="2862" customFormat="false" ht="34.5" hidden="false" customHeight="true" outlineLevel="0" collapsed="false">
      <c r="A2862" s="8" t="n">
        <v>2601</v>
      </c>
      <c r="B2862" s="8" t="s">
        <v>81</v>
      </c>
      <c r="C2862" s="8" t="s">
        <v>13260</v>
      </c>
      <c r="D2862" s="8" t="n">
        <v>2013</v>
      </c>
      <c r="E2862" s="8" t="s">
        <v>13261</v>
      </c>
      <c r="F2862" s="8" t="s">
        <v>587</v>
      </c>
      <c r="G2862" s="8" t="s">
        <v>13262</v>
      </c>
      <c r="H2862" s="8" t="s">
        <v>244</v>
      </c>
      <c r="I2862" s="8" t="s">
        <v>146</v>
      </c>
      <c r="J2862" s="8" t="s">
        <v>13263</v>
      </c>
      <c r="K2862" s="8" t="s">
        <v>116</v>
      </c>
      <c r="L2862" s="8" t="s">
        <v>13264</v>
      </c>
    </row>
    <row r="2863" customFormat="false" ht="23.25" hidden="false" customHeight="true" outlineLevel="0" collapsed="false">
      <c r="A2863" s="8" t="n">
        <v>2602</v>
      </c>
      <c r="B2863" s="8" t="s">
        <v>81</v>
      </c>
      <c r="C2863" s="8" t="s">
        <v>13265</v>
      </c>
      <c r="D2863" s="8" t="n">
        <v>2012</v>
      </c>
      <c r="E2863" s="8" t="s">
        <v>13266</v>
      </c>
      <c r="F2863" s="8" t="s">
        <v>143</v>
      </c>
      <c r="G2863" s="8" t="s">
        <v>152</v>
      </c>
      <c r="H2863" s="8" t="s">
        <v>145</v>
      </c>
      <c r="I2863" s="8" t="s">
        <v>153</v>
      </c>
      <c r="J2863" s="8" t="s">
        <v>13267</v>
      </c>
      <c r="K2863" s="8"/>
      <c r="L2863" s="8" t="s">
        <v>13268</v>
      </c>
    </row>
    <row r="2864" customFormat="false" ht="23.25" hidden="false" customHeight="true" outlineLevel="0" collapsed="false">
      <c r="A2864" s="8" t="n">
        <v>2603</v>
      </c>
      <c r="B2864" s="8" t="s">
        <v>81</v>
      </c>
      <c r="C2864" s="8" t="s">
        <v>13269</v>
      </c>
      <c r="D2864" s="8" t="n">
        <v>2008</v>
      </c>
      <c r="E2864" s="8" t="s">
        <v>13270</v>
      </c>
      <c r="F2864" s="8" t="s">
        <v>579</v>
      </c>
      <c r="G2864" s="8" t="s">
        <v>152</v>
      </c>
      <c r="H2864" s="8" t="s">
        <v>145</v>
      </c>
      <c r="I2864" s="8" t="s">
        <v>153</v>
      </c>
      <c r="J2864" s="8" t="s">
        <v>13271</v>
      </c>
      <c r="K2864" s="8"/>
      <c r="L2864" s="8" t="s">
        <v>13272</v>
      </c>
    </row>
    <row r="2865" customFormat="false" ht="23.25" hidden="false" customHeight="true" outlineLevel="0" collapsed="false">
      <c r="A2865" s="8" t="n">
        <v>2604</v>
      </c>
      <c r="B2865" s="8" t="s">
        <v>81</v>
      </c>
      <c r="C2865" s="8" t="s">
        <v>13273</v>
      </c>
      <c r="D2865" s="8" t="n">
        <v>2024</v>
      </c>
      <c r="E2865" s="8" t="s">
        <v>13274</v>
      </c>
      <c r="F2865" s="8" t="s">
        <v>579</v>
      </c>
      <c r="G2865" s="8" t="s">
        <v>626</v>
      </c>
      <c r="H2865" s="8" t="s">
        <v>145</v>
      </c>
      <c r="I2865" s="8" t="s">
        <v>146</v>
      </c>
      <c r="J2865" s="8" t="s">
        <v>13275</v>
      </c>
      <c r="K2865" s="8"/>
      <c r="L2865" s="8" t="s">
        <v>13276</v>
      </c>
    </row>
    <row r="2866" customFormat="false" ht="34.5" hidden="false" customHeight="true" outlineLevel="0" collapsed="false">
      <c r="A2866" s="8" t="n">
        <v>2605</v>
      </c>
      <c r="B2866" s="8" t="s">
        <v>81</v>
      </c>
      <c r="C2866" s="8" t="s">
        <v>13277</v>
      </c>
      <c r="D2866" s="8" t="n">
        <v>2006</v>
      </c>
      <c r="E2866" s="8" t="s">
        <v>13278</v>
      </c>
      <c r="F2866" s="8" t="s">
        <v>13279</v>
      </c>
      <c r="G2866" s="8" t="s">
        <v>13280</v>
      </c>
      <c r="H2866" s="8" t="s">
        <v>244</v>
      </c>
      <c r="I2866" s="8" t="s">
        <v>387</v>
      </c>
      <c r="J2866" s="8" t="s">
        <v>13281</v>
      </c>
      <c r="K2866" s="8"/>
      <c r="L2866" s="8" t="s">
        <v>13282</v>
      </c>
    </row>
    <row r="2867" customFormat="false" ht="23.25" hidden="false" customHeight="true" outlineLevel="0" collapsed="false">
      <c r="A2867" s="8" t="n">
        <v>2606</v>
      </c>
      <c r="B2867" s="8" t="s">
        <v>81</v>
      </c>
      <c r="C2867" s="8" t="s">
        <v>13283</v>
      </c>
      <c r="D2867" s="8" t="n">
        <v>2000</v>
      </c>
      <c r="E2867" s="8" t="s">
        <v>13284</v>
      </c>
      <c r="F2867" s="8" t="s">
        <v>201</v>
      </c>
      <c r="G2867" s="8" t="s">
        <v>348</v>
      </c>
      <c r="H2867" s="8" t="s">
        <v>145</v>
      </c>
      <c r="I2867" s="8" t="s">
        <v>153</v>
      </c>
      <c r="J2867" s="8" t="s">
        <v>13285</v>
      </c>
      <c r="K2867" s="8"/>
      <c r="L2867" s="8" t="s">
        <v>13286</v>
      </c>
    </row>
    <row r="2868" customFormat="false" ht="23.25" hidden="false" customHeight="true" outlineLevel="0" collapsed="false">
      <c r="A2868" s="8" t="n">
        <v>2607</v>
      </c>
      <c r="B2868" s="8" t="s">
        <v>81</v>
      </c>
      <c r="C2868" s="8" t="s">
        <v>2658</v>
      </c>
      <c r="D2868" s="8" t="n">
        <v>2023</v>
      </c>
      <c r="E2868" s="8" t="s">
        <v>13287</v>
      </c>
      <c r="F2868" s="8" t="s">
        <v>151</v>
      </c>
      <c r="G2868" s="8" t="s">
        <v>3084</v>
      </c>
      <c r="H2868" s="8" t="s">
        <v>145</v>
      </c>
      <c r="I2868" s="8" t="s">
        <v>153</v>
      </c>
      <c r="J2868" s="8" t="s">
        <v>13288</v>
      </c>
      <c r="K2868" s="8" t="s">
        <v>116</v>
      </c>
      <c r="L2868" s="8" t="s">
        <v>13289</v>
      </c>
    </row>
    <row r="2869" customFormat="false" ht="34.5" hidden="false" customHeight="true" outlineLevel="0" collapsed="false">
      <c r="A2869" s="8" t="n">
        <v>2608</v>
      </c>
      <c r="B2869" s="8" t="s">
        <v>81</v>
      </c>
      <c r="C2869" s="8" t="s">
        <v>1388</v>
      </c>
      <c r="D2869" s="8" t="n">
        <v>2024</v>
      </c>
      <c r="E2869" s="8" t="s">
        <v>13290</v>
      </c>
      <c r="F2869" s="8" t="s">
        <v>143</v>
      </c>
      <c r="G2869" s="8" t="s">
        <v>1403</v>
      </c>
      <c r="H2869" s="8" t="s">
        <v>145</v>
      </c>
      <c r="I2869" s="8" t="s">
        <v>153</v>
      </c>
      <c r="J2869" s="8" t="s">
        <v>13291</v>
      </c>
      <c r="K2869" s="8" t="s">
        <v>110</v>
      </c>
      <c r="L2869" s="8" t="s">
        <v>13292</v>
      </c>
    </row>
    <row r="2870" customFormat="false" ht="34.5" hidden="false" customHeight="true" outlineLevel="0" collapsed="false">
      <c r="A2870" s="8" t="n">
        <v>2609</v>
      </c>
      <c r="B2870" s="8" t="s">
        <v>81</v>
      </c>
      <c r="C2870" s="8" t="s">
        <v>13293</v>
      </c>
      <c r="D2870" s="8" t="n">
        <v>2020</v>
      </c>
      <c r="E2870" s="8" t="s">
        <v>13294</v>
      </c>
      <c r="F2870" s="8" t="s">
        <v>13295</v>
      </c>
      <c r="G2870" s="8" t="s">
        <v>1278</v>
      </c>
      <c r="H2870" s="8" t="s">
        <v>13296</v>
      </c>
      <c r="I2870" s="8" t="s">
        <v>208</v>
      </c>
      <c r="J2870" s="8" t="s">
        <v>13297</v>
      </c>
      <c r="K2870" s="8" t="s">
        <v>112</v>
      </c>
      <c r="L2870" s="8" t="s">
        <v>13298</v>
      </c>
    </row>
    <row r="2871" customFormat="false" ht="34.5" hidden="false" customHeight="true" outlineLevel="0" collapsed="false">
      <c r="A2871" s="8" t="n">
        <v>2610</v>
      </c>
      <c r="B2871" s="8" t="s">
        <v>81</v>
      </c>
      <c r="C2871" s="8" t="s">
        <v>13299</v>
      </c>
      <c r="D2871" s="8" t="n">
        <v>2023</v>
      </c>
      <c r="E2871" s="8" t="s">
        <v>13300</v>
      </c>
      <c r="F2871" s="8" t="s">
        <v>143</v>
      </c>
      <c r="G2871" s="8" t="s">
        <v>13301</v>
      </c>
      <c r="H2871" s="8" t="s">
        <v>255</v>
      </c>
      <c r="I2871" s="8" t="s">
        <v>146</v>
      </c>
      <c r="J2871" s="8" t="s">
        <v>13302</v>
      </c>
      <c r="K2871" s="8" t="s">
        <v>112</v>
      </c>
      <c r="L2871" s="8" t="s">
        <v>13303</v>
      </c>
    </row>
    <row r="2872" customFormat="false" ht="34.5" hidden="false" customHeight="true" outlineLevel="0" collapsed="false">
      <c r="A2872" s="8" t="n">
        <v>2611</v>
      </c>
      <c r="B2872" s="8" t="s">
        <v>81</v>
      </c>
      <c r="C2872" s="8" t="s">
        <v>1248</v>
      </c>
      <c r="D2872" s="8" t="n">
        <v>2021</v>
      </c>
      <c r="E2872" s="8" t="s">
        <v>13304</v>
      </c>
      <c r="F2872" s="8" t="s">
        <v>13305</v>
      </c>
      <c r="G2872" s="8" t="s">
        <v>152</v>
      </c>
      <c r="H2872" s="8" t="s">
        <v>13306</v>
      </c>
      <c r="I2872" s="8" t="s">
        <v>146</v>
      </c>
      <c r="J2872" s="8" t="s">
        <v>13307</v>
      </c>
      <c r="K2872" s="8" t="s">
        <v>112</v>
      </c>
      <c r="L2872" s="8" t="s">
        <v>13308</v>
      </c>
    </row>
    <row r="2873" customFormat="false" ht="34.5" hidden="false" customHeight="true" outlineLevel="0" collapsed="false">
      <c r="A2873" s="8" t="n">
        <v>2612</v>
      </c>
      <c r="B2873" s="8" t="s">
        <v>81</v>
      </c>
      <c r="C2873" s="8" t="s">
        <v>13309</v>
      </c>
      <c r="D2873" s="8" t="n">
        <v>2024</v>
      </c>
      <c r="E2873" s="8" t="s">
        <v>13310</v>
      </c>
      <c r="F2873" s="8" t="s">
        <v>10412</v>
      </c>
      <c r="G2873" s="8" t="s">
        <v>13311</v>
      </c>
      <c r="H2873" s="8" t="s">
        <v>145</v>
      </c>
      <c r="I2873" s="8" t="s">
        <v>153</v>
      </c>
      <c r="J2873" s="8" t="s">
        <v>13312</v>
      </c>
      <c r="K2873" s="8" t="s">
        <v>112</v>
      </c>
      <c r="L2873" s="8" t="s">
        <v>13313</v>
      </c>
    </row>
    <row r="2874" customFormat="false" ht="23.25" hidden="false" customHeight="true" outlineLevel="0" collapsed="false">
      <c r="A2874" s="8" t="n">
        <v>2613</v>
      </c>
      <c r="B2874" s="8" t="s">
        <v>81</v>
      </c>
      <c r="C2874" s="8" t="s">
        <v>13314</v>
      </c>
      <c r="D2874" s="8" t="n">
        <v>2022</v>
      </c>
      <c r="E2874" s="8" t="s">
        <v>13315</v>
      </c>
      <c r="F2874" s="8" t="s">
        <v>13316</v>
      </c>
      <c r="G2874" s="8" t="s">
        <v>13317</v>
      </c>
      <c r="H2874" s="8" t="s">
        <v>145</v>
      </c>
      <c r="I2874" s="8" t="s">
        <v>153</v>
      </c>
      <c r="J2874" s="8" t="s">
        <v>13318</v>
      </c>
      <c r="K2874" s="8"/>
      <c r="L2874" s="8" t="s">
        <v>13319</v>
      </c>
    </row>
    <row r="2875" customFormat="false" ht="34.5" hidden="false" customHeight="true" outlineLevel="0" collapsed="false">
      <c r="A2875" s="8" t="n">
        <v>2614</v>
      </c>
      <c r="B2875" s="8" t="s">
        <v>81</v>
      </c>
      <c r="C2875" s="8" t="s">
        <v>13320</v>
      </c>
      <c r="D2875" s="8" t="n">
        <v>2023</v>
      </c>
      <c r="E2875" s="8" t="s">
        <v>13321</v>
      </c>
      <c r="F2875" s="8" t="s">
        <v>579</v>
      </c>
      <c r="G2875" s="8" t="s">
        <v>13322</v>
      </c>
      <c r="H2875" s="8" t="s">
        <v>684</v>
      </c>
      <c r="I2875" s="8" t="s">
        <v>387</v>
      </c>
      <c r="J2875" s="8" t="s">
        <v>13323</v>
      </c>
      <c r="K2875" s="8" t="s">
        <v>112</v>
      </c>
      <c r="L2875" s="8" t="s">
        <v>13324</v>
      </c>
    </row>
    <row r="2876" customFormat="false" ht="34.5" hidden="false" customHeight="true" outlineLevel="0" collapsed="false">
      <c r="A2876" s="8" t="n">
        <v>2615</v>
      </c>
      <c r="B2876" s="8" t="s">
        <v>81</v>
      </c>
      <c r="C2876" s="8" t="s">
        <v>1331</v>
      </c>
      <c r="D2876" s="8" t="n">
        <v>2021</v>
      </c>
      <c r="E2876" s="8" t="s">
        <v>13325</v>
      </c>
      <c r="F2876" s="8" t="s">
        <v>13326</v>
      </c>
      <c r="G2876" s="8" t="s">
        <v>3646</v>
      </c>
      <c r="H2876" s="8" t="s">
        <v>1213</v>
      </c>
      <c r="I2876" s="8" t="s">
        <v>146</v>
      </c>
      <c r="J2876" s="8" t="s">
        <v>13327</v>
      </c>
      <c r="K2876" s="8" t="s">
        <v>112</v>
      </c>
      <c r="L2876" s="8" t="s">
        <v>13328</v>
      </c>
    </row>
    <row r="2877" customFormat="false" ht="34.5" hidden="false" customHeight="true" outlineLevel="0" collapsed="false">
      <c r="A2877" s="8" t="n">
        <v>2616</v>
      </c>
      <c r="B2877" s="8" t="s">
        <v>81</v>
      </c>
      <c r="C2877" s="8" t="s">
        <v>13329</v>
      </c>
      <c r="D2877" s="8" t="n">
        <v>2017</v>
      </c>
      <c r="E2877" s="8" t="s">
        <v>13330</v>
      </c>
      <c r="F2877" s="8" t="s">
        <v>8084</v>
      </c>
      <c r="G2877" s="8" t="s">
        <v>152</v>
      </c>
      <c r="H2877" s="8" t="s">
        <v>145</v>
      </c>
      <c r="I2877" s="8" t="s">
        <v>153</v>
      </c>
      <c r="J2877" s="8" t="s">
        <v>13331</v>
      </c>
      <c r="K2877" s="8"/>
      <c r="L2877" s="8" t="s">
        <v>13332</v>
      </c>
    </row>
    <row r="2878" customFormat="false" ht="34.5" hidden="false" customHeight="true" outlineLevel="0" collapsed="false">
      <c r="A2878" s="8" t="n">
        <v>2617</v>
      </c>
      <c r="B2878" s="8" t="s">
        <v>81</v>
      </c>
      <c r="C2878" s="8" t="s">
        <v>13333</v>
      </c>
      <c r="D2878" s="8" t="n">
        <v>2005</v>
      </c>
      <c r="E2878" s="8" t="s">
        <v>13334</v>
      </c>
      <c r="F2878" s="8" t="s">
        <v>13335</v>
      </c>
      <c r="G2878" s="8" t="s">
        <v>13336</v>
      </c>
      <c r="H2878" s="8" t="s">
        <v>145</v>
      </c>
      <c r="I2878" s="8" t="s">
        <v>153</v>
      </c>
      <c r="J2878" s="8" t="s">
        <v>13337</v>
      </c>
      <c r="K2878" s="8" t="s">
        <v>114</v>
      </c>
      <c r="L2878" s="8" t="s">
        <v>13338</v>
      </c>
    </row>
    <row r="2879" customFormat="false" ht="23.25" hidden="false" customHeight="true" outlineLevel="0" collapsed="false">
      <c r="A2879" s="8" t="n">
        <v>2618</v>
      </c>
      <c r="B2879" s="8" t="s">
        <v>81</v>
      </c>
      <c r="C2879" s="8" t="s">
        <v>13339</v>
      </c>
      <c r="D2879" s="8" t="n">
        <v>2005</v>
      </c>
      <c r="E2879" s="8" t="s">
        <v>13340</v>
      </c>
      <c r="F2879" s="8" t="s">
        <v>8084</v>
      </c>
      <c r="G2879" s="8" t="s">
        <v>152</v>
      </c>
      <c r="H2879" s="8" t="s">
        <v>2841</v>
      </c>
      <c r="I2879" s="8" t="s">
        <v>153</v>
      </c>
      <c r="J2879" s="8" t="s">
        <v>13341</v>
      </c>
      <c r="K2879" s="8"/>
      <c r="L2879" s="8" t="s">
        <v>13342</v>
      </c>
    </row>
    <row r="2880" customFormat="false" ht="34.5" hidden="false" customHeight="true" outlineLevel="0" collapsed="false">
      <c r="A2880" s="8" t="n">
        <v>2619</v>
      </c>
      <c r="B2880" s="8" t="s">
        <v>81</v>
      </c>
      <c r="C2880" s="8" t="s">
        <v>13343</v>
      </c>
      <c r="D2880" s="8" t="n">
        <v>2023</v>
      </c>
      <c r="E2880" s="8" t="s">
        <v>13344</v>
      </c>
      <c r="F2880" s="8" t="s">
        <v>13335</v>
      </c>
      <c r="G2880" s="8" t="s">
        <v>152</v>
      </c>
      <c r="H2880" s="8" t="s">
        <v>145</v>
      </c>
      <c r="I2880" s="8" t="s">
        <v>153</v>
      </c>
      <c r="J2880" s="8" t="s">
        <v>13345</v>
      </c>
      <c r="K2880" s="8"/>
      <c r="L2880" s="8" t="s">
        <v>13346</v>
      </c>
    </row>
    <row r="2881" customFormat="false" ht="23.25" hidden="false" customHeight="true" outlineLevel="0" collapsed="false">
      <c r="A2881" s="8" t="n">
        <v>2620</v>
      </c>
      <c r="B2881" s="8" t="s">
        <v>81</v>
      </c>
      <c r="C2881" s="8" t="s">
        <v>13347</v>
      </c>
      <c r="D2881" s="8" t="n">
        <v>2023</v>
      </c>
      <c r="E2881" s="8" t="s">
        <v>13348</v>
      </c>
      <c r="F2881" s="8" t="s">
        <v>13349</v>
      </c>
      <c r="G2881" s="8" t="s">
        <v>213</v>
      </c>
      <c r="H2881" s="8" t="s">
        <v>145</v>
      </c>
      <c r="I2881" s="8" t="s">
        <v>153</v>
      </c>
      <c r="J2881" s="8" t="s">
        <v>13350</v>
      </c>
      <c r="K2881" s="8"/>
      <c r="L2881" s="8" t="s">
        <v>13351</v>
      </c>
    </row>
    <row r="2882" customFormat="false" ht="23.25" hidden="false" customHeight="true" outlineLevel="0" collapsed="false">
      <c r="A2882" s="8" t="n">
        <v>2621</v>
      </c>
      <c r="B2882" s="8" t="s">
        <v>81</v>
      </c>
      <c r="C2882" s="8" t="s">
        <v>13352</v>
      </c>
      <c r="D2882" s="8" t="n">
        <v>2024</v>
      </c>
      <c r="E2882" s="8" t="s">
        <v>13353</v>
      </c>
      <c r="F2882" s="8" t="s">
        <v>151</v>
      </c>
      <c r="G2882" s="8" t="s">
        <v>13354</v>
      </c>
      <c r="H2882" s="8" t="s">
        <v>13355</v>
      </c>
      <c r="I2882" s="8" t="s">
        <v>146</v>
      </c>
      <c r="J2882" s="8" t="s">
        <v>13356</v>
      </c>
      <c r="K2882" s="8"/>
      <c r="L2882" s="8" t="s">
        <v>13357</v>
      </c>
    </row>
    <row r="2883" customFormat="false" ht="34.5" hidden="false" customHeight="true" outlineLevel="0" collapsed="false">
      <c r="A2883" s="8" t="n">
        <v>2622</v>
      </c>
      <c r="B2883" s="8" t="s">
        <v>81</v>
      </c>
      <c r="C2883" s="8" t="s">
        <v>13352</v>
      </c>
      <c r="D2883" s="8" t="n">
        <v>2020</v>
      </c>
      <c r="E2883" s="8" t="s">
        <v>13358</v>
      </c>
      <c r="F2883" s="8" t="s">
        <v>151</v>
      </c>
      <c r="G2883" s="8" t="s">
        <v>13359</v>
      </c>
      <c r="H2883" s="8" t="s">
        <v>13360</v>
      </c>
      <c r="I2883" s="8" t="s">
        <v>146</v>
      </c>
      <c r="J2883" s="8" t="s">
        <v>13361</v>
      </c>
      <c r="K2883" s="8" t="s">
        <v>114</v>
      </c>
      <c r="L2883" s="8" t="s">
        <v>13362</v>
      </c>
    </row>
    <row r="2884" customFormat="false" ht="34.5" hidden="false" customHeight="true" outlineLevel="0" collapsed="false">
      <c r="A2884" s="8" t="n">
        <v>2623</v>
      </c>
      <c r="B2884" s="8" t="s">
        <v>81</v>
      </c>
      <c r="C2884" s="8" t="s">
        <v>13363</v>
      </c>
      <c r="D2884" s="8" t="n">
        <v>2019</v>
      </c>
      <c r="E2884" s="8" t="s">
        <v>13364</v>
      </c>
      <c r="F2884" s="8" t="s">
        <v>8084</v>
      </c>
      <c r="G2884" s="8" t="s">
        <v>348</v>
      </c>
      <c r="H2884" s="8" t="s">
        <v>145</v>
      </c>
      <c r="I2884" s="8" t="s">
        <v>153</v>
      </c>
      <c r="J2884" s="8" t="s">
        <v>13365</v>
      </c>
      <c r="K2884" s="8"/>
      <c r="L2884" s="8" t="s">
        <v>13366</v>
      </c>
    </row>
    <row r="2885" customFormat="false" ht="34.5" hidden="false" customHeight="true" outlineLevel="0" collapsed="false">
      <c r="A2885" s="8" t="n">
        <v>2624</v>
      </c>
      <c r="B2885" s="8" t="s">
        <v>81</v>
      </c>
      <c r="C2885" s="8" t="s">
        <v>13367</v>
      </c>
      <c r="D2885" s="8" t="n">
        <v>2017</v>
      </c>
      <c r="E2885" s="8" t="s">
        <v>13368</v>
      </c>
      <c r="F2885" s="8" t="s">
        <v>13369</v>
      </c>
      <c r="G2885" s="8" t="s">
        <v>213</v>
      </c>
      <c r="H2885" s="8" t="s">
        <v>145</v>
      </c>
      <c r="I2885" s="8" t="s">
        <v>153</v>
      </c>
      <c r="J2885" s="8" t="s">
        <v>13370</v>
      </c>
      <c r="K2885" s="8"/>
      <c r="L2885" s="8" t="s">
        <v>13371</v>
      </c>
    </row>
    <row r="2886" customFormat="false" ht="23.25" hidden="false" customHeight="true" outlineLevel="0" collapsed="false">
      <c r="A2886" s="8" t="n">
        <v>2625</v>
      </c>
      <c r="B2886" s="8" t="s">
        <v>81</v>
      </c>
      <c r="C2886" s="8" t="s">
        <v>13372</v>
      </c>
      <c r="D2886" s="8" t="n">
        <v>2020</v>
      </c>
      <c r="E2886" s="8" t="s">
        <v>13373</v>
      </c>
      <c r="F2886" s="8" t="s">
        <v>3817</v>
      </c>
      <c r="G2886" s="8" t="s">
        <v>152</v>
      </c>
      <c r="H2886" s="8" t="s">
        <v>145</v>
      </c>
      <c r="I2886" s="8" t="s">
        <v>387</v>
      </c>
      <c r="J2886" s="8" t="s">
        <v>13374</v>
      </c>
      <c r="K2886" s="8"/>
      <c r="L2886" s="8" t="s">
        <v>13375</v>
      </c>
    </row>
    <row r="2887" customFormat="false" ht="23.25" hidden="false" customHeight="true" outlineLevel="0" collapsed="false">
      <c r="A2887" s="8" t="n">
        <v>2626</v>
      </c>
      <c r="B2887" s="8" t="s">
        <v>81</v>
      </c>
      <c r="C2887" s="8" t="s">
        <v>3430</v>
      </c>
      <c r="D2887" s="8" t="n">
        <v>2009</v>
      </c>
      <c r="E2887" s="8" t="s">
        <v>13376</v>
      </c>
      <c r="F2887" s="8" t="s">
        <v>3817</v>
      </c>
      <c r="G2887" s="8" t="s">
        <v>152</v>
      </c>
      <c r="H2887" s="8" t="s">
        <v>145</v>
      </c>
      <c r="I2887" s="8" t="s">
        <v>146</v>
      </c>
      <c r="J2887" s="8" t="s">
        <v>13377</v>
      </c>
      <c r="K2887" s="8"/>
      <c r="L2887" s="8" t="s">
        <v>13378</v>
      </c>
    </row>
    <row r="2888" customFormat="false" ht="23.25" hidden="false" customHeight="true" outlineLevel="0" collapsed="false">
      <c r="A2888" s="8" t="n">
        <v>2627</v>
      </c>
      <c r="B2888" s="8" t="s">
        <v>81</v>
      </c>
      <c r="C2888" s="8" t="s">
        <v>13379</v>
      </c>
      <c r="D2888" s="8" t="n">
        <v>2019</v>
      </c>
      <c r="E2888" s="8" t="s">
        <v>13380</v>
      </c>
      <c r="F2888" s="8" t="s">
        <v>13381</v>
      </c>
      <c r="G2888" s="8" t="s">
        <v>348</v>
      </c>
      <c r="H2888" s="8" t="s">
        <v>145</v>
      </c>
      <c r="I2888" s="8" t="s">
        <v>153</v>
      </c>
      <c r="J2888" s="8" t="s">
        <v>13382</v>
      </c>
      <c r="K2888" s="8"/>
      <c r="L2888" s="8" t="s">
        <v>13383</v>
      </c>
    </row>
    <row r="2889" customFormat="false" ht="23.25" hidden="false" customHeight="true" outlineLevel="0" collapsed="false">
      <c r="A2889" s="8" t="n">
        <v>2628</v>
      </c>
      <c r="B2889" s="8" t="s">
        <v>81</v>
      </c>
      <c r="C2889" s="8" t="s">
        <v>13384</v>
      </c>
      <c r="D2889" s="8" t="n">
        <v>2014</v>
      </c>
      <c r="E2889" s="8" t="s">
        <v>13385</v>
      </c>
      <c r="F2889" s="8" t="s">
        <v>201</v>
      </c>
      <c r="G2889" s="8" t="s">
        <v>152</v>
      </c>
      <c r="H2889" s="8" t="s">
        <v>8046</v>
      </c>
      <c r="I2889" s="8" t="s">
        <v>153</v>
      </c>
      <c r="J2889" s="8" t="s">
        <v>13386</v>
      </c>
      <c r="K2889" s="8"/>
      <c r="L2889" s="8" t="s">
        <v>13387</v>
      </c>
    </row>
    <row r="2890" customFormat="false" ht="23.25" hidden="false" customHeight="true" outlineLevel="0" collapsed="false">
      <c r="A2890" s="8" t="n">
        <v>2629</v>
      </c>
      <c r="B2890" s="8" t="s">
        <v>81</v>
      </c>
      <c r="C2890" s="8" t="s">
        <v>13388</v>
      </c>
      <c r="D2890" s="8" t="n">
        <v>2016</v>
      </c>
      <c r="E2890" s="8" t="s">
        <v>13389</v>
      </c>
      <c r="F2890" s="8" t="s">
        <v>8084</v>
      </c>
      <c r="G2890" s="8" t="s">
        <v>348</v>
      </c>
      <c r="H2890" s="8" t="s">
        <v>145</v>
      </c>
      <c r="I2890" s="8" t="s">
        <v>748</v>
      </c>
      <c r="J2890" s="8" t="s">
        <v>13390</v>
      </c>
      <c r="K2890" s="8"/>
      <c r="L2890" s="8" t="s">
        <v>13391</v>
      </c>
    </row>
    <row r="2891" customFormat="false" ht="34.5" hidden="false" customHeight="true" outlineLevel="0" collapsed="false">
      <c r="A2891" s="8" t="n">
        <v>2630</v>
      </c>
      <c r="B2891" s="8" t="s">
        <v>81</v>
      </c>
      <c r="C2891" s="8" t="s">
        <v>13392</v>
      </c>
      <c r="D2891" s="8" t="n">
        <v>2015</v>
      </c>
      <c r="E2891" s="8" t="s">
        <v>13393</v>
      </c>
      <c r="F2891" s="8" t="s">
        <v>151</v>
      </c>
      <c r="G2891" s="8" t="s">
        <v>348</v>
      </c>
      <c r="H2891" s="8" t="s">
        <v>4711</v>
      </c>
      <c r="I2891" s="8" t="s">
        <v>748</v>
      </c>
      <c r="J2891" s="8" t="s">
        <v>13394</v>
      </c>
      <c r="K2891" s="8"/>
      <c r="L2891" s="8" t="s">
        <v>13395</v>
      </c>
    </row>
    <row r="2892" customFormat="false" ht="34.5" hidden="false" customHeight="true" outlineLevel="0" collapsed="false">
      <c r="A2892" s="8" t="n">
        <v>2631</v>
      </c>
      <c r="B2892" s="8" t="s">
        <v>81</v>
      </c>
      <c r="C2892" s="8" t="s">
        <v>13396</v>
      </c>
      <c r="D2892" s="8" t="n">
        <v>2021</v>
      </c>
      <c r="E2892" s="8" t="s">
        <v>13397</v>
      </c>
      <c r="F2892" s="8" t="s">
        <v>13398</v>
      </c>
      <c r="G2892" s="8" t="s">
        <v>8767</v>
      </c>
      <c r="H2892" s="8" t="s">
        <v>181</v>
      </c>
      <c r="I2892" s="8" t="s">
        <v>146</v>
      </c>
      <c r="J2892" s="8" t="s">
        <v>13399</v>
      </c>
      <c r="K2892" s="8"/>
      <c r="L2892" s="8" t="s">
        <v>13400</v>
      </c>
    </row>
    <row r="2893" customFormat="false" ht="23.25" hidden="false" customHeight="true" outlineLevel="0" collapsed="false">
      <c r="A2893" s="8" t="n">
        <v>2632</v>
      </c>
      <c r="B2893" s="8" t="s">
        <v>81</v>
      </c>
      <c r="C2893" s="8" t="s">
        <v>13401</v>
      </c>
      <c r="D2893" s="8" t="n">
        <v>2021</v>
      </c>
      <c r="E2893" s="8" t="s">
        <v>13402</v>
      </c>
      <c r="F2893" s="8" t="s">
        <v>13403</v>
      </c>
      <c r="G2893" s="8" t="s">
        <v>348</v>
      </c>
      <c r="H2893" s="8" t="s">
        <v>4711</v>
      </c>
      <c r="I2893" s="8" t="s">
        <v>146</v>
      </c>
      <c r="J2893" s="8" t="s">
        <v>13404</v>
      </c>
      <c r="K2893" s="8"/>
      <c r="L2893" s="8" t="s">
        <v>13405</v>
      </c>
    </row>
    <row r="2894" customFormat="false" ht="34.5" hidden="false" customHeight="true" outlineLevel="0" collapsed="false">
      <c r="A2894" s="8" t="n">
        <v>2633</v>
      </c>
      <c r="B2894" s="8" t="s">
        <v>81</v>
      </c>
      <c r="C2894" s="8" t="s">
        <v>13406</v>
      </c>
      <c r="D2894" s="8" t="n">
        <v>2005</v>
      </c>
      <c r="E2894" s="8" t="s">
        <v>13407</v>
      </c>
      <c r="F2894" s="8" t="s">
        <v>151</v>
      </c>
      <c r="G2894" s="8" t="s">
        <v>13408</v>
      </c>
      <c r="H2894" s="8" t="s">
        <v>4310</v>
      </c>
      <c r="I2894" s="8" t="s">
        <v>146</v>
      </c>
      <c r="J2894" s="8" t="s">
        <v>13409</v>
      </c>
      <c r="K2894" s="8"/>
      <c r="L2894" s="8" t="s">
        <v>13410</v>
      </c>
    </row>
    <row r="2895" customFormat="false" ht="34.5" hidden="false" customHeight="true" outlineLevel="0" collapsed="false">
      <c r="A2895" s="8" t="n">
        <v>2634</v>
      </c>
      <c r="B2895" s="8" t="s">
        <v>81</v>
      </c>
      <c r="C2895" s="8" t="s">
        <v>13411</v>
      </c>
      <c r="D2895" s="8" t="n">
        <v>2009</v>
      </c>
      <c r="E2895" s="8" t="s">
        <v>13412</v>
      </c>
      <c r="F2895" s="8" t="s">
        <v>13413</v>
      </c>
      <c r="G2895" s="8" t="s">
        <v>1619</v>
      </c>
      <c r="H2895" s="8" t="s">
        <v>145</v>
      </c>
      <c r="I2895" s="8" t="s">
        <v>153</v>
      </c>
      <c r="J2895" s="8" t="s">
        <v>13414</v>
      </c>
      <c r="K2895" s="8"/>
      <c r="L2895" s="8" t="s">
        <v>13415</v>
      </c>
    </row>
    <row r="2896" customFormat="false" ht="34.5" hidden="false" customHeight="true" outlineLevel="0" collapsed="false">
      <c r="A2896" s="8" t="n">
        <v>2635</v>
      </c>
      <c r="B2896" s="8" t="s">
        <v>81</v>
      </c>
      <c r="C2896" s="8" t="s">
        <v>13416</v>
      </c>
      <c r="D2896" s="8" t="n">
        <v>2017</v>
      </c>
      <c r="E2896" s="8" t="s">
        <v>13417</v>
      </c>
      <c r="F2896" s="8" t="s">
        <v>9198</v>
      </c>
      <c r="G2896" s="8" t="s">
        <v>13418</v>
      </c>
      <c r="H2896" s="8" t="s">
        <v>145</v>
      </c>
      <c r="I2896" s="8" t="s">
        <v>146</v>
      </c>
      <c r="J2896" s="8" t="s">
        <v>13419</v>
      </c>
      <c r="K2896" s="8"/>
      <c r="L2896" s="8" t="s">
        <v>13420</v>
      </c>
    </row>
    <row r="2897" customFormat="false" ht="34.5" hidden="false" customHeight="true" outlineLevel="0" collapsed="false">
      <c r="A2897" s="8" t="n">
        <v>2636</v>
      </c>
      <c r="B2897" s="8" t="s">
        <v>81</v>
      </c>
      <c r="C2897" s="8" t="s">
        <v>734</v>
      </c>
      <c r="D2897" s="8" t="n">
        <v>2019</v>
      </c>
      <c r="E2897" s="8" t="s">
        <v>735</v>
      </c>
      <c r="F2897" s="8" t="s">
        <v>587</v>
      </c>
      <c r="G2897" s="8" t="s">
        <v>13421</v>
      </c>
      <c r="H2897" s="8" t="s">
        <v>5271</v>
      </c>
      <c r="I2897" s="8" t="s">
        <v>146</v>
      </c>
      <c r="J2897" s="8" t="s">
        <v>13422</v>
      </c>
      <c r="K2897" s="8" t="s">
        <v>116</v>
      </c>
      <c r="L2897" s="8" t="s">
        <v>13423</v>
      </c>
    </row>
    <row r="2898" customFormat="false" ht="34.5" hidden="false" customHeight="true" outlineLevel="0" collapsed="false">
      <c r="A2898" s="8" t="n">
        <v>2637</v>
      </c>
      <c r="B2898" s="8" t="s">
        <v>81</v>
      </c>
      <c r="C2898" s="8" t="s">
        <v>3514</v>
      </c>
      <c r="D2898" s="8" t="n">
        <v>2024</v>
      </c>
      <c r="E2898" s="8" t="s">
        <v>13424</v>
      </c>
      <c r="F2898" s="8" t="s">
        <v>7375</v>
      </c>
      <c r="G2898" s="8" t="s">
        <v>1278</v>
      </c>
      <c r="H2898" s="8" t="s">
        <v>255</v>
      </c>
      <c r="I2898" s="8" t="s">
        <v>146</v>
      </c>
      <c r="J2898" s="8" t="s">
        <v>13425</v>
      </c>
      <c r="K2898" s="8" t="s">
        <v>112</v>
      </c>
      <c r="L2898" s="8" t="s">
        <v>13426</v>
      </c>
    </row>
    <row r="2899" customFormat="false" ht="34.5" hidden="false" customHeight="true" outlineLevel="0" collapsed="false">
      <c r="A2899" s="8" t="n">
        <v>2638</v>
      </c>
      <c r="B2899" s="8" t="s">
        <v>81</v>
      </c>
      <c r="C2899" s="8" t="s">
        <v>13427</v>
      </c>
      <c r="D2899" s="8" t="n">
        <v>2022</v>
      </c>
      <c r="E2899" s="8" t="s">
        <v>13428</v>
      </c>
      <c r="F2899" s="8" t="s">
        <v>587</v>
      </c>
      <c r="G2899" s="8" t="s">
        <v>2048</v>
      </c>
      <c r="H2899" s="8" t="s">
        <v>13429</v>
      </c>
      <c r="I2899" s="8" t="s">
        <v>146</v>
      </c>
      <c r="J2899" s="8" t="s">
        <v>13430</v>
      </c>
      <c r="K2899" s="8" t="s">
        <v>116</v>
      </c>
      <c r="L2899" s="8" t="s">
        <v>13431</v>
      </c>
    </row>
    <row r="2900" customFormat="false" ht="34.5" hidden="false" customHeight="true" outlineLevel="0" collapsed="false">
      <c r="A2900" s="8" t="n">
        <v>2639</v>
      </c>
      <c r="B2900" s="8" t="s">
        <v>81</v>
      </c>
      <c r="C2900" s="8" t="s">
        <v>13432</v>
      </c>
      <c r="D2900" s="8" t="n">
        <v>2018</v>
      </c>
      <c r="E2900" s="8" t="s">
        <v>13433</v>
      </c>
      <c r="F2900" s="8" t="s">
        <v>143</v>
      </c>
      <c r="G2900" s="8" t="s">
        <v>13434</v>
      </c>
      <c r="H2900" s="8" t="s">
        <v>9323</v>
      </c>
      <c r="I2900" s="8" t="s">
        <v>146</v>
      </c>
      <c r="J2900" s="8" t="s">
        <v>13435</v>
      </c>
      <c r="K2900" s="8" t="s">
        <v>112</v>
      </c>
      <c r="L2900" s="8" t="s">
        <v>13436</v>
      </c>
    </row>
    <row r="2901" customFormat="false" ht="34.5" hidden="false" customHeight="true" outlineLevel="0" collapsed="false">
      <c r="A2901" s="8" t="n">
        <v>2640</v>
      </c>
      <c r="B2901" s="8" t="s">
        <v>81</v>
      </c>
      <c r="C2901" s="8" t="s">
        <v>13437</v>
      </c>
      <c r="D2901" s="8" t="n">
        <v>2014</v>
      </c>
      <c r="E2901" s="8" t="s">
        <v>13438</v>
      </c>
      <c r="F2901" s="8" t="s">
        <v>201</v>
      </c>
      <c r="G2901" s="8" t="s">
        <v>152</v>
      </c>
      <c r="H2901" s="8" t="s">
        <v>145</v>
      </c>
      <c r="I2901" s="8" t="s">
        <v>146</v>
      </c>
      <c r="J2901" s="8" t="s">
        <v>13439</v>
      </c>
      <c r="K2901" s="8"/>
      <c r="L2901" s="8" t="s">
        <v>13440</v>
      </c>
    </row>
    <row r="2902" customFormat="false" ht="23.25" hidden="false" customHeight="true" outlineLevel="0" collapsed="false">
      <c r="A2902" s="8" t="n">
        <v>2641</v>
      </c>
      <c r="B2902" s="8" t="s">
        <v>81</v>
      </c>
      <c r="C2902" s="8" t="s">
        <v>8162</v>
      </c>
      <c r="D2902" s="8" t="n">
        <v>2021</v>
      </c>
      <c r="E2902" s="8" t="s">
        <v>13441</v>
      </c>
      <c r="F2902" s="8" t="s">
        <v>143</v>
      </c>
      <c r="G2902" s="8" t="s">
        <v>1424</v>
      </c>
      <c r="H2902" s="8" t="s">
        <v>145</v>
      </c>
      <c r="I2902" s="8" t="s">
        <v>146</v>
      </c>
      <c r="J2902" s="8" t="s">
        <v>13442</v>
      </c>
      <c r="K2902" s="8" t="s">
        <v>116</v>
      </c>
      <c r="L2902" s="8" t="s">
        <v>13443</v>
      </c>
    </row>
    <row r="2903" customFormat="false" ht="23.25" hidden="false" customHeight="true" outlineLevel="0" collapsed="false">
      <c r="A2903" s="8" t="n">
        <v>2642</v>
      </c>
      <c r="B2903" s="8" t="s">
        <v>81</v>
      </c>
      <c r="C2903" s="8" t="s">
        <v>13444</v>
      </c>
      <c r="D2903" s="8" t="n">
        <v>2001</v>
      </c>
      <c r="E2903" s="8" t="s">
        <v>13445</v>
      </c>
      <c r="F2903" s="8" t="s">
        <v>201</v>
      </c>
      <c r="G2903" s="8" t="s">
        <v>152</v>
      </c>
      <c r="H2903" s="8" t="s">
        <v>145</v>
      </c>
      <c r="I2903" s="8" t="s">
        <v>146</v>
      </c>
      <c r="J2903" s="8" t="s">
        <v>13446</v>
      </c>
      <c r="K2903" s="8" t="s">
        <v>112</v>
      </c>
      <c r="L2903" s="8" t="s">
        <v>13447</v>
      </c>
    </row>
    <row r="2904" customFormat="false" ht="23.25" hidden="false" customHeight="true" outlineLevel="0" collapsed="false">
      <c r="A2904" s="8" t="n">
        <v>2643</v>
      </c>
      <c r="B2904" s="8" t="s">
        <v>81</v>
      </c>
      <c r="C2904" s="8" t="s">
        <v>13448</v>
      </c>
      <c r="D2904" s="8" t="n">
        <v>2021</v>
      </c>
      <c r="E2904" s="8" t="s">
        <v>13449</v>
      </c>
      <c r="F2904" s="8" t="s">
        <v>143</v>
      </c>
      <c r="G2904" s="8" t="s">
        <v>1278</v>
      </c>
      <c r="H2904" s="8" t="s">
        <v>145</v>
      </c>
      <c r="I2904" s="8" t="s">
        <v>153</v>
      </c>
      <c r="J2904" s="8" t="s">
        <v>13450</v>
      </c>
      <c r="K2904" s="8" t="s">
        <v>112</v>
      </c>
      <c r="L2904" s="8" t="s">
        <v>13451</v>
      </c>
    </row>
    <row r="2905" customFormat="false" ht="34.5" hidden="false" customHeight="true" outlineLevel="0" collapsed="false">
      <c r="A2905" s="8" t="n">
        <v>2644</v>
      </c>
      <c r="B2905" s="8" t="s">
        <v>81</v>
      </c>
      <c r="C2905" s="8" t="s">
        <v>1284</v>
      </c>
      <c r="D2905" s="8" t="n">
        <v>2009</v>
      </c>
      <c r="E2905" s="8" t="s">
        <v>13452</v>
      </c>
      <c r="F2905" s="8" t="s">
        <v>13453</v>
      </c>
      <c r="G2905" s="8" t="s">
        <v>1278</v>
      </c>
      <c r="H2905" s="8" t="s">
        <v>611</v>
      </c>
      <c r="I2905" s="8" t="s">
        <v>146</v>
      </c>
      <c r="J2905" s="8" t="s">
        <v>13454</v>
      </c>
      <c r="K2905" s="8" t="s">
        <v>112</v>
      </c>
      <c r="L2905" s="8" t="s">
        <v>13455</v>
      </c>
    </row>
    <row r="2906" customFormat="false" ht="34.5" hidden="false" customHeight="true" outlineLevel="0" collapsed="false">
      <c r="A2906" s="8" t="n">
        <v>2645</v>
      </c>
      <c r="B2906" s="8" t="s">
        <v>81</v>
      </c>
      <c r="C2906" s="8" t="s">
        <v>8975</v>
      </c>
      <c r="D2906" s="8" t="n">
        <v>2014</v>
      </c>
      <c r="E2906" s="8" t="s">
        <v>13456</v>
      </c>
      <c r="F2906" s="8" t="s">
        <v>151</v>
      </c>
      <c r="G2906" s="8" t="s">
        <v>1619</v>
      </c>
      <c r="H2906" s="8" t="s">
        <v>145</v>
      </c>
      <c r="I2906" s="8" t="s">
        <v>146</v>
      </c>
      <c r="J2906" s="8" t="s">
        <v>13457</v>
      </c>
      <c r="K2906" s="8" t="s">
        <v>112</v>
      </c>
      <c r="L2906" s="8" t="s">
        <v>13458</v>
      </c>
    </row>
    <row r="2907" customFormat="false" ht="23.25" hidden="false" customHeight="true" outlineLevel="0" collapsed="false">
      <c r="A2907" s="8" t="n">
        <v>2646</v>
      </c>
      <c r="B2907" s="8" t="s">
        <v>81</v>
      </c>
      <c r="C2907" s="8" t="s">
        <v>13459</v>
      </c>
      <c r="D2907" s="8" t="n">
        <v>2017</v>
      </c>
      <c r="E2907" s="8" t="s">
        <v>13460</v>
      </c>
      <c r="F2907" s="8" t="s">
        <v>143</v>
      </c>
      <c r="G2907" s="8" t="s">
        <v>152</v>
      </c>
      <c r="H2907" s="8" t="s">
        <v>145</v>
      </c>
      <c r="I2907" s="8" t="s">
        <v>153</v>
      </c>
      <c r="J2907" s="8" t="s">
        <v>13461</v>
      </c>
      <c r="K2907" s="8"/>
      <c r="L2907" s="8" t="s">
        <v>13462</v>
      </c>
    </row>
    <row r="2908" customFormat="false" ht="34.5" hidden="false" customHeight="true" outlineLevel="0" collapsed="false">
      <c r="A2908" s="8" t="n">
        <v>2647</v>
      </c>
      <c r="B2908" s="8" t="s">
        <v>81</v>
      </c>
      <c r="C2908" s="8" t="s">
        <v>13463</v>
      </c>
      <c r="D2908" s="8" t="n">
        <v>2017</v>
      </c>
      <c r="E2908" s="8" t="s">
        <v>13464</v>
      </c>
      <c r="F2908" s="8" t="s">
        <v>201</v>
      </c>
      <c r="G2908" s="8" t="s">
        <v>152</v>
      </c>
      <c r="H2908" s="8" t="s">
        <v>145</v>
      </c>
      <c r="I2908" s="8" t="s">
        <v>153</v>
      </c>
      <c r="J2908" s="8" t="s">
        <v>13465</v>
      </c>
      <c r="K2908" s="8"/>
      <c r="L2908" s="8" t="s">
        <v>13466</v>
      </c>
    </row>
    <row r="2909" customFormat="false" ht="34.5" hidden="false" customHeight="true" outlineLevel="0" collapsed="false">
      <c r="A2909" s="8" t="n">
        <v>2648</v>
      </c>
      <c r="B2909" s="8" t="s">
        <v>81</v>
      </c>
      <c r="C2909" s="8" t="s">
        <v>1219</v>
      </c>
      <c r="D2909" s="8" t="n">
        <v>2011</v>
      </c>
      <c r="E2909" s="8" t="s">
        <v>13467</v>
      </c>
      <c r="F2909" s="8" t="s">
        <v>3817</v>
      </c>
      <c r="G2909" s="8" t="s">
        <v>13468</v>
      </c>
      <c r="H2909" s="8" t="s">
        <v>2841</v>
      </c>
      <c r="I2909" s="8" t="s">
        <v>146</v>
      </c>
      <c r="J2909" s="8" t="s">
        <v>13469</v>
      </c>
      <c r="K2909" s="8" t="s">
        <v>116</v>
      </c>
      <c r="L2909" s="8" t="s">
        <v>13470</v>
      </c>
    </row>
    <row r="2910" customFormat="false" ht="23.25" hidden="false" customHeight="true" outlineLevel="0" collapsed="false">
      <c r="A2910" s="8" t="n">
        <v>2649</v>
      </c>
      <c r="B2910" s="8" t="s">
        <v>81</v>
      </c>
      <c r="C2910" s="8" t="s">
        <v>9962</v>
      </c>
      <c r="D2910" s="8" t="n">
        <v>2007</v>
      </c>
      <c r="E2910" s="8" t="s">
        <v>13471</v>
      </c>
      <c r="F2910" s="8" t="s">
        <v>13472</v>
      </c>
      <c r="G2910" s="8" t="s">
        <v>3863</v>
      </c>
      <c r="H2910" s="8" t="s">
        <v>13473</v>
      </c>
      <c r="I2910" s="8" t="s">
        <v>146</v>
      </c>
      <c r="J2910" s="8" t="s">
        <v>13474</v>
      </c>
      <c r="K2910" s="8" t="s">
        <v>116</v>
      </c>
      <c r="L2910" s="8" t="s">
        <v>13475</v>
      </c>
    </row>
    <row r="2911" customFormat="false" ht="23.25" hidden="false" customHeight="true" outlineLevel="0" collapsed="false">
      <c r="A2911" s="8" t="n">
        <v>2650</v>
      </c>
      <c r="B2911" s="8" t="s">
        <v>81</v>
      </c>
      <c r="C2911" s="8" t="s">
        <v>13476</v>
      </c>
      <c r="D2911" s="8" t="n">
        <v>2010</v>
      </c>
      <c r="E2911" s="8" t="s">
        <v>13477</v>
      </c>
      <c r="F2911" s="8" t="s">
        <v>143</v>
      </c>
      <c r="G2911" s="8" t="s">
        <v>13478</v>
      </c>
      <c r="H2911" s="8" t="s">
        <v>3836</v>
      </c>
      <c r="I2911" s="8" t="s">
        <v>146</v>
      </c>
      <c r="J2911" s="8" t="s">
        <v>13479</v>
      </c>
      <c r="K2911" s="8" t="s">
        <v>116</v>
      </c>
      <c r="L2911" s="8" t="s">
        <v>13480</v>
      </c>
    </row>
    <row r="2912" customFormat="false" ht="34.5" hidden="false" customHeight="true" outlineLevel="0" collapsed="false">
      <c r="A2912" s="8" t="n">
        <v>2651</v>
      </c>
      <c r="B2912" s="8" t="s">
        <v>81</v>
      </c>
      <c r="C2912" s="8" t="s">
        <v>13481</v>
      </c>
      <c r="D2912" s="8" t="n">
        <v>2023</v>
      </c>
      <c r="E2912" s="8" t="s">
        <v>13482</v>
      </c>
      <c r="F2912" s="8" t="s">
        <v>143</v>
      </c>
      <c r="G2912" s="8" t="s">
        <v>626</v>
      </c>
      <c r="H2912" s="8" t="s">
        <v>145</v>
      </c>
      <c r="I2912" s="8" t="s">
        <v>146</v>
      </c>
      <c r="J2912" s="8" t="s">
        <v>13483</v>
      </c>
      <c r="K2912" s="8" t="s">
        <v>112</v>
      </c>
      <c r="L2912" s="8" t="s">
        <v>13484</v>
      </c>
    </row>
    <row r="2913" customFormat="false" ht="34.5" hidden="false" customHeight="true" outlineLevel="0" collapsed="false">
      <c r="A2913" s="8" t="n">
        <v>2652</v>
      </c>
      <c r="B2913" s="8" t="s">
        <v>81</v>
      </c>
      <c r="C2913" s="8" t="s">
        <v>13485</v>
      </c>
      <c r="D2913" s="8" t="n">
        <v>2017</v>
      </c>
      <c r="E2913" s="8" t="s">
        <v>13486</v>
      </c>
      <c r="F2913" s="8" t="s">
        <v>2868</v>
      </c>
      <c r="G2913" s="8" t="s">
        <v>13487</v>
      </c>
      <c r="H2913" s="8" t="s">
        <v>13488</v>
      </c>
      <c r="I2913" s="8" t="s">
        <v>146</v>
      </c>
      <c r="J2913" s="8" t="s">
        <v>13489</v>
      </c>
      <c r="K2913" s="8" t="s">
        <v>116</v>
      </c>
      <c r="L2913" s="8" t="s">
        <v>13490</v>
      </c>
    </row>
    <row r="2914" customFormat="false" ht="34.5" hidden="false" customHeight="true" outlineLevel="0" collapsed="false">
      <c r="A2914" s="8" t="n">
        <v>2653</v>
      </c>
      <c r="B2914" s="8" t="s">
        <v>81</v>
      </c>
      <c r="C2914" s="8" t="s">
        <v>13491</v>
      </c>
      <c r="D2914" s="8" t="n">
        <v>2023</v>
      </c>
      <c r="E2914" s="8" t="s">
        <v>13492</v>
      </c>
      <c r="F2914" s="8" t="s">
        <v>13493</v>
      </c>
      <c r="G2914" s="8" t="s">
        <v>13494</v>
      </c>
      <c r="H2914" s="8" t="s">
        <v>145</v>
      </c>
      <c r="I2914" s="8" t="s">
        <v>153</v>
      </c>
      <c r="J2914" s="8" t="s">
        <v>13495</v>
      </c>
      <c r="K2914" s="8" t="s">
        <v>114</v>
      </c>
      <c r="L2914" s="8" t="s">
        <v>13496</v>
      </c>
    </row>
    <row r="2915" customFormat="false" ht="23.25" hidden="false" customHeight="true" outlineLevel="0" collapsed="false">
      <c r="A2915" s="8" t="n">
        <v>2654</v>
      </c>
      <c r="B2915" s="8" t="s">
        <v>81</v>
      </c>
      <c r="C2915" s="8" t="s">
        <v>13497</v>
      </c>
      <c r="D2915" s="8" t="n">
        <v>2024</v>
      </c>
      <c r="E2915" s="8" t="s">
        <v>13498</v>
      </c>
      <c r="F2915" s="8" t="s">
        <v>143</v>
      </c>
      <c r="G2915" s="8" t="s">
        <v>13499</v>
      </c>
      <c r="H2915" s="8" t="s">
        <v>13500</v>
      </c>
      <c r="I2915" s="8" t="s">
        <v>146</v>
      </c>
      <c r="J2915" s="8" t="s">
        <v>13501</v>
      </c>
      <c r="K2915" s="8"/>
      <c r="L2915" s="8" t="s">
        <v>13502</v>
      </c>
    </row>
    <row r="2916" customFormat="false" ht="34.5" hidden="false" customHeight="true" outlineLevel="0" collapsed="false">
      <c r="A2916" s="8" t="n">
        <v>2655</v>
      </c>
      <c r="B2916" s="8" t="s">
        <v>81</v>
      </c>
      <c r="C2916" s="8" t="s">
        <v>13503</v>
      </c>
      <c r="D2916" s="8" t="n">
        <v>2016</v>
      </c>
      <c r="E2916" s="8" t="s">
        <v>13504</v>
      </c>
      <c r="F2916" s="8" t="s">
        <v>579</v>
      </c>
      <c r="G2916" s="8" t="s">
        <v>13505</v>
      </c>
      <c r="H2916" s="8" t="s">
        <v>1198</v>
      </c>
      <c r="I2916" s="8" t="s">
        <v>146</v>
      </c>
      <c r="J2916" s="8" t="s">
        <v>13506</v>
      </c>
      <c r="K2916" s="8" t="s">
        <v>116</v>
      </c>
      <c r="L2916" s="8" t="s">
        <v>13507</v>
      </c>
    </row>
    <row r="2917" customFormat="false" ht="23.25" hidden="false" customHeight="true" outlineLevel="0" collapsed="false">
      <c r="A2917" s="8" t="n">
        <v>2656</v>
      </c>
      <c r="B2917" s="8" t="s">
        <v>81</v>
      </c>
      <c r="C2917" s="8" t="s">
        <v>13508</v>
      </c>
      <c r="D2917" s="8" t="n">
        <v>2023</v>
      </c>
      <c r="E2917" s="8" t="s">
        <v>13509</v>
      </c>
      <c r="F2917" s="8" t="s">
        <v>143</v>
      </c>
      <c r="G2917" s="8" t="s">
        <v>13510</v>
      </c>
      <c r="H2917" s="8" t="s">
        <v>145</v>
      </c>
      <c r="I2917" s="8" t="s">
        <v>153</v>
      </c>
      <c r="J2917" s="8" t="s">
        <v>13511</v>
      </c>
      <c r="K2917" s="8" t="s">
        <v>114</v>
      </c>
      <c r="L2917" s="8" t="s">
        <v>13512</v>
      </c>
    </row>
    <row r="2918" customFormat="false" ht="23.25" hidden="false" customHeight="true" outlineLevel="0" collapsed="false">
      <c r="A2918" s="8" t="n">
        <v>2657</v>
      </c>
      <c r="B2918" s="8" t="s">
        <v>81</v>
      </c>
      <c r="C2918" s="8" t="s">
        <v>1793</v>
      </c>
      <c r="D2918" s="8" t="n">
        <v>2023</v>
      </c>
      <c r="E2918" s="8" t="s">
        <v>13513</v>
      </c>
      <c r="F2918" s="8" t="s">
        <v>143</v>
      </c>
      <c r="G2918" s="8" t="s">
        <v>13514</v>
      </c>
      <c r="H2918" s="8" t="s">
        <v>145</v>
      </c>
      <c r="I2918" s="8" t="s">
        <v>153</v>
      </c>
      <c r="J2918" s="8" t="s">
        <v>13515</v>
      </c>
      <c r="K2918" s="8" t="s">
        <v>110</v>
      </c>
      <c r="L2918" s="8" t="s">
        <v>13516</v>
      </c>
    </row>
    <row r="2919" customFormat="false" ht="34.5" hidden="false" customHeight="true" outlineLevel="0" collapsed="false">
      <c r="A2919" s="8" t="n">
        <v>2658</v>
      </c>
      <c r="B2919" s="8" t="s">
        <v>81</v>
      </c>
      <c r="C2919" s="8" t="s">
        <v>13517</v>
      </c>
      <c r="D2919" s="8" t="n">
        <v>2015</v>
      </c>
      <c r="E2919" s="8" t="s">
        <v>13518</v>
      </c>
      <c r="F2919" s="8" t="s">
        <v>13369</v>
      </c>
      <c r="G2919" s="8" t="s">
        <v>626</v>
      </c>
      <c r="H2919" s="8" t="s">
        <v>145</v>
      </c>
      <c r="I2919" s="8" t="s">
        <v>153</v>
      </c>
      <c r="J2919" s="8" t="s">
        <v>13519</v>
      </c>
      <c r="K2919" s="8" t="s">
        <v>112</v>
      </c>
      <c r="L2919" s="8" t="s">
        <v>13520</v>
      </c>
    </row>
    <row r="2920" customFormat="false" ht="23.25" hidden="false" customHeight="true" outlineLevel="0" collapsed="false">
      <c r="A2920" s="8" t="n">
        <v>2659</v>
      </c>
      <c r="B2920" s="8" t="s">
        <v>81</v>
      </c>
      <c r="C2920" s="8" t="s">
        <v>1366</v>
      </c>
      <c r="D2920" s="8" t="n">
        <v>2024</v>
      </c>
      <c r="E2920" s="8" t="s">
        <v>13521</v>
      </c>
      <c r="F2920" s="8" t="s">
        <v>143</v>
      </c>
      <c r="G2920" s="8" t="s">
        <v>6608</v>
      </c>
      <c r="H2920" s="8" t="s">
        <v>145</v>
      </c>
      <c r="I2920" s="8" t="s">
        <v>146</v>
      </c>
      <c r="J2920" s="8" t="s">
        <v>13522</v>
      </c>
      <c r="K2920" s="8" t="s">
        <v>112</v>
      </c>
      <c r="L2920" s="8" t="s">
        <v>13523</v>
      </c>
    </row>
    <row r="2921" customFormat="false" ht="34.5" hidden="false" customHeight="true" outlineLevel="0" collapsed="false">
      <c r="A2921" s="8" t="n">
        <v>2660</v>
      </c>
      <c r="B2921" s="8" t="s">
        <v>81</v>
      </c>
      <c r="C2921" s="8" t="s">
        <v>4222</v>
      </c>
      <c r="D2921" s="8" t="n">
        <v>2024</v>
      </c>
      <c r="E2921" s="8" t="s">
        <v>13524</v>
      </c>
      <c r="F2921" s="8" t="s">
        <v>13295</v>
      </c>
      <c r="G2921" s="8" t="s">
        <v>4233</v>
      </c>
      <c r="H2921" s="8" t="s">
        <v>145</v>
      </c>
      <c r="I2921" s="8" t="s">
        <v>522</v>
      </c>
      <c r="J2921" s="8" t="s">
        <v>13525</v>
      </c>
      <c r="K2921" s="8" t="s">
        <v>112</v>
      </c>
      <c r="L2921" s="8" t="s">
        <v>13526</v>
      </c>
    </row>
    <row r="2922" customFormat="false" ht="23.25" hidden="false" customHeight="true" outlineLevel="0" collapsed="false">
      <c r="A2922" s="8" t="n">
        <v>2661</v>
      </c>
      <c r="B2922" s="8" t="s">
        <v>81</v>
      </c>
      <c r="C2922" s="8" t="s">
        <v>13527</v>
      </c>
      <c r="D2922" s="8" t="n">
        <v>2022</v>
      </c>
      <c r="E2922" s="8" t="s">
        <v>13528</v>
      </c>
      <c r="F2922" s="8" t="s">
        <v>143</v>
      </c>
      <c r="G2922" s="8" t="s">
        <v>626</v>
      </c>
      <c r="H2922" s="8" t="s">
        <v>145</v>
      </c>
      <c r="I2922" s="8" t="s">
        <v>153</v>
      </c>
      <c r="J2922" s="8" t="s">
        <v>13529</v>
      </c>
      <c r="K2922" s="8"/>
      <c r="L2922" s="8" t="s">
        <v>13530</v>
      </c>
    </row>
    <row r="2923" customFormat="false" ht="34.5" hidden="false" customHeight="true" outlineLevel="0" collapsed="false">
      <c r="A2923" s="8" t="n">
        <v>2662</v>
      </c>
      <c r="B2923" s="8" t="s">
        <v>81</v>
      </c>
      <c r="C2923" s="8" t="s">
        <v>13531</v>
      </c>
      <c r="D2923" s="8" t="n">
        <v>2021</v>
      </c>
      <c r="E2923" s="8" t="s">
        <v>13532</v>
      </c>
      <c r="F2923" s="8" t="s">
        <v>143</v>
      </c>
      <c r="G2923" s="8" t="s">
        <v>13533</v>
      </c>
      <c r="H2923" s="8" t="s">
        <v>145</v>
      </c>
      <c r="I2923" s="8" t="s">
        <v>153</v>
      </c>
      <c r="J2923" s="8" t="s">
        <v>13534</v>
      </c>
      <c r="K2923" s="8"/>
      <c r="L2923" s="8" t="s">
        <v>13535</v>
      </c>
    </row>
    <row r="2924" customFormat="false" ht="34.5" hidden="false" customHeight="true" outlineLevel="0" collapsed="false">
      <c r="A2924" s="8" t="n">
        <v>2663</v>
      </c>
      <c r="B2924" s="8" t="s">
        <v>81</v>
      </c>
      <c r="C2924" s="8" t="s">
        <v>1299</v>
      </c>
      <c r="D2924" s="8" t="n">
        <v>2018</v>
      </c>
      <c r="E2924" s="8" t="s">
        <v>1300</v>
      </c>
      <c r="F2924" s="8" t="s">
        <v>201</v>
      </c>
      <c r="G2924" s="8" t="s">
        <v>3530</v>
      </c>
      <c r="H2924" s="8" t="s">
        <v>145</v>
      </c>
      <c r="I2924" s="8" t="s">
        <v>153</v>
      </c>
      <c r="J2924" s="8" t="s">
        <v>13536</v>
      </c>
      <c r="K2924" s="8" t="s">
        <v>112</v>
      </c>
      <c r="L2924" s="8" t="s">
        <v>13537</v>
      </c>
    </row>
    <row r="2925" customFormat="false" ht="34.5" hidden="false" customHeight="true" outlineLevel="0" collapsed="false">
      <c r="A2925" s="8" t="n">
        <v>2664</v>
      </c>
      <c r="B2925" s="8" t="s">
        <v>81</v>
      </c>
      <c r="C2925" s="8" t="s">
        <v>13538</v>
      </c>
      <c r="D2925" s="8" t="n">
        <v>2023</v>
      </c>
      <c r="E2925" s="8" t="s">
        <v>13539</v>
      </c>
      <c r="F2925" s="8" t="s">
        <v>13540</v>
      </c>
      <c r="G2925" s="8" t="s">
        <v>13541</v>
      </c>
      <c r="H2925" s="8" t="s">
        <v>145</v>
      </c>
      <c r="I2925" s="8" t="s">
        <v>146</v>
      </c>
      <c r="J2925" s="8" t="s">
        <v>13542</v>
      </c>
      <c r="K2925" s="8" t="s">
        <v>112</v>
      </c>
      <c r="L2925" s="8" t="s">
        <v>13543</v>
      </c>
    </row>
    <row r="2926" customFormat="false" ht="34.5" hidden="false" customHeight="true" outlineLevel="0" collapsed="false">
      <c r="A2926" s="8" t="n">
        <v>2665</v>
      </c>
      <c r="B2926" s="8" t="s">
        <v>81</v>
      </c>
      <c r="C2926" s="8" t="s">
        <v>1454</v>
      </c>
      <c r="D2926" s="8" t="n">
        <v>2024</v>
      </c>
      <c r="E2926" s="8" t="s">
        <v>13544</v>
      </c>
      <c r="F2926" s="8" t="s">
        <v>201</v>
      </c>
      <c r="G2926" s="8" t="s">
        <v>348</v>
      </c>
      <c r="H2926" s="8" t="s">
        <v>145</v>
      </c>
      <c r="I2926" s="8" t="s">
        <v>153</v>
      </c>
      <c r="J2926" s="8" t="s">
        <v>13545</v>
      </c>
      <c r="K2926" s="8" t="s">
        <v>110</v>
      </c>
      <c r="L2926" s="8" t="s">
        <v>13546</v>
      </c>
    </row>
    <row r="2927" customFormat="false" ht="45.75" hidden="false" customHeight="true" outlineLevel="0" collapsed="false">
      <c r="A2927" s="8" t="n">
        <v>2666</v>
      </c>
      <c r="B2927" s="8" t="s">
        <v>83</v>
      </c>
      <c r="C2927" s="8" t="s">
        <v>13547</v>
      </c>
      <c r="D2927" s="8" t="n">
        <v>2023</v>
      </c>
      <c r="E2927" s="8" t="s">
        <v>13548</v>
      </c>
      <c r="F2927" s="8" t="s">
        <v>579</v>
      </c>
      <c r="G2927" s="8" t="s">
        <v>13549</v>
      </c>
      <c r="H2927" s="8" t="s">
        <v>13550</v>
      </c>
      <c r="I2927" s="8" t="s">
        <v>522</v>
      </c>
      <c r="J2927" s="8" t="s">
        <v>13551</v>
      </c>
      <c r="K2927" s="8" t="s">
        <v>112</v>
      </c>
      <c r="L2927" s="8" t="s">
        <v>13552</v>
      </c>
    </row>
    <row r="2928" customFormat="false" ht="57" hidden="false" customHeight="true" outlineLevel="0" collapsed="false">
      <c r="A2928" s="8" t="n">
        <v>2667</v>
      </c>
      <c r="B2928" s="8" t="s">
        <v>83</v>
      </c>
      <c r="C2928" s="8" t="s">
        <v>13553</v>
      </c>
      <c r="D2928" s="8" t="n">
        <v>2025</v>
      </c>
      <c r="E2928" s="8" t="s">
        <v>13554</v>
      </c>
      <c r="F2928" s="8" t="s">
        <v>587</v>
      </c>
      <c r="G2928" s="8" t="s">
        <v>13555</v>
      </c>
      <c r="H2928" s="8" t="s">
        <v>13556</v>
      </c>
      <c r="I2928" s="8" t="s">
        <v>153</v>
      </c>
      <c r="J2928" s="8" t="s">
        <v>13557</v>
      </c>
      <c r="K2928" s="8" t="s">
        <v>114</v>
      </c>
      <c r="L2928" s="8" t="s">
        <v>13558</v>
      </c>
    </row>
    <row r="2929" customFormat="false" ht="45.75" hidden="false" customHeight="true" outlineLevel="0" collapsed="false">
      <c r="A2929" s="8" t="n">
        <v>2668</v>
      </c>
      <c r="B2929" s="8" t="s">
        <v>83</v>
      </c>
      <c r="C2929" s="8" t="s">
        <v>13559</v>
      </c>
      <c r="D2929" s="8" t="n">
        <v>2023</v>
      </c>
      <c r="E2929" s="8" t="s">
        <v>13560</v>
      </c>
      <c r="F2929" s="8" t="s">
        <v>579</v>
      </c>
      <c r="G2929" s="8" t="s">
        <v>13561</v>
      </c>
      <c r="H2929" s="8" t="s">
        <v>145</v>
      </c>
      <c r="I2929" s="8" t="s">
        <v>153</v>
      </c>
      <c r="J2929" s="8" t="s">
        <v>13562</v>
      </c>
      <c r="K2929" s="8" t="s">
        <v>114</v>
      </c>
      <c r="L2929" s="8" t="s">
        <v>13563</v>
      </c>
    </row>
    <row r="2930" customFormat="false" ht="34.5" hidden="false" customHeight="true" outlineLevel="0" collapsed="false">
      <c r="A2930" s="8" t="n">
        <v>2669</v>
      </c>
      <c r="B2930" s="8" t="s">
        <v>83</v>
      </c>
      <c r="C2930" s="8" t="s">
        <v>1476</v>
      </c>
      <c r="D2930" s="8" t="n">
        <v>2025</v>
      </c>
      <c r="E2930" s="8" t="s">
        <v>13564</v>
      </c>
      <c r="F2930" s="8" t="s">
        <v>201</v>
      </c>
      <c r="G2930" s="8" t="s">
        <v>13565</v>
      </c>
      <c r="H2930" s="8" t="s">
        <v>145</v>
      </c>
      <c r="I2930" s="8" t="s">
        <v>153</v>
      </c>
      <c r="J2930" s="8" t="s">
        <v>13566</v>
      </c>
      <c r="K2930" s="8"/>
      <c r="L2930" s="8" t="s">
        <v>13567</v>
      </c>
    </row>
    <row r="2931" customFormat="false" ht="45.75" hidden="false" customHeight="true" outlineLevel="0" collapsed="false">
      <c r="A2931" s="8" t="n">
        <v>2670</v>
      </c>
      <c r="B2931" s="8" t="s">
        <v>83</v>
      </c>
      <c r="C2931" s="8" t="s">
        <v>1793</v>
      </c>
      <c r="D2931" s="8" t="n">
        <v>2023</v>
      </c>
      <c r="E2931" s="8" t="s">
        <v>13568</v>
      </c>
      <c r="F2931" s="8" t="s">
        <v>13569</v>
      </c>
      <c r="G2931" s="8" t="s">
        <v>13570</v>
      </c>
      <c r="H2931" s="8" t="s">
        <v>145</v>
      </c>
      <c r="I2931" s="8" t="s">
        <v>153</v>
      </c>
      <c r="J2931" s="8" t="s">
        <v>13571</v>
      </c>
      <c r="K2931" s="8" t="s">
        <v>110</v>
      </c>
      <c r="L2931" s="8" t="s">
        <v>13572</v>
      </c>
    </row>
    <row r="2932" customFormat="false" ht="45.75" hidden="false" customHeight="true" outlineLevel="0" collapsed="false">
      <c r="A2932" s="8" t="n">
        <v>2671</v>
      </c>
      <c r="B2932" s="8" t="s">
        <v>83</v>
      </c>
      <c r="C2932" s="8" t="s">
        <v>1622</v>
      </c>
      <c r="D2932" s="8" t="n">
        <v>2025</v>
      </c>
      <c r="E2932" s="8" t="s">
        <v>13573</v>
      </c>
      <c r="F2932" s="8" t="s">
        <v>8720</v>
      </c>
      <c r="G2932" s="8" t="s">
        <v>13574</v>
      </c>
      <c r="H2932" s="8" t="s">
        <v>327</v>
      </c>
      <c r="I2932" s="8" t="s">
        <v>153</v>
      </c>
      <c r="J2932" s="8" t="s">
        <v>13575</v>
      </c>
      <c r="K2932" s="8" t="s">
        <v>110</v>
      </c>
      <c r="L2932" s="8" t="s">
        <v>13576</v>
      </c>
    </row>
    <row r="2933" customFormat="false" ht="45.75" hidden="false" customHeight="true" outlineLevel="0" collapsed="false">
      <c r="A2933" s="8" t="n">
        <v>2672</v>
      </c>
      <c r="B2933" s="8" t="s">
        <v>83</v>
      </c>
      <c r="C2933" s="8" t="s">
        <v>13577</v>
      </c>
      <c r="D2933" s="8" t="n">
        <v>2024</v>
      </c>
      <c r="E2933" s="8" t="s">
        <v>13578</v>
      </c>
      <c r="F2933" s="8" t="s">
        <v>13579</v>
      </c>
      <c r="G2933" s="8" t="s">
        <v>13580</v>
      </c>
      <c r="H2933" s="8" t="s">
        <v>327</v>
      </c>
      <c r="I2933" s="8" t="s">
        <v>153</v>
      </c>
      <c r="J2933" s="8" t="s">
        <v>13581</v>
      </c>
      <c r="K2933" s="8" t="s">
        <v>114</v>
      </c>
      <c r="L2933" s="8" t="s">
        <v>13582</v>
      </c>
    </row>
    <row r="2934" customFormat="false" ht="45.75" hidden="false" customHeight="true" outlineLevel="0" collapsed="false">
      <c r="A2934" s="8" t="n">
        <v>2673</v>
      </c>
      <c r="B2934" s="8" t="s">
        <v>83</v>
      </c>
      <c r="C2934" s="8" t="s">
        <v>13583</v>
      </c>
      <c r="D2934" s="8" t="n">
        <v>2023</v>
      </c>
      <c r="E2934" s="8" t="s">
        <v>13584</v>
      </c>
      <c r="F2934" s="8" t="s">
        <v>13585</v>
      </c>
      <c r="G2934" s="8" t="s">
        <v>13586</v>
      </c>
      <c r="H2934" s="8" t="s">
        <v>871</v>
      </c>
      <c r="I2934" s="8" t="s">
        <v>153</v>
      </c>
      <c r="J2934" s="8" t="s">
        <v>13587</v>
      </c>
      <c r="K2934" s="8" t="s">
        <v>110</v>
      </c>
      <c r="L2934" s="8" t="s">
        <v>13588</v>
      </c>
    </row>
    <row r="2935" customFormat="false" ht="45.75" hidden="false" customHeight="true" outlineLevel="0" collapsed="false">
      <c r="A2935" s="8" t="n">
        <v>2674</v>
      </c>
      <c r="B2935" s="8" t="s">
        <v>83</v>
      </c>
      <c r="C2935" s="8" t="s">
        <v>13589</v>
      </c>
      <c r="D2935" s="8" t="n">
        <v>2023</v>
      </c>
      <c r="E2935" s="8" t="s">
        <v>13590</v>
      </c>
      <c r="F2935" s="8" t="s">
        <v>579</v>
      </c>
      <c r="G2935" s="8" t="s">
        <v>13591</v>
      </c>
      <c r="H2935" s="8" t="s">
        <v>145</v>
      </c>
      <c r="I2935" s="8" t="s">
        <v>387</v>
      </c>
      <c r="J2935" s="8" t="s">
        <v>13592</v>
      </c>
      <c r="K2935" s="8" t="s">
        <v>114</v>
      </c>
      <c r="L2935" s="8" t="s">
        <v>13593</v>
      </c>
    </row>
    <row r="2936" customFormat="false" ht="68.25" hidden="false" customHeight="true" outlineLevel="0" collapsed="false">
      <c r="A2936" s="8" t="n">
        <v>2675</v>
      </c>
      <c r="B2936" s="8" t="s">
        <v>83</v>
      </c>
      <c r="C2936" s="8" t="s">
        <v>13594</v>
      </c>
      <c r="D2936" s="8" t="n">
        <v>2026</v>
      </c>
      <c r="E2936" s="8" t="s">
        <v>13595</v>
      </c>
      <c r="F2936" s="8" t="s">
        <v>13596</v>
      </c>
      <c r="G2936" s="8" t="s">
        <v>13597</v>
      </c>
      <c r="H2936" s="8" t="s">
        <v>13598</v>
      </c>
      <c r="I2936" s="8" t="s">
        <v>153</v>
      </c>
      <c r="J2936" s="8" t="s">
        <v>13599</v>
      </c>
      <c r="K2936" s="8" t="s">
        <v>110</v>
      </c>
      <c r="L2936" s="8" t="s">
        <v>13600</v>
      </c>
    </row>
    <row r="2937" customFormat="false" ht="34.5" hidden="false" customHeight="true" outlineLevel="0" collapsed="false">
      <c r="A2937" s="8" t="n">
        <v>2676</v>
      </c>
      <c r="B2937" s="8" t="s">
        <v>85</v>
      </c>
      <c r="C2937" s="8" t="s">
        <v>13601</v>
      </c>
      <c r="D2937" s="8" t="n">
        <v>2024</v>
      </c>
      <c r="E2937" s="8" t="s">
        <v>13602</v>
      </c>
      <c r="F2937" s="8" t="s">
        <v>201</v>
      </c>
      <c r="G2937" s="8" t="s">
        <v>197</v>
      </c>
      <c r="H2937" s="8" t="s">
        <v>145</v>
      </c>
      <c r="I2937" s="8" t="s">
        <v>153</v>
      </c>
      <c r="J2937" s="8" t="s">
        <v>13603</v>
      </c>
      <c r="K2937" s="8"/>
      <c r="L2937" s="8" t="s">
        <v>13604</v>
      </c>
    </row>
    <row r="2938" customFormat="false" ht="34.5" hidden="false" customHeight="true" outlineLevel="0" collapsed="false">
      <c r="A2938" s="8" t="n">
        <v>2677</v>
      </c>
      <c r="B2938" s="8" t="s">
        <v>85</v>
      </c>
      <c r="C2938" s="8" t="s">
        <v>2633</v>
      </c>
      <c r="D2938" s="8" t="n">
        <v>2024</v>
      </c>
      <c r="E2938" s="8" t="s">
        <v>13605</v>
      </c>
      <c r="F2938" s="8" t="s">
        <v>151</v>
      </c>
      <c r="G2938" s="8" t="s">
        <v>2784</v>
      </c>
      <c r="H2938" s="8" t="s">
        <v>145</v>
      </c>
      <c r="I2938" s="8" t="s">
        <v>153</v>
      </c>
      <c r="J2938" s="8" t="s">
        <v>13606</v>
      </c>
      <c r="K2938" s="8"/>
      <c r="L2938" s="8" t="s">
        <v>13607</v>
      </c>
    </row>
    <row r="2939" customFormat="false" ht="34.5" hidden="false" customHeight="true" outlineLevel="0" collapsed="false">
      <c r="A2939" s="8" t="n">
        <v>2678</v>
      </c>
      <c r="B2939" s="8" t="s">
        <v>85</v>
      </c>
      <c r="C2939" s="8" t="s">
        <v>10864</v>
      </c>
      <c r="D2939" s="8" t="n">
        <v>2024</v>
      </c>
      <c r="E2939" s="8" t="s">
        <v>13608</v>
      </c>
      <c r="F2939" s="8" t="s">
        <v>13609</v>
      </c>
      <c r="G2939" s="8" t="s">
        <v>197</v>
      </c>
      <c r="H2939" s="8" t="s">
        <v>13610</v>
      </c>
      <c r="I2939" s="8" t="s">
        <v>146</v>
      </c>
      <c r="J2939" s="8" t="s">
        <v>6377</v>
      </c>
      <c r="K2939" s="8"/>
      <c r="L2939" s="8" t="s">
        <v>13611</v>
      </c>
    </row>
    <row r="2940" customFormat="false" ht="34.5" hidden="false" customHeight="true" outlineLevel="0" collapsed="false">
      <c r="A2940" s="8" t="n">
        <v>2679</v>
      </c>
      <c r="B2940" s="8" t="s">
        <v>85</v>
      </c>
      <c r="C2940" s="8" t="s">
        <v>13612</v>
      </c>
      <c r="D2940" s="8" t="n">
        <v>2015</v>
      </c>
      <c r="E2940" s="8" t="s">
        <v>13613</v>
      </c>
      <c r="F2940" s="8" t="s">
        <v>3817</v>
      </c>
      <c r="G2940" s="8" t="s">
        <v>197</v>
      </c>
      <c r="H2940" s="8" t="s">
        <v>145</v>
      </c>
      <c r="I2940" s="8" t="s">
        <v>153</v>
      </c>
      <c r="J2940" s="8" t="s">
        <v>13614</v>
      </c>
      <c r="K2940" s="8"/>
      <c r="L2940" s="8" t="s">
        <v>13615</v>
      </c>
    </row>
    <row r="2941" customFormat="false" ht="34.5" hidden="false" customHeight="true" outlineLevel="0" collapsed="false">
      <c r="A2941" s="8" t="n">
        <v>2680</v>
      </c>
      <c r="B2941" s="8" t="s">
        <v>85</v>
      </c>
      <c r="C2941" s="8" t="s">
        <v>13616</v>
      </c>
      <c r="D2941" s="8" t="n">
        <v>2024</v>
      </c>
      <c r="E2941" s="8" t="s">
        <v>13617</v>
      </c>
      <c r="F2941" s="8" t="s">
        <v>10512</v>
      </c>
      <c r="G2941" s="8" t="s">
        <v>13618</v>
      </c>
      <c r="H2941" s="8" t="s">
        <v>145</v>
      </c>
      <c r="I2941" s="8" t="s">
        <v>153</v>
      </c>
      <c r="J2941" s="8" t="s">
        <v>13619</v>
      </c>
      <c r="K2941" s="8" t="s">
        <v>114</v>
      </c>
      <c r="L2941" s="8" t="s">
        <v>13620</v>
      </c>
    </row>
    <row r="2942" customFormat="false" ht="34.5" hidden="false" customHeight="true" outlineLevel="0" collapsed="false">
      <c r="A2942" s="8" t="n">
        <v>2681</v>
      </c>
      <c r="B2942" s="8" t="s">
        <v>85</v>
      </c>
      <c r="C2942" s="8" t="s">
        <v>13621</v>
      </c>
      <c r="D2942" s="8" t="n">
        <v>2022</v>
      </c>
      <c r="E2942" s="8" t="s">
        <v>13622</v>
      </c>
      <c r="F2942" s="8" t="s">
        <v>10512</v>
      </c>
      <c r="G2942" s="8" t="s">
        <v>13623</v>
      </c>
      <c r="H2942" s="8" t="s">
        <v>13624</v>
      </c>
      <c r="I2942" s="8" t="s">
        <v>748</v>
      </c>
      <c r="J2942" s="8" t="s">
        <v>13625</v>
      </c>
      <c r="K2942" s="8" t="s">
        <v>116</v>
      </c>
      <c r="L2942" s="8" t="s">
        <v>13626</v>
      </c>
    </row>
    <row r="2943" customFormat="false" ht="34.5" hidden="false" customHeight="true" outlineLevel="0" collapsed="false">
      <c r="A2943" s="8" t="n">
        <v>2682</v>
      </c>
      <c r="B2943" s="8" t="s">
        <v>85</v>
      </c>
      <c r="C2943" s="8" t="s">
        <v>13627</v>
      </c>
      <c r="D2943" s="8" t="n">
        <v>2024</v>
      </c>
      <c r="E2943" s="8" t="s">
        <v>13628</v>
      </c>
      <c r="F2943" s="8" t="s">
        <v>13629</v>
      </c>
      <c r="G2943" s="8" t="s">
        <v>13630</v>
      </c>
      <c r="H2943" s="8" t="s">
        <v>13631</v>
      </c>
      <c r="I2943" s="8" t="s">
        <v>153</v>
      </c>
      <c r="J2943" s="8" t="s">
        <v>13632</v>
      </c>
      <c r="K2943" s="8" t="s">
        <v>116</v>
      </c>
      <c r="L2943" s="8" t="s">
        <v>13633</v>
      </c>
    </row>
    <row r="2944" customFormat="false" ht="34.5" hidden="false" customHeight="true" outlineLevel="0" collapsed="false">
      <c r="A2944" s="8" t="n">
        <v>2683</v>
      </c>
      <c r="B2944" s="8" t="s">
        <v>85</v>
      </c>
      <c r="C2944" s="8" t="s">
        <v>13634</v>
      </c>
      <c r="D2944" s="8" t="n">
        <v>2021</v>
      </c>
      <c r="E2944" s="8" t="s">
        <v>13635</v>
      </c>
      <c r="F2944" s="8" t="s">
        <v>2868</v>
      </c>
      <c r="G2944" s="8" t="s">
        <v>3492</v>
      </c>
      <c r="H2944" s="8" t="s">
        <v>13636</v>
      </c>
      <c r="I2944" s="8" t="s">
        <v>146</v>
      </c>
      <c r="J2944" s="8" t="s">
        <v>13637</v>
      </c>
      <c r="K2944" s="8" t="s">
        <v>116</v>
      </c>
      <c r="L2944" s="8" t="s">
        <v>13638</v>
      </c>
    </row>
    <row r="2945" customFormat="false" ht="34.5" hidden="false" customHeight="true" outlineLevel="0" collapsed="false">
      <c r="A2945" s="8" t="n">
        <v>2684</v>
      </c>
      <c r="B2945" s="8" t="s">
        <v>85</v>
      </c>
      <c r="C2945" s="8" t="s">
        <v>2051</v>
      </c>
      <c r="D2945" s="8" t="n">
        <v>2022</v>
      </c>
      <c r="E2945" s="8" t="s">
        <v>13639</v>
      </c>
      <c r="F2945" s="8" t="s">
        <v>9203</v>
      </c>
      <c r="G2945" s="8" t="s">
        <v>13640</v>
      </c>
      <c r="H2945" s="8" t="s">
        <v>13641</v>
      </c>
      <c r="I2945" s="8" t="s">
        <v>748</v>
      </c>
      <c r="J2945" s="8" t="s">
        <v>13642</v>
      </c>
      <c r="K2945" s="8" t="s">
        <v>116</v>
      </c>
      <c r="L2945" s="8" t="s">
        <v>13643</v>
      </c>
    </row>
    <row r="2946" customFormat="false" ht="34.5" hidden="false" customHeight="true" outlineLevel="0" collapsed="false">
      <c r="A2946" s="8" t="n">
        <v>2685</v>
      </c>
      <c r="B2946" s="8" t="s">
        <v>85</v>
      </c>
      <c r="C2946" s="8" t="s">
        <v>13644</v>
      </c>
      <c r="D2946" s="8" t="n">
        <v>2022</v>
      </c>
      <c r="E2946" s="8" t="s">
        <v>13645</v>
      </c>
      <c r="F2946" s="8" t="s">
        <v>13646</v>
      </c>
      <c r="G2946" s="8" t="s">
        <v>13647</v>
      </c>
      <c r="H2946" s="8" t="s">
        <v>145</v>
      </c>
      <c r="I2946" s="8" t="s">
        <v>153</v>
      </c>
      <c r="J2946" s="8" t="s">
        <v>13648</v>
      </c>
      <c r="K2946" s="8" t="s">
        <v>110</v>
      </c>
      <c r="L2946" s="8" t="s">
        <v>13649</v>
      </c>
    </row>
    <row r="2947" customFormat="false" ht="34.5" hidden="false" customHeight="true" outlineLevel="0" collapsed="false">
      <c r="A2947" s="8" t="n">
        <v>2686</v>
      </c>
      <c r="B2947" s="8" t="s">
        <v>85</v>
      </c>
      <c r="C2947" s="8" t="s">
        <v>13650</v>
      </c>
      <c r="D2947" s="8" t="n">
        <v>2022</v>
      </c>
      <c r="E2947" s="8" t="s">
        <v>13651</v>
      </c>
      <c r="F2947" s="8" t="s">
        <v>579</v>
      </c>
      <c r="G2947" s="8" t="s">
        <v>1163</v>
      </c>
      <c r="H2947" s="8" t="s">
        <v>145</v>
      </c>
      <c r="I2947" s="8" t="s">
        <v>153</v>
      </c>
      <c r="J2947" s="8" t="s">
        <v>13652</v>
      </c>
      <c r="K2947" s="8" t="s">
        <v>114</v>
      </c>
      <c r="L2947" s="8" t="s">
        <v>13653</v>
      </c>
    </row>
    <row r="2948" customFormat="false" ht="34.5" hidden="false" customHeight="true" outlineLevel="0" collapsed="false">
      <c r="A2948" s="8" t="n">
        <v>2687</v>
      </c>
      <c r="B2948" s="8" t="s">
        <v>85</v>
      </c>
      <c r="C2948" s="8" t="s">
        <v>13654</v>
      </c>
      <c r="D2948" s="8" t="n">
        <v>2024</v>
      </c>
      <c r="E2948" s="8" t="s">
        <v>13655</v>
      </c>
      <c r="F2948" s="8" t="s">
        <v>13656</v>
      </c>
      <c r="G2948" s="8" t="s">
        <v>13657</v>
      </c>
      <c r="H2948" s="8" t="s">
        <v>8695</v>
      </c>
      <c r="I2948" s="8" t="s">
        <v>153</v>
      </c>
      <c r="J2948" s="8" t="s">
        <v>13658</v>
      </c>
      <c r="K2948" s="8" t="s">
        <v>114</v>
      </c>
      <c r="L2948" s="8" t="s">
        <v>13659</v>
      </c>
    </row>
    <row r="2949" customFormat="false" ht="34.5" hidden="false" customHeight="true" outlineLevel="0" collapsed="false">
      <c r="A2949" s="8" t="n">
        <v>2688</v>
      </c>
      <c r="B2949" s="8" t="s">
        <v>85</v>
      </c>
      <c r="C2949" s="8" t="s">
        <v>13660</v>
      </c>
      <c r="D2949" s="8" t="n">
        <v>2024</v>
      </c>
      <c r="E2949" s="8" t="s">
        <v>13661</v>
      </c>
      <c r="F2949" s="8" t="s">
        <v>8720</v>
      </c>
      <c r="G2949" s="8" t="s">
        <v>13662</v>
      </c>
      <c r="H2949" s="8" t="s">
        <v>145</v>
      </c>
      <c r="I2949" s="8" t="s">
        <v>153</v>
      </c>
      <c r="J2949" s="8" t="s">
        <v>13663</v>
      </c>
      <c r="K2949" s="8" t="s">
        <v>114</v>
      </c>
      <c r="L2949" s="8" t="s">
        <v>13664</v>
      </c>
    </row>
    <row r="2950" customFormat="false" ht="34.5" hidden="false" customHeight="true" outlineLevel="0" collapsed="false">
      <c r="A2950" s="8" t="n">
        <v>2689</v>
      </c>
      <c r="B2950" s="8" t="s">
        <v>85</v>
      </c>
      <c r="C2950" s="8" t="s">
        <v>13665</v>
      </c>
      <c r="D2950" s="8" t="n">
        <v>2023</v>
      </c>
      <c r="E2950" s="8" t="s">
        <v>13666</v>
      </c>
      <c r="F2950" s="8" t="s">
        <v>13667</v>
      </c>
      <c r="G2950" s="8" t="s">
        <v>13668</v>
      </c>
      <c r="H2950" s="8" t="s">
        <v>145</v>
      </c>
      <c r="I2950" s="8" t="s">
        <v>153</v>
      </c>
      <c r="J2950" s="8" t="s">
        <v>13669</v>
      </c>
      <c r="K2950" s="8" t="s">
        <v>114</v>
      </c>
      <c r="L2950" s="8" t="s">
        <v>13670</v>
      </c>
    </row>
    <row r="2951" customFormat="false" ht="34.5" hidden="false" customHeight="true" outlineLevel="0" collapsed="false">
      <c r="A2951" s="8" t="n">
        <v>2690</v>
      </c>
      <c r="B2951" s="8" t="s">
        <v>85</v>
      </c>
      <c r="C2951" s="8" t="s">
        <v>13671</v>
      </c>
      <c r="D2951" s="8" t="n">
        <v>2023</v>
      </c>
      <c r="E2951" s="8" t="s">
        <v>13672</v>
      </c>
      <c r="F2951" s="8" t="s">
        <v>13673</v>
      </c>
      <c r="G2951" s="8" t="s">
        <v>13674</v>
      </c>
      <c r="H2951" s="8" t="s">
        <v>13675</v>
      </c>
      <c r="I2951" s="8" t="s">
        <v>153</v>
      </c>
      <c r="J2951" s="8" t="s">
        <v>13676</v>
      </c>
      <c r="K2951" s="8" t="s">
        <v>114</v>
      </c>
      <c r="L2951" s="8" t="s">
        <v>13677</v>
      </c>
    </row>
    <row r="2952" customFormat="false" ht="34.5" hidden="false" customHeight="true" outlineLevel="0" collapsed="false">
      <c r="A2952" s="8" t="n">
        <v>2691</v>
      </c>
      <c r="B2952" s="8" t="s">
        <v>85</v>
      </c>
      <c r="C2952" s="8" t="s">
        <v>13678</v>
      </c>
      <c r="D2952" s="8" t="n">
        <v>2020</v>
      </c>
      <c r="E2952" s="8" t="s">
        <v>13679</v>
      </c>
      <c r="F2952" s="8" t="s">
        <v>579</v>
      </c>
      <c r="G2952" s="8" t="s">
        <v>13680</v>
      </c>
      <c r="H2952" s="8" t="s">
        <v>13681</v>
      </c>
      <c r="I2952" s="8" t="s">
        <v>387</v>
      </c>
      <c r="J2952" s="8" t="s">
        <v>13682</v>
      </c>
      <c r="K2952" s="8" t="s">
        <v>116</v>
      </c>
      <c r="L2952" s="8" t="s">
        <v>13683</v>
      </c>
    </row>
    <row r="2953" customFormat="false" ht="34.5" hidden="false" customHeight="true" outlineLevel="0" collapsed="false">
      <c r="A2953" s="8" t="n">
        <v>2692</v>
      </c>
      <c r="B2953" s="8" t="s">
        <v>85</v>
      </c>
      <c r="C2953" s="8" t="s">
        <v>13684</v>
      </c>
      <c r="D2953" s="8" t="n">
        <v>2023</v>
      </c>
      <c r="E2953" s="8" t="s">
        <v>13685</v>
      </c>
      <c r="F2953" s="8" t="s">
        <v>9203</v>
      </c>
      <c r="G2953" s="8" t="s">
        <v>13686</v>
      </c>
      <c r="H2953" s="8" t="s">
        <v>13687</v>
      </c>
      <c r="I2953" s="8" t="s">
        <v>208</v>
      </c>
      <c r="J2953" s="8" t="s">
        <v>13688</v>
      </c>
      <c r="K2953" s="8"/>
      <c r="L2953" s="8" t="s">
        <v>13689</v>
      </c>
    </row>
    <row r="2954" customFormat="false" ht="34.5" hidden="false" customHeight="true" outlineLevel="0" collapsed="false">
      <c r="A2954" s="8" t="n">
        <v>2693</v>
      </c>
      <c r="B2954" s="8" t="s">
        <v>85</v>
      </c>
      <c r="C2954" s="8" t="s">
        <v>13627</v>
      </c>
      <c r="D2954" s="8" t="n">
        <v>2024</v>
      </c>
      <c r="E2954" s="8" t="s">
        <v>13690</v>
      </c>
      <c r="F2954" s="8" t="s">
        <v>13691</v>
      </c>
      <c r="G2954" s="8" t="s">
        <v>13692</v>
      </c>
      <c r="H2954" s="8" t="s">
        <v>13693</v>
      </c>
      <c r="I2954" s="8" t="s">
        <v>153</v>
      </c>
      <c r="J2954" s="8" t="s">
        <v>13694</v>
      </c>
      <c r="K2954" s="8" t="s">
        <v>116</v>
      </c>
      <c r="L2954" s="8" t="s">
        <v>13695</v>
      </c>
    </row>
    <row r="2955" customFormat="false" ht="34.5" hidden="false" customHeight="true" outlineLevel="0" collapsed="false">
      <c r="A2955" s="8" t="n">
        <v>2694</v>
      </c>
      <c r="B2955" s="8" t="s">
        <v>85</v>
      </c>
      <c r="C2955" s="8" t="s">
        <v>13696</v>
      </c>
      <c r="D2955" s="8" t="n">
        <v>2023</v>
      </c>
      <c r="E2955" s="8" t="s">
        <v>13697</v>
      </c>
      <c r="F2955" s="8" t="s">
        <v>13698</v>
      </c>
      <c r="G2955" s="8" t="s">
        <v>13699</v>
      </c>
      <c r="H2955" s="8" t="s">
        <v>13700</v>
      </c>
      <c r="I2955" s="8" t="s">
        <v>153</v>
      </c>
      <c r="J2955" s="8" t="s">
        <v>13701</v>
      </c>
      <c r="K2955" s="8" t="s">
        <v>116</v>
      </c>
      <c r="L2955" s="8" t="s">
        <v>13702</v>
      </c>
    </row>
    <row r="2956" customFormat="false" ht="34.5" hidden="false" customHeight="true" outlineLevel="0" collapsed="false">
      <c r="A2956" s="8" t="n">
        <v>2695</v>
      </c>
      <c r="B2956" s="8" t="s">
        <v>85</v>
      </c>
      <c r="C2956" s="8" t="s">
        <v>13703</v>
      </c>
      <c r="D2956" s="8" t="n">
        <v>2024</v>
      </c>
      <c r="E2956" s="8" t="s">
        <v>13704</v>
      </c>
      <c r="F2956" s="8" t="s">
        <v>10512</v>
      </c>
      <c r="G2956" s="8" t="s">
        <v>13705</v>
      </c>
      <c r="H2956" s="8" t="s">
        <v>10916</v>
      </c>
      <c r="I2956" s="8" t="s">
        <v>146</v>
      </c>
      <c r="J2956" s="8" t="s">
        <v>13706</v>
      </c>
      <c r="K2956" s="8" t="s">
        <v>116</v>
      </c>
      <c r="L2956" s="8" t="s">
        <v>13707</v>
      </c>
    </row>
    <row r="2957" customFormat="false" ht="34.5" hidden="false" customHeight="true" outlineLevel="0" collapsed="false">
      <c r="A2957" s="8" t="n">
        <v>2696</v>
      </c>
      <c r="B2957" s="8" t="s">
        <v>85</v>
      </c>
      <c r="C2957" s="8" t="s">
        <v>1793</v>
      </c>
      <c r="D2957" s="8" t="n">
        <v>2023</v>
      </c>
      <c r="E2957" s="8" t="s">
        <v>13708</v>
      </c>
      <c r="F2957" s="8" t="s">
        <v>8720</v>
      </c>
      <c r="G2957" s="8" t="s">
        <v>13709</v>
      </c>
      <c r="H2957" s="8" t="s">
        <v>145</v>
      </c>
      <c r="I2957" s="8" t="s">
        <v>153</v>
      </c>
      <c r="J2957" s="8" t="s">
        <v>13710</v>
      </c>
      <c r="K2957" s="8" t="s">
        <v>110</v>
      </c>
      <c r="L2957" s="8" t="s">
        <v>13711</v>
      </c>
    </row>
    <row r="2958" customFormat="false" ht="34.5" hidden="false" customHeight="true" outlineLevel="0" collapsed="false">
      <c r="A2958" s="8" t="n">
        <v>2697</v>
      </c>
      <c r="B2958" s="8" t="s">
        <v>85</v>
      </c>
      <c r="C2958" s="8" t="s">
        <v>9210</v>
      </c>
      <c r="D2958" s="8" t="n">
        <v>2023</v>
      </c>
      <c r="E2958" s="8" t="s">
        <v>13712</v>
      </c>
      <c r="F2958" s="8" t="s">
        <v>579</v>
      </c>
      <c r="G2958" s="8" t="s">
        <v>13713</v>
      </c>
      <c r="H2958" s="8" t="s">
        <v>145</v>
      </c>
      <c r="I2958" s="8" t="s">
        <v>153</v>
      </c>
      <c r="J2958" s="8" t="s">
        <v>13714</v>
      </c>
      <c r="K2958" s="8" t="s">
        <v>110</v>
      </c>
      <c r="L2958" s="8" t="s">
        <v>13715</v>
      </c>
    </row>
    <row r="2959" customFormat="false" ht="34.5" hidden="false" customHeight="true" outlineLevel="0" collapsed="false">
      <c r="A2959" s="8" t="n">
        <v>2698</v>
      </c>
      <c r="B2959" s="8" t="s">
        <v>85</v>
      </c>
      <c r="C2959" s="8" t="s">
        <v>13716</v>
      </c>
      <c r="D2959" s="8" t="n">
        <v>2024</v>
      </c>
      <c r="E2959" s="8" t="s">
        <v>13717</v>
      </c>
      <c r="F2959" s="8" t="s">
        <v>579</v>
      </c>
      <c r="G2959" s="8" t="s">
        <v>13718</v>
      </c>
      <c r="H2959" s="8" t="s">
        <v>13719</v>
      </c>
      <c r="I2959" s="8" t="s">
        <v>146</v>
      </c>
      <c r="J2959" s="8" t="s">
        <v>13720</v>
      </c>
      <c r="K2959" s="8" t="s">
        <v>112</v>
      </c>
      <c r="L2959" s="8" t="s">
        <v>13721</v>
      </c>
    </row>
    <row r="2960" customFormat="false" ht="34.5" hidden="false" customHeight="true" outlineLevel="0" collapsed="false">
      <c r="A2960" s="8" t="n">
        <v>2699</v>
      </c>
      <c r="B2960" s="8" t="s">
        <v>85</v>
      </c>
      <c r="C2960" s="8" t="s">
        <v>13722</v>
      </c>
      <c r="D2960" s="8" t="n">
        <v>2024</v>
      </c>
      <c r="E2960" s="8" t="s">
        <v>13723</v>
      </c>
      <c r="F2960" s="8" t="s">
        <v>13724</v>
      </c>
      <c r="G2960" s="8" t="s">
        <v>13725</v>
      </c>
      <c r="H2960" s="8" t="s">
        <v>4711</v>
      </c>
      <c r="I2960" s="8" t="s">
        <v>748</v>
      </c>
      <c r="J2960" s="8" t="s">
        <v>13726</v>
      </c>
      <c r="K2960" s="8" t="s">
        <v>112</v>
      </c>
      <c r="L2960" s="8" t="s">
        <v>13727</v>
      </c>
    </row>
    <row r="2961" customFormat="false" ht="34.5" hidden="false" customHeight="true" outlineLevel="0" collapsed="false">
      <c r="A2961" s="8" t="n">
        <v>2700</v>
      </c>
      <c r="B2961" s="8" t="s">
        <v>85</v>
      </c>
      <c r="C2961" s="8" t="s">
        <v>10715</v>
      </c>
      <c r="D2961" s="8" t="n">
        <v>2024</v>
      </c>
      <c r="E2961" s="8" t="s">
        <v>13728</v>
      </c>
      <c r="F2961" s="8" t="s">
        <v>13729</v>
      </c>
      <c r="G2961" s="8" t="s">
        <v>13730</v>
      </c>
      <c r="H2961" s="8" t="s">
        <v>1213</v>
      </c>
      <c r="I2961" s="8" t="s">
        <v>146</v>
      </c>
      <c r="J2961" s="8" t="s">
        <v>13731</v>
      </c>
      <c r="K2961" s="8" t="s">
        <v>112</v>
      </c>
      <c r="L2961" s="8" t="s">
        <v>13732</v>
      </c>
    </row>
    <row r="2962" customFormat="false" ht="34.5" hidden="false" customHeight="true" outlineLevel="0" collapsed="false">
      <c r="A2962" s="8" t="n">
        <v>2701</v>
      </c>
      <c r="B2962" s="8" t="s">
        <v>85</v>
      </c>
      <c r="C2962" s="8" t="s">
        <v>1399</v>
      </c>
      <c r="D2962" s="8" t="n">
        <v>2024</v>
      </c>
      <c r="E2962" s="8" t="s">
        <v>13733</v>
      </c>
      <c r="F2962" s="8" t="s">
        <v>13734</v>
      </c>
      <c r="G2962" s="8" t="s">
        <v>1403</v>
      </c>
      <c r="H2962" s="8" t="s">
        <v>145</v>
      </c>
      <c r="I2962" s="8" t="s">
        <v>153</v>
      </c>
      <c r="J2962" s="8" t="s">
        <v>13735</v>
      </c>
      <c r="K2962" s="8" t="s">
        <v>110</v>
      </c>
      <c r="L2962" s="8" t="s">
        <v>13736</v>
      </c>
    </row>
    <row r="2963" customFormat="false" ht="34.5" hidden="false" customHeight="true" outlineLevel="0" collapsed="false">
      <c r="A2963" s="8" t="n">
        <v>2702</v>
      </c>
      <c r="B2963" s="8" t="s">
        <v>85</v>
      </c>
      <c r="C2963" s="8" t="s">
        <v>13737</v>
      </c>
      <c r="D2963" s="8" t="n">
        <v>2024</v>
      </c>
      <c r="E2963" s="8" t="s">
        <v>13738</v>
      </c>
      <c r="F2963" s="8" t="s">
        <v>10652</v>
      </c>
      <c r="G2963" s="8" t="s">
        <v>13739</v>
      </c>
      <c r="H2963" s="8" t="s">
        <v>13740</v>
      </c>
      <c r="I2963" s="8" t="s">
        <v>387</v>
      </c>
      <c r="J2963" s="8" t="s">
        <v>13741</v>
      </c>
      <c r="K2963" s="8" t="s">
        <v>116</v>
      </c>
      <c r="L2963" s="8" t="s">
        <v>13742</v>
      </c>
    </row>
    <row r="2964" customFormat="false" ht="34.5" hidden="false" customHeight="true" outlineLevel="0" collapsed="false">
      <c r="A2964" s="8" t="n">
        <v>2703</v>
      </c>
      <c r="B2964" s="8" t="s">
        <v>85</v>
      </c>
      <c r="C2964" s="8" t="s">
        <v>13743</v>
      </c>
      <c r="D2964" s="8" t="n">
        <v>2020</v>
      </c>
      <c r="E2964" s="8" t="s">
        <v>13744</v>
      </c>
      <c r="F2964" s="8" t="s">
        <v>9203</v>
      </c>
      <c r="G2964" s="8" t="s">
        <v>13745</v>
      </c>
      <c r="H2964" s="8" t="s">
        <v>327</v>
      </c>
      <c r="I2964" s="8" t="s">
        <v>153</v>
      </c>
      <c r="J2964" s="8" t="s">
        <v>13746</v>
      </c>
      <c r="K2964" s="8"/>
      <c r="L2964" s="8" t="s">
        <v>13747</v>
      </c>
    </row>
    <row r="2965" customFormat="false" ht="34.5" hidden="false" customHeight="true" outlineLevel="0" collapsed="false">
      <c r="A2965" s="8" t="n">
        <v>2704</v>
      </c>
      <c r="B2965" s="8" t="s">
        <v>85</v>
      </c>
      <c r="C2965" s="8" t="s">
        <v>13748</v>
      </c>
      <c r="D2965" s="8" t="n">
        <v>2024</v>
      </c>
      <c r="E2965" s="8" t="s">
        <v>13749</v>
      </c>
      <c r="F2965" s="8" t="s">
        <v>10512</v>
      </c>
      <c r="G2965" s="8" t="s">
        <v>13750</v>
      </c>
      <c r="H2965" s="8" t="s">
        <v>13751</v>
      </c>
      <c r="I2965" s="8" t="s">
        <v>153</v>
      </c>
      <c r="J2965" s="8" t="s">
        <v>13752</v>
      </c>
      <c r="K2965" s="8" t="s">
        <v>114</v>
      </c>
      <c r="L2965" s="8" t="s">
        <v>13753</v>
      </c>
    </row>
    <row r="2966" customFormat="false" ht="34.5" hidden="false" customHeight="true" outlineLevel="0" collapsed="false">
      <c r="A2966" s="8" t="n">
        <v>2705</v>
      </c>
      <c r="B2966" s="8" t="s">
        <v>85</v>
      </c>
      <c r="C2966" s="8" t="s">
        <v>13754</v>
      </c>
      <c r="D2966" s="8" t="n">
        <v>2024</v>
      </c>
      <c r="E2966" s="8" t="s">
        <v>13755</v>
      </c>
      <c r="F2966" s="8" t="s">
        <v>10652</v>
      </c>
      <c r="G2966" s="8" t="s">
        <v>13756</v>
      </c>
      <c r="H2966" s="8" t="s">
        <v>13757</v>
      </c>
      <c r="I2966" s="8" t="s">
        <v>153</v>
      </c>
      <c r="J2966" s="8" t="s">
        <v>13758</v>
      </c>
      <c r="K2966" s="8" t="s">
        <v>114</v>
      </c>
      <c r="L2966" s="8" t="s">
        <v>13759</v>
      </c>
    </row>
    <row r="2967" customFormat="false" ht="34.5" hidden="false" customHeight="true" outlineLevel="0" collapsed="false">
      <c r="A2967" s="8" t="n">
        <v>2706</v>
      </c>
      <c r="B2967" s="8" t="s">
        <v>85</v>
      </c>
      <c r="C2967" s="8" t="s">
        <v>13760</v>
      </c>
      <c r="D2967" s="8" t="n">
        <v>2024</v>
      </c>
      <c r="E2967" s="8" t="s">
        <v>13761</v>
      </c>
      <c r="F2967" s="8" t="s">
        <v>13762</v>
      </c>
      <c r="G2967" s="8" t="s">
        <v>13763</v>
      </c>
      <c r="H2967" s="8" t="s">
        <v>4331</v>
      </c>
      <c r="I2967" s="8" t="s">
        <v>387</v>
      </c>
      <c r="J2967" s="8" t="s">
        <v>13764</v>
      </c>
      <c r="K2967" s="8" t="s">
        <v>114</v>
      </c>
      <c r="L2967" s="8" t="s">
        <v>13765</v>
      </c>
    </row>
    <row r="2968" customFormat="false" ht="34.5" hidden="false" customHeight="true" outlineLevel="0" collapsed="false">
      <c r="A2968" s="8" t="n">
        <v>2707</v>
      </c>
      <c r="B2968" s="8" t="s">
        <v>85</v>
      </c>
      <c r="C2968" s="8" t="s">
        <v>8010</v>
      </c>
      <c r="D2968" s="8" t="n">
        <v>2024</v>
      </c>
      <c r="E2968" s="8" t="s">
        <v>13766</v>
      </c>
      <c r="F2968" s="8" t="s">
        <v>10512</v>
      </c>
      <c r="G2968" s="8" t="s">
        <v>13767</v>
      </c>
      <c r="H2968" s="8" t="s">
        <v>13768</v>
      </c>
      <c r="I2968" s="8" t="s">
        <v>153</v>
      </c>
      <c r="J2968" s="8" t="s">
        <v>13769</v>
      </c>
      <c r="K2968" s="8" t="s">
        <v>114</v>
      </c>
      <c r="L2968" s="8" t="s">
        <v>13770</v>
      </c>
    </row>
    <row r="2969" customFormat="false" ht="34.5" hidden="false" customHeight="true" outlineLevel="0" collapsed="false">
      <c r="A2969" s="8" t="n">
        <v>2708</v>
      </c>
      <c r="B2969" s="8" t="s">
        <v>85</v>
      </c>
      <c r="C2969" s="8" t="s">
        <v>13771</v>
      </c>
      <c r="D2969" s="8" t="n">
        <v>2024</v>
      </c>
      <c r="E2969" s="8" t="s">
        <v>13772</v>
      </c>
      <c r="F2969" s="8" t="s">
        <v>13773</v>
      </c>
      <c r="G2969" s="8" t="s">
        <v>13774</v>
      </c>
      <c r="H2969" s="8" t="s">
        <v>826</v>
      </c>
      <c r="I2969" s="8" t="s">
        <v>146</v>
      </c>
      <c r="J2969" s="8" t="s">
        <v>13775</v>
      </c>
      <c r="K2969" s="8" t="s">
        <v>114</v>
      </c>
      <c r="L2969" s="8" t="s">
        <v>13776</v>
      </c>
    </row>
    <row r="2970" customFormat="false" ht="34.5" hidden="false" customHeight="true" outlineLevel="0" collapsed="false">
      <c r="A2970" s="8" t="n">
        <v>2709</v>
      </c>
      <c r="B2970" s="8" t="s">
        <v>85</v>
      </c>
      <c r="C2970" s="8" t="s">
        <v>13777</v>
      </c>
      <c r="D2970" s="8" t="n">
        <v>2024</v>
      </c>
      <c r="E2970" s="8" t="s">
        <v>13778</v>
      </c>
      <c r="F2970" s="8" t="s">
        <v>13779</v>
      </c>
      <c r="G2970" s="8" t="s">
        <v>13780</v>
      </c>
      <c r="H2970" s="8" t="s">
        <v>1904</v>
      </c>
      <c r="I2970" s="8" t="s">
        <v>146</v>
      </c>
      <c r="J2970" s="8" t="s">
        <v>13781</v>
      </c>
      <c r="K2970" s="8" t="s">
        <v>116</v>
      </c>
      <c r="L2970" s="8" t="s">
        <v>13782</v>
      </c>
    </row>
    <row r="2971" customFormat="false" ht="34.5" hidden="false" customHeight="true" outlineLevel="0" collapsed="false">
      <c r="A2971" s="8" t="n">
        <v>2710</v>
      </c>
      <c r="B2971" s="8" t="s">
        <v>85</v>
      </c>
      <c r="C2971" s="8" t="s">
        <v>2288</v>
      </c>
      <c r="D2971" s="8" t="n">
        <v>2022</v>
      </c>
      <c r="E2971" s="8" t="s">
        <v>13783</v>
      </c>
      <c r="F2971" s="8" t="s">
        <v>13784</v>
      </c>
      <c r="G2971" s="8" t="s">
        <v>13785</v>
      </c>
      <c r="H2971" s="8" t="s">
        <v>1020</v>
      </c>
      <c r="I2971" s="8" t="s">
        <v>146</v>
      </c>
      <c r="J2971" s="8" t="s">
        <v>13786</v>
      </c>
      <c r="K2971" s="8" t="s">
        <v>116</v>
      </c>
      <c r="L2971" s="8" t="s">
        <v>13787</v>
      </c>
    </row>
    <row r="2972" customFormat="false" ht="34.5" hidden="false" customHeight="true" outlineLevel="0" collapsed="false">
      <c r="A2972" s="8" t="n">
        <v>2711</v>
      </c>
      <c r="B2972" s="8" t="s">
        <v>85</v>
      </c>
      <c r="C2972" s="8" t="s">
        <v>13788</v>
      </c>
      <c r="D2972" s="8" t="n">
        <v>2023</v>
      </c>
      <c r="E2972" s="8" t="s">
        <v>13789</v>
      </c>
      <c r="F2972" s="8" t="s">
        <v>13790</v>
      </c>
      <c r="G2972" s="8" t="s">
        <v>13791</v>
      </c>
      <c r="H2972" s="8" t="s">
        <v>10988</v>
      </c>
      <c r="I2972" s="8" t="s">
        <v>146</v>
      </c>
      <c r="J2972" s="8" t="s">
        <v>13792</v>
      </c>
      <c r="K2972" s="8" t="s">
        <v>116</v>
      </c>
      <c r="L2972" s="8" t="s">
        <v>13793</v>
      </c>
    </row>
    <row r="2973" customFormat="false" ht="34.5" hidden="false" customHeight="true" outlineLevel="0" collapsed="false">
      <c r="A2973" s="8" t="n">
        <v>2712</v>
      </c>
      <c r="B2973" s="8" t="s">
        <v>85</v>
      </c>
      <c r="C2973" s="8" t="s">
        <v>13794</v>
      </c>
      <c r="D2973" s="8" t="n">
        <v>2024</v>
      </c>
      <c r="E2973" s="8" t="s">
        <v>13795</v>
      </c>
      <c r="F2973" s="8" t="s">
        <v>13796</v>
      </c>
      <c r="G2973" s="8" t="s">
        <v>13797</v>
      </c>
      <c r="H2973" s="8" t="s">
        <v>13798</v>
      </c>
      <c r="I2973" s="8" t="s">
        <v>153</v>
      </c>
      <c r="J2973" s="8" t="s">
        <v>13799</v>
      </c>
      <c r="K2973" s="8" t="s">
        <v>114</v>
      </c>
      <c r="L2973" s="8" t="s">
        <v>13800</v>
      </c>
    </row>
    <row r="2974" customFormat="false" ht="34.5" hidden="false" customHeight="true" outlineLevel="0" collapsed="false">
      <c r="A2974" s="8" t="n">
        <v>2713</v>
      </c>
      <c r="B2974" s="8" t="s">
        <v>85</v>
      </c>
      <c r="C2974" s="8" t="s">
        <v>13801</v>
      </c>
      <c r="D2974" s="8" t="n">
        <v>2025</v>
      </c>
      <c r="E2974" s="8" t="s">
        <v>13802</v>
      </c>
      <c r="F2974" s="8" t="s">
        <v>8084</v>
      </c>
      <c r="G2974" s="8" t="s">
        <v>13803</v>
      </c>
      <c r="H2974" s="8" t="s">
        <v>145</v>
      </c>
      <c r="I2974" s="8" t="s">
        <v>153</v>
      </c>
      <c r="J2974" s="8" t="s">
        <v>13804</v>
      </c>
      <c r="K2974" s="8"/>
      <c r="L2974" s="8" t="s">
        <v>13805</v>
      </c>
    </row>
    <row r="2975" customFormat="false" ht="34.5" hidden="false" customHeight="true" outlineLevel="0" collapsed="false">
      <c r="A2975" s="8" t="n">
        <v>2714</v>
      </c>
      <c r="B2975" s="8" t="s">
        <v>85</v>
      </c>
      <c r="C2975" s="8" t="s">
        <v>13806</v>
      </c>
      <c r="D2975" s="8" t="n">
        <v>2023</v>
      </c>
      <c r="E2975" s="8" t="s">
        <v>13807</v>
      </c>
      <c r="F2975" s="8" t="s">
        <v>13808</v>
      </c>
      <c r="G2975" s="8" t="s">
        <v>13809</v>
      </c>
      <c r="H2975" s="8" t="s">
        <v>5510</v>
      </c>
      <c r="I2975" s="8" t="s">
        <v>748</v>
      </c>
      <c r="J2975" s="8" t="s">
        <v>13642</v>
      </c>
      <c r="K2975" s="8" t="s">
        <v>116</v>
      </c>
      <c r="L2975" s="8" t="s">
        <v>13810</v>
      </c>
    </row>
    <row r="2976" customFormat="false" ht="34.5" hidden="false" customHeight="true" outlineLevel="0" collapsed="false">
      <c r="A2976" s="8" t="n">
        <v>2715</v>
      </c>
      <c r="B2976" s="8" t="s">
        <v>85</v>
      </c>
      <c r="C2976" s="8" t="s">
        <v>3177</v>
      </c>
      <c r="D2976" s="8" t="n">
        <v>2024</v>
      </c>
      <c r="E2976" s="8" t="s">
        <v>13811</v>
      </c>
      <c r="F2976" s="8" t="s">
        <v>13812</v>
      </c>
      <c r="G2976" s="8" t="s">
        <v>13813</v>
      </c>
      <c r="H2976" s="8" t="s">
        <v>13814</v>
      </c>
      <c r="I2976" s="8" t="s">
        <v>208</v>
      </c>
      <c r="J2976" s="8" t="s">
        <v>13815</v>
      </c>
      <c r="K2976" s="8" t="s">
        <v>116</v>
      </c>
      <c r="L2976" s="8" t="s">
        <v>13816</v>
      </c>
    </row>
    <row r="2977" customFormat="false" ht="34.5" hidden="false" customHeight="true" outlineLevel="0" collapsed="false">
      <c r="A2977" s="8" t="n">
        <v>2716</v>
      </c>
      <c r="B2977" s="8" t="s">
        <v>85</v>
      </c>
      <c r="C2977" s="8" t="s">
        <v>13817</v>
      </c>
      <c r="D2977" s="8" t="n">
        <v>2025</v>
      </c>
      <c r="E2977" s="8" t="s">
        <v>13818</v>
      </c>
      <c r="F2977" s="8" t="s">
        <v>13819</v>
      </c>
      <c r="G2977" s="8" t="s">
        <v>13820</v>
      </c>
      <c r="H2977" s="8" t="s">
        <v>13821</v>
      </c>
      <c r="I2977" s="8" t="s">
        <v>146</v>
      </c>
      <c r="J2977" s="8" t="s">
        <v>13822</v>
      </c>
      <c r="K2977" s="8" t="s">
        <v>116</v>
      </c>
      <c r="L2977" s="8" t="s">
        <v>13823</v>
      </c>
    </row>
    <row r="2978" customFormat="false" ht="34.5" hidden="false" customHeight="true" outlineLevel="0" collapsed="false">
      <c r="A2978" s="8" t="n">
        <v>2717</v>
      </c>
      <c r="B2978" s="8" t="s">
        <v>85</v>
      </c>
      <c r="C2978" s="8" t="s">
        <v>13824</v>
      </c>
      <c r="D2978" s="8" t="n">
        <v>2024</v>
      </c>
      <c r="E2978" s="8" t="s">
        <v>13825</v>
      </c>
      <c r="F2978" s="8" t="s">
        <v>13826</v>
      </c>
      <c r="G2978" s="8" t="s">
        <v>13827</v>
      </c>
      <c r="H2978" s="8" t="s">
        <v>8743</v>
      </c>
      <c r="I2978" s="8" t="s">
        <v>146</v>
      </c>
      <c r="J2978" s="8" t="s">
        <v>13828</v>
      </c>
      <c r="K2978" s="8" t="s">
        <v>112</v>
      </c>
      <c r="L2978" s="8" t="s">
        <v>13829</v>
      </c>
    </row>
    <row r="2979" customFormat="false" ht="34.5" hidden="false" customHeight="true" outlineLevel="0" collapsed="false">
      <c r="A2979" s="8" t="n">
        <v>2718</v>
      </c>
      <c r="B2979" s="8" t="s">
        <v>85</v>
      </c>
      <c r="C2979" s="8" t="s">
        <v>13830</v>
      </c>
      <c r="D2979" s="8" t="n">
        <v>2024</v>
      </c>
      <c r="E2979" s="8" t="s">
        <v>13831</v>
      </c>
      <c r="F2979" s="8" t="s">
        <v>13832</v>
      </c>
      <c r="G2979" s="8" t="s">
        <v>13833</v>
      </c>
      <c r="H2979" s="8" t="s">
        <v>13834</v>
      </c>
      <c r="I2979" s="8" t="s">
        <v>146</v>
      </c>
      <c r="J2979" s="8" t="s">
        <v>13835</v>
      </c>
      <c r="K2979" s="8" t="s">
        <v>116</v>
      </c>
      <c r="L2979" s="8" t="s">
        <v>13836</v>
      </c>
    </row>
    <row r="2980" customFormat="false" ht="34.5" hidden="false" customHeight="true" outlineLevel="0" collapsed="false">
      <c r="A2980" s="8" t="n">
        <v>2719</v>
      </c>
      <c r="B2980" s="8" t="s">
        <v>85</v>
      </c>
      <c r="C2980" s="8" t="s">
        <v>2938</v>
      </c>
      <c r="D2980" s="8" t="n">
        <v>2023</v>
      </c>
      <c r="E2980" s="8" t="s">
        <v>13837</v>
      </c>
      <c r="F2980" s="8" t="s">
        <v>13838</v>
      </c>
      <c r="G2980" s="8" t="s">
        <v>13839</v>
      </c>
      <c r="H2980" s="8" t="s">
        <v>13840</v>
      </c>
      <c r="I2980" s="8" t="s">
        <v>153</v>
      </c>
      <c r="J2980" s="8" t="s">
        <v>13841</v>
      </c>
      <c r="K2980" s="8" t="s">
        <v>114</v>
      </c>
      <c r="L2980" s="8" t="s">
        <v>13842</v>
      </c>
    </row>
    <row r="2981" customFormat="false" ht="34.5" hidden="false" customHeight="true" outlineLevel="0" collapsed="false">
      <c r="A2981" s="8" t="n">
        <v>2720</v>
      </c>
      <c r="B2981" s="8" t="s">
        <v>85</v>
      </c>
      <c r="C2981" s="8" t="s">
        <v>13843</v>
      </c>
      <c r="D2981" s="8" t="n">
        <v>2021</v>
      </c>
      <c r="E2981" s="8" t="s">
        <v>13844</v>
      </c>
      <c r="F2981" s="8" t="s">
        <v>10512</v>
      </c>
      <c r="G2981" s="8" t="s">
        <v>13845</v>
      </c>
      <c r="H2981" s="8" t="s">
        <v>13846</v>
      </c>
      <c r="I2981" s="8" t="s">
        <v>208</v>
      </c>
      <c r="J2981" s="8" t="s">
        <v>13847</v>
      </c>
      <c r="K2981" s="8" t="s">
        <v>116</v>
      </c>
      <c r="L2981" s="8" t="s">
        <v>13848</v>
      </c>
    </row>
    <row r="2982" customFormat="false" ht="34.5" hidden="false" customHeight="true" outlineLevel="0" collapsed="false">
      <c r="A2982" s="8" t="n">
        <v>2721</v>
      </c>
      <c r="B2982" s="8" t="s">
        <v>85</v>
      </c>
      <c r="C2982" s="8" t="s">
        <v>13849</v>
      </c>
      <c r="D2982" s="8" t="n">
        <v>2023</v>
      </c>
      <c r="E2982" s="8" t="s">
        <v>13850</v>
      </c>
      <c r="F2982" s="8" t="s">
        <v>10512</v>
      </c>
      <c r="G2982" s="8" t="s">
        <v>13851</v>
      </c>
      <c r="H2982" s="8" t="s">
        <v>13852</v>
      </c>
      <c r="I2982" s="8" t="s">
        <v>146</v>
      </c>
      <c r="J2982" s="8" t="s">
        <v>13853</v>
      </c>
      <c r="K2982" s="8" t="s">
        <v>112</v>
      </c>
      <c r="L2982" s="8" t="s">
        <v>13854</v>
      </c>
    </row>
    <row r="2983" customFormat="false" ht="34.5" hidden="false" customHeight="true" outlineLevel="0" collapsed="false">
      <c r="A2983" s="8" t="n">
        <v>2722</v>
      </c>
      <c r="B2983" s="8" t="s">
        <v>85</v>
      </c>
      <c r="C2983" s="8" t="s">
        <v>13855</v>
      </c>
      <c r="D2983" s="8" t="n">
        <v>2025</v>
      </c>
      <c r="E2983" s="8" t="s">
        <v>13856</v>
      </c>
      <c r="F2983" s="8" t="s">
        <v>13857</v>
      </c>
      <c r="G2983" s="8" t="s">
        <v>13858</v>
      </c>
      <c r="H2983" s="8" t="s">
        <v>13859</v>
      </c>
      <c r="I2983" s="8" t="s">
        <v>146</v>
      </c>
      <c r="J2983" s="8" t="s">
        <v>13860</v>
      </c>
      <c r="K2983" s="8" t="s">
        <v>116</v>
      </c>
      <c r="L2983" s="8" t="s">
        <v>13861</v>
      </c>
    </row>
    <row r="2984" customFormat="false" ht="34.5" hidden="false" customHeight="true" outlineLevel="0" collapsed="false">
      <c r="A2984" s="8" t="n">
        <v>2723</v>
      </c>
      <c r="B2984" s="8" t="s">
        <v>85</v>
      </c>
      <c r="C2984" s="8" t="s">
        <v>5984</v>
      </c>
      <c r="D2984" s="8" t="n">
        <v>2018</v>
      </c>
      <c r="E2984" s="8" t="s">
        <v>13862</v>
      </c>
      <c r="F2984" s="8" t="s">
        <v>13667</v>
      </c>
      <c r="G2984" s="8" t="s">
        <v>13863</v>
      </c>
      <c r="H2984" s="8" t="s">
        <v>145</v>
      </c>
      <c r="I2984" s="8" t="s">
        <v>153</v>
      </c>
      <c r="J2984" s="8" t="s">
        <v>13864</v>
      </c>
      <c r="K2984" s="8" t="s">
        <v>114</v>
      </c>
      <c r="L2984" s="8" t="s">
        <v>13865</v>
      </c>
    </row>
    <row r="2985" customFormat="false" ht="34.5" hidden="false" customHeight="true" outlineLevel="0" collapsed="false">
      <c r="A2985" s="8" t="n">
        <v>2724</v>
      </c>
      <c r="B2985" s="8" t="s">
        <v>85</v>
      </c>
      <c r="C2985" s="8" t="s">
        <v>13866</v>
      </c>
      <c r="D2985" s="8" t="n">
        <v>2022</v>
      </c>
      <c r="E2985" s="8" t="s">
        <v>13867</v>
      </c>
      <c r="F2985" s="8" t="s">
        <v>579</v>
      </c>
      <c r="G2985" s="8" t="s">
        <v>13868</v>
      </c>
      <c r="H2985" s="8" t="s">
        <v>13869</v>
      </c>
      <c r="I2985" s="8" t="s">
        <v>387</v>
      </c>
      <c r="J2985" s="8" t="s">
        <v>13870</v>
      </c>
      <c r="K2985" s="8" t="s">
        <v>116</v>
      </c>
      <c r="L2985" s="8" t="s">
        <v>13871</v>
      </c>
    </row>
    <row r="2986" customFormat="false" ht="34.5" hidden="false" customHeight="true" outlineLevel="0" collapsed="false">
      <c r="A2986" s="8" t="n">
        <v>2725</v>
      </c>
      <c r="B2986" s="8" t="s">
        <v>85</v>
      </c>
      <c r="C2986" s="8" t="s">
        <v>2710</v>
      </c>
      <c r="D2986" s="8" t="n">
        <v>2023</v>
      </c>
      <c r="E2986" s="8" t="s">
        <v>13872</v>
      </c>
      <c r="F2986" s="8" t="s">
        <v>13873</v>
      </c>
      <c r="G2986" s="8" t="s">
        <v>13874</v>
      </c>
      <c r="H2986" s="8" t="s">
        <v>145</v>
      </c>
      <c r="I2986" s="8" t="s">
        <v>153</v>
      </c>
      <c r="J2986" s="8" t="s">
        <v>13875</v>
      </c>
      <c r="K2986" s="8" t="s">
        <v>110</v>
      </c>
      <c r="L2986" s="8" t="s">
        <v>13876</v>
      </c>
    </row>
    <row r="2987" customFormat="false" ht="23.25" hidden="false" customHeight="true" outlineLevel="0" collapsed="false">
      <c r="A2987" s="8" t="n">
        <v>2726</v>
      </c>
      <c r="B2987" s="8" t="s">
        <v>87</v>
      </c>
      <c r="C2987" s="8" t="s">
        <v>13877</v>
      </c>
      <c r="D2987" s="8" t="n">
        <v>2023</v>
      </c>
      <c r="E2987" s="8" t="s">
        <v>13878</v>
      </c>
      <c r="F2987" s="8" t="s">
        <v>13879</v>
      </c>
      <c r="G2987" s="8" t="s">
        <v>13880</v>
      </c>
      <c r="H2987" s="8" t="s">
        <v>145</v>
      </c>
      <c r="I2987" s="8" t="s">
        <v>153</v>
      </c>
      <c r="J2987" s="8" t="s">
        <v>13881</v>
      </c>
      <c r="K2987" s="8" t="s">
        <v>110</v>
      </c>
      <c r="L2987" s="8" t="s">
        <v>13882</v>
      </c>
    </row>
    <row r="2988" customFormat="false" ht="34.5" hidden="false" customHeight="true" outlineLevel="0" collapsed="false">
      <c r="A2988" s="8" t="n">
        <v>2727</v>
      </c>
      <c r="B2988" s="8" t="s">
        <v>87</v>
      </c>
      <c r="C2988" s="8" t="s">
        <v>13883</v>
      </c>
      <c r="D2988" s="8" t="n">
        <v>2022</v>
      </c>
      <c r="E2988" s="8" t="s">
        <v>13884</v>
      </c>
      <c r="F2988" s="8" t="s">
        <v>1494</v>
      </c>
      <c r="G2988" s="8" t="s">
        <v>13885</v>
      </c>
      <c r="H2988" s="8" t="s">
        <v>145</v>
      </c>
      <c r="I2988" s="8" t="s">
        <v>153</v>
      </c>
      <c r="J2988" s="8" t="s">
        <v>13886</v>
      </c>
      <c r="K2988" s="8" t="s">
        <v>114</v>
      </c>
      <c r="L2988" s="8" t="s">
        <v>13887</v>
      </c>
    </row>
    <row r="2989" customFormat="false" ht="34.5" hidden="false" customHeight="true" outlineLevel="0" collapsed="false">
      <c r="A2989" s="8" t="n">
        <v>2728</v>
      </c>
      <c r="B2989" s="8" t="s">
        <v>87</v>
      </c>
      <c r="C2989" s="8" t="s">
        <v>2658</v>
      </c>
      <c r="D2989" s="8" t="n">
        <v>2022</v>
      </c>
      <c r="E2989" s="8" t="s">
        <v>13888</v>
      </c>
      <c r="F2989" s="8" t="s">
        <v>151</v>
      </c>
      <c r="G2989" s="8" t="s">
        <v>13889</v>
      </c>
      <c r="H2989" s="8" t="s">
        <v>145</v>
      </c>
      <c r="I2989" s="8" t="s">
        <v>153</v>
      </c>
      <c r="J2989" s="8" t="s">
        <v>13890</v>
      </c>
      <c r="K2989" s="8" t="s">
        <v>116</v>
      </c>
      <c r="L2989" s="8" t="s">
        <v>13891</v>
      </c>
    </row>
    <row r="2990" customFormat="false" ht="34.5" hidden="false" customHeight="true" outlineLevel="0" collapsed="false">
      <c r="A2990" s="8" t="n">
        <v>2729</v>
      </c>
      <c r="B2990" s="8" t="s">
        <v>87</v>
      </c>
      <c r="C2990" s="8" t="s">
        <v>1793</v>
      </c>
      <c r="D2990" s="8" t="n">
        <v>2023</v>
      </c>
      <c r="E2990" s="8" t="s">
        <v>13892</v>
      </c>
      <c r="F2990" s="8" t="s">
        <v>8720</v>
      </c>
      <c r="G2990" s="8" t="s">
        <v>1393</v>
      </c>
      <c r="H2990" s="8" t="s">
        <v>145</v>
      </c>
      <c r="I2990" s="8" t="s">
        <v>153</v>
      </c>
      <c r="J2990" s="8" t="s">
        <v>13893</v>
      </c>
      <c r="K2990" s="8" t="s">
        <v>110</v>
      </c>
      <c r="L2990" s="8" t="s">
        <v>13894</v>
      </c>
    </row>
    <row r="2991" customFormat="false" ht="34.5" hidden="false" customHeight="true" outlineLevel="0" collapsed="false">
      <c r="A2991" s="8" t="n">
        <v>2730</v>
      </c>
      <c r="B2991" s="8" t="s">
        <v>87</v>
      </c>
      <c r="C2991" s="8" t="s">
        <v>13895</v>
      </c>
      <c r="D2991" s="8" t="n">
        <v>2023</v>
      </c>
      <c r="E2991" s="8" t="s">
        <v>13896</v>
      </c>
      <c r="F2991" s="8" t="s">
        <v>13897</v>
      </c>
      <c r="G2991" s="8" t="s">
        <v>13898</v>
      </c>
      <c r="H2991" s="8" t="s">
        <v>145</v>
      </c>
      <c r="I2991" s="8" t="s">
        <v>153</v>
      </c>
      <c r="J2991" s="8" t="s">
        <v>13899</v>
      </c>
      <c r="K2991" s="8" t="s">
        <v>114</v>
      </c>
      <c r="L2991" s="8" t="s">
        <v>13900</v>
      </c>
    </row>
    <row r="2992" customFormat="false" ht="34.5" hidden="false" customHeight="true" outlineLevel="0" collapsed="false">
      <c r="A2992" s="8" t="n">
        <v>2731</v>
      </c>
      <c r="B2992" s="8" t="s">
        <v>87</v>
      </c>
      <c r="C2992" s="8" t="s">
        <v>6023</v>
      </c>
      <c r="D2992" s="8" t="n">
        <v>2020</v>
      </c>
      <c r="E2992" s="8" t="s">
        <v>13901</v>
      </c>
      <c r="F2992" s="8" t="s">
        <v>13902</v>
      </c>
      <c r="G2992" s="8" t="s">
        <v>13903</v>
      </c>
      <c r="H2992" s="8" t="s">
        <v>145</v>
      </c>
      <c r="I2992" s="8" t="s">
        <v>153</v>
      </c>
      <c r="J2992" s="8" t="s">
        <v>13904</v>
      </c>
      <c r="K2992" s="8" t="s">
        <v>114</v>
      </c>
      <c r="L2992" s="8" t="s">
        <v>13905</v>
      </c>
    </row>
    <row r="2993" customFormat="false" ht="34.5" hidden="false" customHeight="true" outlineLevel="0" collapsed="false">
      <c r="A2993" s="8" t="n">
        <v>2732</v>
      </c>
      <c r="B2993" s="8" t="s">
        <v>87</v>
      </c>
      <c r="C2993" s="8" t="s">
        <v>13906</v>
      </c>
      <c r="D2993" s="8" t="n">
        <v>2022</v>
      </c>
      <c r="E2993" s="8" t="s">
        <v>13907</v>
      </c>
      <c r="F2993" s="8" t="s">
        <v>13908</v>
      </c>
      <c r="G2993" s="8" t="s">
        <v>13909</v>
      </c>
      <c r="H2993" s="8" t="s">
        <v>145</v>
      </c>
      <c r="I2993" s="8" t="s">
        <v>153</v>
      </c>
      <c r="J2993" s="8" t="s">
        <v>13910</v>
      </c>
      <c r="K2993" s="8" t="s">
        <v>114</v>
      </c>
      <c r="L2993" s="8" t="s">
        <v>13911</v>
      </c>
    </row>
    <row r="2994" customFormat="false" ht="34.5" hidden="false" customHeight="true" outlineLevel="0" collapsed="false">
      <c r="A2994" s="8" t="n">
        <v>2733</v>
      </c>
      <c r="B2994" s="8" t="s">
        <v>87</v>
      </c>
      <c r="C2994" s="8" t="s">
        <v>2151</v>
      </c>
      <c r="D2994" s="8" t="n">
        <v>2022</v>
      </c>
      <c r="E2994" s="8" t="s">
        <v>13912</v>
      </c>
      <c r="F2994" s="8" t="s">
        <v>151</v>
      </c>
      <c r="G2994" s="8" t="s">
        <v>13913</v>
      </c>
      <c r="H2994" s="8" t="s">
        <v>145</v>
      </c>
      <c r="I2994" s="8" t="s">
        <v>153</v>
      </c>
      <c r="J2994" s="8" t="s">
        <v>1346</v>
      </c>
      <c r="K2994" s="8" t="s">
        <v>114</v>
      </c>
      <c r="L2994" s="8" t="s">
        <v>13914</v>
      </c>
    </row>
    <row r="2995" customFormat="false" ht="34.5" hidden="false" customHeight="true" outlineLevel="0" collapsed="false">
      <c r="A2995" s="8" t="n">
        <v>2734</v>
      </c>
      <c r="B2995" s="8" t="s">
        <v>87</v>
      </c>
      <c r="C2995" s="8" t="s">
        <v>13915</v>
      </c>
      <c r="D2995" s="8" t="n">
        <v>2016</v>
      </c>
      <c r="E2995" s="8" t="s">
        <v>13916</v>
      </c>
      <c r="F2995" s="8" t="s">
        <v>143</v>
      </c>
      <c r="G2995" s="8" t="s">
        <v>13917</v>
      </c>
      <c r="H2995" s="8" t="s">
        <v>3254</v>
      </c>
      <c r="I2995" s="8" t="s">
        <v>146</v>
      </c>
      <c r="J2995" s="8" t="s">
        <v>3612</v>
      </c>
      <c r="K2995" s="8" t="s">
        <v>116</v>
      </c>
      <c r="L2995" s="8" t="s">
        <v>13918</v>
      </c>
    </row>
    <row r="2996" customFormat="false" ht="34.5" hidden="false" customHeight="true" outlineLevel="0" collapsed="false">
      <c r="A2996" s="8" t="n">
        <v>2735</v>
      </c>
      <c r="B2996" s="8" t="s">
        <v>87</v>
      </c>
      <c r="C2996" s="8" t="s">
        <v>13919</v>
      </c>
      <c r="D2996" s="8" t="n">
        <v>2019</v>
      </c>
      <c r="E2996" s="8" t="s">
        <v>13920</v>
      </c>
      <c r="F2996" s="8" t="s">
        <v>143</v>
      </c>
      <c r="G2996" s="8" t="s">
        <v>13921</v>
      </c>
      <c r="H2996" s="8" t="s">
        <v>13922</v>
      </c>
      <c r="I2996" s="8" t="s">
        <v>146</v>
      </c>
      <c r="J2996" s="8" t="s">
        <v>13923</v>
      </c>
      <c r="K2996" s="8" t="s">
        <v>116</v>
      </c>
      <c r="L2996" s="8" t="s">
        <v>13924</v>
      </c>
    </row>
    <row r="2997" customFormat="false" ht="34.5" hidden="false" customHeight="true" outlineLevel="0" collapsed="false">
      <c r="A2997" s="8" t="n">
        <v>2736</v>
      </c>
      <c r="B2997" s="8" t="s">
        <v>87</v>
      </c>
      <c r="C2997" s="8" t="s">
        <v>13925</v>
      </c>
      <c r="D2997" s="8" t="n">
        <v>2023</v>
      </c>
      <c r="E2997" s="8" t="s">
        <v>13926</v>
      </c>
      <c r="F2997" s="8" t="s">
        <v>201</v>
      </c>
      <c r="G2997" s="8" t="s">
        <v>13927</v>
      </c>
      <c r="H2997" s="8" t="s">
        <v>145</v>
      </c>
      <c r="I2997" s="8" t="s">
        <v>153</v>
      </c>
      <c r="J2997" s="8" t="s">
        <v>13928</v>
      </c>
      <c r="K2997" s="8" t="s">
        <v>112</v>
      </c>
      <c r="L2997" s="8" t="s">
        <v>13929</v>
      </c>
    </row>
    <row r="2998" customFormat="false" ht="34.5" hidden="false" customHeight="true" outlineLevel="0" collapsed="false">
      <c r="A2998" s="8" t="n">
        <v>2737</v>
      </c>
      <c r="B2998" s="8" t="s">
        <v>87</v>
      </c>
      <c r="C2998" s="8" t="s">
        <v>13930</v>
      </c>
      <c r="D2998" s="8" t="n">
        <v>2023</v>
      </c>
      <c r="E2998" s="8" t="s">
        <v>13931</v>
      </c>
      <c r="F2998" s="8" t="s">
        <v>13932</v>
      </c>
      <c r="G2998" s="8" t="s">
        <v>13933</v>
      </c>
      <c r="H2998" s="8" t="s">
        <v>13934</v>
      </c>
      <c r="I2998" s="8" t="s">
        <v>146</v>
      </c>
      <c r="J2998" s="8" t="s">
        <v>13935</v>
      </c>
      <c r="K2998" s="8" t="s">
        <v>112</v>
      </c>
      <c r="L2998" s="8" t="s">
        <v>13936</v>
      </c>
    </row>
    <row r="2999" customFormat="false" ht="34.5" hidden="false" customHeight="true" outlineLevel="0" collapsed="false">
      <c r="A2999" s="8" t="n">
        <v>2738</v>
      </c>
      <c r="B2999" s="8" t="s">
        <v>87</v>
      </c>
      <c r="C2999" s="8" t="s">
        <v>13937</v>
      </c>
      <c r="D2999" s="8" t="n">
        <v>2019</v>
      </c>
      <c r="E2999" s="8" t="s">
        <v>13938</v>
      </c>
      <c r="F2999" s="8" t="s">
        <v>10278</v>
      </c>
      <c r="G2999" s="8" t="s">
        <v>152</v>
      </c>
      <c r="H2999" s="8" t="s">
        <v>145</v>
      </c>
      <c r="I2999" s="8" t="s">
        <v>153</v>
      </c>
      <c r="J2999" s="8" t="s">
        <v>13939</v>
      </c>
      <c r="K2999" s="8"/>
      <c r="L2999" s="8" t="s">
        <v>13940</v>
      </c>
    </row>
    <row r="3000" customFormat="false" ht="34.5" hidden="false" customHeight="true" outlineLevel="0" collapsed="false">
      <c r="A3000" s="8" t="n">
        <v>2739</v>
      </c>
      <c r="B3000" s="8" t="s">
        <v>87</v>
      </c>
      <c r="C3000" s="8" t="s">
        <v>1486</v>
      </c>
      <c r="D3000" s="8" t="n">
        <v>2023</v>
      </c>
      <c r="E3000" s="8" t="s">
        <v>13941</v>
      </c>
      <c r="F3000" s="8" t="s">
        <v>13942</v>
      </c>
      <c r="G3000" s="8" t="s">
        <v>13943</v>
      </c>
      <c r="H3000" s="8" t="s">
        <v>145</v>
      </c>
      <c r="I3000" s="8" t="s">
        <v>153</v>
      </c>
      <c r="J3000" s="8" t="s">
        <v>13944</v>
      </c>
      <c r="K3000" s="8" t="s">
        <v>114</v>
      </c>
      <c r="L3000" s="8" t="s">
        <v>13945</v>
      </c>
    </row>
    <row r="3001" customFormat="false" ht="34.5" hidden="false" customHeight="true" outlineLevel="0" collapsed="false">
      <c r="A3001" s="8" t="n">
        <v>2740</v>
      </c>
      <c r="B3001" s="8" t="s">
        <v>87</v>
      </c>
      <c r="C3001" s="8" t="s">
        <v>13946</v>
      </c>
      <c r="D3001" s="8" t="n">
        <v>2023</v>
      </c>
      <c r="E3001" s="8" t="s">
        <v>13947</v>
      </c>
      <c r="F3001" s="8" t="s">
        <v>13948</v>
      </c>
      <c r="G3001" s="8" t="s">
        <v>13949</v>
      </c>
      <c r="H3001" s="8" t="s">
        <v>181</v>
      </c>
      <c r="I3001" s="8" t="s">
        <v>153</v>
      </c>
      <c r="J3001" s="8" t="s">
        <v>13950</v>
      </c>
      <c r="K3001" s="8" t="s">
        <v>114</v>
      </c>
      <c r="L3001" s="8" t="s">
        <v>13951</v>
      </c>
    </row>
    <row r="3002" customFormat="false" ht="34.5" hidden="false" customHeight="true" outlineLevel="0" collapsed="false">
      <c r="A3002" s="8" t="n">
        <v>2741</v>
      </c>
      <c r="B3002" s="8" t="s">
        <v>87</v>
      </c>
      <c r="C3002" s="8" t="s">
        <v>13952</v>
      </c>
      <c r="D3002" s="8" t="n">
        <v>2020</v>
      </c>
      <c r="E3002" s="8" t="s">
        <v>13953</v>
      </c>
      <c r="F3002" s="8" t="s">
        <v>143</v>
      </c>
      <c r="G3002" s="8" t="s">
        <v>13954</v>
      </c>
      <c r="H3002" s="8" t="s">
        <v>145</v>
      </c>
      <c r="I3002" s="8" t="s">
        <v>153</v>
      </c>
      <c r="J3002" s="8" t="s">
        <v>13955</v>
      </c>
      <c r="K3002" s="8"/>
      <c r="L3002" s="8" t="s">
        <v>13956</v>
      </c>
    </row>
    <row r="3003" customFormat="false" ht="34.5" hidden="false" customHeight="true" outlineLevel="0" collapsed="false">
      <c r="A3003" s="8" t="n">
        <v>2742</v>
      </c>
      <c r="B3003" s="8" t="s">
        <v>87</v>
      </c>
      <c r="C3003" s="8" t="s">
        <v>13957</v>
      </c>
      <c r="D3003" s="8" t="n">
        <v>2020</v>
      </c>
      <c r="E3003" s="8" t="s">
        <v>13958</v>
      </c>
      <c r="F3003" s="8" t="s">
        <v>13959</v>
      </c>
      <c r="G3003" s="8" t="s">
        <v>13960</v>
      </c>
      <c r="H3003" s="8" t="s">
        <v>145</v>
      </c>
      <c r="I3003" s="8" t="s">
        <v>146</v>
      </c>
      <c r="J3003" s="8" t="s">
        <v>13961</v>
      </c>
      <c r="K3003" s="8"/>
      <c r="L3003" s="8" t="s">
        <v>13962</v>
      </c>
    </row>
    <row r="3004" customFormat="false" ht="34.5" hidden="false" customHeight="true" outlineLevel="0" collapsed="false">
      <c r="A3004" s="8" t="n">
        <v>2743</v>
      </c>
      <c r="B3004" s="8" t="s">
        <v>87</v>
      </c>
      <c r="C3004" s="8" t="s">
        <v>327</v>
      </c>
      <c r="D3004" s="8" t="n">
        <v>2023</v>
      </c>
      <c r="E3004" s="8" t="s">
        <v>13963</v>
      </c>
      <c r="F3004" s="8" t="s">
        <v>13964</v>
      </c>
      <c r="G3004" s="8" t="s">
        <v>13965</v>
      </c>
      <c r="H3004" s="8" t="s">
        <v>13966</v>
      </c>
      <c r="I3004" s="8" t="s">
        <v>146</v>
      </c>
      <c r="J3004" s="8" t="s">
        <v>13967</v>
      </c>
      <c r="K3004" s="8" t="s">
        <v>114</v>
      </c>
      <c r="L3004" s="8" t="s">
        <v>13968</v>
      </c>
    </row>
    <row r="3005" customFormat="false" ht="34.5" hidden="false" customHeight="true" outlineLevel="0" collapsed="false">
      <c r="A3005" s="8" t="n">
        <v>2744</v>
      </c>
      <c r="B3005" s="8" t="s">
        <v>87</v>
      </c>
      <c r="C3005" s="8" t="s">
        <v>13969</v>
      </c>
      <c r="D3005" s="8" t="n">
        <v>2022</v>
      </c>
      <c r="E3005" s="8" t="s">
        <v>13970</v>
      </c>
      <c r="F3005" s="8" t="s">
        <v>13971</v>
      </c>
      <c r="G3005" s="8" t="s">
        <v>13972</v>
      </c>
      <c r="H3005" s="8" t="s">
        <v>327</v>
      </c>
      <c r="I3005" s="8" t="s">
        <v>153</v>
      </c>
      <c r="J3005" s="8" t="s">
        <v>13973</v>
      </c>
      <c r="K3005" s="8" t="s">
        <v>114</v>
      </c>
      <c r="L3005" s="8" t="s">
        <v>13974</v>
      </c>
    </row>
    <row r="3006" customFormat="false" ht="34.5" hidden="false" customHeight="true" outlineLevel="0" collapsed="false">
      <c r="A3006" s="8" t="n">
        <v>2745</v>
      </c>
      <c r="B3006" s="8" t="s">
        <v>87</v>
      </c>
      <c r="C3006" s="8" t="s">
        <v>13975</v>
      </c>
      <c r="D3006" s="8" t="n">
        <v>2019</v>
      </c>
      <c r="E3006" s="8" t="s">
        <v>13976</v>
      </c>
      <c r="F3006" s="8" t="s">
        <v>13977</v>
      </c>
      <c r="G3006" s="8" t="s">
        <v>13978</v>
      </c>
      <c r="H3006" s="8" t="s">
        <v>871</v>
      </c>
      <c r="I3006" s="8" t="s">
        <v>153</v>
      </c>
      <c r="J3006" s="8" t="s">
        <v>13979</v>
      </c>
      <c r="K3006" s="8" t="s">
        <v>114</v>
      </c>
      <c r="L3006" s="8" t="s">
        <v>13980</v>
      </c>
    </row>
    <row r="3007" customFormat="false" ht="34.5" hidden="false" customHeight="true" outlineLevel="0" collapsed="false">
      <c r="A3007" s="8" t="n">
        <v>2746</v>
      </c>
      <c r="B3007" s="8" t="s">
        <v>87</v>
      </c>
      <c r="C3007" s="8" t="s">
        <v>13981</v>
      </c>
      <c r="D3007" s="8" t="n">
        <v>2022</v>
      </c>
      <c r="E3007" s="8" t="s">
        <v>13982</v>
      </c>
      <c r="F3007" s="8" t="s">
        <v>13983</v>
      </c>
      <c r="G3007" s="8" t="s">
        <v>13984</v>
      </c>
      <c r="H3007" s="8" t="s">
        <v>13985</v>
      </c>
      <c r="I3007" s="8" t="s">
        <v>208</v>
      </c>
      <c r="J3007" s="8" t="s">
        <v>13986</v>
      </c>
      <c r="K3007" s="8" t="s">
        <v>116</v>
      </c>
      <c r="L3007" s="8" t="s">
        <v>13987</v>
      </c>
    </row>
    <row r="3008" customFormat="false" ht="34.5" hidden="false" customHeight="true" outlineLevel="0" collapsed="false">
      <c r="A3008" s="8" t="n">
        <v>2747</v>
      </c>
      <c r="B3008" s="8" t="s">
        <v>87</v>
      </c>
      <c r="C3008" s="8" t="s">
        <v>13988</v>
      </c>
      <c r="D3008" s="8" t="n">
        <v>2022</v>
      </c>
      <c r="E3008" s="8" t="s">
        <v>13989</v>
      </c>
      <c r="F3008" s="8" t="s">
        <v>11780</v>
      </c>
      <c r="G3008" s="8" t="s">
        <v>13990</v>
      </c>
      <c r="H3008" s="8" t="s">
        <v>145</v>
      </c>
      <c r="I3008" s="8" t="s">
        <v>153</v>
      </c>
      <c r="J3008" s="8" t="s">
        <v>13991</v>
      </c>
      <c r="K3008" s="8" t="s">
        <v>114</v>
      </c>
      <c r="L3008" s="8" t="s">
        <v>13992</v>
      </c>
    </row>
    <row r="3009" customFormat="false" ht="34.5" hidden="false" customHeight="true" outlineLevel="0" collapsed="false">
      <c r="A3009" s="8" t="n">
        <v>2748</v>
      </c>
      <c r="B3009" s="8" t="s">
        <v>87</v>
      </c>
      <c r="C3009" s="8" t="s">
        <v>13969</v>
      </c>
      <c r="D3009" s="8" t="n">
        <v>2023</v>
      </c>
      <c r="E3009" s="8" t="s">
        <v>13993</v>
      </c>
      <c r="F3009" s="8" t="s">
        <v>13971</v>
      </c>
      <c r="G3009" s="8" t="s">
        <v>13994</v>
      </c>
      <c r="H3009" s="8" t="s">
        <v>327</v>
      </c>
      <c r="I3009" s="8" t="s">
        <v>153</v>
      </c>
      <c r="J3009" s="8" t="s">
        <v>13995</v>
      </c>
      <c r="K3009" s="8" t="s">
        <v>114</v>
      </c>
      <c r="L3009" s="8" t="s">
        <v>13996</v>
      </c>
    </row>
    <row r="3010" customFormat="false" ht="34.5" hidden="false" customHeight="true" outlineLevel="0" collapsed="false">
      <c r="A3010" s="8" t="n">
        <v>2749</v>
      </c>
      <c r="B3010" s="8" t="s">
        <v>87</v>
      </c>
      <c r="C3010" s="8" t="s">
        <v>13997</v>
      </c>
      <c r="D3010" s="8" t="n">
        <v>2018</v>
      </c>
      <c r="E3010" s="8" t="s">
        <v>13998</v>
      </c>
      <c r="F3010" s="8" t="s">
        <v>13999</v>
      </c>
      <c r="G3010" s="8" t="s">
        <v>14000</v>
      </c>
      <c r="H3010" s="8" t="s">
        <v>145</v>
      </c>
      <c r="I3010" s="8" t="s">
        <v>153</v>
      </c>
      <c r="J3010" s="8" t="s">
        <v>14001</v>
      </c>
      <c r="K3010" s="8"/>
      <c r="L3010" s="8" t="s">
        <v>14002</v>
      </c>
    </row>
    <row r="3011" customFormat="false" ht="34.5" hidden="false" customHeight="true" outlineLevel="0" collapsed="false">
      <c r="A3011" s="8" t="n">
        <v>2750</v>
      </c>
      <c r="B3011" s="8" t="s">
        <v>87</v>
      </c>
      <c r="C3011" s="8" t="s">
        <v>14003</v>
      </c>
      <c r="D3011" s="8" t="n">
        <v>2022</v>
      </c>
      <c r="E3011" s="8" t="s">
        <v>14004</v>
      </c>
      <c r="F3011" s="8" t="s">
        <v>9198</v>
      </c>
      <c r="G3011" s="8" t="s">
        <v>14005</v>
      </c>
      <c r="H3011" s="8" t="s">
        <v>145</v>
      </c>
      <c r="I3011" s="8" t="s">
        <v>146</v>
      </c>
      <c r="J3011" s="8" t="s">
        <v>14006</v>
      </c>
      <c r="K3011" s="8" t="s">
        <v>112</v>
      </c>
      <c r="L3011" s="8" t="s">
        <v>14007</v>
      </c>
    </row>
    <row r="3012" customFormat="false" ht="34.5" hidden="false" customHeight="true" outlineLevel="0" collapsed="false">
      <c r="A3012" s="8" t="n">
        <v>2751</v>
      </c>
      <c r="B3012" s="8" t="s">
        <v>87</v>
      </c>
      <c r="C3012" s="8" t="s">
        <v>1692</v>
      </c>
      <c r="D3012" s="8" t="n">
        <v>2023</v>
      </c>
      <c r="E3012" s="8" t="s">
        <v>14008</v>
      </c>
      <c r="F3012" s="8" t="s">
        <v>14009</v>
      </c>
      <c r="G3012" s="8" t="s">
        <v>14010</v>
      </c>
      <c r="H3012" s="8" t="s">
        <v>145</v>
      </c>
      <c r="I3012" s="8" t="s">
        <v>153</v>
      </c>
      <c r="J3012" s="8" t="s">
        <v>14011</v>
      </c>
      <c r="K3012" s="8" t="s">
        <v>114</v>
      </c>
      <c r="L3012" s="8" t="s">
        <v>14012</v>
      </c>
    </row>
    <row r="3013" customFormat="false" ht="34.5" hidden="false" customHeight="true" outlineLevel="0" collapsed="false">
      <c r="A3013" s="8" t="n">
        <v>2752</v>
      </c>
      <c r="B3013" s="8" t="s">
        <v>87</v>
      </c>
      <c r="C3013" s="8" t="s">
        <v>14013</v>
      </c>
      <c r="D3013" s="8" t="n">
        <v>2020</v>
      </c>
      <c r="E3013" s="8" t="s">
        <v>14014</v>
      </c>
      <c r="F3013" s="8" t="s">
        <v>14015</v>
      </c>
      <c r="G3013" s="8" t="s">
        <v>626</v>
      </c>
      <c r="H3013" s="8" t="s">
        <v>145</v>
      </c>
      <c r="I3013" s="8" t="s">
        <v>153</v>
      </c>
      <c r="J3013" s="8" t="s">
        <v>14016</v>
      </c>
      <c r="K3013" s="8" t="s">
        <v>112</v>
      </c>
      <c r="L3013" s="8" t="s">
        <v>14017</v>
      </c>
    </row>
    <row r="3014" customFormat="false" ht="34.5" hidden="false" customHeight="true" outlineLevel="0" collapsed="false">
      <c r="A3014" s="8" t="n">
        <v>2753</v>
      </c>
      <c r="B3014" s="8" t="s">
        <v>87</v>
      </c>
      <c r="C3014" s="8" t="s">
        <v>14018</v>
      </c>
      <c r="D3014" s="8" t="n">
        <v>2023</v>
      </c>
      <c r="E3014" s="8" t="s">
        <v>14019</v>
      </c>
      <c r="F3014" s="8" t="s">
        <v>143</v>
      </c>
      <c r="G3014" s="8" t="s">
        <v>14020</v>
      </c>
      <c r="H3014" s="8" t="s">
        <v>721</v>
      </c>
      <c r="I3014" s="8" t="s">
        <v>153</v>
      </c>
      <c r="J3014" s="8" t="s">
        <v>14021</v>
      </c>
      <c r="K3014" s="8" t="s">
        <v>114</v>
      </c>
      <c r="L3014" s="8" t="s">
        <v>14022</v>
      </c>
    </row>
    <row r="3015" customFormat="false" ht="45.75" hidden="false" customHeight="true" outlineLevel="0" collapsed="false">
      <c r="A3015" s="8" t="n">
        <v>2754</v>
      </c>
      <c r="B3015" s="8" t="s">
        <v>87</v>
      </c>
      <c r="C3015" s="8" t="s">
        <v>14023</v>
      </c>
      <c r="D3015" s="8" t="n">
        <v>2022</v>
      </c>
      <c r="E3015" s="8" t="s">
        <v>14024</v>
      </c>
      <c r="F3015" s="8" t="s">
        <v>10512</v>
      </c>
      <c r="G3015" s="8" t="s">
        <v>14025</v>
      </c>
      <c r="H3015" s="8" t="s">
        <v>14026</v>
      </c>
      <c r="I3015" s="8" t="s">
        <v>387</v>
      </c>
      <c r="J3015" s="8" t="s">
        <v>14027</v>
      </c>
      <c r="K3015" s="8" t="s">
        <v>116</v>
      </c>
      <c r="L3015" s="8" t="s">
        <v>14028</v>
      </c>
    </row>
    <row r="3016" customFormat="false" ht="34.5" hidden="false" customHeight="true" outlineLevel="0" collapsed="false">
      <c r="A3016" s="8" t="n">
        <v>2755</v>
      </c>
      <c r="B3016" s="8" t="s">
        <v>87</v>
      </c>
      <c r="C3016" s="8" t="s">
        <v>8440</v>
      </c>
      <c r="D3016" s="8" t="n">
        <v>2022</v>
      </c>
      <c r="E3016" s="8" t="s">
        <v>14029</v>
      </c>
      <c r="F3016" s="8" t="s">
        <v>14030</v>
      </c>
      <c r="G3016" s="8" t="s">
        <v>14031</v>
      </c>
      <c r="H3016" s="8" t="s">
        <v>145</v>
      </c>
      <c r="I3016" s="8" t="s">
        <v>153</v>
      </c>
      <c r="J3016" s="8" t="s">
        <v>14032</v>
      </c>
      <c r="K3016" s="8" t="s">
        <v>114</v>
      </c>
      <c r="L3016" s="8" t="s">
        <v>14033</v>
      </c>
    </row>
    <row r="3017" customFormat="false" ht="34.5" hidden="false" customHeight="true" outlineLevel="0" collapsed="false">
      <c r="A3017" s="8" t="n">
        <v>2756</v>
      </c>
      <c r="B3017" s="8" t="s">
        <v>87</v>
      </c>
      <c r="C3017" s="8" t="s">
        <v>1802</v>
      </c>
      <c r="D3017" s="8" t="n">
        <v>2023</v>
      </c>
      <c r="E3017" s="8" t="s">
        <v>14034</v>
      </c>
      <c r="F3017" s="8" t="s">
        <v>14035</v>
      </c>
      <c r="G3017" s="8" t="s">
        <v>1636</v>
      </c>
      <c r="H3017" s="8" t="s">
        <v>145</v>
      </c>
      <c r="I3017" s="8" t="s">
        <v>153</v>
      </c>
      <c r="J3017" s="8" t="s">
        <v>14036</v>
      </c>
      <c r="K3017" s="8" t="s">
        <v>114</v>
      </c>
      <c r="L3017" s="8" t="s">
        <v>14037</v>
      </c>
    </row>
    <row r="3018" customFormat="false" ht="34.5" hidden="false" customHeight="true" outlineLevel="0" collapsed="false">
      <c r="A3018" s="8" t="n">
        <v>2757</v>
      </c>
      <c r="B3018" s="8" t="s">
        <v>87</v>
      </c>
      <c r="C3018" s="8" t="s">
        <v>14038</v>
      </c>
      <c r="D3018" s="8" t="n">
        <v>2023</v>
      </c>
      <c r="E3018" s="8" t="s">
        <v>14039</v>
      </c>
      <c r="F3018" s="8" t="s">
        <v>14040</v>
      </c>
      <c r="G3018" s="8" t="s">
        <v>14041</v>
      </c>
      <c r="H3018" s="8" t="s">
        <v>7387</v>
      </c>
      <c r="I3018" s="8" t="s">
        <v>146</v>
      </c>
      <c r="J3018" s="8" t="s">
        <v>14042</v>
      </c>
      <c r="K3018" s="8" t="s">
        <v>110</v>
      </c>
      <c r="L3018" s="8" t="s">
        <v>14043</v>
      </c>
    </row>
    <row r="3019" customFormat="false" ht="34.5" hidden="false" customHeight="true" outlineLevel="0" collapsed="false">
      <c r="A3019" s="8" t="n">
        <v>2758</v>
      </c>
      <c r="B3019" s="8" t="s">
        <v>87</v>
      </c>
      <c r="C3019" s="8" t="s">
        <v>14044</v>
      </c>
      <c r="D3019" s="8" t="n">
        <v>2019</v>
      </c>
      <c r="E3019" s="8" t="s">
        <v>14045</v>
      </c>
      <c r="F3019" s="8" t="s">
        <v>143</v>
      </c>
      <c r="G3019" s="8" t="s">
        <v>14046</v>
      </c>
      <c r="H3019" s="8" t="s">
        <v>721</v>
      </c>
      <c r="I3019" s="8" t="s">
        <v>153</v>
      </c>
      <c r="J3019" s="8" t="s">
        <v>14047</v>
      </c>
      <c r="K3019" s="8"/>
      <c r="L3019" s="8" t="s">
        <v>14048</v>
      </c>
    </row>
    <row r="3020" customFormat="false" ht="34.5" hidden="false" customHeight="true" outlineLevel="0" collapsed="false">
      <c r="A3020" s="8" t="n">
        <v>2759</v>
      </c>
      <c r="B3020" s="8" t="s">
        <v>87</v>
      </c>
      <c r="C3020" s="8" t="s">
        <v>14049</v>
      </c>
      <c r="D3020" s="8" t="n">
        <v>2020</v>
      </c>
      <c r="E3020" s="8" t="s">
        <v>14050</v>
      </c>
      <c r="F3020" s="8" t="s">
        <v>587</v>
      </c>
      <c r="G3020" s="8" t="s">
        <v>14051</v>
      </c>
      <c r="H3020" s="8" t="s">
        <v>14052</v>
      </c>
      <c r="I3020" s="8" t="s">
        <v>146</v>
      </c>
      <c r="J3020" s="8" t="s">
        <v>14053</v>
      </c>
      <c r="K3020" s="8" t="s">
        <v>114</v>
      </c>
      <c r="L3020" s="8" t="s">
        <v>14054</v>
      </c>
    </row>
    <row r="3021" customFormat="false" ht="34.5" hidden="false" customHeight="true" outlineLevel="0" collapsed="false">
      <c r="A3021" s="8" t="n">
        <v>2760</v>
      </c>
      <c r="B3021" s="8" t="s">
        <v>87</v>
      </c>
      <c r="C3021" s="8" t="s">
        <v>14055</v>
      </c>
      <c r="D3021" s="8" t="n">
        <v>2023</v>
      </c>
      <c r="E3021" s="8" t="s">
        <v>14056</v>
      </c>
      <c r="F3021" s="8" t="s">
        <v>14057</v>
      </c>
      <c r="G3021" s="8" t="s">
        <v>14058</v>
      </c>
      <c r="H3021" s="8" t="s">
        <v>145</v>
      </c>
      <c r="I3021" s="8" t="s">
        <v>153</v>
      </c>
      <c r="J3021" s="8" t="s">
        <v>14059</v>
      </c>
      <c r="K3021" s="8"/>
      <c r="L3021" s="8" t="s">
        <v>14060</v>
      </c>
    </row>
    <row r="3022" customFormat="false" ht="34.5" hidden="false" customHeight="true" outlineLevel="0" collapsed="false">
      <c r="A3022" s="8" t="n">
        <v>2761</v>
      </c>
      <c r="B3022" s="8" t="s">
        <v>87</v>
      </c>
      <c r="C3022" s="8" t="s">
        <v>14061</v>
      </c>
      <c r="D3022" s="8" t="n">
        <v>2023</v>
      </c>
      <c r="E3022" s="8" t="s">
        <v>14062</v>
      </c>
      <c r="F3022" s="8" t="s">
        <v>143</v>
      </c>
      <c r="G3022" s="8" t="s">
        <v>14063</v>
      </c>
      <c r="H3022" s="8" t="s">
        <v>145</v>
      </c>
      <c r="I3022" s="8" t="s">
        <v>153</v>
      </c>
      <c r="J3022" s="8" t="s">
        <v>14064</v>
      </c>
      <c r="K3022" s="8" t="s">
        <v>110</v>
      </c>
      <c r="L3022" s="8" t="s">
        <v>14065</v>
      </c>
    </row>
    <row r="3023" customFormat="false" ht="34.5" hidden="false" customHeight="true" outlineLevel="0" collapsed="false">
      <c r="A3023" s="8" t="n">
        <v>2762</v>
      </c>
      <c r="B3023" s="8" t="s">
        <v>87</v>
      </c>
      <c r="C3023" s="8" t="s">
        <v>14066</v>
      </c>
      <c r="D3023" s="8" t="n">
        <v>2023</v>
      </c>
      <c r="E3023" s="8" t="s">
        <v>14067</v>
      </c>
      <c r="F3023" s="8" t="s">
        <v>14068</v>
      </c>
      <c r="G3023" s="8" t="s">
        <v>14069</v>
      </c>
      <c r="H3023" s="8" t="s">
        <v>145</v>
      </c>
      <c r="I3023" s="8" t="s">
        <v>153</v>
      </c>
      <c r="J3023" s="8" t="s">
        <v>14070</v>
      </c>
      <c r="K3023" s="8" t="s">
        <v>114</v>
      </c>
      <c r="L3023" s="8" t="s">
        <v>14071</v>
      </c>
    </row>
    <row r="3024" customFormat="false" ht="23.25" hidden="false" customHeight="true" outlineLevel="0" collapsed="false">
      <c r="A3024" s="8" t="n">
        <v>2763</v>
      </c>
      <c r="B3024" s="8" t="s">
        <v>87</v>
      </c>
      <c r="C3024" s="8" t="s">
        <v>14072</v>
      </c>
      <c r="D3024" s="8" t="n">
        <v>2023</v>
      </c>
      <c r="E3024" s="8" t="s">
        <v>14073</v>
      </c>
      <c r="F3024" s="8" t="s">
        <v>14074</v>
      </c>
      <c r="G3024" s="8" t="s">
        <v>14075</v>
      </c>
      <c r="H3024" s="8" t="s">
        <v>145</v>
      </c>
      <c r="I3024" s="8" t="s">
        <v>153</v>
      </c>
      <c r="J3024" s="8" t="s">
        <v>14076</v>
      </c>
      <c r="K3024" s="8" t="s">
        <v>114</v>
      </c>
      <c r="L3024" s="8" t="s">
        <v>14077</v>
      </c>
    </row>
    <row r="3025" customFormat="false" ht="34.5" hidden="false" customHeight="true" outlineLevel="0" collapsed="false">
      <c r="A3025" s="8" t="n">
        <v>2764</v>
      </c>
      <c r="B3025" s="8" t="s">
        <v>87</v>
      </c>
      <c r="C3025" s="8" t="s">
        <v>14078</v>
      </c>
      <c r="D3025" s="8" t="n">
        <v>2021</v>
      </c>
      <c r="E3025" s="8" t="s">
        <v>14079</v>
      </c>
      <c r="F3025" s="8" t="s">
        <v>14080</v>
      </c>
      <c r="G3025" s="8" t="s">
        <v>8353</v>
      </c>
      <c r="H3025" s="8" t="s">
        <v>145</v>
      </c>
      <c r="I3025" s="8" t="s">
        <v>153</v>
      </c>
      <c r="J3025" s="8" t="s">
        <v>14081</v>
      </c>
      <c r="K3025" s="8" t="s">
        <v>114</v>
      </c>
      <c r="L3025" s="8" t="s">
        <v>14082</v>
      </c>
    </row>
    <row r="3026" customFormat="false" ht="34.5" hidden="false" customHeight="true" outlineLevel="0" collapsed="false">
      <c r="A3026" s="8" t="n">
        <v>2765</v>
      </c>
      <c r="B3026" s="8" t="s">
        <v>87</v>
      </c>
      <c r="C3026" s="8" t="s">
        <v>13589</v>
      </c>
      <c r="D3026" s="8" t="n">
        <v>2023</v>
      </c>
      <c r="E3026" s="8" t="s">
        <v>14083</v>
      </c>
      <c r="F3026" s="8" t="s">
        <v>14084</v>
      </c>
      <c r="G3026" s="8" t="s">
        <v>14085</v>
      </c>
      <c r="H3026" s="8" t="s">
        <v>145</v>
      </c>
      <c r="I3026" s="8" t="s">
        <v>387</v>
      </c>
      <c r="J3026" s="8" t="s">
        <v>14086</v>
      </c>
      <c r="K3026" s="8" t="s">
        <v>114</v>
      </c>
      <c r="L3026" s="8" t="s">
        <v>14087</v>
      </c>
    </row>
    <row r="3027" customFormat="false" ht="34.5" hidden="false" customHeight="true" outlineLevel="0" collapsed="false">
      <c r="A3027" s="8" t="n">
        <v>2766</v>
      </c>
      <c r="B3027" s="8" t="s">
        <v>87</v>
      </c>
      <c r="C3027" s="8" t="s">
        <v>14088</v>
      </c>
      <c r="D3027" s="8" t="n">
        <v>2023</v>
      </c>
      <c r="E3027" s="8" t="s">
        <v>14089</v>
      </c>
      <c r="F3027" s="8" t="s">
        <v>14090</v>
      </c>
      <c r="G3027" s="8" t="s">
        <v>14091</v>
      </c>
      <c r="H3027" s="8" t="s">
        <v>145</v>
      </c>
      <c r="I3027" s="8" t="s">
        <v>153</v>
      </c>
      <c r="J3027" s="8" t="s">
        <v>14092</v>
      </c>
      <c r="K3027" s="8" t="s">
        <v>114</v>
      </c>
      <c r="L3027" s="8" t="s">
        <v>14093</v>
      </c>
    </row>
    <row r="3028" customFormat="false" ht="34.5" hidden="false" customHeight="true" outlineLevel="0" collapsed="false">
      <c r="A3028" s="8" t="n">
        <v>2767</v>
      </c>
      <c r="B3028" s="8" t="s">
        <v>87</v>
      </c>
      <c r="C3028" s="8" t="s">
        <v>327</v>
      </c>
      <c r="D3028" s="8" t="n">
        <v>2023</v>
      </c>
      <c r="E3028" s="8" t="s">
        <v>14094</v>
      </c>
      <c r="F3028" s="8" t="s">
        <v>14095</v>
      </c>
      <c r="G3028" s="8" t="s">
        <v>14096</v>
      </c>
      <c r="H3028" s="8" t="s">
        <v>14097</v>
      </c>
      <c r="I3028" s="8" t="s">
        <v>153</v>
      </c>
      <c r="J3028" s="8" t="s">
        <v>14098</v>
      </c>
      <c r="K3028" s="8" t="s">
        <v>114</v>
      </c>
      <c r="L3028" s="8" t="s">
        <v>14099</v>
      </c>
    </row>
    <row r="3029" customFormat="false" ht="34.5" hidden="false" customHeight="true" outlineLevel="0" collapsed="false">
      <c r="A3029" s="8" t="n">
        <v>2768</v>
      </c>
      <c r="B3029" s="8" t="s">
        <v>87</v>
      </c>
      <c r="C3029" s="8" t="s">
        <v>14100</v>
      </c>
      <c r="D3029" s="8" t="n">
        <v>2023</v>
      </c>
      <c r="E3029" s="8" t="s">
        <v>14101</v>
      </c>
      <c r="F3029" s="8" t="s">
        <v>14102</v>
      </c>
      <c r="G3029" s="8" t="s">
        <v>14103</v>
      </c>
      <c r="H3029" s="8" t="s">
        <v>1373</v>
      </c>
      <c r="I3029" s="8" t="s">
        <v>146</v>
      </c>
      <c r="J3029" s="8" t="s">
        <v>14104</v>
      </c>
      <c r="K3029" s="8" t="s">
        <v>116</v>
      </c>
      <c r="L3029" s="8" t="s">
        <v>14105</v>
      </c>
    </row>
    <row r="3030" customFormat="false" ht="34.5" hidden="false" customHeight="true" outlineLevel="0" collapsed="false">
      <c r="A3030" s="8" t="n">
        <v>2769</v>
      </c>
      <c r="B3030" s="8" t="s">
        <v>87</v>
      </c>
      <c r="C3030" s="8" t="s">
        <v>14106</v>
      </c>
      <c r="D3030" s="8" t="n">
        <v>2022</v>
      </c>
      <c r="E3030" s="8" t="s">
        <v>14107</v>
      </c>
      <c r="F3030" s="8" t="s">
        <v>14108</v>
      </c>
      <c r="G3030" s="8" t="s">
        <v>14109</v>
      </c>
      <c r="H3030" s="8" t="s">
        <v>14110</v>
      </c>
      <c r="I3030" s="8" t="s">
        <v>387</v>
      </c>
      <c r="J3030" s="8" t="s">
        <v>14111</v>
      </c>
      <c r="K3030" s="8" t="s">
        <v>112</v>
      </c>
      <c r="L3030" s="8" t="s">
        <v>14112</v>
      </c>
    </row>
    <row r="3031" customFormat="false" ht="34.5" hidden="false" customHeight="true" outlineLevel="0" collapsed="false">
      <c r="A3031" s="8" t="n">
        <v>2770</v>
      </c>
      <c r="B3031" s="8" t="s">
        <v>87</v>
      </c>
      <c r="C3031" s="8" t="s">
        <v>14113</v>
      </c>
      <c r="D3031" s="8" t="n">
        <v>2022</v>
      </c>
      <c r="E3031" s="8" t="s">
        <v>14114</v>
      </c>
      <c r="F3031" s="8" t="s">
        <v>14115</v>
      </c>
      <c r="G3031" s="8" t="s">
        <v>14116</v>
      </c>
      <c r="H3031" s="8" t="s">
        <v>145</v>
      </c>
      <c r="I3031" s="8" t="s">
        <v>387</v>
      </c>
      <c r="J3031" s="8" t="s">
        <v>14117</v>
      </c>
      <c r="K3031" s="8" t="s">
        <v>114</v>
      </c>
      <c r="L3031" s="8" t="s">
        <v>14118</v>
      </c>
    </row>
    <row r="3032" customFormat="false" ht="34.5" hidden="false" customHeight="true" outlineLevel="0" collapsed="false">
      <c r="A3032" s="8" t="n">
        <v>2771</v>
      </c>
      <c r="B3032" s="8" t="s">
        <v>87</v>
      </c>
      <c r="C3032" s="8" t="s">
        <v>14119</v>
      </c>
      <c r="D3032" s="8" t="n">
        <v>2022</v>
      </c>
      <c r="E3032" s="8" t="s">
        <v>14120</v>
      </c>
      <c r="F3032" s="8" t="s">
        <v>14121</v>
      </c>
      <c r="G3032" s="8" t="s">
        <v>14122</v>
      </c>
      <c r="H3032" s="8" t="s">
        <v>14123</v>
      </c>
      <c r="I3032" s="8" t="s">
        <v>146</v>
      </c>
      <c r="J3032" s="8" t="s">
        <v>14124</v>
      </c>
      <c r="K3032" s="8"/>
      <c r="L3032" s="8" t="s">
        <v>14125</v>
      </c>
    </row>
    <row r="3033" customFormat="false" ht="34.5" hidden="false" customHeight="true" outlineLevel="0" collapsed="false">
      <c r="A3033" s="8" t="n">
        <v>2772</v>
      </c>
      <c r="B3033" s="8" t="s">
        <v>89</v>
      </c>
      <c r="C3033" s="8" t="s">
        <v>14126</v>
      </c>
      <c r="D3033" s="8" t="n">
        <v>2015</v>
      </c>
      <c r="E3033" s="8" t="s">
        <v>14127</v>
      </c>
      <c r="F3033" s="8" t="s">
        <v>579</v>
      </c>
      <c r="G3033" s="8" t="s">
        <v>4568</v>
      </c>
      <c r="H3033" s="8" t="s">
        <v>2846</v>
      </c>
      <c r="I3033" s="8" t="s">
        <v>146</v>
      </c>
      <c r="J3033" s="8" t="s">
        <v>14128</v>
      </c>
      <c r="K3033" s="8"/>
      <c r="L3033" s="8" t="s">
        <v>14129</v>
      </c>
    </row>
    <row r="3034" customFormat="false" ht="23.25" hidden="false" customHeight="true" outlineLevel="0" collapsed="false">
      <c r="A3034" s="8" t="n">
        <v>2773</v>
      </c>
      <c r="B3034" s="8" t="s">
        <v>89</v>
      </c>
      <c r="C3034" s="8" t="s">
        <v>14130</v>
      </c>
      <c r="D3034" s="8" t="n">
        <v>2008</v>
      </c>
      <c r="E3034" s="8" t="s">
        <v>14131</v>
      </c>
      <c r="F3034" s="8" t="s">
        <v>151</v>
      </c>
      <c r="G3034" s="8" t="s">
        <v>4464</v>
      </c>
      <c r="H3034" s="8" t="s">
        <v>145</v>
      </c>
      <c r="I3034" s="8" t="s">
        <v>146</v>
      </c>
      <c r="J3034" s="8" t="s">
        <v>14132</v>
      </c>
      <c r="K3034" s="8"/>
      <c r="L3034" s="8" t="s">
        <v>14133</v>
      </c>
    </row>
    <row r="3035" customFormat="false" ht="34.5" hidden="false" customHeight="true" outlineLevel="0" collapsed="false">
      <c r="A3035" s="8" t="n">
        <v>2774</v>
      </c>
      <c r="B3035" s="8" t="s">
        <v>89</v>
      </c>
      <c r="C3035" s="8" t="s">
        <v>14134</v>
      </c>
      <c r="D3035" s="8" t="n">
        <v>2022</v>
      </c>
      <c r="E3035" s="8" t="s">
        <v>14135</v>
      </c>
      <c r="F3035" s="8" t="s">
        <v>151</v>
      </c>
      <c r="G3035" s="8" t="s">
        <v>14136</v>
      </c>
      <c r="H3035" s="8" t="s">
        <v>826</v>
      </c>
      <c r="I3035" s="8" t="s">
        <v>146</v>
      </c>
      <c r="J3035" s="8" t="s">
        <v>14137</v>
      </c>
      <c r="K3035" s="8" t="s">
        <v>116</v>
      </c>
      <c r="L3035" s="8" t="s">
        <v>14138</v>
      </c>
    </row>
    <row r="3036" customFormat="false" ht="34.5" hidden="false" customHeight="true" outlineLevel="0" collapsed="false">
      <c r="A3036" s="9" t="n">
        <v>2775</v>
      </c>
      <c r="B3036" s="10" t="s">
        <v>89</v>
      </c>
      <c r="C3036" s="10" t="s">
        <v>14139</v>
      </c>
      <c r="D3036" s="10" t="n">
        <v>2018</v>
      </c>
      <c r="E3036" s="10" t="s">
        <v>14140</v>
      </c>
      <c r="F3036" s="10" t="s">
        <v>151</v>
      </c>
      <c r="G3036" s="10" t="s">
        <v>14141</v>
      </c>
      <c r="H3036" s="10" t="s">
        <v>14142</v>
      </c>
      <c r="I3036" s="10" t="s">
        <v>146</v>
      </c>
      <c r="J3036" s="10" t="s">
        <v>14143</v>
      </c>
      <c r="K3036" s="10"/>
      <c r="L3036" s="10" t="s">
        <v>14144</v>
      </c>
    </row>
    <row r="3037" customFormat="false" ht="34.5" hidden="false" customHeight="true" outlineLevel="0" collapsed="false">
      <c r="A3037" s="11" t="n">
        <v>2775</v>
      </c>
      <c r="B3037" s="12" t="s">
        <v>89</v>
      </c>
      <c r="C3037" s="12" t="s">
        <v>14145</v>
      </c>
      <c r="D3037" s="12" t="n">
        <v>2018</v>
      </c>
      <c r="E3037" s="12" t="s">
        <v>14140</v>
      </c>
      <c r="F3037" s="12" t="s">
        <v>151</v>
      </c>
      <c r="G3037" s="12" t="s">
        <v>14146</v>
      </c>
      <c r="H3037" s="12" t="s">
        <v>327</v>
      </c>
      <c r="I3037" s="12" t="s">
        <v>146</v>
      </c>
      <c r="J3037" s="12" t="s">
        <v>14147</v>
      </c>
      <c r="K3037" s="12"/>
      <c r="L3037" s="12" t="s">
        <v>14148</v>
      </c>
    </row>
    <row r="3038" customFormat="false" ht="23.25" hidden="false" customHeight="true" outlineLevel="0" collapsed="false">
      <c r="A3038" s="13" t="n">
        <v>2776</v>
      </c>
      <c r="B3038" s="14" t="s">
        <v>89</v>
      </c>
      <c r="C3038" s="14" t="s">
        <v>14139</v>
      </c>
      <c r="D3038" s="14" t="n">
        <v>2021</v>
      </c>
      <c r="E3038" s="14" t="s">
        <v>14149</v>
      </c>
      <c r="F3038" s="14" t="s">
        <v>151</v>
      </c>
      <c r="G3038" s="14" t="s">
        <v>14146</v>
      </c>
      <c r="H3038" s="14" t="s">
        <v>14150</v>
      </c>
      <c r="I3038" s="14" t="s">
        <v>146</v>
      </c>
      <c r="J3038" s="14" t="s">
        <v>14151</v>
      </c>
      <c r="K3038" s="14"/>
      <c r="L3038" s="14" t="s">
        <v>14152</v>
      </c>
    </row>
    <row r="3039" customFormat="false" ht="34.5" hidden="false" customHeight="true" outlineLevel="0" collapsed="false">
      <c r="A3039" s="15" t="n">
        <v>2776</v>
      </c>
      <c r="B3039" s="16" t="s">
        <v>89</v>
      </c>
      <c r="C3039" s="16" t="s">
        <v>14145</v>
      </c>
      <c r="D3039" s="16" t="n">
        <v>2021</v>
      </c>
      <c r="E3039" s="16" t="s">
        <v>14149</v>
      </c>
      <c r="F3039" s="16" t="s">
        <v>151</v>
      </c>
      <c r="G3039" s="16" t="s">
        <v>14146</v>
      </c>
      <c r="H3039" s="16" t="s">
        <v>14153</v>
      </c>
      <c r="I3039" s="16" t="s">
        <v>146</v>
      </c>
      <c r="J3039" s="16" t="s">
        <v>14154</v>
      </c>
      <c r="K3039" s="16"/>
      <c r="L3039" s="16" t="s">
        <v>14155</v>
      </c>
    </row>
    <row r="3040" customFormat="false" ht="34.5" hidden="false" customHeight="true" outlineLevel="0" collapsed="false">
      <c r="A3040" s="9" t="n">
        <v>2777</v>
      </c>
      <c r="B3040" s="10" t="s">
        <v>89</v>
      </c>
      <c r="C3040" s="10" t="s">
        <v>14156</v>
      </c>
      <c r="D3040" s="10" t="n">
        <v>2024</v>
      </c>
      <c r="E3040" s="10" t="s">
        <v>14157</v>
      </c>
      <c r="F3040" s="10" t="s">
        <v>579</v>
      </c>
      <c r="G3040" s="10" t="s">
        <v>1776</v>
      </c>
      <c r="H3040" s="10" t="s">
        <v>327</v>
      </c>
      <c r="I3040" s="10" t="s">
        <v>146</v>
      </c>
      <c r="J3040" s="10" t="s">
        <v>14158</v>
      </c>
      <c r="K3040" s="10"/>
      <c r="L3040" s="10" t="s">
        <v>14159</v>
      </c>
    </row>
    <row r="3041" customFormat="false" ht="34.5" hidden="false" customHeight="true" outlineLevel="0" collapsed="false">
      <c r="A3041" s="11" t="n">
        <v>2777</v>
      </c>
      <c r="B3041" s="12" t="s">
        <v>89</v>
      </c>
      <c r="C3041" s="12" t="s">
        <v>14160</v>
      </c>
      <c r="D3041" s="12" t="n">
        <v>2024</v>
      </c>
      <c r="E3041" s="12" t="s">
        <v>14157</v>
      </c>
      <c r="F3041" s="12" t="s">
        <v>579</v>
      </c>
      <c r="G3041" s="12" t="s">
        <v>1776</v>
      </c>
      <c r="H3041" s="12" t="s">
        <v>678</v>
      </c>
      <c r="I3041" s="12" t="s">
        <v>146</v>
      </c>
      <c r="J3041" s="12" t="s">
        <v>14161</v>
      </c>
      <c r="K3041" s="12" t="s">
        <v>114</v>
      </c>
      <c r="L3041" s="12" t="s">
        <v>14162</v>
      </c>
    </row>
    <row r="3042" customFormat="false" ht="23.25" hidden="false" customHeight="true" outlineLevel="0" collapsed="false">
      <c r="A3042" s="8" t="n">
        <v>2778</v>
      </c>
      <c r="B3042" s="8" t="s">
        <v>89</v>
      </c>
      <c r="C3042" s="8" t="s">
        <v>14163</v>
      </c>
      <c r="D3042" s="8" t="n">
        <v>2022</v>
      </c>
      <c r="E3042" s="8" t="s">
        <v>14164</v>
      </c>
      <c r="F3042" s="8" t="s">
        <v>151</v>
      </c>
      <c r="G3042" s="8" t="s">
        <v>3552</v>
      </c>
      <c r="H3042" s="8" t="s">
        <v>14165</v>
      </c>
      <c r="I3042" s="8" t="s">
        <v>146</v>
      </c>
      <c r="J3042" s="8" t="s">
        <v>14166</v>
      </c>
      <c r="K3042" s="8"/>
      <c r="L3042" s="8" t="s">
        <v>14167</v>
      </c>
    </row>
    <row r="3043" customFormat="false" ht="34.5" hidden="false" customHeight="true" outlineLevel="0" collapsed="false">
      <c r="A3043" s="8" t="n">
        <v>2779</v>
      </c>
      <c r="B3043" s="8" t="s">
        <v>89</v>
      </c>
      <c r="C3043" s="8" t="s">
        <v>14168</v>
      </c>
      <c r="D3043" s="8" t="n">
        <v>2003</v>
      </c>
      <c r="E3043" s="8" t="s">
        <v>14169</v>
      </c>
      <c r="F3043" s="8" t="s">
        <v>201</v>
      </c>
      <c r="G3043" s="8" t="s">
        <v>4568</v>
      </c>
      <c r="H3043" s="8" t="s">
        <v>2846</v>
      </c>
      <c r="I3043" s="8" t="s">
        <v>146</v>
      </c>
      <c r="J3043" s="8" t="s">
        <v>14170</v>
      </c>
      <c r="K3043" s="8"/>
      <c r="L3043" s="8" t="s">
        <v>14171</v>
      </c>
    </row>
    <row r="3044" customFormat="false" ht="23.25" hidden="false" customHeight="true" outlineLevel="0" collapsed="false">
      <c r="A3044" s="8" t="n">
        <v>2780</v>
      </c>
      <c r="B3044" s="8" t="s">
        <v>89</v>
      </c>
      <c r="C3044" s="8" t="s">
        <v>14172</v>
      </c>
      <c r="D3044" s="8" t="n">
        <v>2023</v>
      </c>
      <c r="E3044" s="8" t="s">
        <v>14173</v>
      </c>
      <c r="F3044" s="8" t="s">
        <v>151</v>
      </c>
      <c r="G3044" s="8" t="s">
        <v>14174</v>
      </c>
      <c r="H3044" s="8" t="s">
        <v>327</v>
      </c>
      <c r="I3044" s="8" t="s">
        <v>146</v>
      </c>
      <c r="J3044" s="8" t="s">
        <v>14175</v>
      </c>
      <c r="K3044" s="8"/>
      <c r="L3044" s="8" t="s">
        <v>14176</v>
      </c>
    </row>
    <row r="3045" customFormat="false" ht="23.25" hidden="false" customHeight="true" outlineLevel="0" collapsed="false">
      <c r="A3045" s="8" t="n">
        <v>2781</v>
      </c>
      <c r="B3045" s="8" t="s">
        <v>89</v>
      </c>
      <c r="C3045" s="8" t="s">
        <v>14177</v>
      </c>
      <c r="D3045" s="8" t="n">
        <v>2022</v>
      </c>
      <c r="E3045" s="8" t="s">
        <v>14178</v>
      </c>
      <c r="F3045" s="8" t="s">
        <v>151</v>
      </c>
      <c r="G3045" s="8" t="s">
        <v>4489</v>
      </c>
      <c r="H3045" s="8" t="s">
        <v>423</v>
      </c>
      <c r="I3045" s="8" t="s">
        <v>146</v>
      </c>
      <c r="J3045" s="8" t="s">
        <v>14179</v>
      </c>
      <c r="K3045" s="8"/>
      <c r="L3045" s="8" t="s">
        <v>14180</v>
      </c>
    </row>
    <row r="3046" customFormat="false" ht="34.5" hidden="false" customHeight="true" outlineLevel="0" collapsed="false">
      <c r="A3046" s="8" t="n">
        <v>2782</v>
      </c>
      <c r="B3046" s="8" t="s">
        <v>89</v>
      </c>
      <c r="C3046" s="8" t="s">
        <v>14181</v>
      </c>
      <c r="D3046" s="8" t="n">
        <v>2026</v>
      </c>
      <c r="E3046" s="8" t="s">
        <v>14182</v>
      </c>
      <c r="F3046" s="8" t="s">
        <v>151</v>
      </c>
      <c r="G3046" s="8" t="s">
        <v>14183</v>
      </c>
      <c r="H3046" s="8" t="s">
        <v>14184</v>
      </c>
      <c r="I3046" s="8" t="s">
        <v>146</v>
      </c>
      <c r="J3046" s="8" t="s">
        <v>14185</v>
      </c>
      <c r="K3046" s="8" t="s">
        <v>114</v>
      </c>
      <c r="L3046" s="8" t="s">
        <v>14186</v>
      </c>
    </row>
    <row r="3047" customFormat="false" ht="34.5" hidden="false" customHeight="true" outlineLevel="0" collapsed="false">
      <c r="A3047" s="9" t="n">
        <v>2783</v>
      </c>
      <c r="B3047" s="10" t="s">
        <v>89</v>
      </c>
      <c r="C3047" s="10" t="s">
        <v>14187</v>
      </c>
      <c r="D3047" s="10" t="n">
        <v>2021</v>
      </c>
      <c r="E3047" s="10" t="s">
        <v>14188</v>
      </c>
      <c r="F3047" s="10" t="s">
        <v>201</v>
      </c>
      <c r="G3047" s="10" t="s">
        <v>14189</v>
      </c>
      <c r="H3047" s="10" t="s">
        <v>145</v>
      </c>
      <c r="I3047" s="10" t="s">
        <v>153</v>
      </c>
      <c r="J3047" s="10" t="s">
        <v>14190</v>
      </c>
      <c r="K3047" s="10" t="s">
        <v>114</v>
      </c>
      <c r="L3047" s="10" t="s">
        <v>14191</v>
      </c>
    </row>
    <row r="3048" customFormat="false" ht="34.5" hidden="false" customHeight="true" outlineLevel="0" collapsed="false">
      <c r="A3048" s="11" t="n">
        <v>2783</v>
      </c>
      <c r="B3048" s="12" t="s">
        <v>89</v>
      </c>
      <c r="C3048" s="12" t="s">
        <v>14192</v>
      </c>
      <c r="D3048" s="12" t="n">
        <v>2021</v>
      </c>
      <c r="E3048" s="12" t="s">
        <v>14188</v>
      </c>
      <c r="F3048" s="12" t="s">
        <v>201</v>
      </c>
      <c r="G3048" s="12" t="s">
        <v>14193</v>
      </c>
      <c r="H3048" s="12" t="s">
        <v>512</v>
      </c>
      <c r="I3048" s="12" t="s">
        <v>153</v>
      </c>
      <c r="J3048" s="12" t="s">
        <v>14194</v>
      </c>
      <c r="K3048" s="12" t="s">
        <v>114</v>
      </c>
      <c r="L3048" s="12" t="s">
        <v>14195</v>
      </c>
    </row>
    <row r="3049" customFormat="false" ht="34.5" hidden="false" customHeight="true" outlineLevel="0" collapsed="false">
      <c r="A3049" s="8" t="n">
        <v>2784</v>
      </c>
      <c r="B3049" s="8" t="s">
        <v>89</v>
      </c>
      <c r="C3049" s="8" t="s">
        <v>14187</v>
      </c>
      <c r="D3049" s="8" t="n">
        <v>2026</v>
      </c>
      <c r="E3049" s="8" t="s">
        <v>14196</v>
      </c>
      <c r="F3049" s="8" t="s">
        <v>201</v>
      </c>
      <c r="G3049" s="8" t="s">
        <v>14197</v>
      </c>
      <c r="H3049" s="8" t="s">
        <v>327</v>
      </c>
      <c r="I3049" s="8" t="s">
        <v>153</v>
      </c>
      <c r="J3049" s="8" t="s">
        <v>14198</v>
      </c>
      <c r="K3049" s="8" t="s">
        <v>114</v>
      </c>
      <c r="L3049" s="8" t="s">
        <v>14199</v>
      </c>
    </row>
    <row r="3050" customFormat="false" ht="23.25" hidden="false" customHeight="true" outlineLevel="0" collapsed="false">
      <c r="A3050" s="8" t="n">
        <v>2785</v>
      </c>
      <c r="B3050" s="8" t="s">
        <v>89</v>
      </c>
      <c r="C3050" s="8" t="s">
        <v>14200</v>
      </c>
      <c r="D3050" s="8" t="n">
        <v>2019</v>
      </c>
      <c r="E3050" s="8" t="s">
        <v>14201</v>
      </c>
      <c r="F3050" s="8" t="s">
        <v>151</v>
      </c>
      <c r="G3050" s="8" t="s">
        <v>4464</v>
      </c>
      <c r="H3050" s="8" t="s">
        <v>145</v>
      </c>
      <c r="I3050" s="8" t="s">
        <v>146</v>
      </c>
      <c r="J3050" s="8" t="s">
        <v>14202</v>
      </c>
      <c r="K3050" s="8"/>
      <c r="L3050" s="8" t="s">
        <v>14203</v>
      </c>
    </row>
    <row r="3051" customFormat="false" ht="34.5" hidden="false" customHeight="true" outlineLevel="0" collapsed="false">
      <c r="A3051" s="8" t="n">
        <v>2786</v>
      </c>
      <c r="B3051" s="8" t="s">
        <v>89</v>
      </c>
      <c r="C3051" s="8" t="s">
        <v>14204</v>
      </c>
      <c r="D3051" s="8" t="n">
        <v>2015</v>
      </c>
      <c r="E3051" s="8" t="s">
        <v>14205</v>
      </c>
      <c r="F3051" s="8" t="s">
        <v>14206</v>
      </c>
      <c r="G3051" s="8" t="s">
        <v>14146</v>
      </c>
      <c r="H3051" s="8" t="s">
        <v>14207</v>
      </c>
      <c r="I3051" s="8" t="s">
        <v>146</v>
      </c>
      <c r="J3051" s="8" t="s">
        <v>14208</v>
      </c>
      <c r="K3051" s="8"/>
      <c r="L3051" s="8" t="s">
        <v>14209</v>
      </c>
    </row>
    <row r="3052" customFormat="false" ht="34.5" hidden="false" customHeight="true" outlineLevel="0" collapsed="false">
      <c r="A3052" s="8" t="n">
        <v>2787</v>
      </c>
      <c r="B3052" s="8" t="s">
        <v>89</v>
      </c>
      <c r="C3052" s="8" t="s">
        <v>14210</v>
      </c>
      <c r="D3052" s="8" t="n">
        <v>2021</v>
      </c>
      <c r="E3052" s="8" t="s">
        <v>14211</v>
      </c>
      <c r="F3052" s="8" t="s">
        <v>151</v>
      </c>
      <c r="G3052" s="8" t="s">
        <v>4489</v>
      </c>
      <c r="H3052" s="8" t="s">
        <v>14212</v>
      </c>
      <c r="I3052" s="8" t="s">
        <v>387</v>
      </c>
      <c r="J3052" s="8" t="s">
        <v>14213</v>
      </c>
      <c r="K3052" s="8" t="s">
        <v>116</v>
      </c>
      <c r="L3052" s="8" t="s">
        <v>14214</v>
      </c>
    </row>
    <row r="3053" customFormat="false" ht="23.25" hidden="false" customHeight="true" outlineLevel="0" collapsed="false">
      <c r="A3053" s="8" t="n">
        <v>2788</v>
      </c>
      <c r="B3053" s="8" t="s">
        <v>89</v>
      </c>
      <c r="C3053" s="8" t="s">
        <v>7001</v>
      </c>
      <c r="D3053" s="8" t="n">
        <v>2023</v>
      </c>
      <c r="E3053" s="8" t="s">
        <v>14215</v>
      </c>
      <c r="F3053" s="8" t="s">
        <v>3817</v>
      </c>
      <c r="G3053" s="8" t="s">
        <v>152</v>
      </c>
      <c r="H3053" s="8" t="s">
        <v>145</v>
      </c>
      <c r="I3053" s="8" t="s">
        <v>146</v>
      </c>
      <c r="J3053" s="8" t="s">
        <v>14216</v>
      </c>
      <c r="K3053" s="8"/>
      <c r="L3053" s="8" t="s">
        <v>14217</v>
      </c>
    </row>
    <row r="3054" customFormat="false" ht="34.5" hidden="false" customHeight="true" outlineLevel="0" collapsed="false">
      <c r="A3054" s="8" t="n">
        <v>2789</v>
      </c>
      <c r="B3054" s="8" t="s">
        <v>89</v>
      </c>
      <c r="C3054" s="8" t="s">
        <v>14218</v>
      </c>
      <c r="D3054" s="8" t="n">
        <v>2017</v>
      </c>
      <c r="E3054" s="8" t="s">
        <v>14219</v>
      </c>
      <c r="F3054" s="8" t="s">
        <v>143</v>
      </c>
      <c r="G3054" s="8" t="s">
        <v>3552</v>
      </c>
      <c r="H3054" s="8" t="s">
        <v>145</v>
      </c>
      <c r="I3054" s="8" t="s">
        <v>146</v>
      </c>
      <c r="J3054" s="8" t="s">
        <v>14220</v>
      </c>
      <c r="K3054" s="8"/>
      <c r="L3054" s="8" t="s">
        <v>14221</v>
      </c>
    </row>
    <row r="3055" customFormat="false" ht="23.25" hidden="false" customHeight="true" outlineLevel="0" collapsed="false">
      <c r="A3055" s="8" t="n">
        <v>2790</v>
      </c>
      <c r="B3055" s="8" t="s">
        <v>89</v>
      </c>
      <c r="C3055" s="8" t="s">
        <v>14222</v>
      </c>
      <c r="D3055" s="8" t="n">
        <v>1994</v>
      </c>
      <c r="E3055" s="8" t="s">
        <v>14223</v>
      </c>
      <c r="F3055" s="8" t="s">
        <v>12244</v>
      </c>
      <c r="G3055" s="8" t="s">
        <v>14224</v>
      </c>
      <c r="H3055" s="8" t="s">
        <v>327</v>
      </c>
      <c r="I3055" s="8" t="s">
        <v>153</v>
      </c>
      <c r="J3055" s="8" t="s">
        <v>14225</v>
      </c>
      <c r="K3055" s="8"/>
      <c r="L3055" s="8" t="s">
        <v>14226</v>
      </c>
    </row>
    <row r="3056" customFormat="false" ht="34.5" hidden="false" customHeight="true" outlineLevel="0" collapsed="false">
      <c r="A3056" s="8" t="n">
        <v>2791</v>
      </c>
      <c r="B3056" s="8" t="s">
        <v>89</v>
      </c>
      <c r="C3056" s="8" t="s">
        <v>14227</v>
      </c>
      <c r="D3056" s="8" t="n">
        <v>2022</v>
      </c>
      <c r="E3056" s="8" t="s">
        <v>14228</v>
      </c>
      <c r="F3056" s="8" t="s">
        <v>201</v>
      </c>
      <c r="G3056" s="8" t="s">
        <v>14229</v>
      </c>
      <c r="H3056" s="8" t="s">
        <v>327</v>
      </c>
      <c r="I3056" s="8" t="s">
        <v>153</v>
      </c>
      <c r="J3056" s="8" t="s">
        <v>14230</v>
      </c>
      <c r="K3056" s="8" t="s">
        <v>114</v>
      </c>
      <c r="L3056" s="8" t="s">
        <v>14231</v>
      </c>
    </row>
    <row r="3057" customFormat="false" ht="34.5" hidden="false" customHeight="true" outlineLevel="0" collapsed="false">
      <c r="A3057" s="8" t="n">
        <v>2792</v>
      </c>
      <c r="B3057" s="8" t="s">
        <v>89</v>
      </c>
      <c r="C3057" s="8" t="s">
        <v>14232</v>
      </c>
      <c r="D3057" s="8" t="n">
        <v>2022</v>
      </c>
      <c r="E3057" s="8" t="s">
        <v>14233</v>
      </c>
      <c r="F3057" s="8" t="s">
        <v>3817</v>
      </c>
      <c r="G3057" s="8" t="s">
        <v>14234</v>
      </c>
      <c r="H3057" s="8" t="s">
        <v>327</v>
      </c>
      <c r="I3057" s="8" t="s">
        <v>146</v>
      </c>
      <c r="J3057" s="8" t="s">
        <v>14235</v>
      </c>
      <c r="K3057" s="8"/>
      <c r="L3057" s="8" t="s">
        <v>14236</v>
      </c>
    </row>
    <row r="3058" customFormat="false" ht="34.5" hidden="false" customHeight="true" outlineLevel="0" collapsed="false">
      <c r="A3058" s="8" t="n">
        <v>2793</v>
      </c>
      <c r="B3058" s="8" t="s">
        <v>89</v>
      </c>
      <c r="C3058" s="8" t="s">
        <v>1622</v>
      </c>
      <c r="D3058" s="8" t="n">
        <v>2023</v>
      </c>
      <c r="E3058" s="8" t="s">
        <v>14237</v>
      </c>
      <c r="F3058" s="8" t="s">
        <v>8720</v>
      </c>
      <c r="G3058" s="8" t="s">
        <v>14238</v>
      </c>
      <c r="H3058" s="8" t="s">
        <v>327</v>
      </c>
      <c r="I3058" s="8" t="s">
        <v>146</v>
      </c>
      <c r="J3058" s="8" t="s">
        <v>14239</v>
      </c>
      <c r="K3058" s="8" t="s">
        <v>114</v>
      </c>
      <c r="L3058" s="8" t="s">
        <v>14240</v>
      </c>
    </row>
    <row r="3059" customFormat="false" ht="34.5" hidden="false" customHeight="true" outlineLevel="0" collapsed="false">
      <c r="A3059" s="13" t="n">
        <v>2794</v>
      </c>
      <c r="B3059" s="14" t="s">
        <v>89</v>
      </c>
      <c r="C3059" s="14" t="s">
        <v>14241</v>
      </c>
      <c r="D3059" s="14" t="n">
        <v>2023</v>
      </c>
      <c r="E3059" s="14" t="s">
        <v>14242</v>
      </c>
      <c r="F3059" s="14" t="s">
        <v>579</v>
      </c>
      <c r="G3059" s="14" t="s">
        <v>14238</v>
      </c>
      <c r="H3059" s="14" t="s">
        <v>327</v>
      </c>
      <c r="I3059" s="14" t="s">
        <v>387</v>
      </c>
      <c r="J3059" s="14" t="s">
        <v>14243</v>
      </c>
      <c r="K3059" s="14" t="s">
        <v>116</v>
      </c>
      <c r="L3059" s="14" t="s">
        <v>14244</v>
      </c>
    </row>
    <row r="3060" customFormat="false" ht="23.25" hidden="false" customHeight="true" outlineLevel="0" collapsed="false">
      <c r="A3060" s="15" t="n">
        <v>2794</v>
      </c>
      <c r="B3060" s="16" t="s">
        <v>89</v>
      </c>
      <c r="C3060" s="16" t="s">
        <v>14245</v>
      </c>
      <c r="D3060" s="16" t="n">
        <v>2023</v>
      </c>
      <c r="E3060" s="16" t="s">
        <v>14242</v>
      </c>
      <c r="F3060" s="16" t="s">
        <v>151</v>
      </c>
      <c r="G3060" s="16" t="s">
        <v>14246</v>
      </c>
      <c r="H3060" s="16" t="s">
        <v>327</v>
      </c>
      <c r="I3060" s="16" t="s">
        <v>748</v>
      </c>
      <c r="J3060" s="16" t="s">
        <v>14247</v>
      </c>
      <c r="K3060" s="16" t="s">
        <v>116</v>
      </c>
      <c r="L3060" s="16" t="s">
        <v>14248</v>
      </c>
    </row>
    <row r="3061" customFormat="false" ht="23.25" hidden="false" customHeight="true" outlineLevel="0" collapsed="false">
      <c r="A3061" s="8" t="n">
        <v>2795</v>
      </c>
      <c r="B3061" s="8" t="s">
        <v>89</v>
      </c>
      <c r="C3061" s="8" t="s">
        <v>13743</v>
      </c>
      <c r="D3061" s="8" t="n">
        <v>2000</v>
      </c>
      <c r="E3061" s="8" t="s">
        <v>14249</v>
      </c>
      <c r="F3061" s="8" t="s">
        <v>12244</v>
      </c>
      <c r="G3061" s="8" t="s">
        <v>14250</v>
      </c>
      <c r="H3061" s="8" t="s">
        <v>678</v>
      </c>
      <c r="I3061" s="8" t="s">
        <v>153</v>
      </c>
      <c r="J3061" s="8" t="s">
        <v>14251</v>
      </c>
      <c r="K3061" s="8"/>
      <c r="L3061" s="8" t="s">
        <v>14252</v>
      </c>
    </row>
    <row r="3062" customFormat="false" ht="34.5" hidden="false" customHeight="true" outlineLevel="0" collapsed="false">
      <c r="A3062" s="8" t="n">
        <v>2796</v>
      </c>
      <c r="B3062" s="8" t="s">
        <v>89</v>
      </c>
      <c r="C3062" s="8" t="s">
        <v>13743</v>
      </c>
      <c r="D3062" s="8" t="n">
        <v>2019</v>
      </c>
      <c r="E3062" s="8" t="s">
        <v>14253</v>
      </c>
      <c r="F3062" s="8" t="s">
        <v>14254</v>
      </c>
      <c r="G3062" s="8" t="s">
        <v>14250</v>
      </c>
      <c r="H3062" s="8" t="s">
        <v>14255</v>
      </c>
      <c r="I3062" s="8" t="s">
        <v>153</v>
      </c>
      <c r="J3062" s="8" t="s">
        <v>14256</v>
      </c>
      <c r="K3062" s="8"/>
      <c r="L3062" s="8" t="s">
        <v>14257</v>
      </c>
    </row>
    <row r="3063" customFormat="false" ht="34.5" hidden="false" customHeight="true" outlineLevel="0" collapsed="false">
      <c r="A3063" s="8" t="n">
        <v>2797</v>
      </c>
      <c r="B3063" s="8" t="s">
        <v>89</v>
      </c>
      <c r="C3063" s="8" t="s">
        <v>13743</v>
      </c>
      <c r="D3063" s="8" t="n">
        <v>2023</v>
      </c>
      <c r="E3063" s="8" t="s">
        <v>14258</v>
      </c>
      <c r="F3063" s="8" t="s">
        <v>201</v>
      </c>
      <c r="G3063" s="8" t="s">
        <v>14259</v>
      </c>
      <c r="H3063" s="8" t="s">
        <v>678</v>
      </c>
      <c r="I3063" s="8" t="s">
        <v>146</v>
      </c>
      <c r="J3063" s="8" t="s">
        <v>14260</v>
      </c>
      <c r="K3063" s="8" t="s">
        <v>114</v>
      </c>
      <c r="L3063" s="8" t="s">
        <v>14261</v>
      </c>
    </row>
    <row r="3064" customFormat="false" ht="34.5" hidden="false" customHeight="true" outlineLevel="0" collapsed="false">
      <c r="A3064" s="8" t="n">
        <v>2798</v>
      </c>
      <c r="B3064" s="8" t="s">
        <v>89</v>
      </c>
      <c r="C3064" s="8" t="s">
        <v>14262</v>
      </c>
      <c r="D3064" s="8" t="n">
        <v>2024</v>
      </c>
      <c r="E3064" s="8" t="s">
        <v>14263</v>
      </c>
      <c r="F3064" s="8" t="s">
        <v>579</v>
      </c>
      <c r="G3064" s="8" t="s">
        <v>14264</v>
      </c>
      <c r="H3064" s="8" t="s">
        <v>327</v>
      </c>
      <c r="I3064" s="8" t="s">
        <v>146</v>
      </c>
      <c r="J3064" s="8" t="s">
        <v>14265</v>
      </c>
      <c r="K3064" s="8" t="s">
        <v>114</v>
      </c>
      <c r="L3064" s="8" t="s">
        <v>14266</v>
      </c>
    </row>
    <row r="3065" customFormat="false" ht="34.5" hidden="false" customHeight="true" outlineLevel="0" collapsed="false">
      <c r="A3065" s="8" t="n">
        <v>2799</v>
      </c>
      <c r="B3065" s="8" t="s">
        <v>89</v>
      </c>
      <c r="C3065" s="8" t="s">
        <v>14267</v>
      </c>
      <c r="D3065" s="8" t="n">
        <v>2012</v>
      </c>
      <c r="E3065" s="8" t="s">
        <v>14268</v>
      </c>
      <c r="F3065" s="8" t="s">
        <v>9198</v>
      </c>
      <c r="G3065" s="8" t="s">
        <v>152</v>
      </c>
      <c r="H3065" s="8" t="s">
        <v>14269</v>
      </c>
      <c r="I3065" s="8" t="s">
        <v>146</v>
      </c>
      <c r="J3065" s="8" t="s">
        <v>14270</v>
      </c>
      <c r="K3065" s="8"/>
      <c r="L3065" s="8" t="s">
        <v>14271</v>
      </c>
    </row>
    <row r="3066" customFormat="false" ht="34.5" hidden="false" customHeight="true" outlineLevel="0" collapsed="false">
      <c r="A3066" s="8" t="n">
        <v>2800</v>
      </c>
      <c r="B3066" s="8" t="s">
        <v>89</v>
      </c>
      <c r="C3066" s="8" t="s">
        <v>14272</v>
      </c>
      <c r="D3066" s="8" t="n">
        <v>2024</v>
      </c>
      <c r="E3066" s="8" t="s">
        <v>14273</v>
      </c>
      <c r="F3066" s="8" t="s">
        <v>14274</v>
      </c>
      <c r="G3066" s="8" t="s">
        <v>14275</v>
      </c>
      <c r="H3066" s="8" t="s">
        <v>14276</v>
      </c>
      <c r="I3066" s="8" t="s">
        <v>8546</v>
      </c>
      <c r="J3066" s="8" t="s">
        <v>14277</v>
      </c>
      <c r="K3066" s="8"/>
      <c r="L3066" s="8" t="s">
        <v>14278</v>
      </c>
    </row>
    <row r="3067" customFormat="false" ht="34.5" hidden="false" customHeight="true" outlineLevel="0" collapsed="false">
      <c r="A3067" s="8" t="n">
        <v>2801</v>
      </c>
      <c r="B3067" s="8" t="s">
        <v>89</v>
      </c>
      <c r="C3067" s="8" t="s">
        <v>1740</v>
      </c>
      <c r="D3067" s="8" t="n">
        <v>2013</v>
      </c>
      <c r="E3067" s="8" t="s">
        <v>14279</v>
      </c>
      <c r="F3067" s="8" t="s">
        <v>14280</v>
      </c>
      <c r="G3067" s="8" t="s">
        <v>14281</v>
      </c>
      <c r="H3067" s="8" t="s">
        <v>327</v>
      </c>
      <c r="I3067" s="8" t="s">
        <v>146</v>
      </c>
      <c r="J3067" s="8" t="s">
        <v>14282</v>
      </c>
      <c r="K3067" s="8" t="s">
        <v>116</v>
      </c>
      <c r="L3067" s="8" t="s">
        <v>14283</v>
      </c>
    </row>
    <row r="3068" customFormat="false" ht="34.5" hidden="false" customHeight="true" outlineLevel="0" collapsed="false">
      <c r="A3068" s="8" t="n">
        <v>2802</v>
      </c>
      <c r="B3068" s="8" t="s">
        <v>89</v>
      </c>
      <c r="C3068" s="8" t="s">
        <v>1740</v>
      </c>
      <c r="D3068" s="8" t="n">
        <v>2024</v>
      </c>
      <c r="E3068" s="8" t="s">
        <v>14284</v>
      </c>
      <c r="F3068" s="8" t="s">
        <v>14285</v>
      </c>
      <c r="G3068" s="8" t="s">
        <v>14286</v>
      </c>
      <c r="H3068" s="8" t="s">
        <v>327</v>
      </c>
      <c r="I3068" s="8" t="s">
        <v>153</v>
      </c>
      <c r="J3068" s="8" t="s">
        <v>14287</v>
      </c>
      <c r="K3068" s="8" t="s">
        <v>114</v>
      </c>
      <c r="L3068" s="8" t="s">
        <v>14288</v>
      </c>
    </row>
    <row r="3069" customFormat="false" ht="34.5" hidden="false" customHeight="true" outlineLevel="0" collapsed="false">
      <c r="A3069" s="8" t="n">
        <v>2803</v>
      </c>
      <c r="B3069" s="8" t="s">
        <v>89</v>
      </c>
      <c r="C3069" s="8" t="s">
        <v>14289</v>
      </c>
      <c r="D3069" s="8" t="n">
        <v>2018</v>
      </c>
      <c r="E3069" s="8" t="s">
        <v>14290</v>
      </c>
      <c r="F3069" s="8" t="s">
        <v>14291</v>
      </c>
      <c r="G3069" s="8" t="s">
        <v>9163</v>
      </c>
      <c r="H3069" s="8" t="s">
        <v>327</v>
      </c>
      <c r="I3069" s="8" t="s">
        <v>153</v>
      </c>
      <c r="J3069" s="8" t="s">
        <v>14292</v>
      </c>
      <c r="K3069" s="8" t="s">
        <v>114</v>
      </c>
      <c r="L3069" s="8" t="s">
        <v>14293</v>
      </c>
    </row>
    <row r="3070" customFormat="false" ht="34.5" hidden="false" customHeight="true" outlineLevel="0" collapsed="false">
      <c r="A3070" s="8" t="n">
        <v>2804</v>
      </c>
      <c r="B3070" s="8" t="s">
        <v>89</v>
      </c>
      <c r="C3070" s="8" t="s">
        <v>8826</v>
      </c>
      <c r="D3070" s="8" t="n">
        <v>2018</v>
      </c>
      <c r="E3070" s="8" t="s">
        <v>14294</v>
      </c>
      <c r="F3070" s="8" t="s">
        <v>201</v>
      </c>
      <c r="G3070" s="8" t="s">
        <v>14295</v>
      </c>
      <c r="H3070" s="8" t="s">
        <v>145</v>
      </c>
      <c r="I3070" s="8" t="s">
        <v>146</v>
      </c>
      <c r="J3070" s="8" t="s">
        <v>14296</v>
      </c>
      <c r="K3070" s="8"/>
      <c r="L3070" s="8" t="s">
        <v>14297</v>
      </c>
    </row>
    <row r="3071" customFormat="false" ht="23.25" hidden="false" customHeight="true" outlineLevel="0" collapsed="false">
      <c r="A3071" s="8" t="n">
        <v>2805</v>
      </c>
      <c r="B3071" s="8" t="s">
        <v>89</v>
      </c>
      <c r="C3071" s="8" t="s">
        <v>14298</v>
      </c>
      <c r="D3071" s="8" t="n">
        <v>2024</v>
      </c>
      <c r="E3071" s="8" t="s">
        <v>14299</v>
      </c>
      <c r="F3071" s="8" t="s">
        <v>3817</v>
      </c>
      <c r="G3071" s="8" t="s">
        <v>14146</v>
      </c>
      <c r="H3071" s="8" t="s">
        <v>327</v>
      </c>
      <c r="I3071" s="8" t="s">
        <v>146</v>
      </c>
      <c r="J3071" s="8" t="s">
        <v>14300</v>
      </c>
      <c r="K3071" s="8"/>
      <c r="L3071" s="8" t="s">
        <v>14301</v>
      </c>
    </row>
    <row r="3072" customFormat="false" ht="23.25" hidden="false" customHeight="true" outlineLevel="0" collapsed="false">
      <c r="A3072" s="8" t="n">
        <v>2806</v>
      </c>
      <c r="B3072" s="8" t="s">
        <v>89</v>
      </c>
      <c r="C3072" s="8" t="s">
        <v>14302</v>
      </c>
      <c r="D3072" s="8" t="n">
        <v>2014</v>
      </c>
      <c r="E3072" s="8" t="s">
        <v>14303</v>
      </c>
      <c r="F3072" s="8" t="s">
        <v>143</v>
      </c>
      <c r="G3072" s="8" t="s">
        <v>14304</v>
      </c>
      <c r="H3072" s="8" t="s">
        <v>145</v>
      </c>
      <c r="I3072" s="8" t="s">
        <v>146</v>
      </c>
      <c r="J3072" s="8" t="s">
        <v>14305</v>
      </c>
      <c r="K3072" s="8"/>
      <c r="L3072" s="8" t="s">
        <v>14306</v>
      </c>
    </row>
    <row r="3073" customFormat="false" ht="34.5" hidden="false" customHeight="true" outlineLevel="0" collapsed="false">
      <c r="A3073" s="8" t="n">
        <v>2807</v>
      </c>
      <c r="B3073" s="8" t="s">
        <v>89</v>
      </c>
      <c r="C3073" s="8" t="s">
        <v>14307</v>
      </c>
      <c r="D3073" s="8" t="n">
        <v>2019</v>
      </c>
      <c r="E3073" s="8" t="s">
        <v>14308</v>
      </c>
      <c r="F3073" s="8" t="s">
        <v>201</v>
      </c>
      <c r="G3073" s="8" t="s">
        <v>197</v>
      </c>
      <c r="H3073" s="8" t="s">
        <v>2846</v>
      </c>
      <c r="I3073" s="8" t="s">
        <v>146</v>
      </c>
      <c r="J3073" s="8" t="s">
        <v>14309</v>
      </c>
      <c r="K3073" s="8"/>
      <c r="L3073" s="8" t="s">
        <v>14310</v>
      </c>
    </row>
    <row r="3074" customFormat="false" ht="34.5" hidden="false" customHeight="true" outlineLevel="0" collapsed="false">
      <c r="A3074" s="8" t="n">
        <v>2808</v>
      </c>
      <c r="B3074" s="8" t="s">
        <v>89</v>
      </c>
      <c r="C3074" s="8" t="s">
        <v>14311</v>
      </c>
      <c r="D3074" s="8" t="n">
        <v>2023</v>
      </c>
      <c r="E3074" s="8" t="s">
        <v>14312</v>
      </c>
      <c r="F3074" s="8" t="s">
        <v>151</v>
      </c>
      <c r="G3074" s="8" t="s">
        <v>511</v>
      </c>
      <c r="H3074" s="8" t="s">
        <v>5248</v>
      </c>
      <c r="I3074" s="8" t="s">
        <v>146</v>
      </c>
      <c r="J3074" s="8" t="s">
        <v>14313</v>
      </c>
      <c r="K3074" s="8"/>
      <c r="L3074" s="8" t="s">
        <v>14314</v>
      </c>
    </row>
    <row r="3075" customFormat="false" ht="23.25" hidden="false" customHeight="true" outlineLevel="0" collapsed="false">
      <c r="A3075" s="8" t="n">
        <v>2809</v>
      </c>
      <c r="B3075" s="8" t="s">
        <v>89</v>
      </c>
      <c r="C3075" s="8" t="s">
        <v>14315</v>
      </c>
      <c r="D3075" s="8" t="n">
        <v>1997</v>
      </c>
      <c r="E3075" s="8" t="s">
        <v>14316</v>
      </c>
      <c r="F3075" s="8" t="s">
        <v>14317</v>
      </c>
      <c r="G3075" s="8" t="s">
        <v>14318</v>
      </c>
      <c r="H3075" s="8" t="s">
        <v>14319</v>
      </c>
      <c r="I3075" s="8" t="s">
        <v>146</v>
      </c>
      <c r="J3075" s="8" t="s">
        <v>14320</v>
      </c>
      <c r="K3075" s="8"/>
      <c r="L3075" s="8" t="s">
        <v>14321</v>
      </c>
    </row>
    <row r="3076" customFormat="false" ht="23.25" hidden="false" customHeight="true" outlineLevel="0" collapsed="false">
      <c r="A3076" s="8" t="n">
        <v>2810</v>
      </c>
      <c r="B3076" s="8" t="s">
        <v>89</v>
      </c>
      <c r="C3076" s="8" t="s">
        <v>14322</v>
      </c>
      <c r="D3076" s="8" t="n">
        <v>2019</v>
      </c>
      <c r="E3076" s="8" t="s">
        <v>14323</v>
      </c>
      <c r="F3076" s="8" t="s">
        <v>10484</v>
      </c>
      <c r="G3076" s="8" t="s">
        <v>14229</v>
      </c>
      <c r="H3076" s="8" t="s">
        <v>14324</v>
      </c>
      <c r="I3076" s="8" t="s">
        <v>146</v>
      </c>
      <c r="J3076" s="8" t="s">
        <v>14325</v>
      </c>
      <c r="K3076" s="8"/>
      <c r="L3076" s="8" t="s">
        <v>14326</v>
      </c>
    </row>
    <row r="3077" customFormat="false" ht="34.5" hidden="false" customHeight="true" outlineLevel="0" collapsed="false">
      <c r="A3077" s="8" t="n">
        <v>2811</v>
      </c>
      <c r="B3077" s="8" t="s">
        <v>89</v>
      </c>
      <c r="C3077" s="8" t="s">
        <v>14327</v>
      </c>
      <c r="D3077" s="8" t="n">
        <v>2021</v>
      </c>
      <c r="E3077" s="8" t="s">
        <v>14328</v>
      </c>
      <c r="F3077" s="8" t="s">
        <v>151</v>
      </c>
      <c r="G3077" s="8" t="s">
        <v>14329</v>
      </c>
      <c r="H3077" s="8" t="s">
        <v>14330</v>
      </c>
      <c r="I3077" s="8" t="s">
        <v>146</v>
      </c>
      <c r="J3077" s="8" t="s">
        <v>14331</v>
      </c>
      <c r="K3077" s="8"/>
      <c r="L3077" s="8" t="s">
        <v>14332</v>
      </c>
    </row>
    <row r="3078" customFormat="false" ht="23.25" hidden="false" customHeight="true" outlineLevel="0" collapsed="false">
      <c r="A3078" s="8" t="n">
        <v>2812</v>
      </c>
      <c r="B3078" s="8" t="s">
        <v>89</v>
      </c>
      <c r="C3078" s="8" t="s">
        <v>14333</v>
      </c>
      <c r="D3078" s="8" t="n">
        <v>2021</v>
      </c>
      <c r="E3078" s="8" t="s">
        <v>14334</v>
      </c>
      <c r="F3078" s="8" t="s">
        <v>14274</v>
      </c>
      <c r="G3078" s="8" t="s">
        <v>14335</v>
      </c>
      <c r="H3078" s="8" t="s">
        <v>678</v>
      </c>
      <c r="I3078" s="8" t="s">
        <v>8546</v>
      </c>
      <c r="J3078" s="8" t="s">
        <v>14336</v>
      </c>
      <c r="K3078" s="8"/>
      <c r="L3078" s="8" t="s">
        <v>14337</v>
      </c>
    </row>
    <row r="3079" customFormat="false" ht="23.25" hidden="false" customHeight="true" outlineLevel="0" collapsed="false">
      <c r="A3079" s="8" t="n">
        <v>2813</v>
      </c>
      <c r="B3079" s="8" t="s">
        <v>89</v>
      </c>
      <c r="C3079" s="8" t="s">
        <v>14338</v>
      </c>
      <c r="D3079" s="8" t="n">
        <v>2020</v>
      </c>
      <c r="E3079" s="8" t="s">
        <v>14339</v>
      </c>
      <c r="F3079" s="8" t="s">
        <v>201</v>
      </c>
      <c r="G3079" s="8" t="s">
        <v>14340</v>
      </c>
      <c r="H3079" s="8" t="s">
        <v>14341</v>
      </c>
      <c r="I3079" s="8" t="s">
        <v>146</v>
      </c>
      <c r="J3079" s="8" t="s">
        <v>14342</v>
      </c>
      <c r="K3079" s="8" t="s">
        <v>114</v>
      </c>
      <c r="L3079" s="8" t="s">
        <v>14343</v>
      </c>
    </row>
    <row r="3080" customFormat="false" ht="34.5" hidden="false" customHeight="true" outlineLevel="0" collapsed="false">
      <c r="A3080" s="8" t="n">
        <v>2814</v>
      </c>
      <c r="B3080" s="8" t="s">
        <v>89</v>
      </c>
      <c r="C3080" s="8" t="s">
        <v>14344</v>
      </c>
      <c r="D3080" s="8" t="n">
        <v>2017</v>
      </c>
      <c r="E3080" s="8" t="s">
        <v>14345</v>
      </c>
      <c r="F3080" s="8" t="s">
        <v>151</v>
      </c>
      <c r="G3080" s="8" t="s">
        <v>4464</v>
      </c>
      <c r="H3080" s="8" t="s">
        <v>14346</v>
      </c>
      <c r="I3080" s="8" t="s">
        <v>146</v>
      </c>
      <c r="J3080" s="8" t="s">
        <v>14347</v>
      </c>
      <c r="K3080" s="8"/>
      <c r="L3080" s="8" t="s">
        <v>14348</v>
      </c>
    </row>
    <row r="3081" customFormat="false" ht="23.25" hidden="false" customHeight="true" outlineLevel="0" collapsed="false">
      <c r="A3081" s="8" t="n">
        <v>2815</v>
      </c>
      <c r="B3081" s="8" t="s">
        <v>89</v>
      </c>
      <c r="C3081" s="8" t="s">
        <v>14349</v>
      </c>
      <c r="D3081" s="8" t="n">
        <v>2007</v>
      </c>
      <c r="E3081" s="8" t="s">
        <v>14350</v>
      </c>
      <c r="F3081" s="8" t="s">
        <v>14351</v>
      </c>
      <c r="G3081" s="8" t="s">
        <v>14352</v>
      </c>
      <c r="H3081" s="8" t="s">
        <v>327</v>
      </c>
      <c r="I3081" s="8" t="s">
        <v>146</v>
      </c>
      <c r="J3081" s="8" t="s">
        <v>14353</v>
      </c>
      <c r="K3081" s="8" t="s">
        <v>114</v>
      </c>
      <c r="L3081" s="8" t="s">
        <v>14354</v>
      </c>
    </row>
    <row r="3082" customFormat="false" ht="34.5" hidden="false" customHeight="true" outlineLevel="0" collapsed="false">
      <c r="A3082" s="8" t="n">
        <v>2816</v>
      </c>
      <c r="B3082" s="8" t="s">
        <v>89</v>
      </c>
      <c r="C3082" s="8" t="s">
        <v>14355</v>
      </c>
      <c r="D3082" s="8" t="n">
        <v>2012</v>
      </c>
      <c r="E3082" s="8" t="s">
        <v>14356</v>
      </c>
      <c r="F3082" s="8" t="s">
        <v>579</v>
      </c>
      <c r="G3082" s="8" t="s">
        <v>4464</v>
      </c>
      <c r="H3082" s="8" t="s">
        <v>14357</v>
      </c>
      <c r="I3082" s="8" t="s">
        <v>146</v>
      </c>
      <c r="J3082" s="8" t="s">
        <v>14358</v>
      </c>
      <c r="K3082" s="8"/>
      <c r="L3082" s="8" t="s">
        <v>14359</v>
      </c>
    </row>
    <row r="3083" customFormat="false" ht="23.25" hidden="false" customHeight="true" outlineLevel="0" collapsed="false">
      <c r="A3083" s="8" t="n">
        <v>2817</v>
      </c>
      <c r="B3083" s="8" t="s">
        <v>89</v>
      </c>
      <c r="C3083" s="8" t="s">
        <v>14360</v>
      </c>
      <c r="D3083" s="8" t="n">
        <v>1993</v>
      </c>
      <c r="E3083" s="8" t="s">
        <v>14361</v>
      </c>
      <c r="F3083" s="8" t="s">
        <v>201</v>
      </c>
      <c r="G3083" s="8" t="s">
        <v>152</v>
      </c>
      <c r="H3083" s="8" t="s">
        <v>901</v>
      </c>
      <c r="I3083" s="8" t="s">
        <v>153</v>
      </c>
      <c r="J3083" s="8" t="s">
        <v>14362</v>
      </c>
      <c r="K3083" s="8"/>
      <c r="L3083" s="8" t="s">
        <v>14363</v>
      </c>
    </row>
    <row r="3084" customFormat="false" ht="23.25" hidden="false" customHeight="true" outlineLevel="0" collapsed="false">
      <c r="A3084" s="8" t="n">
        <v>2818</v>
      </c>
      <c r="B3084" s="8" t="s">
        <v>89</v>
      </c>
      <c r="C3084" s="8" t="s">
        <v>14364</v>
      </c>
      <c r="D3084" s="8" t="n">
        <v>2022</v>
      </c>
      <c r="E3084" s="8" t="s">
        <v>14365</v>
      </c>
      <c r="F3084" s="8" t="s">
        <v>143</v>
      </c>
      <c r="G3084" s="8" t="s">
        <v>152</v>
      </c>
      <c r="H3084" s="8" t="s">
        <v>145</v>
      </c>
      <c r="I3084" s="8" t="s">
        <v>153</v>
      </c>
      <c r="J3084" s="8" t="s">
        <v>14366</v>
      </c>
      <c r="K3084" s="8"/>
      <c r="L3084" s="8" t="s">
        <v>14367</v>
      </c>
    </row>
    <row r="3085" customFormat="false" ht="23.25" hidden="false" customHeight="true" outlineLevel="0" collapsed="false">
      <c r="A3085" s="8" t="n">
        <v>2819</v>
      </c>
      <c r="B3085" s="8" t="s">
        <v>89</v>
      </c>
      <c r="C3085" s="8" t="s">
        <v>14368</v>
      </c>
      <c r="D3085" s="8" t="n">
        <v>2014</v>
      </c>
      <c r="E3085" s="8" t="s">
        <v>14369</v>
      </c>
      <c r="F3085" s="8" t="s">
        <v>4245</v>
      </c>
      <c r="G3085" s="8" t="s">
        <v>14370</v>
      </c>
      <c r="H3085" s="8" t="s">
        <v>678</v>
      </c>
      <c r="I3085" s="8" t="s">
        <v>146</v>
      </c>
      <c r="J3085" s="8" t="s">
        <v>14371</v>
      </c>
      <c r="K3085" s="8"/>
      <c r="L3085" s="8" t="s">
        <v>14372</v>
      </c>
    </row>
    <row r="3086" customFormat="false" ht="23.25" hidden="false" customHeight="true" outlineLevel="0" collapsed="false">
      <c r="A3086" s="8" t="n">
        <v>2820</v>
      </c>
      <c r="B3086" s="8" t="s">
        <v>89</v>
      </c>
      <c r="C3086" s="8" t="s">
        <v>14373</v>
      </c>
      <c r="D3086" s="8" t="n">
        <v>2020</v>
      </c>
      <c r="E3086" s="8" t="s">
        <v>14374</v>
      </c>
      <c r="F3086" s="8" t="s">
        <v>14317</v>
      </c>
      <c r="G3086" s="8" t="s">
        <v>14375</v>
      </c>
      <c r="H3086" s="8" t="s">
        <v>14376</v>
      </c>
      <c r="I3086" s="8" t="s">
        <v>146</v>
      </c>
      <c r="J3086" s="8" t="s">
        <v>14377</v>
      </c>
      <c r="K3086" s="8"/>
      <c r="L3086" s="8" t="s">
        <v>14378</v>
      </c>
    </row>
    <row r="3087" customFormat="false" ht="34.5" hidden="false" customHeight="true" outlineLevel="0" collapsed="false">
      <c r="A3087" s="8" t="n">
        <v>2821</v>
      </c>
      <c r="B3087" s="8" t="s">
        <v>89</v>
      </c>
      <c r="C3087" s="8" t="s">
        <v>14379</v>
      </c>
      <c r="D3087" s="8" t="n">
        <v>2020</v>
      </c>
      <c r="E3087" s="8" t="s">
        <v>14380</v>
      </c>
      <c r="F3087" s="8" t="s">
        <v>579</v>
      </c>
      <c r="G3087" s="8" t="s">
        <v>152</v>
      </c>
      <c r="H3087" s="8" t="s">
        <v>14381</v>
      </c>
      <c r="I3087" s="8" t="s">
        <v>146</v>
      </c>
      <c r="J3087" s="8" t="s">
        <v>14382</v>
      </c>
      <c r="K3087" s="8"/>
      <c r="L3087" s="8" t="s">
        <v>14383</v>
      </c>
    </row>
    <row r="3088" customFormat="false" ht="34.5" hidden="false" customHeight="true" outlineLevel="0" collapsed="false">
      <c r="A3088" s="8" t="n">
        <v>2822</v>
      </c>
      <c r="B3088" s="8" t="s">
        <v>89</v>
      </c>
      <c r="C3088" s="8" t="s">
        <v>14384</v>
      </c>
      <c r="D3088" s="8" t="n">
        <v>2023</v>
      </c>
      <c r="E3088" s="8" t="s">
        <v>14385</v>
      </c>
      <c r="F3088" s="8" t="s">
        <v>14386</v>
      </c>
      <c r="G3088" s="8" t="s">
        <v>14387</v>
      </c>
      <c r="H3088" s="8" t="s">
        <v>327</v>
      </c>
      <c r="I3088" s="8" t="s">
        <v>146</v>
      </c>
      <c r="J3088" s="8" t="s">
        <v>14388</v>
      </c>
      <c r="K3088" s="8"/>
      <c r="L3088" s="8" t="s">
        <v>14389</v>
      </c>
    </row>
    <row r="3089" customFormat="false" ht="34.5" hidden="false" customHeight="true" outlineLevel="0" collapsed="false">
      <c r="A3089" s="8" t="n">
        <v>2823</v>
      </c>
      <c r="B3089" s="8" t="s">
        <v>89</v>
      </c>
      <c r="C3089" s="8" t="s">
        <v>14390</v>
      </c>
      <c r="D3089" s="8" t="n">
        <v>2018</v>
      </c>
      <c r="E3089" s="8" t="s">
        <v>14391</v>
      </c>
      <c r="F3089" s="8" t="s">
        <v>151</v>
      </c>
      <c r="G3089" s="8" t="s">
        <v>14392</v>
      </c>
      <c r="H3089" s="8" t="s">
        <v>14393</v>
      </c>
      <c r="I3089" s="8" t="s">
        <v>146</v>
      </c>
      <c r="J3089" s="8" t="s">
        <v>14394</v>
      </c>
      <c r="K3089" s="8" t="s">
        <v>114</v>
      </c>
      <c r="L3089" s="8" t="s">
        <v>14395</v>
      </c>
    </row>
    <row r="3090" customFormat="false" ht="34.5" hidden="false" customHeight="true" outlineLevel="0" collapsed="false">
      <c r="A3090" s="13" t="n">
        <v>2824</v>
      </c>
      <c r="B3090" s="14" t="s">
        <v>89</v>
      </c>
      <c r="C3090" s="14" t="s">
        <v>14396</v>
      </c>
      <c r="D3090" s="14" t="n">
        <v>2022</v>
      </c>
      <c r="E3090" s="14" t="s">
        <v>14397</v>
      </c>
      <c r="F3090" s="14" t="s">
        <v>14398</v>
      </c>
      <c r="G3090" s="14" t="s">
        <v>14399</v>
      </c>
      <c r="H3090" s="14" t="s">
        <v>1689</v>
      </c>
      <c r="I3090" s="14" t="s">
        <v>153</v>
      </c>
      <c r="J3090" s="14" t="s">
        <v>14400</v>
      </c>
      <c r="K3090" s="14" t="s">
        <v>114</v>
      </c>
      <c r="L3090" s="14" t="s">
        <v>14401</v>
      </c>
    </row>
    <row r="3091" customFormat="false" ht="34.5" hidden="false" customHeight="true" outlineLevel="0" collapsed="false">
      <c r="A3091" s="15" t="n">
        <v>2824</v>
      </c>
      <c r="B3091" s="16" t="s">
        <v>89</v>
      </c>
      <c r="C3091" s="16" t="s">
        <v>14402</v>
      </c>
      <c r="D3091" s="16" t="n">
        <v>2022</v>
      </c>
      <c r="E3091" s="16" t="s">
        <v>14397</v>
      </c>
      <c r="F3091" s="16" t="s">
        <v>14403</v>
      </c>
      <c r="G3091" s="16" t="s">
        <v>14404</v>
      </c>
      <c r="H3091" s="16" t="s">
        <v>327</v>
      </c>
      <c r="I3091" s="16" t="s">
        <v>153</v>
      </c>
      <c r="J3091" s="16" t="s">
        <v>14405</v>
      </c>
      <c r="K3091" s="16" t="s">
        <v>114</v>
      </c>
      <c r="L3091" s="16" t="s">
        <v>14406</v>
      </c>
    </row>
    <row r="3092" customFormat="false" ht="34.5" hidden="false" customHeight="true" outlineLevel="0" collapsed="false">
      <c r="A3092" s="8" t="n">
        <v>2825</v>
      </c>
      <c r="B3092" s="8" t="s">
        <v>89</v>
      </c>
      <c r="C3092" s="8" t="s">
        <v>14407</v>
      </c>
      <c r="D3092" s="8" t="n">
        <v>2008</v>
      </c>
      <c r="E3092" s="8" t="s">
        <v>14408</v>
      </c>
      <c r="F3092" s="8" t="s">
        <v>14409</v>
      </c>
      <c r="G3092" s="8" t="s">
        <v>14146</v>
      </c>
      <c r="H3092" s="8" t="s">
        <v>327</v>
      </c>
      <c r="I3092" s="8" t="s">
        <v>146</v>
      </c>
      <c r="J3092" s="8" t="s">
        <v>14410</v>
      </c>
      <c r="K3092" s="8"/>
      <c r="L3092" s="8" t="s">
        <v>14411</v>
      </c>
    </row>
    <row r="3093" customFormat="false" ht="34.5" hidden="false" customHeight="true" outlineLevel="0" collapsed="false">
      <c r="A3093" s="8" t="n">
        <v>2826</v>
      </c>
      <c r="B3093" s="8" t="s">
        <v>89</v>
      </c>
      <c r="C3093" s="8" t="s">
        <v>14412</v>
      </c>
      <c r="D3093" s="8" t="n">
        <v>2017</v>
      </c>
      <c r="E3093" s="8" t="s">
        <v>14413</v>
      </c>
      <c r="F3093" s="8" t="s">
        <v>14414</v>
      </c>
      <c r="G3093" s="8" t="s">
        <v>152</v>
      </c>
      <c r="H3093" s="8" t="s">
        <v>2841</v>
      </c>
      <c r="I3093" s="8" t="s">
        <v>146</v>
      </c>
      <c r="J3093" s="8" t="s">
        <v>14415</v>
      </c>
      <c r="K3093" s="8"/>
      <c r="L3093" s="8" t="s">
        <v>14416</v>
      </c>
    </row>
    <row r="3094" customFormat="false" ht="34.5" hidden="false" customHeight="true" outlineLevel="0" collapsed="false">
      <c r="A3094" s="8" t="n">
        <v>2827</v>
      </c>
      <c r="B3094" s="8" t="s">
        <v>89</v>
      </c>
      <c r="C3094" s="8" t="s">
        <v>14417</v>
      </c>
      <c r="D3094" s="8" t="n">
        <v>1972</v>
      </c>
      <c r="E3094" s="8" t="s">
        <v>14418</v>
      </c>
      <c r="F3094" s="8" t="s">
        <v>151</v>
      </c>
      <c r="G3094" s="8" t="s">
        <v>4650</v>
      </c>
      <c r="H3094" s="8" t="s">
        <v>145</v>
      </c>
      <c r="I3094" s="8" t="s">
        <v>146</v>
      </c>
      <c r="J3094" s="8" t="s">
        <v>14419</v>
      </c>
      <c r="K3094" s="8"/>
      <c r="L3094" s="8" t="s">
        <v>14420</v>
      </c>
    </row>
    <row r="3095" customFormat="false" ht="34.5" hidden="false" customHeight="true" outlineLevel="0" collapsed="false">
      <c r="A3095" s="8" t="n">
        <v>2828</v>
      </c>
      <c r="B3095" s="8" t="s">
        <v>89</v>
      </c>
      <c r="C3095" s="8" t="s">
        <v>14421</v>
      </c>
      <c r="D3095" s="8" t="n">
        <v>2021</v>
      </c>
      <c r="E3095" s="8" t="s">
        <v>14422</v>
      </c>
      <c r="F3095" s="8" t="s">
        <v>201</v>
      </c>
      <c r="G3095" s="8" t="s">
        <v>14423</v>
      </c>
      <c r="H3095" s="8" t="s">
        <v>423</v>
      </c>
      <c r="I3095" s="8" t="s">
        <v>146</v>
      </c>
      <c r="J3095" s="8" t="s">
        <v>14424</v>
      </c>
      <c r="K3095" s="8" t="s">
        <v>116</v>
      </c>
      <c r="L3095" s="8" t="s">
        <v>14425</v>
      </c>
    </row>
    <row r="3096" customFormat="false" ht="34.5" hidden="false" customHeight="true" outlineLevel="0" collapsed="false">
      <c r="A3096" s="9" t="n">
        <v>2829</v>
      </c>
      <c r="B3096" s="10" t="s">
        <v>89</v>
      </c>
      <c r="C3096" s="10" t="s">
        <v>14426</v>
      </c>
      <c r="D3096" s="10" t="n">
        <v>2023</v>
      </c>
      <c r="E3096" s="10" t="s">
        <v>14427</v>
      </c>
      <c r="F3096" s="10" t="s">
        <v>14403</v>
      </c>
      <c r="G3096" s="10" t="s">
        <v>14428</v>
      </c>
      <c r="H3096" s="10" t="s">
        <v>14429</v>
      </c>
      <c r="I3096" s="10" t="s">
        <v>146</v>
      </c>
      <c r="J3096" s="10" t="s">
        <v>14430</v>
      </c>
      <c r="K3096" s="10" t="s">
        <v>114</v>
      </c>
      <c r="L3096" s="10" t="s">
        <v>14431</v>
      </c>
    </row>
    <row r="3097" customFormat="false" ht="34.5" hidden="false" customHeight="true" outlineLevel="0" collapsed="false">
      <c r="A3097" s="11" t="n">
        <v>2829</v>
      </c>
      <c r="B3097" s="12" t="s">
        <v>89</v>
      </c>
      <c r="C3097" s="12" t="s">
        <v>1774</v>
      </c>
      <c r="D3097" s="12" t="n">
        <v>2023</v>
      </c>
      <c r="E3097" s="12" t="s">
        <v>14427</v>
      </c>
      <c r="F3097" s="12" t="s">
        <v>14403</v>
      </c>
      <c r="G3097" s="12" t="s">
        <v>14432</v>
      </c>
      <c r="H3097" s="12" t="s">
        <v>14184</v>
      </c>
      <c r="I3097" s="12" t="s">
        <v>146</v>
      </c>
      <c r="J3097" s="12" t="s">
        <v>14433</v>
      </c>
      <c r="K3097" s="12" t="s">
        <v>114</v>
      </c>
      <c r="L3097" s="12" t="s">
        <v>14434</v>
      </c>
    </row>
    <row r="3098" customFormat="false" ht="34.5" hidden="false" customHeight="true" outlineLevel="0" collapsed="false">
      <c r="A3098" s="8" t="n">
        <v>2830</v>
      </c>
      <c r="B3098" s="8" t="s">
        <v>89</v>
      </c>
      <c r="C3098" s="8" t="s">
        <v>14435</v>
      </c>
      <c r="D3098" s="8" t="n">
        <v>2016</v>
      </c>
      <c r="E3098" s="8" t="s">
        <v>14436</v>
      </c>
      <c r="F3098" s="8" t="s">
        <v>143</v>
      </c>
      <c r="G3098" s="8" t="s">
        <v>3552</v>
      </c>
      <c r="H3098" s="8" t="s">
        <v>145</v>
      </c>
      <c r="I3098" s="8" t="s">
        <v>146</v>
      </c>
      <c r="J3098" s="8" t="s">
        <v>14437</v>
      </c>
      <c r="K3098" s="8"/>
      <c r="L3098" s="8" t="s">
        <v>14438</v>
      </c>
    </row>
    <row r="3099" customFormat="false" ht="34.5" hidden="false" customHeight="true" outlineLevel="0" collapsed="false">
      <c r="A3099" s="8" t="n">
        <v>2831</v>
      </c>
      <c r="B3099" s="8" t="s">
        <v>89</v>
      </c>
      <c r="C3099" s="8" t="s">
        <v>14439</v>
      </c>
      <c r="D3099" s="8" t="n">
        <v>2020</v>
      </c>
      <c r="E3099" s="8" t="s">
        <v>14440</v>
      </c>
      <c r="F3099" s="8" t="s">
        <v>14441</v>
      </c>
      <c r="G3099" s="8" t="s">
        <v>14442</v>
      </c>
      <c r="H3099" s="8" t="s">
        <v>14443</v>
      </c>
      <c r="I3099" s="8" t="s">
        <v>146</v>
      </c>
      <c r="J3099" s="8" t="s">
        <v>14444</v>
      </c>
      <c r="K3099" s="8"/>
      <c r="L3099" s="8" t="s">
        <v>14445</v>
      </c>
    </row>
    <row r="3100" customFormat="false" ht="23.25" hidden="false" customHeight="true" outlineLevel="0" collapsed="false">
      <c r="A3100" s="8" t="n">
        <v>2832</v>
      </c>
      <c r="B3100" s="8" t="s">
        <v>89</v>
      </c>
      <c r="C3100" s="8" t="s">
        <v>14446</v>
      </c>
      <c r="D3100" s="8" t="n">
        <v>2010</v>
      </c>
      <c r="E3100" s="8" t="s">
        <v>14447</v>
      </c>
      <c r="F3100" s="8" t="s">
        <v>143</v>
      </c>
      <c r="G3100" s="8" t="s">
        <v>348</v>
      </c>
      <c r="H3100" s="8" t="s">
        <v>145</v>
      </c>
      <c r="I3100" s="8" t="s">
        <v>146</v>
      </c>
      <c r="J3100" s="8" t="s">
        <v>14448</v>
      </c>
      <c r="K3100" s="8"/>
      <c r="L3100" s="8" t="s">
        <v>14449</v>
      </c>
    </row>
    <row r="3101" customFormat="false" ht="34.5" hidden="false" customHeight="true" outlineLevel="0" collapsed="false">
      <c r="A3101" s="8" t="n">
        <v>2833</v>
      </c>
      <c r="B3101" s="8" t="s">
        <v>89</v>
      </c>
      <c r="C3101" s="8" t="s">
        <v>14450</v>
      </c>
      <c r="D3101" s="8" t="n">
        <v>2011</v>
      </c>
      <c r="E3101" s="8" t="s">
        <v>14451</v>
      </c>
      <c r="F3101" s="8" t="s">
        <v>151</v>
      </c>
      <c r="G3101" s="8" t="s">
        <v>14452</v>
      </c>
      <c r="H3101" s="8" t="s">
        <v>678</v>
      </c>
      <c r="I3101" s="8" t="s">
        <v>146</v>
      </c>
      <c r="J3101" s="8" t="s">
        <v>14453</v>
      </c>
      <c r="K3101" s="8"/>
      <c r="L3101" s="8" t="s">
        <v>14454</v>
      </c>
    </row>
    <row r="3102" customFormat="false" ht="34.5" hidden="false" customHeight="true" outlineLevel="0" collapsed="false">
      <c r="A3102" s="8" t="n">
        <v>2834</v>
      </c>
      <c r="B3102" s="8" t="s">
        <v>89</v>
      </c>
      <c r="C3102" s="8" t="s">
        <v>14455</v>
      </c>
      <c r="D3102" s="8" t="n">
        <v>2017</v>
      </c>
      <c r="E3102" s="8" t="s">
        <v>14456</v>
      </c>
      <c r="F3102" s="8" t="s">
        <v>14457</v>
      </c>
      <c r="G3102" s="8" t="s">
        <v>14458</v>
      </c>
      <c r="H3102" s="8" t="s">
        <v>678</v>
      </c>
      <c r="I3102" s="8" t="s">
        <v>146</v>
      </c>
      <c r="J3102" s="8" t="s">
        <v>14459</v>
      </c>
      <c r="K3102" s="8"/>
      <c r="L3102" s="8" t="s">
        <v>14460</v>
      </c>
    </row>
    <row r="3103" customFormat="false" ht="34.5" hidden="false" customHeight="true" outlineLevel="0" collapsed="false">
      <c r="A3103" s="8" t="n">
        <v>2835</v>
      </c>
      <c r="B3103" s="8" t="s">
        <v>89</v>
      </c>
      <c r="C3103" s="8" t="s">
        <v>14461</v>
      </c>
      <c r="D3103" s="8" t="n">
        <v>2024</v>
      </c>
      <c r="E3103" s="8" t="s">
        <v>14462</v>
      </c>
      <c r="F3103" s="8" t="s">
        <v>151</v>
      </c>
      <c r="G3103" s="8" t="s">
        <v>14146</v>
      </c>
      <c r="H3103" s="8" t="s">
        <v>14463</v>
      </c>
      <c r="I3103" s="8" t="s">
        <v>146</v>
      </c>
      <c r="J3103" s="8" t="s">
        <v>14464</v>
      </c>
      <c r="K3103" s="8"/>
      <c r="L3103" s="8" t="s">
        <v>14465</v>
      </c>
    </row>
    <row r="3104" customFormat="false" ht="34.5" hidden="false" customHeight="true" outlineLevel="0" collapsed="false">
      <c r="A3104" s="8" t="n">
        <v>2836</v>
      </c>
      <c r="B3104" s="8" t="s">
        <v>89</v>
      </c>
      <c r="C3104" s="8" t="s">
        <v>14466</v>
      </c>
      <c r="D3104" s="8" t="n">
        <v>2006</v>
      </c>
      <c r="E3104" s="8" t="s">
        <v>14467</v>
      </c>
      <c r="F3104" s="8" t="s">
        <v>201</v>
      </c>
      <c r="G3104" s="8" t="s">
        <v>152</v>
      </c>
      <c r="H3104" s="8" t="s">
        <v>14468</v>
      </c>
      <c r="I3104" s="8" t="s">
        <v>146</v>
      </c>
      <c r="J3104" s="8" t="s">
        <v>14469</v>
      </c>
      <c r="K3104" s="8"/>
      <c r="L3104" s="8" t="s">
        <v>14470</v>
      </c>
    </row>
    <row r="3105" customFormat="false" ht="34.5" hidden="false" customHeight="true" outlineLevel="0" collapsed="false">
      <c r="A3105" s="8" t="n">
        <v>2837</v>
      </c>
      <c r="B3105" s="8" t="s">
        <v>89</v>
      </c>
      <c r="C3105" s="8" t="s">
        <v>14471</v>
      </c>
      <c r="D3105" s="8" t="n">
        <v>2000</v>
      </c>
      <c r="E3105" s="8" t="s">
        <v>14472</v>
      </c>
      <c r="F3105" s="8" t="s">
        <v>14473</v>
      </c>
      <c r="G3105" s="8" t="s">
        <v>14474</v>
      </c>
      <c r="H3105" s="8" t="s">
        <v>14475</v>
      </c>
      <c r="I3105" s="8" t="s">
        <v>146</v>
      </c>
      <c r="J3105" s="8" t="s">
        <v>14476</v>
      </c>
      <c r="K3105" s="8"/>
      <c r="L3105" s="8" t="s">
        <v>14477</v>
      </c>
    </row>
    <row r="3106" customFormat="false" ht="34.5" hidden="false" customHeight="true" outlineLevel="0" collapsed="false">
      <c r="A3106" s="8" t="n">
        <v>2838</v>
      </c>
      <c r="B3106" s="8" t="s">
        <v>89</v>
      </c>
      <c r="C3106" s="8" t="s">
        <v>7438</v>
      </c>
      <c r="D3106" s="8" t="n">
        <v>2024</v>
      </c>
      <c r="E3106" s="8" t="s">
        <v>14478</v>
      </c>
      <c r="F3106" s="8" t="s">
        <v>14479</v>
      </c>
      <c r="G3106" s="8" t="s">
        <v>3552</v>
      </c>
      <c r="H3106" s="8" t="s">
        <v>14480</v>
      </c>
      <c r="I3106" s="8" t="s">
        <v>146</v>
      </c>
      <c r="J3106" s="8" t="s">
        <v>14481</v>
      </c>
      <c r="K3106" s="8"/>
      <c r="L3106" s="8" t="s">
        <v>14482</v>
      </c>
    </row>
    <row r="3107" customFormat="false" ht="34.5" hidden="false" customHeight="true" outlineLevel="0" collapsed="false">
      <c r="A3107" s="8" t="n">
        <v>2839</v>
      </c>
      <c r="B3107" s="8" t="s">
        <v>89</v>
      </c>
      <c r="C3107" s="8" t="s">
        <v>14483</v>
      </c>
      <c r="D3107" s="8" t="n">
        <v>2019</v>
      </c>
      <c r="E3107" s="8" t="s">
        <v>14484</v>
      </c>
      <c r="F3107" s="8" t="s">
        <v>151</v>
      </c>
      <c r="G3107" s="8" t="s">
        <v>14146</v>
      </c>
      <c r="H3107" s="8" t="s">
        <v>327</v>
      </c>
      <c r="I3107" s="8" t="s">
        <v>146</v>
      </c>
      <c r="J3107" s="8" t="s">
        <v>14485</v>
      </c>
      <c r="K3107" s="8"/>
      <c r="L3107" s="8" t="s">
        <v>14486</v>
      </c>
    </row>
    <row r="3108" customFormat="false" ht="34.5" hidden="false" customHeight="true" outlineLevel="0" collapsed="false">
      <c r="A3108" s="8" t="n">
        <v>2840</v>
      </c>
      <c r="B3108" s="8" t="s">
        <v>89</v>
      </c>
      <c r="C3108" s="8" t="s">
        <v>14487</v>
      </c>
      <c r="D3108" s="8" t="n">
        <v>2020</v>
      </c>
      <c r="E3108" s="8" t="s">
        <v>14488</v>
      </c>
      <c r="F3108" s="8" t="s">
        <v>14489</v>
      </c>
      <c r="G3108" s="8" t="s">
        <v>14490</v>
      </c>
      <c r="H3108" s="8" t="s">
        <v>14491</v>
      </c>
      <c r="I3108" s="8" t="s">
        <v>146</v>
      </c>
      <c r="J3108" s="8" t="s">
        <v>14492</v>
      </c>
      <c r="K3108" s="8" t="s">
        <v>114</v>
      </c>
      <c r="L3108" s="8" t="s">
        <v>14493</v>
      </c>
    </row>
    <row r="3109" customFormat="false" ht="23.25" hidden="false" customHeight="true" outlineLevel="0" collapsed="false">
      <c r="A3109" s="8" t="n">
        <v>2841</v>
      </c>
      <c r="B3109" s="8" t="s">
        <v>89</v>
      </c>
      <c r="C3109" s="8" t="s">
        <v>14487</v>
      </c>
      <c r="D3109" s="8" t="n">
        <v>2022</v>
      </c>
      <c r="E3109" s="8" t="s">
        <v>14494</v>
      </c>
      <c r="F3109" s="8" t="s">
        <v>151</v>
      </c>
      <c r="G3109" s="8" t="s">
        <v>14404</v>
      </c>
      <c r="H3109" s="8" t="s">
        <v>14491</v>
      </c>
      <c r="I3109" s="8" t="s">
        <v>146</v>
      </c>
      <c r="J3109" s="8" t="s">
        <v>14495</v>
      </c>
      <c r="K3109" s="8"/>
      <c r="L3109" s="8" t="s">
        <v>14496</v>
      </c>
    </row>
    <row r="3110" customFormat="false" ht="23.25" hidden="false" customHeight="true" outlineLevel="0" collapsed="false">
      <c r="A3110" s="8" t="n">
        <v>2842</v>
      </c>
      <c r="B3110" s="8" t="s">
        <v>89</v>
      </c>
      <c r="C3110" s="8" t="s">
        <v>14487</v>
      </c>
      <c r="D3110" s="8" t="n">
        <v>2021</v>
      </c>
      <c r="E3110" s="8" t="s">
        <v>14497</v>
      </c>
      <c r="F3110" s="8" t="s">
        <v>151</v>
      </c>
      <c r="G3110" s="8" t="s">
        <v>14404</v>
      </c>
      <c r="H3110" s="8" t="s">
        <v>327</v>
      </c>
      <c r="I3110" s="8" t="s">
        <v>146</v>
      </c>
      <c r="J3110" s="8" t="s">
        <v>14498</v>
      </c>
      <c r="K3110" s="8"/>
      <c r="L3110" s="8" t="s">
        <v>14499</v>
      </c>
    </row>
    <row r="3111" customFormat="false" ht="23.25" hidden="false" customHeight="true" outlineLevel="0" collapsed="false">
      <c r="A3111" s="8" t="n">
        <v>2843</v>
      </c>
      <c r="B3111" s="8" t="s">
        <v>89</v>
      </c>
      <c r="C3111" s="8" t="s">
        <v>14500</v>
      </c>
      <c r="D3111" s="8" t="n">
        <v>2000</v>
      </c>
      <c r="E3111" s="8" t="s">
        <v>14501</v>
      </c>
      <c r="F3111" s="8" t="s">
        <v>14502</v>
      </c>
      <c r="G3111" s="8" t="s">
        <v>152</v>
      </c>
      <c r="H3111" s="8" t="s">
        <v>145</v>
      </c>
      <c r="I3111" s="8" t="s">
        <v>153</v>
      </c>
      <c r="J3111" s="8" t="s">
        <v>14503</v>
      </c>
      <c r="K3111" s="8"/>
      <c r="L3111" s="8" t="s">
        <v>14504</v>
      </c>
    </row>
    <row r="3112" customFormat="false" ht="34.5" hidden="false" customHeight="true" outlineLevel="0" collapsed="false">
      <c r="A3112" s="8" t="n">
        <v>2844</v>
      </c>
      <c r="B3112" s="8" t="s">
        <v>89</v>
      </c>
      <c r="C3112" s="8" t="s">
        <v>14505</v>
      </c>
      <c r="D3112" s="8" t="n">
        <v>2023</v>
      </c>
      <c r="E3112" s="8" t="s">
        <v>14506</v>
      </c>
      <c r="F3112" s="8" t="s">
        <v>151</v>
      </c>
      <c r="G3112" s="8" t="s">
        <v>14404</v>
      </c>
      <c r="H3112" s="8" t="s">
        <v>327</v>
      </c>
      <c r="I3112" s="8" t="s">
        <v>748</v>
      </c>
      <c r="J3112" s="8" t="s">
        <v>14507</v>
      </c>
      <c r="K3112" s="8"/>
      <c r="L3112" s="8" t="s">
        <v>14508</v>
      </c>
    </row>
    <row r="3113" customFormat="false" ht="34.5" hidden="false" customHeight="true" outlineLevel="0" collapsed="false">
      <c r="A3113" s="8" t="n">
        <v>2845</v>
      </c>
      <c r="B3113" s="8" t="s">
        <v>89</v>
      </c>
      <c r="C3113" s="8" t="s">
        <v>14509</v>
      </c>
      <c r="D3113" s="8" t="n">
        <v>2013</v>
      </c>
      <c r="E3113" s="8" t="s">
        <v>14510</v>
      </c>
      <c r="F3113" s="8" t="s">
        <v>151</v>
      </c>
      <c r="G3113" s="8" t="s">
        <v>396</v>
      </c>
      <c r="H3113" s="8" t="s">
        <v>678</v>
      </c>
      <c r="I3113" s="8" t="s">
        <v>146</v>
      </c>
      <c r="J3113" s="8" t="s">
        <v>14511</v>
      </c>
      <c r="K3113" s="8"/>
      <c r="L3113" s="8" t="s">
        <v>14512</v>
      </c>
    </row>
    <row r="3114" customFormat="false" ht="34.5" hidden="false" customHeight="true" outlineLevel="0" collapsed="false">
      <c r="A3114" s="8" t="n">
        <v>2846</v>
      </c>
      <c r="B3114" s="8" t="s">
        <v>89</v>
      </c>
      <c r="C3114" s="8" t="s">
        <v>14513</v>
      </c>
      <c r="D3114" s="8" t="n">
        <v>2024</v>
      </c>
      <c r="E3114" s="8" t="s">
        <v>14514</v>
      </c>
      <c r="F3114" s="8" t="s">
        <v>14515</v>
      </c>
      <c r="G3114" s="8" t="s">
        <v>14146</v>
      </c>
      <c r="H3114" s="8" t="s">
        <v>327</v>
      </c>
      <c r="I3114" s="8" t="s">
        <v>146</v>
      </c>
      <c r="J3114" s="8" t="s">
        <v>14516</v>
      </c>
      <c r="K3114" s="8" t="s">
        <v>114</v>
      </c>
      <c r="L3114" s="8" t="s">
        <v>14517</v>
      </c>
    </row>
    <row r="3115" customFormat="false" ht="34.5" hidden="false" customHeight="true" outlineLevel="0" collapsed="false">
      <c r="A3115" s="8" t="n">
        <v>2847</v>
      </c>
      <c r="B3115" s="8" t="s">
        <v>89</v>
      </c>
      <c r="C3115" s="8" t="s">
        <v>14518</v>
      </c>
      <c r="D3115" s="8" t="n">
        <v>2020</v>
      </c>
      <c r="E3115" s="8" t="s">
        <v>14519</v>
      </c>
      <c r="F3115" s="8" t="s">
        <v>151</v>
      </c>
      <c r="G3115" s="8" t="s">
        <v>4464</v>
      </c>
      <c r="H3115" s="8" t="s">
        <v>14520</v>
      </c>
      <c r="I3115" s="8" t="s">
        <v>146</v>
      </c>
      <c r="J3115" s="8" t="s">
        <v>14521</v>
      </c>
      <c r="K3115" s="8"/>
      <c r="L3115" s="8" t="s">
        <v>14522</v>
      </c>
    </row>
    <row r="3116" customFormat="false" ht="34.5" hidden="false" customHeight="true" outlineLevel="0" collapsed="false">
      <c r="A3116" s="8" t="n">
        <v>2848</v>
      </c>
      <c r="B3116" s="8" t="s">
        <v>89</v>
      </c>
      <c r="C3116" s="8" t="s">
        <v>14523</v>
      </c>
      <c r="D3116" s="8" t="n">
        <v>2012</v>
      </c>
      <c r="E3116" s="8" t="s">
        <v>14524</v>
      </c>
      <c r="F3116" s="8" t="s">
        <v>201</v>
      </c>
      <c r="G3116" s="8" t="s">
        <v>798</v>
      </c>
      <c r="H3116" s="8" t="s">
        <v>145</v>
      </c>
      <c r="I3116" s="8" t="s">
        <v>146</v>
      </c>
      <c r="J3116" s="8" t="s">
        <v>14525</v>
      </c>
      <c r="K3116" s="8"/>
      <c r="L3116" s="8" t="s">
        <v>14526</v>
      </c>
    </row>
    <row r="3117" customFormat="false" ht="34.5" hidden="false" customHeight="true" outlineLevel="0" collapsed="false">
      <c r="A3117" s="8" t="n">
        <v>2849</v>
      </c>
      <c r="B3117" s="8" t="s">
        <v>89</v>
      </c>
      <c r="C3117" s="8" t="s">
        <v>14527</v>
      </c>
      <c r="D3117" s="8" t="n">
        <v>2018</v>
      </c>
      <c r="E3117" s="8" t="s">
        <v>14528</v>
      </c>
      <c r="F3117" s="8" t="s">
        <v>14529</v>
      </c>
      <c r="G3117" s="8" t="s">
        <v>152</v>
      </c>
      <c r="H3117" s="8" t="s">
        <v>14530</v>
      </c>
      <c r="I3117" s="8" t="s">
        <v>146</v>
      </c>
      <c r="J3117" s="8" t="s">
        <v>14531</v>
      </c>
      <c r="K3117" s="8"/>
      <c r="L3117" s="8" t="s">
        <v>14532</v>
      </c>
    </row>
    <row r="3118" customFormat="false" ht="34.5" hidden="false" customHeight="true" outlineLevel="0" collapsed="false">
      <c r="A3118" s="8" t="n">
        <v>2850</v>
      </c>
      <c r="B3118" s="8" t="s">
        <v>89</v>
      </c>
      <c r="C3118" s="8" t="s">
        <v>14533</v>
      </c>
      <c r="D3118" s="8" t="n">
        <v>2019</v>
      </c>
      <c r="E3118" s="8" t="s">
        <v>14534</v>
      </c>
      <c r="F3118" s="8" t="s">
        <v>201</v>
      </c>
      <c r="G3118" s="8" t="s">
        <v>14535</v>
      </c>
      <c r="H3118" s="8" t="s">
        <v>678</v>
      </c>
      <c r="I3118" s="8" t="s">
        <v>153</v>
      </c>
      <c r="J3118" s="8" t="s">
        <v>14536</v>
      </c>
      <c r="K3118" s="8" t="s">
        <v>114</v>
      </c>
      <c r="L3118" s="8" t="s">
        <v>14537</v>
      </c>
    </row>
    <row r="3119" customFormat="false" ht="34.5" hidden="false" customHeight="true" outlineLevel="0" collapsed="false">
      <c r="A3119" s="8" t="n">
        <v>2851</v>
      </c>
      <c r="B3119" s="8" t="s">
        <v>89</v>
      </c>
      <c r="C3119" s="8" t="s">
        <v>14538</v>
      </c>
      <c r="D3119" s="8" t="n">
        <v>2019</v>
      </c>
      <c r="E3119" s="8" t="s">
        <v>14539</v>
      </c>
      <c r="F3119" s="8" t="s">
        <v>151</v>
      </c>
      <c r="G3119" s="8" t="s">
        <v>4650</v>
      </c>
      <c r="H3119" s="8" t="s">
        <v>5248</v>
      </c>
      <c r="I3119" s="8" t="s">
        <v>146</v>
      </c>
      <c r="J3119" s="8" t="s">
        <v>14540</v>
      </c>
      <c r="K3119" s="8"/>
      <c r="L3119" s="8" t="s">
        <v>14541</v>
      </c>
    </row>
    <row r="3120" customFormat="false" ht="34.5" hidden="false" customHeight="true" outlineLevel="0" collapsed="false">
      <c r="A3120" s="8" t="n">
        <v>2852</v>
      </c>
      <c r="B3120" s="8" t="s">
        <v>89</v>
      </c>
      <c r="C3120" s="8" t="s">
        <v>14542</v>
      </c>
      <c r="D3120" s="8" t="n">
        <v>2023</v>
      </c>
      <c r="E3120" s="8" t="s">
        <v>14543</v>
      </c>
      <c r="F3120" s="8" t="s">
        <v>587</v>
      </c>
      <c r="G3120" s="8" t="s">
        <v>14544</v>
      </c>
      <c r="H3120" s="8" t="s">
        <v>871</v>
      </c>
      <c r="I3120" s="8" t="s">
        <v>146</v>
      </c>
      <c r="J3120" s="8" t="s">
        <v>14545</v>
      </c>
      <c r="K3120" s="8" t="s">
        <v>116</v>
      </c>
      <c r="L3120" s="8" t="s">
        <v>14546</v>
      </c>
    </row>
    <row r="3121" customFormat="false" ht="34.5" hidden="false" customHeight="true" outlineLevel="0" collapsed="false">
      <c r="A3121" s="8" t="n">
        <v>2853</v>
      </c>
      <c r="B3121" s="8" t="s">
        <v>89</v>
      </c>
      <c r="C3121" s="8" t="s">
        <v>14547</v>
      </c>
      <c r="D3121" s="8" t="n">
        <v>2023</v>
      </c>
      <c r="E3121" s="8" t="s">
        <v>14548</v>
      </c>
      <c r="F3121" s="8" t="s">
        <v>143</v>
      </c>
      <c r="G3121" s="8" t="s">
        <v>6413</v>
      </c>
      <c r="H3121" s="8" t="s">
        <v>145</v>
      </c>
      <c r="I3121" s="8" t="s">
        <v>146</v>
      </c>
      <c r="J3121" s="8" t="s">
        <v>14549</v>
      </c>
      <c r="K3121" s="8"/>
      <c r="L3121" s="8" t="s">
        <v>14550</v>
      </c>
    </row>
    <row r="3122" customFormat="false" ht="34.5" hidden="false" customHeight="true" outlineLevel="0" collapsed="false">
      <c r="A3122" s="8" t="n">
        <v>2854</v>
      </c>
      <c r="B3122" s="8" t="s">
        <v>89</v>
      </c>
      <c r="C3122" s="8" t="s">
        <v>14551</v>
      </c>
      <c r="D3122" s="8" t="n">
        <v>2021</v>
      </c>
      <c r="E3122" s="8" t="s">
        <v>14552</v>
      </c>
      <c r="F3122" s="8" t="s">
        <v>151</v>
      </c>
      <c r="G3122" s="8" t="s">
        <v>3552</v>
      </c>
      <c r="H3122" s="8" t="s">
        <v>1319</v>
      </c>
      <c r="I3122" s="8" t="s">
        <v>146</v>
      </c>
      <c r="J3122" s="8" t="s">
        <v>14553</v>
      </c>
      <c r="K3122" s="8"/>
      <c r="L3122" s="8" t="s">
        <v>14554</v>
      </c>
    </row>
    <row r="3123" customFormat="false" ht="34.5" hidden="false" customHeight="true" outlineLevel="0" collapsed="false">
      <c r="A3123" s="8" t="n">
        <v>2855</v>
      </c>
      <c r="B3123" s="8" t="s">
        <v>89</v>
      </c>
      <c r="C3123" s="8" t="s">
        <v>14555</v>
      </c>
      <c r="D3123" s="8" t="n">
        <v>2022</v>
      </c>
      <c r="E3123" s="8" t="s">
        <v>14556</v>
      </c>
      <c r="F3123" s="8" t="s">
        <v>151</v>
      </c>
      <c r="G3123" s="8" t="s">
        <v>4464</v>
      </c>
      <c r="H3123" s="8" t="s">
        <v>14557</v>
      </c>
      <c r="I3123" s="8" t="s">
        <v>146</v>
      </c>
      <c r="J3123" s="8" t="s">
        <v>14558</v>
      </c>
      <c r="K3123" s="8"/>
      <c r="L3123" s="8" t="s">
        <v>14559</v>
      </c>
    </row>
    <row r="3124" customFormat="false" ht="34.5" hidden="false" customHeight="true" outlineLevel="0" collapsed="false">
      <c r="A3124" s="8" t="n">
        <v>2856</v>
      </c>
      <c r="B3124" s="8" t="s">
        <v>89</v>
      </c>
      <c r="C3124" s="8" t="s">
        <v>14560</v>
      </c>
      <c r="D3124" s="8" t="n">
        <v>2016</v>
      </c>
      <c r="E3124" s="8" t="s">
        <v>14561</v>
      </c>
      <c r="F3124" s="8" t="s">
        <v>14562</v>
      </c>
      <c r="G3124" s="8" t="s">
        <v>14563</v>
      </c>
      <c r="H3124" s="8" t="s">
        <v>678</v>
      </c>
      <c r="I3124" s="8" t="s">
        <v>146</v>
      </c>
      <c r="J3124" s="8" t="s">
        <v>14564</v>
      </c>
      <c r="K3124" s="8"/>
      <c r="L3124" s="8" t="s">
        <v>14565</v>
      </c>
    </row>
    <row r="3125" customFormat="false" ht="34.5" hidden="false" customHeight="true" outlineLevel="0" collapsed="false">
      <c r="A3125" s="8" t="n">
        <v>2857</v>
      </c>
      <c r="B3125" s="8" t="s">
        <v>89</v>
      </c>
      <c r="C3125" s="8" t="s">
        <v>14566</v>
      </c>
      <c r="D3125" s="8" t="n">
        <v>2019</v>
      </c>
      <c r="E3125" s="8" t="s">
        <v>14567</v>
      </c>
      <c r="F3125" s="8" t="s">
        <v>8720</v>
      </c>
      <c r="G3125" s="8" t="s">
        <v>14568</v>
      </c>
      <c r="H3125" s="8" t="s">
        <v>826</v>
      </c>
      <c r="I3125" s="8" t="s">
        <v>146</v>
      </c>
      <c r="J3125" s="8" t="s">
        <v>14569</v>
      </c>
      <c r="K3125" s="8" t="s">
        <v>116</v>
      </c>
      <c r="L3125" s="8" t="s">
        <v>14570</v>
      </c>
    </row>
    <row r="3126" customFormat="false" ht="34.5" hidden="false" customHeight="true" outlineLevel="0" collapsed="false">
      <c r="A3126" s="8" t="n">
        <v>2858</v>
      </c>
      <c r="B3126" s="8" t="s">
        <v>89</v>
      </c>
      <c r="C3126" s="8" t="s">
        <v>14571</v>
      </c>
      <c r="D3126" s="8" t="n">
        <v>2023</v>
      </c>
      <c r="E3126" s="8" t="s">
        <v>14572</v>
      </c>
      <c r="F3126" s="8" t="s">
        <v>14573</v>
      </c>
      <c r="G3126" s="8" t="s">
        <v>152</v>
      </c>
      <c r="H3126" s="8" t="s">
        <v>2846</v>
      </c>
      <c r="I3126" s="8" t="s">
        <v>146</v>
      </c>
      <c r="J3126" s="8" t="s">
        <v>14574</v>
      </c>
      <c r="K3126" s="8"/>
      <c r="L3126" s="8" t="s">
        <v>14575</v>
      </c>
    </row>
    <row r="3127" customFormat="false" ht="34.5" hidden="false" customHeight="true" outlineLevel="0" collapsed="false">
      <c r="A3127" s="8" t="n">
        <v>2859</v>
      </c>
      <c r="B3127" s="8" t="s">
        <v>89</v>
      </c>
      <c r="C3127" s="8" t="s">
        <v>14576</v>
      </c>
      <c r="D3127" s="8" t="n">
        <v>2021</v>
      </c>
      <c r="E3127" s="8" t="s">
        <v>14577</v>
      </c>
      <c r="F3127" s="8" t="s">
        <v>10484</v>
      </c>
      <c r="G3127" s="8" t="s">
        <v>14578</v>
      </c>
      <c r="H3127" s="8" t="s">
        <v>14579</v>
      </c>
      <c r="I3127" s="8" t="s">
        <v>387</v>
      </c>
      <c r="J3127" s="8" t="s">
        <v>14580</v>
      </c>
      <c r="K3127" s="8"/>
      <c r="L3127" s="8" t="s">
        <v>14581</v>
      </c>
    </row>
    <row r="3128" customFormat="false" ht="23.25" hidden="false" customHeight="true" outlineLevel="0" collapsed="false">
      <c r="A3128" s="8" t="n">
        <v>2860</v>
      </c>
      <c r="B3128" s="8" t="s">
        <v>89</v>
      </c>
      <c r="C3128" s="8" t="s">
        <v>14582</v>
      </c>
      <c r="D3128" s="8" t="n">
        <v>2013</v>
      </c>
      <c r="E3128" s="8" t="s">
        <v>14583</v>
      </c>
      <c r="F3128" s="8" t="s">
        <v>151</v>
      </c>
      <c r="G3128" s="8" t="s">
        <v>152</v>
      </c>
      <c r="H3128" s="8" t="s">
        <v>14584</v>
      </c>
      <c r="I3128" s="8" t="s">
        <v>146</v>
      </c>
      <c r="J3128" s="8" t="s">
        <v>14585</v>
      </c>
      <c r="K3128" s="8"/>
      <c r="L3128" s="8" t="s">
        <v>14586</v>
      </c>
    </row>
    <row r="3129" customFormat="false" ht="34.5" hidden="false" customHeight="true" outlineLevel="0" collapsed="false">
      <c r="A3129" s="8" t="n">
        <v>2861</v>
      </c>
      <c r="B3129" s="8" t="s">
        <v>89</v>
      </c>
      <c r="C3129" s="8" t="s">
        <v>14587</v>
      </c>
      <c r="D3129" s="8" t="n">
        <v>2020</v>
      </c>
      <c r="E3129" s="8" t="s">
        <v>14588</v>
      </c>
      <c r="F3129" s="8" t="s">
        <v>12549</v>
      </c>
      <c r="G3129" s="8" t="s">
        <v>14589</v>
      </c>
      <c r="H3129" s="8" t="s">
        <v>423</v>
      </c>
      <c r="I3129" s="8" t="s">
        <v>146</v>
      </c>
      <c r="J3129" s="8" t="s">
        <v>14590</v>
      </c>
      <c r="K3129" s="8" t="s">
        <v>114</v>
      </c>
      <c r="L3129" s="8" t="s">
        <v>14591</v>
      </c>
    </row>
    <row r="3130" customFormat="false" ht="34.5" hidden="false" customHeight="true" outlineLevel="0" collapsed="false">
      <c r="A3130" s="8" t="n">
        <v>2862</v>
      </c>
      <c r="B3130" s="8" t="s">
        <v>89</v>
      </c>
      <c r="C3130" s="8" t="s">
        <v>14592</v>
      </c>
      <c r="D3130" s="8" t="n">
        <v>2009</v>
      </c>
      <c r="E3130" s="8" t="s">
        <v>14593</v>
      </c>
      <c r="F3130" s="8" t="s">
        <v>14594</v>
      </c>
      <c r="G3130" s="8" t="s">
        <v>14595</v>
      </c>
      <c r="H3130" s="8" t="s">
        <v>145</v>
      </c>
      <c r="I3130" s="8" t="s">
        <v>146</v>
      </c>
      <c r="J3130" s="8" t="s">
        <v>14596</v>
      </c>
      <c r="K3130" s="8"/>
      <c r="L3130" s="8" t="s">
        <v>14597</v>
      </c>
    </row>
    <row r="3131" customFormat="false" ht="34.5" hidden="false" customHeight="true" outlineLevel="0" collapsed="false">
      <c r="A3131" s="8" t="n">
        <v>2863</v>
      </c>
      <c r="B3131" s="8" t="s">
        <v>89</v>
      </c>
      <c r="C3131" s="8" t="s">
        <v>14598</v>
      </c>
      <c r="D3131" s="8" t="n">
        <v>2023</v>
      </c>
      <c r="E3131" s="8" t="s">
        <v>14599</v>
      </c>
      <c r="F3131" s="8" t="s">
        <v>143</v>
      </c>
      <c r="G3131" s="8" t="s">
        <v>152</v>
      </c>
      <c r="H3131" s="8" t="s">
        <v>145</v>
      </c>
      <c r="I3131" s="8" t="s">
        <v>153</v>
      </c>
      <c r="J3131" s="8" t="s">
        <v>14600</v>
      </c>
      <c r="K3131" s="8"/>
      <c r="L3131" s="8" t="s">
        <v>14601</v>
      </c>
    </row>
    <row r="3132" customFormat="false" ht="34.5" hidden="false" customHeight="true" outlineLevel="0" collapsed="false">
      <c r="A3132" s="8" t="n">
        <v>2864</v>
      </c>
      <c r="B3132" s="8" t="s">
        <v>89</v>
      </c>
      <c r="C3132" s="8" t="s">
        <v>14602</v>
      </c>
      <c r="D3132" s="8" t="n">
        <v>2023</v>
      </c>
      <c r="E3132" s="8" t="s">
        <v>14603</v>
      </c>
      <c r="F3132" s="8" t="s">
        <v>14604</v>
      </c>
      <c r="G3132" s="8" t="s">
        <v>14605</v>
      </c>
      <c r="H3132" s="8" t="s">
        <v>327</v>
      </c>
      <c r="I3132" s="8" t="s">
        <v>146</v>
      </c>
      <c r="J3132" s="8" t="s">
        <v>14606</v>
      </c>
      <c r="K3132" s="8"/>
      <c r="L3132" s="8" t="s">
        <v>14607</v>
      </c>
    </row>
    <row r="3133" customFormat="false" ht="34.5" hidden="false" customHeight="true" outlineLevel="0" collapsed="false">
      <c r="A3133" s="8" t="n">
        <v>2865</v>
      </c>
      <c r="B3133" s="8" t="s">
        <v>89</v>
      </c>
      <c r="C3133" s="8" t="s">
        <v>2588</v>
      </c>
      <c r="D3133" s="8" t="n">
        <v>2020</v>
      </c>
      <c r="E3133" s="8" t="s">
        <v>14608</v>
      </c>
      <c r="F3133" s="8" t="s">
        <v>14414</v>
      </c>
      <c r="G3133" s="8" t="s">
        <v>14609</v>
      </c>
      <c r="H3133" s="8" t="s">
        <v>145</v>
      </c>
      <c r="I3133" s="8" t="s">
        <v>153</v>
      </c>
      <c r="J3133" s="8" t="s">
        <v>14610</v>
      </c>
      <c r="K3133" s="8" t="s">
        <v>114</v>
      </c>
      <c r="L3133" s="8" t="s">
        <v>14611</v>
      </c>
    </row>
    <row r="3134" customFormat="false" ht="34.5" hidden="false" customHeight="true" outlineLevel="0" collapsed="false">
      <c r="A3134" s="8" t="n">
        <v>2866</v>
      </c>
      <c r="B3134" s="8" t="s">
        <v>89</v>
      </c>
      <c r="C3134" s="8" t="s">
        <v>2598</v>
      </c>
      <c r="D3134" s="8" t="n">
        <v>2021</v>
      </c>
      <c r="E3134" s="8" t="s">
        <v>14612</v>
      </c>
      <c r="F3134" s="8" t="s">
        <v>14613</v>
      </c>
      <c r="G3134" s="8" t="s">
        <v>14614</v>
      </c>
      <c r="H3134" s="8" t="s">
        <v>145</v>
      </c>
      <c r="I3134" s="8" t="s">
        <v>153</v>
      </c>
      <c r="J3134" s="8" t="s">
        <v>14615</v>
      </c>
      <c r="K3134" s="8" t="s">
        <v>114</v>
      </c>
      <c r="L3134" s="8" t="s">
        <v>14616</v>
      </c>
    </row>
    <row r="3135" customFormat="false" ht="34.5" hidden="false" customHeight="true" outlineLevel="0" collapsed="false">
      <c r="A3135" s="8" t="n">
        <v>2867</v>
      </c>
      <c r="B3135" s="8" t="s">
        <v>89</v>
      </c>
      <c r="C3135" s="8" t="s">
        <v>14617</v>
      </c>
      <c r="D3135" s="8" t="n">
        <v>2023</v>
      </c>
      <c r="E3135" s="8" t="s">
        <v>14618</v>
      </c>
      <c r="F3135" s="8" t="s">
        <v>151</v>
      </c>
      <c r="G3135" s="8" t="s">
        <v>3552</v>
      </c>
      <c r="H3135" s="8" t="s">
        <v>5248</v>
      </c>
      <c r="I3135" s="8" t="s">
        <v>146</v>
      </c>
      <c r="J3135" s="8" t="s">
        <v>14619</v>
      </c>
      <c r="K3135" s="8"/>
      <c r="L3135" s="8" t="s">
        <v>14620</v>
      </c>
    </row>
    <row r="3136" customFormat="false" ht="34.5" hidden="false" customHeight="true" outlineLevel="0" collapsed="false">
      <c r="A3136" s="8" t="n">
        <v>2868</v>
      </c>
      <c r="B3136" s="8" t="s">
        <v>89</v>
      </c>
      <c r="C3136" s="8" t="s">
        <v>14621</v>
      </c>
      <c r="D3136" s="8" t="n">
        <v>2023</v>
      </c>
      <c r="E3136" s="8" t="s">
        <v>14622</v>
      </c>
      <c r="F3136" s="8" t="s">
        <v>151</v>
      </c>
      <c r="G3136" s="8" t="s">
        <v>14404</v>
      </c>
      <c r="H3136" s="8" t="s">
        <v>14491</v>
      </c>
      <c r="I3136" s="8" t="s">
        <v>146</v>
      </c>
      <c r="J3136" s="8" t="s">
        <v>14623</v>
      </c>
      <c r="K3136" s="8"/>
      <c r="L3136" s="8" t="s">
        <v>14624</v>
      </c>
    </row>
    <row r="3137" customFormat="false" ht="34.5" hidden="false" customHeight="true" outlineLevel="0" collapsed="false">
      <c r="A3137" s="8" t="n">
        <v>2869</v>
      </c>
      <c r="B3137" s="8" t="s">
        <v>89</v>
      </c>
      <c r="C3137" s="8" t="s">
        <v>14625</v>
      </c>
      <c r="D3137" s="8" t="n">
        <v>2022</v>
      </c>
      <c r="E3137" s="8" t="s">
        <v>14626</v>
      </c>
      <c r="F3137" s="8" t="s">
        <v>151</v>
      </c>
      <c r="G3137" s="8" t="s">
        <v>14627</v>
      </c>
      <c r="H3137" s="8" t="s">
        <v>678</v>
      </c>
      <c r="I3137" s="8" t="s">
        <v>146</v>
      </c>
      <c r="J3137" s="8" t="s">
        <v>14628</v>
      </c>
      <c r="K3137" s="8"/>
      <c r="L3137" s="8" t="s">
        <v>14629</v>
      </c>
    </row>
    <row r="3138" customFormat="false" ht="23.25" hidden="false" customHeight="true" outlineLevel="0" collapsed="false">
      <c r="A3138" s="8" t="n">
        <v>2870</v>
      </c>
      <c r="B3138" s="8" t="s">
        <v>89</v>
      </c>
      <c r="C3138" s="8" t="s">
        <v>14630</v>
      </c>
      <c r="D3138" s="8" t="n">
        <v>2022</v>
      </c>
      <c r="E3138" s="8" t="s">
        <v>14631</v>
      </c>
      <c r="F3138" s="8" t="s">
        <v>151</v>
      </c>
      <c r="G3138" s="8" t="s">
        <v>1938</v>
      </c>
      <c r="H3138" s="8" t="s">
        <v>14632</v>
      </c>
      <c r="I3138" s="8" t="s">
        <v>8546</v>
      </c>
      <c r="J3138" s="8" t="s">
        <v>14633</v>
      </c>
      <c r="K3138" s="8"/>
      <c r="L3138" s="8" t="s">
        <v>14634</v>
      </c>
    </row>
    <row r="3139" customFormat="false" ht="34.5" hidden="false" customHeight="true" outlineLevel="0" collapsed="false">
      <c r="A3139" s="8" t="n">
        <v>2871</v>
      </c>
      <c r="B3139" s="8" t="s">
        <v>89</v>
      </c>
      <c r="C3139" s="8" t="s">
        <v>983</v>
      </c>
      <c r="D3139" s="8" t="n">
        <v>2019</v>
      </c>
      <c r="E3139" s="8" t="s">
        <v>14635</v>
      </c>
      <c r="F3139" s="8" t="s">
        <v>151</v>
      </c>
      <c r="G3139" s="8" t="s">
        <v>3552</v>
      </c>
      <c r="H3139" s="8" t="s">
        <v>2262</v>
      </c>
      <c r="I3139" s="8" t="s">
        <v>146</v>
      </c>
      <c r="J3139" s="8" t="s">
        <v>14636</v>
      </c>
      <c r="K3139" s="8" t="s">
        <v>116</v>
      </c>
      <c r="L3139" s="8" t="s">
        <v>14637</v>
      </c>
    </row>
    <row r="3140" customFormat="false" ht="34.5" hidden="false" customHeight="true" outlineLevel="0" collapsed="false">
      <c r="A3140" s="8" t="n">
        <v>2872</v>
      </c>
      <c r="B3140" s="8" t="s">
        <v>89</v>
      </c>
      <c r="C3140" s="8" t="s">
        <v>14638</v>
      </c>
      <c r="D3140" s="8" t="n">
        <v>2023</v>
      </c>
      <c r="E3140" s="8" t="s">
        <v>14639</v>
      </c>
      <c r="F3140" s="8" t="s">
        <v>201</v>
      </c>
      <c r="G3140" s="8" t="s">
        <v>152</v>
      </c>
      <c r="H3140" s="8" t="s">
        <v>2846</v>
      </c>
      <c r="I3140" s="8" t="s">
        <v>208</v>
      </c>
      <c r="J3140" s="8" t="s">
        <v>14640</v>
      </c>
      <c r="K3140" s="8" t="s">
        <v>116</v>
      </c>
      <c r="L3140" s="8" t="s">
        <v>14641</v>
      </c>
    </row>
    <row r="3141" customFormat="false" ht="23.25" hidden="false" customHeight="true" outlineLevel="0" collapsed="false">
      <c r="A3141" s="8" t="n">
        <v>2873</v>
      </c>
      <c r="B3141" s="8" t="s">
        <v>89</v>
      </c>
      <c r="C3141" s="8" t="s">
        <v>14642</v>
      </c>
      <c r="D3141" s="8" t="n">
        <v>2018</v>
      </c>
      <c r="E3141" s="8" t="s">
        <v>14643</v>
      </c>
      <c r="F3141" s="8" t="s">
        <v>143</v>
      </c>
      <c r="G3141" s="8" t="s">
        <v>152</v>
      </c>
      <c r="H3141" s="8" t="s">
        <v>2846</v>
      </c>
      <c r="I3141" s="8" t="s">
        <v>153</v>
      </c>
      <c r="J3141" s="8" t="s">
        <v>14644</v>
      </c>
      <c r="K3141" s="8" t="s">
        <v>114</v>
      </c>
      <c r="L3141" s="8" t="s">
        <v>14645</v>
      </c>
    </row>
    <row r="3142" customFormat="false" ht="34.5" hidden="false" customHeight="true" outlineLevel="0" collapsed="false">
      <c r="A3142" s="8" t="n">
        <v>2874</v>
      </c>
      <c r="B3142" s="8" t="s">
        <v>89</v>
      </c>
      <c r="C3142" s="8" t="s">
        <v>14646</v>
      </c>
      <c r="D3142" s="8" t="n">
        <v>2002</v>
      </c>
      <c r="E3142" s="8" t="s">
        <v>14647</v>
      </c>
      <c r="F3142" s="8" t="s">
        <v>201</v>
      </c>
      <c r="G3142" s="8" t="s">
        <v>2454</v>
      </c>
      <c r="H3142" s="8" t="s">
        <v>14648</v>
      </c>
      <c r="I3142" s="8" t="s">
        <v>208</v>
      </c>
      <c r="J3142" s="8" t="s">
        <v>14649</v>
      </c>
      <c r="K3142" s="8"/>
      <c r="L3142" s="8" t="s">
        <v>14650</v>
      </c>
    </row>
    <row r="3143" customFormat="false" ht="34.5" hidden="false" customHeight="true" outlineLevel="0" collapsed="false">
      <c r="A3143" s="8" t="n">
        <v>2875</v>
      </c>
      <c r="B3143" s="8" t="s">
        <v>89</v>
      </c>
      <c r="C3143" s="8" t="s">
        <v>14651</v>
      </c>
      <c r="D3143" s="8" t="n">
        <v>2013</v>
      </c>
      <c r="E3143" s="8" t="s">
        <v>14652</v>
      </c>
      <c r="F3143" s="8" t="s">
        <v>151</v>
      </c>
      <c r="G3143" s="8" t="s">
        <v>152</v>
      </c>
      <c r="H3143" s="8" t="s">
        <v>145</v>
      </c>
      <c r="I3143" s="8" t="s">
        <v>146</v>
      </c>
      <c r="J3143" s="8" t="s">
        <v>14653</v>
      </c>
      <c r="K3143" s="8"/>
      <c r="L3143" s="8" t="s">
        <v>14654</v>
      </c>
    </row>
    <row r="3144" customFormat="false" ht="34.5" hidden="false" customHeight="true" outlineLevel="0" collapsed="false">
      <c r="A3144" s="8" t="n">
        <v>2876</v>
      </c>
      <c r="B3144" s="8" t="s">
        <v>89</v>
      </c>
      <c r="C3144" s="8" t="s">
        <v>14655</v>
      </c>
      <c r="D3144" s="8" t="n">
        <v>2024</v>
      </c>
      <c r="E3144" s="8" t="s">
        <v>14656</v>
      </c>
      <c r="F3144" s="8" t="s">
        <v>579</v>
      </c>
      <c r="G3144" s="8" t="s">
        <v>14657</v>
      </c>
      <c r="H3144" s="8" t="s">
        <v>14184</v>
      </c>
      <c r="I3144" s="8" t="s">
        <v>146</v>
      </c>
      <c r="J3144" s="8" t="s">
        <v>14658</v>
      </c>
      <c r="K3144" s="8" t="s">
        <v>114</v>
      </c>
      <c r="L3144" s="8" t="s">
        <v>14659</v>
      </c>
    </row>
    <row r="3145" customFormat="false" ht="34.5" hidden="false" customHeight="true" outlineLevel="0" collapsed="false">
      <c r="A3145" s="8" t="n">
        <v>2877</v>
      </c>
      <c r="B3145" s="8" t="s">
        <v>89</v>
      </c>
      <c r="C3145" s="8" t="s">
        <v>14660</v>
      </c>
      <c r="D3145" s="8" t="n">
        <v>1996</v>
      </c>
      <c r="E3145" s="8" t="s">
        <v>14661</v>
      </c>
      <c r="F3145" s="8" t="s">
        <v>151</v>
      </c>
      <c r="G3145" s="8" t="s">
        <v>14662</v>
      </c>
      <c r="H3145" s="8" t="s">
        <v>181</v>
      </c>
      <c r="I3145" s="8" t="s">
        <v>146</v>
      </c>
      <c r="J3145" s="8" t="s">
        <v>14663</v>
      </c>
      <c r="K3145" s="8" t="s">
        <v>114</v>
      </c>
      <c r="L3145" s="8" t="s">
        <v>14664</v>
      </c>
    </row>
    <row r="3146" customFormat="false" ht="23.25" hidden="false" customHeight="true" outlineLevel="0" collapsed="false">
      <c r="A3146" s="8" t="n">
        <v>2878</v>
      </c>
      <c r="B3146" s="8" t="s">
        <v>89</v>
      </c>
      <c r="C3146" s="8" t="s">
        <v>14665</v>
      </c>
      <c r="D3146" s="8" t="n">
        <v>2023</v>
      </c>
      <c r="E3146" s="8" t="s">
        <v>14666</v>
      </c>
      <c r="F3146" s="8" t="s">
        <v>151</v>
      </c>
      <c r="G3146" s="8" t="s">
        <v>7355</v>
      </c>
      <c r="H3146" s="8" t="s">
        <v>14184</v>
      </c>
      <c r="I3146" s="8" t="s">
        <v>146</v>
      </c>
      <c r="J3146" s="8" t="s">
        <v>14667</v>
      </c>
      <c r="K3146" s="8"/>
      <c r="L3146" s="8" t="s">
        <v>14668</v>
      </c>
    </row>
    <row r="3147" customFormat="false" ht="34.5" hidden="false" customHeight="true" outlineLevel="0" collapsed="false">
      <c r="A3147" s="8" t="n">
        <v>2879</v>
      </c>
      <c r="B3147" s="8" t="s">
        <v>89</v>
      </c>
      <c r="C3147" s="8" t="s">
        <v>14669</v>
      </c>
      <c r="D3147" s="8" t="n">
        <v>2023</v>
      </c>
      <c r="E3147" s="8" t="s">
        <v>14670</v>
      </c>
      <c r="F3147" s="8" t="s">
        <v>579</v>
      </c>
      <c r="G3147" s="8" t="s">
        <v>14671</v>
      </c>
      <c r="H3147" s="8" t="s">
        <v>14672</v>
      </c>
      <c r="I3147" s="8" t="s">
        <v>146</v>
      </c>
      <c r="J3147" s="8" t="s">
        <v>14673</v>
      </c>
      <c r="K3147" s="8" t="s">
        <v>114</v>
      </c>
      <c r="L3147" s="8" t="s">
        <v>14674</v>
      </c>
    </row>
    <row r="3148" customFormat="false" ht="23.25" hidden="false" customHeight="true" outlineLevel="0" collapsed="false">
      <c r="A3148" s="8" t="n">
        <v>2880</v>
      </c>
      <c r="B3148" s="8" t="s">
        <v>89</v>
      </c>
      <c r="C3148" s="8" t="s">
        <v>14675</v>
      </c>
      <c r="D3148" s="8" t="n">
        <v>2024</v>
      </c>
      <c r="E3148" s="8" t="s">
        <v>14676</v>
      </c>
      <c r="F3148" s="8" t="s">
        <v>151</v>
      </c>
      <c r="G3148" s="8" t="s">
        <v>14146</v>
      </c>
      <c r="H3148" s="8" t="s">
        <v>14153</v>
      </c>
      <c r="I3148" s="8" t="s">
        <v>146</v>
      </c>
      <c r="J3148" s="8" t="s">
        <v>14677</v>
      </c>
      <c r="K3148" s="8"/>
      <c r="L3148" s="8" t="s">
        <v>14678</v>
      </c>
    </row>
    <row r="3149" customFormat="false" ht="34.5" hidden="false" customHeight="true" outlineLevel="0" collapsed="false">
      <c r="A3149" s="8" t="n">
        <v>2881</v>
      </c>
      <c r="B3149" s="8" t="s">
        <v>89</v>
      </c>
      <c r="C3149" s="8" t="s">
        <v>14145</v>
      </c>
      <c r="D3149" s="8" t="n">
        <v>2019</v>
      </c>
      <c r="E3149" s="8" t="s">
        <v>14679</v>
      </c>
      <c r="F3149" s="8" t="s">
        <v>151</v>
      </c>
      <c r="G3149" s="8" t="s">
        <v>14404</v>
      </c>
      <c r="H3149" s="8" t="s">
        <v>14324</v>
      </c>
      <c r="I3149" s="8" t="s">
        <v>146</v>
      </c>
      <c r="J3149" s="8" t="s">
        <v>14680</v>
      </c>
      <c r="K3149" s="8"/>
      <c r="L3149" s="8" t="s">
        <v>14681</v>
      </c>
    </row>
    <row r="3150" customFormat="false" ht="23.25" hidden="false" customHeight="true" outlineLevel="0" collapsed="false">
      <c r="A3150" s="8" t="n">
        <v>2882</v>
      </c>
      <c r="B3150" s="8" t="s">
        <v>89</v>
      </c>
      <c r="C3150" s="8" t="s">
        <v>14682</v>
      </c>
      <c r="D3150" s="8" t="n">
        <v>2016</v>
      </c>
      <c r="E3150" s="8" t="s">
        <v>14683</v>
      </c>
      <c r="F3150" s="8" t="s">
        <v>151</v>
      </c>
      <c r="G3150" s="8" t="s">
        <v>14404</v>
      </c>
      <c r="H3150" s="8" t="s">
        <v>327</v>
      </c>
      <c r="I3150" s="8" t="s">
        <v>146</v>
      </c>
      <c r="J3150" s="8" t="s">
        <v>14684</v>
      </c>
      <c r="K3150" s="8"/>
      <c r="L3150" s="8" t="s">
        <v>14685</v>
      </c>
    </row>
    <row r="3151" customFormat="false" ht="34.5" hidden="false" customHeight="true" outlineLevel="0" collapsed="false">
      <c r="A3151" s="8" t="n">
        <v>2883</v>
      </c>
      <c r="B3151" s="8" t="s">
        <v>89</v>
      </c>
      <c r="C3151" s="8" t="s">
        <v>14686</v>
      </c>
      <c r="D3151" s="8" t="n">
        <v>2021</v>
      </c>
      <c r="E3151" s="8" t="s">
        <v>14687</v>
      </c>
      <c r="F3151" s="8" t="s">
        <v>579</v>
      </c>
      <c r="G3151" s="8" t="s">
        <v>14688</v>
      </c>
      <c r="H3151" s="8" t="s">
        <v>678</v>
      </c>
      <c r="I3151" s="8" t="s">
        <v>146</v>
      </c>
      <c r="J3151" s="8" t="s">
        <v>14689</v>
      </c>
      <c r="K3151" s="8" t="s">
        <v>114</v>
      </c>
      <c r="L3151" s="8" t="s">
        <v>14690</v>
      </c>
    </row>
    <row r="3152" customFormat="false" ht="34.5" hidden="false" customHeight="true" outlineLevel="0" collapsed="false">
      <c r="A3152" s="8" t="n">
        <v>2884</v>
      </c>
      <c r="B3152" s="8" t="s">
        <v>89</v>
      </c>
      <c r="C3152" s="8" t="s">
        <v>14691</v>
      </c>
      <c r="D3152" s="8" t="n">
        <v>2025</v>
      </c>
      <c r="E3152" s="8" t="s">
        <v>14692</v>
      </c>
      <c r="F3152" s="8" t="s">
        <v>151</v>
      </c>
      <c r="G3152" s="8" t="s">
        <v>152</v>
      </c>
      <c r="H3152" s="8" t="s">
        <v>678</v>
      </c>
      <c r="I3152" s="8" t="s">
        <v>146</v>
      </c>
      <c r="J3152" s="8" t="s">
        <v>14693</v>
      </c>
      <c r="K3152" s="8"/>
      <c r="L3152" s="8" t="s">
        <v>14694</v>
      </c>
    </row>
    <row r="3153" customFormat="false" ht="34.5" hidden="false" customHeight="true" outlineLevel="0" collapsed="false">
      <c r="A3153" s="8" t="n">
        <v>2885</v>
      </c>
      <c r="B3153" s="8" t="s">
        <v>89</v>
      </c>
      <c r="C3153" s="8" t="s">
        <v>14686</v>
      </c>
      <c r="D3153" s="8" t="n">
        <v>2025</v>
      </c>
      <c r="E3153" s="8" t="s">
        <v>14695</v>
      </c>
      <c r="F3153" s="8" t="s">
        <v>151</v>
      </c>
      <c r="G3153" s="8" t="s">
        <v>14404</v>
      </c>
      <c r="H3153" s="8" t="s">
        <v>678</v>
      </c>
      <c r="I3153" s="8" t="s">
        <v>146</v>
      </c>
      <c r="J3153" s="8" t="s">
        <v>14696</v>
      </c>
      <c r="K3153" s="8" t="s">
        <v>114</v>
      </c>
      <c r="L3153" s="8" t="s">
        <v>14697</v>
      </c>
    </row>
    <row r="3154" customFormat="false" ht="34.5" hidden="false" customHeight="true" outlineLevel="0" collapsed="false">
      <c r="A3154" s="8" t="n">
        <v>2886</v>
      </c>
      <c r="B3154" s="8" t="s">
        <v>89</v>
      </c>
      <c r="C3154" s="8" t="s">
        <v>14698</v>
      </c>
      <c r="D3154" s="8" t="n">
        <v>2007</v>
      </c>
      <c r="E3154" s="8" t="s">
        <v>14699</v>
      </c>
      <c r="F3154" s="8" t="s">
        <v>201</v>
      </c>
      <c r="G3154" s="8" t="s">
        <v>4650</v>
      </c>
      <c r="H3154" s="8" t="s">
        <v>145</v>
      </c>
      <c r="I3154" s="8" t="s">
        <v>146</v>
      </c>
      <c r="J3154" s="8" t="s">
        <v>14700</v>
      </c>
      <c r="K3154" s="8" t="s">
        <v>116</v>
      </c>
      <c r="L3154" s="8" t="s">
        <v>14701</v>
      </c>
    </row>
    <row r="3155" customFormat="false" ht="23.25" hidden="false" customHeight="true" outlineLevel="0" collapsed="false">
      <c r="A3155" s="8" t="n">
        <v>2887</v>
      </c>
      <c r="B3155" s="8" t="s">
        <v>89</v>
      </c>
      <c r="C3155" s="8" t="s">
        <v>14702</v>
      </c>
      <c r="D3155" s="8" t="n">
        <v>2021</v>
      </c>
      <c r="E3155" s="8" t="s">
        <v>14703</v>
      </c>
      <c r="F3155" s="8" t="s">
        <v>143</v>
      </c>
      <c r="G3155" s="8" t="s">
        <v>14704</v>
      </c>
      <c r="H3155" s="8" t="s">
        <v>145</v>
      </c>
      <c r="I3155" s="8" t="s">
        <v>208</v>
      </c>
      <c r="J3155" s="8" t="s">
        <v>14705</v>
      </c>
      <c r="K3155" s="8"/>
      <c r="L3155" s="8" t="s">
        <v>14706</v>
      </c>
    </row>
    <row r="3156" customFormat="false" ht="34.5" hidden="false" customHeight="true" outlineLevel="0" collapsed="false">
      <c r="A3156" s="8" t="n">
        <v>2888</v>
      </c>
      <c r="B3156" s="8" t="s">
        <v>89</v>
      </c>
      <c r="C3156" s="8" t="s">
        <v>14707</v>
      </c>
      <c r="D3156" s="8" t="n">
        <v>2024</v>
      </c>
      <c r="E3156" s="8" t="s">
        <v>14708</v>
      </c>
      <c r="F3156" s="8" t="s">
        <v>201</v>
      </c>
      <c r="G3156" s="8" t="s">
        <v>152</v>
      </c>
      <c r="H3156" s="8" t="s">
        <v>327</v>
      </c>
      <c r="I3156" s="8" t="s">
        <v>146</v>
      </c>
      <c r="J3156" s="8" t="s">
        <v>14709</v>
      </c>
      <c r="K3156" s="8"/>
      <c r="L3156" s="8" t="s">
        <v>14710</v>
      </c>
    </row>
    <row r="3157" customFormat="false" ht="34.5" hidden="false" customHeight="true" outlineLevel="0" collapsed="false">
      <c r="A3157" s="8" t="n">
        <v>2889</v>
      </c>
      <c r="B3157" s="8" t="s">
        <v>89</v>
      </c>
      <c r="C3157" s="8" t="s">
        <v>14711</v>
      </c>
      <c r="D3157" s="8" t="n">
        <v>2018</v>
      </c>
      <c r="E3157" s="8" t="s">
        <v>14712</v>
      </c>
      <c r="F3157" s="8" t="s">
        <v>3817</v>
      </c>
      <c r="G3157" s="8" t="s">
        <v>14713</v>
      </c>
      <c r="H3157" s="8" t="s">
        <v>14714</v>
      </c>
      <c r="I3157" s="8" t="s">
        <v>208</v>
      </c>
      <c r="J3157" s="8" t="s">
        <v>14715</v>
      </c>
      <c r="K3157" s="8" t="s">
        <v>116</v>
      </c>
      <c r="L3157" s="8" t="s">
        <v>14716</v>
      </c>
    </row>
    <row r="3158" customFormat="false" ht="34.5" hidden="false" customHeight="true" outlineLevel="0" collapsed="false">
      <c r="A3158" s="8" t="n">
        <v>2890</v>
      </c>
      <c r="B3158" s="8" t="s">
        <v>89</v>
      </c>
      <c r="C3158" s="8" t="s">
        <v>14717</v>
      </c>
      <c r="D3158" s="8" t="n">
        <v>2017</v>
      </c>
      <c r="E3158" s="8" t="s">
        <v>14718</v>
      </c>
      <c r="F3158" s="8" t="s">
        <v>151</v>
      </c>
      <c r="G3158" s="8" t="s">
        <v>14404</v>
      </c>
      <c r="H3158" s="8" t="s">
        <v>327</v>
      </c>
      <c r="I3158" s="8" t="s">
        <v>146</v>
      </c>
      <c r="J3158" s="8" t="s">
        <v>14719</v>
      </c>
      <c r="K3158" s="8"/>
      <c r="L3158" s="8" t="s">
        <v>14720</v>
      </c>
    </row>
    <row r="3159" customFormat="false" ht="23.25" hidden="false" customHeight="true" outlineLevel="0" collapsed="false">
      <c r="A3159" s="8" t="n">
        <v>2891</v>
      </c>
      <c r="B3159" s="8" t="s">
        <v>89</v>
      </c>
      <c r="C3159" s="8" t="s">
        <v>14717</v>
      </c>
      <c r="D3159" s="8" t="n">
        <v>2025</v>
      </c>
      <c r="E3159" s="8" t="s">
        <v>14721</v>
      </c>
      <c r="F3159" s="8" t="s">
        <v>151</v>
      </c>
      <c r="G3159" s="8" t="s">
        <v>14404</v>
      </c>
      <c r="H3159" s="8" t="s">
        <v>327</v>
      </c>
      <c r="I3159" s="8" t="s">
        <v>146</v>
      </c>
      <c r="J3159" s="8" t="s">
        <v>14722</v>
      </c>
      <c r="K3159" s="8"/>
      <c r="L3159" s="8" t="s">
        <v>14723</v>
      </c>
    </row>
    <row r="3160" customFormat="false" ht="23.25" hidden="false" customHeight="true" outlineLevel="0" collapsed="false">
      <c r="A3160" s="8" t="n">
        <v>2892</v>
      </c>
      <c r="B3160" s="8" t="s">
        <v>89</v>
      </c>
      <c r="C3160" s="8" t="s">
        <v>14724</v>
      </c>
      <c r="D3160" s="8" t="n">
        <v>2020</v>
      </c>
      <c r="E3160" s="8" t="s">
        <v>14725</v>
      </c>
      <c r="F3160" s="8" t="s">
        <v>201</v>
      </c>
      <c r="G3160" s="8" t="s">
        <v>6974</v>
      </c>
      <c r="H3160" s="8" t="s">
        <v>145</v>
      </c>
      <c r="I3160" s="8" t="s">
        <v>153</v>
      </c>
      <c r="J3160" s="8" t="s">
        <v>14726</v>
      </c>
      <c r="K3160" s="8"/>
      <c r="L3160" s="8" t="s">
        <v>14727</v>
      </c>
    </row>
    <row r="3161" customFormat="false" ht="23.25" hidden="false" customHeight="true" outlineLevel="0" collapsed="false">
      <c r="A3161" s="8" t="n">
        <v>2893</v>
      </c>
      <c r="B3161" s="8" t="s">
        <v>89</v>
      </c>
      <c r="C3161" s="8" t="s">
        <v>14728</v>
      </c>
      <c r="D3161" s="8" t="n">
        <v>2022</v>
      </c>
      <c r="E3161" s="8" t="s">
        <v>14729</v>
      </c>
      <c r="F3161" s="8" t="s">
        <v>12529</v>
      </c>
      <c r="G3161" s="8" t="s">
        <v>152</v>
      </c>
      <c r="H3161" s="8" t="s">
        <v>145</v>
      </c>
      <c r="I3161" s="8" t="s">
        <v>153</v>
      </c>
      <c r="J3161" s="8" t="s">
        <v>14730</v>
      </c>
      <c r="K3161" s="8"/>
      <c r="L3161" s="8" t="s">
        <v>14731</v>
      </c>
    </row>
    <row r="3162" customFormat="false" ht="34.5" hidden="false" customHeight="true" outlineLevel="0" collapsed="false">
      <c r="A3162" s="8" t="n">
        <v>2894</v>
      </c>
      <c r="B3162" s="8" t="s">
        <v>89</v>
      </c>
      <c r="C3162" s="8" t="s">
        <v>14732</v>
      </c>
      <c r="D3162" s="8" t="n">
        <v>2023</v>
      </c>
      <c r="E3162" s="8" t="s">
        <v>14733</v>
      </c>
      <c r="F3162" s="8" t="s">
        <v>151</v>
      </c>
      <c r="G3162" s="8" t="s">
        <v>14734</v>
      </c>
      <c r="H3162" s="8" t="s">
        <v>423</v>
      </c>
      <c r="I3162" s="8" t="s">
        <v>146</v>
      </c>
      <c r="J3162" s="8" t="s">
        <v>14735</v>
      </c>
      <c r="K3162" s="8" t="s">
        <v>114</v>
      </c>
      <c r="L3162" s="8" t="s">
        <v>14736</v>
      </c>
    </row>
    <row r="3163" customFormat="false" ht="34.5" hidden="false" customHeight="true" outlineLevel="0" collapsed="false">
      <c r="A3163" s="8" t="n">
        <v>2895</v>
      </c>
      <c r="B3163" s="8" t="s">
        <v>89</v>
      </c>
      <c r="C3163" s="8" t="s">
        <v>14737</v>
      </c>
      <c r="D3163" s="8" t="n">
        <v>2018</v>
      </c>
      <c r="E3163" s="8" t="s">
        <v>14738</v>
      </c>
      <c r="F3163" s="8" t="s">
        <v>201</v>
      </c>
      <c r="G3163" s="8" t="s">
        <v>14146</v>
      </c>
      <c r="H3163" s="8" t="s">
        <v>512</v>
      </c>
      <c r="I3163" s="8" t="s">
        <v>153</v>
      </c>
      <c r="J3163" s="8" t="s">
        <v>14739</v>
      </c>
      <c r="K3163" s="8" t="s">
        <v>114</v>
      </c>
      <c r="L3163" s="8" t="s">
        <v>14740</v>
      </c>
    </row>
    <row r="3164" customFormat="false" ht="23.25" hidden="false" customHeight="true" outlineLevel="0" collapsed="false">
      <c r="A3164" s="8" t="n">
        <v>2896</v>
      </c>
      <c r="B3164" s="8" t="s">
        <v>89</v>
      </c>
      <c r="C3164" s="8" t="s">
        <v>14741</v>
      </c>
      <c r="D3164" s="8" t="n">
        <v>2018</v>
      </c>
      <c r="E3164" s="8" t="s">
        <v>14742</v>
      </c>
      <c r="F3164" s="8" t="s">
        <v>151</v>
      </c>
      <c r="G3164" s="8" t="s">
        <v>14743</v>
      </c>
      <c r="H3164" s="8" t="s">
        <v>327</v>
      </c>
      <c r="I3164" s="8" t="s">
        <v>146</v>
      </c>
      <c r="J3164" s="8" t="s">
        <v>14744</v>
      </c>
      <c r="K3164" s="8" t="s">
        <v>114</v>
      </c>
      <c r="L3164" s="8" t="s">
        <v>14745</v>
      </c>
    </row>
    <row r="3165" customFormat="false" ht="34.5" hidden="false" customHeight="true" outlineLevel="0" collapsed="false">
      <c r="A3165" s="8" t="n">
        <v>2897</v>
      </c>
      <c r="B3165" s="8" t="s">
        <v>89</v>
      </c>
      <c r="C3165" s="8" t="s">
        <v>14746</v>
      </c>
      <c r="D3165" s="8" t="n">
        <v>2016</v>
      </c>
      <c r="E3165" s="8" t="s">
        <v>14747</v>
      </c>
      <c r="F3165" s="8" t="s">
        <v>14748</v>
      </c>
      <c r="G3165" s="8" t="s">
        <v>14749</v>
      </c>
      <c r="H3165" s="8" t="s">
        <v>678</v>
      </c>
      <c r="I3165" s="8" t="s">
        <v>146</v>
      </c>
      <c r="J3165" s="8" t="s">
        <v>14750</v>
      </c>
      <c r="K3165" s="8"/>
      <c r="L3165" s="8" t="s">
        <v>14751</v>
      </c>
    </row>
    <row r="3166" customFormat="false" ht="34.5" hidden="false" customHeight="true" outlineLevel="0" collapsed="false">
      <c r="A3166" s="8" t="n">
        <v>2898</v>
      </c>
      <c r="B3166" s="8" t="s">
        <v>89</v>
      </c>
      <c r="C3166" s="8" t="s">
        <v>14752</v>
      </c>
      <c r="D3166" s="8" t="n">
        <v>2022</v>
      </c>
      <c r="E3166" s="8" t="s">
        <v>14753</v>
      </c>
      <c r="F3166" s="8" t="s">
        <v>151</v>
      </c>
      <c r="G3166" s="8" t="s">
        <v>348</v>
      </c>
      <c r="H3166" s="8" t="s">
        <v>14754</v>
      </c>
      <c r="I3166" s="8" t="s">
        <v>146</v>
      </c>
      <c r="J3166" s="8" t="s">
        <v>14755</v>
      </c>
      <c r="K3166" s="8"/>
      <c r="L3166" s="8" t="s">
        <v>14756</v>
      </c>
    </row>
    <row r="3167" customFormat="false" ht="34.5" hidden="false" customHeight="true" outlineLevel="0" collapsed="false">
      <c r="A3167" s="8" t="n">
        <v>2899</v>
      </c>
      <c r="B3167" s="8" t="s">
        <v>89</v>
      </c>
      <c r="C3167" s="8" t="s">
        <v>14757</v>
      </c>
      <c r="D3167" s="8" t="n">
        <v>2011</v>
      </c>
      <c r="E3167" s="8" t="s">
        <v>14758</v>
      </c>
      <c r="F3167" s="8" t="s">
        <v>151</v>
      </c>
      <c r="G3167" s="8" t="s">
        <v>152</v>
      </c>
      <c r="H3167" s="8" t="s">
        <v>14759</v>
      </c>
      <c r="I3167" s="8" t="s">
        <v>146</v>
      </c>
      <c r="J3167" s="8" t="s">
        <v>14760</v>
      </c>
      <c r="K3167" s="8"/>
      <c r="L3167" s="8" t="s">
        <v>14761</v>
      </c>
    </row>
    <row r="3168" customFormat="false" ht="23.25" hidden="false" customHeight="true" outlineLevel="0" collapsed="false">
      <c r="A3168" s="8" t="n">
        <v>2900</v>
      </c>
      <c r="B3168" s="8" t="s">
        <v>89</v>
      </c>
      <c r="C3168" s="8" t="s">
        <v>14762</v>
      </c>
      <c r="D3168" s="8" t="n">
        <v>2009</v>
      </c>
      <c r="E3168" s="8" t="s">
        <v>14763</v>
      </c>
      <c r="F3168" s="8" t="s">
        <v>143</v>
      </c>
      <c r="G3168" s="8" t="s">
        <v>152</v>
      </c>
      <c r="H3168" s="8" t="s">
        <v>145</v>
      </c>
      <c r="I3168" s="8" t="s">
        <v>153</v>
      </c>
      <c r="J3168" s="8" t="s">
        <v>14764</v>
      </c>
      <c r="K3168" s="8" t="s">
        <v>116</v>
      </c>
      <c r="L3168" s="8" t="s">
        <v>14765</v>
      </c>
    </row>
    <row r="3169" customFormat="false" ht="34.5" hidden="false" customHeight="true" outlineLevel="0" collapsed="false">
      <c r="A3169" s="8" t="n">
        <v>2901</v>
      </c>
      <c r="B3169" s="8" t="s">
        <v>89</v>
      </c>
      <c r="C3169" s="8" t="s">
        <v>14766</v>
      </c>
      <c r="D3169" s="8" t="n">
        <v>2020</v>
      </c>
      <c r="E3169" s="8" t="s">
        <v>14767</v>
      </c>
      <c r="F3169" s="8" t="s">
        <v>12529</v>
      </c>
      <c r="G3169" s="8" t="s">
        <v>14404</v>
      </c>
      <c r="H3169" s="8" t="s">
        <v>678</v>
      </c>
      <c r="I3169" s="8" t="s">
        <v>146</v>
      </c>
      <c r="J3169" s="8" t="s">
        <v>14768</v>
      </c>
      <c r="K3169" s="8" t="s">
        <v>114</v>
      </c>
      <c r="L3169" s="8" t="s">
        <v>14769</v>
      </c>
    </row>
    <row r="3170" customFormat="false" ht="34.5" hidden="false" customHeight="true" outlineLevel="0" collapsed="false">
      <c r="A3170" s="8" t="n">
        <v>2902</v>
      </c>
      <c r="B3170" s="8" t="s">
        <v>89</v>
      </c>
      <c r="C3170" s="8" t="s">
        <v>14766</v>
      </c>
      <c r="D3170" s="8" t="n">
        <v>2021</v>
      </c>
      <c r="E3170" s="8" t="s">
        <v>14770</v>
      </c>
      <c r="F3170" s="8" t="s">
        <v>201</v>
      </c>
      <c r="G3170" s="8" t="s">
        <v>152</v>
      </c>
      <c r="H3170" s="8" t="s">
        <v>678</v>
      </c>
      <c r="I3170" s="8" t="s">
        <v>146</v>
      </c>
      <c r="J3170" s="8" t="s">
        <v>14771</v>
      </c>
      <c r="K3170" s="8"/>
      <c r="L3170" s="8" t="s">
        <v>14772</v>
      </c>
    </row>
    <row r="3171" customFormat="false" ht="23.25" hidden="false" customHeight="true" outlineLevel="0" collapsed="false">
      <c r="A3171" s="8" t="n">
        <v>2903</v>
      </c>
      <c r="B3171" s="8" t="s">
        <v>89</v>
      </c>
      <c r="C3171" s="8" t="s">
        <v>14773</v>
      </c>
      <c r="D3171" s="8" t="n">
        <v>2011</v>
      </c>
      <c r="E3171" s="8" t="s">
        <v>14774</v>
      </c>
      <c r="F3171" s="8" t="s">
        <v>143</v>
      </c>
      <c r="G3171" s="8" t="s">
        <v>14775</v>
      </c>
      <c r="H3171" s="8" t="s">
        <v>4711</v>
      </c>
      <c r="I3171" s="8" t="s">
        <v>146</v>
      </c>
      <c r="J3171" s="8" t="s">
        <v>14776</v>
      </c>
      <c r="K3171" s="8" t="s">
        <v>114</v>
      </c>
      <c r="L3171" s="8" t="s">
        <v>14777</v>
      </c>
    </row>
    <row r="3172" customFormat="false" ht="23.25" hidden="false" customHeight="true" outlineLevel="0" collapsed="false">
      <c r="A3172" s="8" t="n">
        <v>2904</v>
      </c>
      <c r="B3172" s="8" t="s">
        <v>89</v>
      </c>
      <c r="C3172" s="8" t="s">
        <v>14778</v>
      </c>
      <c r="D3172" s="8" t="n">
        <v>2024</v>
      </c>
      <c r="E3172" s="8" t="s">
        <v>14779</v>
      </c>
      <c r="F3172" s="8" t="s">
        <v>151</v>
      </c>
      <c r="G3172" s="8" t="s">
        <v>152</v>
      </c>
      <c r="H3172" s="8" t="s">
        <v>14780</v>
      </c>
      <c r="I3172" s="8" t="s">
        <v>208</v>
      </c>
      <c r="J3172" s="8" t="s">
        <v>14781</v>
      </c>
      <c r="K3172" s="8"/>
      <c r="L3172" s="8" t="s">
        <v>14782</v>
      </c>
    </row>
    <row r="3173" customFormat="false" ht="34.5" hidden="false" customHeight="true" outlineLevel="0" collapsed="false">
      <c r="A3173" s="8" t="n">
        <v>2905</v>
      </c>
      <c r="B3173" s="8" t="s">
        <v>89</v>
      </c>
      <c r="C3173" s="8" t="s">
        <v>14783</v>
      </c>
      <c r="D3173" s="8" t="n">
        <v>2013</v>
      </c>
      <c r="E3173" s="8" t="s">
        <v>14784</v>
      </c>
      <c r="F3173" s="8" t="s">
        <v>151</v>
      </c>
      <c r="G3173" s="8" t="s">
        <v>152</v>
      </c>
      <c r="H3173" s="8" t="s">
        <v>512</v>
      </c>
      <c r="I3173" s="8" t="s">
        <v>208</v>
      </c>
      <c r="J3173" s="8" t="s">
        <v>14785</v>
      </c>
      <c r="K3173" s="8" t="s">
        <v>116</v>
      </c>
      <c r="L3173" s="8" t="s">
        <v>14786</v>
      </c>
    </row>
    <row r="3174" customFormat="false" ht="34.5" hidden="false" customHeight="true" outlineLevel="0" collapsed="false">
      <c r="A3174" s="8" t="n">
        <v>2906</v>
      </c>
      <c r="B3174" s="8" t="s">
        <v>89</v>
      </c>
      <c r="C3174" s="8" t="s">
        <v>14787</v>
      </c>
      <c r="D3174" s="8" t="n">
        <v>1979</v>
      </c>
      <c r="E3174" s="8" t="s">
        <v>14788</v>
      </c>
      <c r="F3174" s="8" t="s">
        <v>143</v>
      </c>
      <c r="G3174" s="8" t="s">
        <v>1678</v>
      </c>
      <c r="H3174" s="8" t="s">
        <v>181</v>
      </c>
      <c r="I3174" s="8" t="s">
        <v>153</v>
      </c>
      <c r="J3174" s="8" t="s">
        <v>14789</v>
      </c>
      <c r="K3174" s="8" t="s">
        <v>114</v>
      </c>
      <c r="L3174" s="8" t="s">
        <v>14790</v>
      </c>
    </row>
    <row r="3175" customFormat="false" ht="23.25" hidden="false" customHeight="true" outlineLevel="0" collapsed="false">
      <c r="A3175" s="8" t="n">
        <v>2907</v>
      </c>
      <c r="B3175" s="8" t="s">
        <v>89</v>
      </c>
      <c r="C3175" s="8" t="s">
        <v>14791</v>
      </c>
      <c r="D3175" s="8" t="n">
        <v>2016</v>
      </c>
      <c r="E3175" s="8" t="s">
        <v>14792</v>
      </c>
      <c r="F3175" s="8" t="s">
        <v>201</v>
      </c>
      <c r="G3175" s="8" t="s">
        <v>14793</v>
      </c>
      <c r="H3175" s="8" t="s">
        <v>145</v>
      </c>
      <c r="I3175" s="8" t="s">
        <v>146</v>
      </c>
      <c r="J3175" s="8" t="s">
        <v>14794</v>
      </c>
      <c r="K3175" s="8"/>
      <c r="L3175" s="8" t="s">
        <v>14795</v>
      </c>
    </row>
    <row r="3176" customFormat="false" ht="34.5" hidden="false" customHeight="true" outlineLevel="0" collapsed="false">
      <c r="A3176" s="8" t="n">
        <v>2908</v>
      </c>
      <c r="B3176" s="8" t="s">
        <v>89</v>
      </c>
      <c r="C3176" s="8" t="s">
        <v>14796</v>
      </c>
      <c r="D3176" s="8" t="n">
        <v>2017</v>
      </c>
      <c r="E3176" s="8" t="s">
        <v>14797</v>
      </c>
      <c r="F3176" s="8" t="s">
        <v>8720</v>
      </c>
      <c r="G3176" s="8" t="s">
        <v>14798</v>
      </c>
      <c r="H3176" s="8" t="s">
        <v>14799</v>
      </c>
      <c r="I3176" s="8" t="s">
        <v>208</v>
      </c>
      <c r="J3176" s="8" t="s">
        <v>14800</v>
      </c>
      <c r="K3176" s="8" t="s">
        <v>114</v>
      </c>
      <c r="L3176" s="8" t="s">
        <v>14801</v>
      </c>
    </row>
    <row r="3177" customFormat="false" ht="34.5" hidden="false" customHeight="true" outlineLevel="0" collapsed="false">
      <c r="A3177" s="8" t="n">
        <v>2909</v>
      </c>
      <c r="B3177" s="8" t="s">
        <v>89</v>
      </c>
      <c r="C3177" s="8" t="s">
        <v>14802</v>
      </c>
      <c r="D3177" s="8" t="n">
        <v>2017</v>
      </c>
      <c r="E3177" s="8" t="s">
        <v>14803</v>
      </c>
      <c r="F3177" s="8" t="s">
        <v>8720</v>
      </c>
      <c r="G3177" s="8" t="s">
        <v>14804</v>
      </c>
      <c r="H3177" s="8" t="s">
        <v>327</v>
      </c>
      <c r="I3177" s="8" t="s">
        <v>153</v>
      </c>
      <c r="J3177" s="8" t="s">
        <v>14805</v>
      </c>
      <c r="K3177" s="8" t="s">
        <v>114</v>
      </c>
      <c r="L3177" s="8" t="s">
        <v>14806</v>
      </c>
    </row>
    <row r="3178" customFormat="false" ht="23.25" hidden="false" customHeight="true" outlineLevel="0" collapsed="false">
      <c r="A3178" s="8" t="n">
        <v>2910</v>
      </c>
      <c r="B3178" s="8" t="s">
        <v>89</v>
      </c>
      <c r="C3178" s="8" t="s">
        <v>14807</v>
      </c>
      <c r="D3178" s="8" t="n">
        <v>1995</v>
      </c>
      <c r="E3178" s="8" t="s">
        <v>14808</v>
      </c>
      <c r="F3178" s="8" t="s">
        <v>10732</v>
      </c>
      <c r="G3178" s="8" t="s">
        <v>14809</v>
      </c>
      <c r="H3178" s="8" t="s">
        <v>327</v>
      </c>
      <c r="I3178" s="8" t="s">
        <v>208</v>
      </c>
      <c r="J3178" s="8" t="s">
        <v>6767</v>
      </c>
      <c r="K3178" s="8" t="s">
        <v>114</v>
      </c>
      <c r="L3178" s="8" t="s">
        <v>14810</v>
      </c>
    </row>
    <row r="3179" customFormat="false" ht="34.5" hidden="false" customHeight="true" outlineLevel="0" collapsed="false">
      <c r="A3179" s="8" t="n">
        <v>2911</v>
      </c>
      <c r="B3179" s="8" t="s">
        <v>89</v>
      </c>
      <c r="C3179" s="8" t="s">
        <v>14811</v>
      </c>
      <c r="D3179" s="8" t="n">
        <v>1971</v>
      </c>
      <c r="E3179" s="8" t="s">
        <v>14812</v>
      </c>
      <c r="F3179" s="8" t="s">
        <v>10722</v>
      </c>
      <c r="G3179" s="8" t="s">
        <v>14813</v>
      </c>
      <c r="H3179" s="8" t="s">
        <v>145</v>
      </c>
      <c r="I3179" s="8" t="s">
        <v>208</v>
      </c>
      <c r="J3179" s="8" t="s">
        <v>14814</v>
      </c>
      <c r="K3179" s="8" t="s">
        <v>114</v>
      </c>
      <c r="L3179" s="8" t="s">
        <v>14815</v>
      </c>
    </row>
    <row r="3180" customFormat="false" ht="34.5" hidden="false" customHeight="true" outlineLevel="0" collapsed="false">
      <c r="A3180" s="8" t="n">
        <v>2912</v>
      </c>
      <c r="B3180" s="8" t="s">
        <v>89</v>
      </c>
      <c r="C3180" s="8" t="s">
        <v>14192</v>
      </c>
      <c r="D3180" s="8" t="n">
        <v>2021</v>
      </c>
      <c r="E3180" s="8" t="s">
        <v>14816</v>
      </c>
      <c r="F3180" s="8" t="s">
        <v>201</v>
      </c>
      <c r="G3180" s="8" t="s">
        <v>14189</v>
      </c>
      <c r="H3180" s="8" t="s">
        <v>2846</v>
      </c>
      <c r="I3180" s="8" t="s">
        <v>153</v>
      </c>
      <c r="J3180" s="8" t="s">
        <v>14817</v>
      </c>
      <c r="K3180" s="8" t="s">
        <v>114</v>
      </c>
      <c r="L3180" s="8" t="s">
        <v>14818</v>
      </c>
    </row>
    <row r="3181" customFormat="false" ht="34.5" hidden="false" customHeight="true" outlineLevel="0" collapsed="false">
      <c r="A3181" s="8" t="n">
        <v>2913</v>
      </c>
      <c r="B3181" s="8" t="s">
        <v>89</v>
      </c>
      <c r="C3181" s="8" t="s">
        <v>14819</v>
      </c>
      <c r="D3181" s="8" t="n">
        <v>2025</v>
      </c>
      <c r="E3181" s="8" t="s">
        <v>14820</v>
      </c>
      <c r="F3181" s="8" t="s">
        <v>201</v>
      </c>
      <c r="G3181" s="8" t="s">
        <v>14146</v>
      </c>
      <c r="H3181" s="8" t="s">
        <v>327</v>
      </c>
      <c r="I3181" s="8" t="s">
        <v>153</v>
      </c>
      <c r="J3181" s="8" t="s">
        <v>14821</v>
      </c>
      <c r="K3181" s="8" t="s">
        <v>114</v>
      </c>
      <c r="L3181" s="8" t="s">
        <v>14822</v>
      </c>
    </row>
    <row r="3182" customFormat="false" ht="23.25" hidden="false" customHeight="true" outlineLevel="0" collapsed="false">
      <c r="A3182" s="8" t="n">
        <v>2914</v>
      </c>
      <c r="B3182" s="8" t="s">
        <v>89</v>
      </c>
      <c r="C3182" s="8" t="s">
        <v>14823</v>
      </c>
      <c r="D3182" s="8" t="n">
        <v>2007</v>
      </c>
      <c r="E3182" s="8" t="s">
        <v>14824</v>
      </c>
      <c r="F3182" s="8" t="s">
        <v>10484</v>
      </c>
      <c r="G3182" s="8" t="s">
        <v>14605</v>
      </c>
      <c r="H3182" s="8" t="s">
        <v>14825</v>
      </c>
      <c r="I3182" s="8" t="s">
        <v>208</v>
      </c>
      <c r="J3182" s="8" t="s">
        <v>14826</v>
      </c>
      <c r="K3182" s="8"/>
      <c r="L3182" s="8" t="s">
        <v>14827</v>
      </c>
    </row>
    <row r="3183" customFormat="false" ht="34.5" hidden="false" customHeight="true" outlineLevel="0" collapsed="false">
      <c r="A3183" s="8" t="n">
        <v>2915</v>
      </c>
      <c r="B3183" s="8" t="s">
        <v>89</v>
      </c>
      <c r="C3183" s="8" t="s">
        <v>14828</v>
      </c>
      <c r="D3183" s="8" t="n">
        <v>2019</v>
      </c>
      <c r="E3183" s="8" t="s">
        <v>14829</v>
      </c>
      <c r="F3183" s="8" t="s">
        <v>151</v>
      </c>
      <c r="G3183" s="8" t="s">
        <v>152</v>
      </c>
      <c r="H3183" s="8" t="s">
        <v>14830</v>
      </c>
      <c r="I3183" s="8" t="s">
        <v>208</v>
      </c>
      <c r="J3183" s="8" t="s">
        <v>14785</v>
      </c>
      <c r="K3183" s="8"/>
      <c r="L3183" s="8" t="s">
        <v>14831</v>
      </c>
    </row>
    <row r="3184" customFormat="false" ht="34.5" hidden="false" customHeight="true" outlineLevel="0" collapsed="false">
      <c r="A3184" s="8" t="n">
        <v>2916</v>
      </c>
      <c r="B3184" s="8" t="s">
        <v>89</v>
      </c>
      <c r="C3184" s="8" t="s">
        <v>14832</v>
      </c>
      <c r="D3184" s="8" t="n">
        <v>2015</v>
      </c>
      <c r="E3184" s="8" t="s">
        <v>14833</v>
      </c>
      <c r="F3184" s="8" t="s">
        <v>143</v>
      </c>
      <c r="G3184" s="8" t="s">
        <v>197</v>
      </c>
      <c r="H3184" s="8" t="s">
        <v>145</v>
      </c>
      <c r="I3184" s="8" t="s">
        <v>153</v>
      </c>
      <c r="J3184" s="8" t="s">
        <v>10747</v>
      </c>
      <c r="K3184" s="8" t="s">
        <v>114</v>
      </c>
      <c r="L3184" s="8" t="s">
        <v>14834</v>
      </c>
    </row>
    <row r="3185" customFormat="false" ht="34.5" hidden="false" customHeight="true" outlineLevel="0" collapsed="false">
      <c r="A3185" s="8" t="n">
        <v>2917</v>
      </c>
      <c r="B3185" s="8" t="s">
        <v>89</v>
      </c>
      <c r="C3185" s="8" t="s">
        <v>14835</v>
      </c>
      <c r="D3185" s="8" t="n">
        <v>2000</v>
      </c>
      <c r="E3185" s="8" t="s">
        <v>14836</v>
      </c>
      <c r="F3185" s="8" t="s">
        <v>8720</v>
      </c>
      <c r="G3185" s="8" t="s">
        <v>14837</v>
      </c>
      <c r="H3185" s="8" t="s">
        <v>327</v>
      </c>
      <c r="I3185" s="8" t="s">
        <v>208</v>
      </c>
      <c r="J3185" s="8" t="s">
        <v>14838</v>
      </c>
      <c r="K3185" s="8" t="s">
        <v>114</v>
      </c>
      <c r="L3185" s="8" t="s">
        <v>14839</v>
      </c>
    </row>
    <row r="3186" customFormat="false" ht="34.5" hidden="false" customHeight="true" outlineLevel="0" collapsed="false">
      <c r="A3186" s="8" t="n">
        <v>2918</v>
      </c>
      <c r="B3186" s="8" t="s">
        <v>89</v>
      </c>
      <c r="C3186" s="8" t="s">
        <v>14840</v>
      </c>
      <c r="D3186" s="8" t="n">
        <v>2008</v>
      </c>
      <c r="E3186" s="8" t="s">
        <v>14841</v>
      </c>
      <c r="F3186" s="8" t="s">
        <v>8720</v>
      </c>
      <c r="G3186" s="8" t="s">
        <v>14798</v>
      </c>
      <c r="H3186" s="8" t="s">
        <v>14799</v>
      </c>
      <c r="I3186" s="8" t="s">
        <v>208</v>
      </c>
      <c r="J3186" s="8" t="s">
        <v>14842</v>
      </c>
      <c r="K3186" s="8" t="s">
        <v>114</v>
      </c>
      <c r="L3186" s="8" t="s">
        <v>14843</v>
      </c>
    </row>
    <row r="3187" customFormat="false" ht="23.25" hidden="false" customHeight="true" outlineLevel="0" collapsed="false">
      <c r="A3187" s="8" t="n">
        <v>2919</v>
      </c>
      <c r="B3187" s="8" t="s">
        <v>89</v>
      </c>
      <c r="C3187" s="8" t="s">
        <v>14844</v>
      </c>
      <c r="D3187" s="8" t="n">
        <v>1991</v>
      </c>
      <c r="E3187" s="8" t="s">
        <v>14845</v>
      </c>
      <c r="F3187" s="8" t="s">
        <v>8720</v>
      </c>
      <c r="G3187" s="8" t="s">
        <v>14846</v>
      </c>
      <c r="H3187" s="8" t="s">
        <v>327</v>
      </c>
      <c r="I3187" s="8" t="s">
        <v>208</v>
      </c>
      <c r="J3187" s="8" t="s">
        <v>14847</v>
      </c>
      <c r="K3187" s="8" t="s">
        <v>116</v>
      </c>
      <c r="L3187" s="8" t="s">
        <v>14848</v>
      </c>
    </row>
    <row r="3188" customFormat="false" ht="34.5" hidden="false" customHeight="true" outlineLevel="0" collapsed="false">
      <c r="A3188" s="8" t="n">
        <v>2920</v>
      </c>
      <c r="B3188" s="8" t="s">
        <v>89</v>
      </c>
      <c r="C3188" s="8" t="s">
        <v>14849</v>
      </c>
      <c r="D3188" s="8" t="n">
        <v>1992</v>
      </c>
      <c r="E3188" s="8" t="s">
        <v>14850</v>
      </c>
      <c r="F3188" s="8" t="s">
        <v>8720</v>
      </c>
      <c r="G3188" s="8" t="s">
        <v>14809</v>
      </c>
      <c r="H3188" s="8" t="s">
        <v>327</v>
      </c>
      <c r="I3188" s="8" t="s">
        <v>153</v>
      </c>
      <c r="J3188" s="8" t="s">
        <v>14851</v>
      </c>
      <c r="K3188" s="8" t="s">
        <v>114</v>
      </c>
      <c r="L3188" s="8" t="s">
        <v>14852</v>
      </c>
    </row>
    <row r="3189" customFormat="false" ht="34.5" hidden="false" customHeight="true" outlineLevel="0" collapsed="false">
      <c r="A3189" s="8" t="n">
        <v>2921</v>
      </c>
      <c r="B3189" s="8" t="s">
        <v>89</v>
      </c>
      <c r="C3189" s="8" t="s">
        <v>14853</v>
      </c>
      <c r="D3189" s="8" t="n">
        <v>2024</v>
      </c>
      <c r="E3189" s="8" t="s">
        <v>14854</v>
      </c>
      <c r="F3189" s="8" t="s">
        <v>151</v>
      </c>
      <c r="G3189" s="8" t="s">
        <v>152</v>
      </c>
      <c r="H3189" s="8" t="s">
        <v>14855</v>
      </c>
      <c r="I3189" s="8" t="s">
        <v>146</v>
      </c>
      <c r="J3189" s="8" t="s">
        <v>14856</v>
      </c>
      <c r="K3189" s="8"/>
      <c r="L3189" s="8" t="s">
        <v>14857</v>
      </c>
    </row>
    <row r="3190" customFormat="false" ht="34.5" hidden="false" customHeight="true" outlineLevel="0" collapsed="false">
      <c r="A3190" s="8" t="n">
        <v>2922</v>
      </c>
      <c r="B3190" s="8" t="s">
        <v>89</v>
      </c>
      <c r="C3190" s="8" t="s">
        <v>14858</v>
      </c>
      <c r="D3190" s="8" t="n">
        <v>2020</v>
      </c>
      <c r="E3190" s="8" t="s">
        <v>14859</v>
      </c>
      <c r="F3190" s="8" t="s">
        <v>579</v>
      </c>
      <c r="G3190" s="8" t="s">
        <v>14860</v>
      </c>
      <c r="H3190" s="8" t="s">
        <v>14324</v>
      </c>
      <c r="I3190" s="8" t="s">
        <v>153</v>
      </c>
      <c r="J3190" s="8" t="s">
        <v>14861</v>
      </c>
      <c r="K3190" s="8" t="s">
        <v>114</v>
      </c>
      <c r="L3190" s="8" t="s">
        <v>14862</v>
      </c>
    </row>
    <row r="3191" customFormat="false" ht="34.5" hidden="false" customHeight="true" outlineLevel="0" collapsed="false">
      <c r="A3191" s="8" t="n">
        <v>2923</v>
      </c>
      <c r="B3191" s="8" t="s">
        <v>89</v>
      </c>
      <c r="C3191" s="8" t="s">
        <v>14863</v>
      </c>
      <c r="D3191" s="8" t="n">
        <v>2024</v>
      </c>
      <c r="E3191" s="8" t="s">
        <v>14864</v>
      </c>
      <c r="F3191" s="8" t="s">
        <v>579</v>
      </c>
      <c r="G3191" s="8" t="s">
        <v>14865</v>
      </c>
      <c r="H3191" s="8" t="s">
        <v>327</v>
      </c>
      <c r="I3191" s="8" t="s">
        <v>208</v>
      </c>
      <c r="J3191" s="8" t="s">
        <v>14866</v>
      </c>
      <c r="K3191" s="8" t="s">
        <v>114</v>
      </c>
      <c r="L3191" s="8" t="s">
        <v>14867</v>
      </c>
    </row>
    <row r="3192" customFormat="false" ht="34.5" hidden="false" customHeight="true" outlineLevel="0" collapsed="false">
      <c r="A3192" s="8" t="n">
        <v>2924</v>
      </c>
      <c r="B3192" s="8" t="s">
        <v>89</v>
      </c>
      <c r="C3192" s="8" t="s">
        <v>14868</v>
      </c>
      <c r="D3192" s="8" t="n">
        <v>2020</v>
      </c>
      <c r="E3192" s="8" t="s">
        <v>14869</v>
      </c>
      <c r="F3192" s="8" t="s">
        <v>8720</v>
      </c>
      <c r="G3192" s="8" t="s">
        <v>14870</v>
      </c>
      <c r="H3192" s="8" t="s">
        <v>327</v>
      </c>
      <c r="I3192" s="8" t="s">
        <v>153</v>
      </c>
      <c r="J3192" s="8" t="s">
        <v>14871</v>
      </c>
      <c r="K3192" s="8" t="s">
        <v>114</v>
      </c>
      <c r="L3192" s="8" t="s">
        <v>14872</v>
      </c>
    </row>
    <row r="3193" customFormat="false" ht="34.5" hidden="false" customHeight="true" outlineLevel="0" collapsed="false">
      <c r="A3193" s="8" t="n">
        <v>2925</v>
      </c>
      <c r="B3193" s="8" t="s">
        <v>89</v>
      </c>
      <c r="C3193" s="8" t="s">
        <v>14873</v>
      </c>
      <c r="D3193" s="8" t="n">
        <v>2024</v>
      </c>
      <c r="E3193" s="8" t="s">
        <v>14874</v>
      </c>
      <c r="F3193" s="8" t="s">
        <v>8720</v>
      </c>
      <c r="G3193" s="8" t="s">
        <v>14875</v>
      </c>
      <c r="H3193" s="8" t="s">
        <v>327</v>
      </c>
      <c r="I3193" s="8" t="s">
        <v>153</v>
      </c>
      <c r="J3193" s="8" t="s">
        <v>14876</v>
      </c>
      <c r="K3193" s="8" t="s">
        <v>114</v>
      </c>
      <c r="L3193" s="8" t="s">
        <v>14877</v>
      </c>
    </row>
    <row r="3194" customFormat="false" ht="23.25" hidden="false" customHeight="true" outlineLevel="0" collapsed="false">
      <c r="A3194" s="8" t="n">
        <v>2926</v>
      </c>
      <c r="B3194" s="8" t="s">
        <v>89</v>
      </c>
      <c r="C3194" s="8" t="s">
        <v>14878</v>
      </c>
      <c r="D3194" s="8" t="n">
        <v>2020</v>
      </c>
      <c r="E3194" s="8" t="s">
        <v>14879</v>
      </c>
      <c r="F3194" s="8" t="s">
        <v>8084</v>
      </c>
      <c r="G3194" s="8" t="s">
        <v>14880</v>
      </c>
      <c r="H3194" s="8" t="s">
        <v>145</v>
      </c>
      <c r="I3194" s="8" t="s">
        <v>146</v>
      </c>
      <c r="J3194" s="8" t="s">
        <v>14881</v>
      </c>
      <c r="K3194" s="8" t="s">
        <v>114</v>
      </c>
      <c r="L3194" s="8" t="s">
        <v>14882</v>
      </c>
    </row>
    <row r="3195" customFormat="false" ht="34.5" hidden="false" customHeight="true" outlineLevel="0" collapsed="false">
      <c r="A3195" s="8" t="n">
        <v>2927</v>
      </c>
      <c r="B3195" s="8" t="s">
        <v>89</v>
      </c>
      <c r="C3195" s="8" t="s">
        <v>14883</v>
      </c>
      <c r="D3195" s="8" t="n">
        <v>2023</v>
      </c>
      <c r="E3195" s="8" t="s">
        <v>14884</v>
      </c>
      <c r="F3195" s="8" t="s">
        <v>8720</v>
      </c>
      <c r="G3195" s="8" t="s">
        <v>14885</v>
      </c>
      <c r="H3195" s="8" t="s">
        <v>145</v>
      </c>
      <c r="I3195" s="8" t="s">
        <v>146</v>
      </c>
      <c r="J3195" s="8" t="s">
        <v>14886</v>
      </c>
      <c r="K3195" s="8" t="s">
        <v>114</v>
      </c>
      <c r="L3195" s="8" t="s">
        <v>14887</v>
      </c>
    </row>
    <row r="3196" customFormat="false" ht="34.5" hidden="false" customHeight="true" outlineLevel="0" collapsed="false">
      <c r="A3196" s="8" t="n">
        <v>2928</v>
      </c>
      <c r="B3196" s="8" t="s">
        <v>89</v>
      </c>
      <c r="C3196" s="8" t="s">
        <v>14888</v>
      </c>
      <c r="D3196" s="8" t="n">
        <v>2024</v>
      </c>
      <c r="E3196" s="8" t="s">
        <v>14889</v>
      </c>
      <c r="F3196" s="8" t="s">
        <v>151</v>
      </c>
      <c r="G3196" s="8" t="s">
        <v>14890</v>
      </c>
      <c r="H3196" s="8" t="s">
        <v>14759</v>
      </c>
      <c r="I3196" s="8" t="s">
        <v>146</v>
      </c>
      <c r="J3196" s="8" t="s">
        <v>14891</v>
      </c>
      <c r="K3196" s="8"/>
      <c r="L3196" s="8" t="s">
        <v>14892</v>
      </c>
    </row>
    <row r="3197" customFormat="false" ht="34.5" hidden="false" customHeight="true" outlineLevel="0" collapsed="false">
      <c r="A3197" s="8" t="n">
        <v>2929</v>
      </c>
      <c r="B3197" s="8" t="s">
        <v>89</v>
      </c>
      <c r="C3197" s="8" t="s">
        <v>14893</v>
      </c>
      <c r="D3197" s="8" t="n">
        <v>2020</v>
      </c>
      <c r="E3197" s="8" t="s">
        <v>14894</v>
      </c>
      <c r="F3197" s="8" t="s">
        <v>14895</v>
      </c>
      <c r="G3197" s="8" t="s">
        <v>14896</v>
      </c>
      <c r="H3197" s="8" t="s">
        <v>327</v>
      </c>
      <c r="I3197" s="8" t="s">
        <v>146</v>
      </c>
      <c r="J3197" s="8" t="s">
        <v>14897</v>
      </c>
      <c r="K3197" s="8"/>
      <c r="L3197" s="8" t="s">
        <v>14898</v>
      </c>
    </row>
    <row r="3198" customFormat="false" ht="34.5" hidden="false" customHeight="true" outlineLevel="0" collapsed="false">
      <c r="A3198" s="8" t="n">
        <v>2930</v>
      </c>
      <c r="B3198" s="8" t="s">
        <v>89</v>
      </c>
      <c r="C3198" s="8" t="s">
        <v>14899</v>
      </c>
      <c r="D3198" s="8" t="n">
        <v>2013</v>
      </c>
      <c r="E3198" s="8" t="s">
        <v>14900</v>
      </c>
      <c r="F3198" s="8" t="s">
        <v>151</v>
      </c>
      <c r="G3198" s="8" t="s">
        <v>14901</v>
      </c>
      <c r="H3198" s="8" t="s">
        <v>14902</v>
      </c>
      <c r="I3198" s="8" t="s">
        <v>146</v>
      </c>
      <c r="J3198" s="8" t="s">
        <v>14903</v>
      </c>
      <c r="K3198" s="8" t="s">
        <v>116</v>
      </c>
      <c r="L3198" s="8" t="s">
        <v>14904</v>
      </c>
    </row>
    <row r="3199" customFormat="false" ht="34.5" hidden="false" customHeight="true" outlineLevel="0" collapsed="false">
      <c r="A3199" s="8" t="n">
        <v>2931</v>
      </c>
      <c r="B3199" s="8" t="s">
        <v>89</v>
      </c>
      <c r="C3199" s="8" t="s">
        <v>14905</v>
      </c>
      <c r="D3199" s="8" t="n">
        <v>2022</v>
      </c>
      <c r="E3199" s="8" t="s">
        <v>14906</v>
      </c>
      <c r="F3199" s="8" t="s">
        <v>151</v>
      </c>
      <c r="G3199" s="8" t="s">
        <v>152</v>
      </c>
      <c r="H3199" s="8" t="s">
        <v>678</v>
      </c>
      <c r="I3199" s="8" t="s">
        <v>146</v>
      </c>
      <c r="J3199" s="8" t="s">
        <v>14907</v>
      </c>
      <c r="K3199" s="8"/>
      <c r="L3199" s="8" t="s">
        <v>14908</v>
      </c>
    </row>
    <row r="3200" customFormat="false" ht="34.5" hidden="false" customHeight="true" outlineLevel="0" collapsed="false">
      <c r="A3200" s="8" t="n">
        <v>2932</v>
      </c>
      <c r="B3200" s="8" t="s">
        <v>89</v>
      </c>
      <c r="C3200" s="8" t="s">
        <v>14909</v>
      </c>
      <c r="D3200" s="8" t="n">
        <v>2019</v>
      </c>
      <c r="E3200" s="8" t="s">
        <v>14910</v>
      </c>
      <c r="F3200" s="8" t="s">
        <v>151</v>
      </c>
      <c r="G3200" s="8" t="s">
        <v>14404</v>
      </c>
      <c r="H3200" s="8" t="s">
        <v>327</v>
      </c>
      <c r="I3200" s="8" t="s">
        <v>208</v>
      </c>
      <c r="J3200" s="8" t="s">
        <v>14911</v>
      </c>
      <c r="K3200" s="8" t="s">
        <v>116</v>
      </c>
      <c r="L3200" s="8" t="s">
        <v>14912</v>
      </c>
    </row>
    <row r="3201" customFormat="false" ht="34.5" hidden="false" customHeight="true" outlineLevel="0" collapsed="false">
      <c r="A3201" s="8" t="n">
        <v>2933</v>
      </c>
      <c r="B3201" s="8" t="s">
        <v>89</v>
      </c>
      <c r="C3201" s="8" t="s">
        <v>14913</v>
      </c>
      <c r="D3201" s="8" t="n">
        <v>2017</v>
      </c>
      <c r="E3201" s="8" t="s">
        <v>14914</v>
      </c>
      <c r="F3201" s="8" t="s">
        <v>8720</v>
      </c>
      <c r="G3201" s="8" t="s">
        <v>14915</v>
      </c>
      <c r="H3201" s="8" t="s">
        <v>2846</v>
      </c>
      <c r="I3201" s="8" t="s">
        <v>153</v>
      </c>
      <c r="J3201" s="8" t="s">
        <v>14916</v>
      </c>
      <c r="K3201" s="8" t="s">
        <v>114</v>
      </c>
      <c r="L3201" s="8" t="s">
        <v>14917</v>
      </c>
    </row>
    <row r="3202" customFormat="false" ht="34.5" hidden="false" customHeight="true" outlineLevel="0" collapsed="false">
      <c r="A3202" s="8" t="n">
        <v>2934</v>
      </c>
      <c r="B3202" s="8" t="s">
        <v>89</v>
      </c>
      <c r="C3202" s="8" t="s">
        <v>14918</v>
      </c>
      <c r="D3202" s="8" t="n">
        <v>2011</v>
      </c>
      <c r="E3202" s="8" t="s">
        <v>14919</v>
      </c>
      <c r="F3202" s="8" t="s">
        <v>579</v>
      </c>
      <c r="G3202" s="8" t="s">
        <v>6442</v>
      </c>
      <c r="H3202" s="8" t="s">
        <v>327</v>
      </c>
      <c r="I3202" s="8" t="s">
        <v>146</v>
      </c>
      <c r="J3202" s="8" t="s">
        <v>14920</v>
      </c>
      <c r="K3202" s="8" t="s">
        <v>116</v>
      </c>
      <c r="L3202" s="8" t="s">
        <v>14921</v>
      </c>
    </row>
    <row r="3203" customFormat="false" ht="34.5" hidden="false" customHeight="true" outlineLevel="0" collapsed="false">
      <c r="A3203" s="8" t="n">
        <v>2935</v>
      </c>
      <c r="B3203" s="8" t="s">
        <v>89</v>
      </c>
      <c r="C3203" s="8" t="s">
        <v>14922</v>
      </c>
      <c r="D3203" s="8" t="n">
        <v>2023</v>
      </c>
      <c r="E3203" s="8" t="s">
        <v>14923</v>
      </c>
      <c r="F3203" s="8" t="s">
        <v>201</v>
      </c>
      <c r="G3203" s="8" t="s">
        <v>10445</v>
      </c>
      <c r="H3203" s="8" t="s">
        <v>145</v>
      </c>
      <c r="I3203" s="8" t="s">
        <v>153</v>
      </c>
      <c r="J3203" s="8" t="s">
        <v>14924</v>
      </c>
      <c r="K3203" s="8" t="s">
        <v>114</v>
      </c>
      <c r="L3203" s="8" t="s">
        <v>14925</v>
      </c>
    </row>
    <row r="3204" customFormat="false" ht="34.5" hidden="false" customHeight="true" outlineLevel="0" collapsed="false">
      <c r="A3204" s="8" t="n">
        <v>2936</v>
      </c>
      <c r="B3204" s="8" t="s">
        <v>89</v>
      </c>
      <c r="C3204" s="8" t="s">
        <v>14926</v>
      </c>
      <c r="D3204" s="8" t="n">
        <v>2024</v>
      </c>
      <c r="E3204" s="8" t="s">
        <v>14927</v>
      </c>
      <c r="F3204" s="8" t="s">
        <v>201</v>
      </c>
      <c r="G3204" s="8" t="s">
        <v>10445</v>
      </c>
      <c r="H3204" s="8" t="s">
        <v>145</v>
      </c>
      <c r="I3204" s="8" t="s">
        <v>153</v>
      </c>
      <c r="J3204" s="8" t="s">
        <v>10042</v>
      </c>
      <c r="K3204" s="8" t="s">
        <v>114</v>
      </c>
      <c r="L3204" s="8" t="s">
        <v>14928</v>
      </c>
    </row>
    <row r="3205" customFormat="false" ht="34.5" hidden="false" customHeight="true" outlineLevel="0" collapsed="false">
      <c r="A3205" s="8" t="n">
        <v>2937</v>
      </c>
      <c r="B3205" s="8" t="s">
        <v>89</v>
      </c>
      <c r="C3205" s="8" t="s">
        <v>14929</v>
      </c>
      <c r="D3205" s="8" t="n">
        <v>2020</v>
      </c>
      <c r="E3205" s="8" t="s">
        <v>14930</v>
      </c>
      <c r="F3205" s="8" t="s">
        <v>8720</v>
      </c>
      <c r="G3205" s="8" t="s">
        <v>14931</v>
      </c>
      <c r="H3205" s="8" t="s">
        <v>145</v>
      </c>
      <c r="I3205" s="8" t="s">
        <v>153</v>
      </c>
      <c r="J3205" s="8" t="s">
        <v>14932</v>
      </c>
      <c r="K3205" s="8" t="s">
        <v>114</v>
      </c>
      <c r="L3205" s="8" t="s">
        <v>14933</v>
      </c>
    </row>
    <row r="3206" customFormat="false" ht="34.5" hidden="false" customHeight="true" outlineLevel="0" collapsed="false">
      <c r="A3206" s="8" t="n">
        <v>2938</v>
      </c>
      <c r="B3206" s="8" t="s">
        <v>89</v>
      </c>
      <c r="C3206" s="8" t="s">
        <v>14402</v>
      </c>
      <c r="D3206" s="8" t="n">
        <v>2021</v>
      </c>
      <c r="E3206" s="8" t="s">
        <v>14934</v>
      </c>
      <c r="F3206" s="8" t="s">
        <v>151</v>
      </c>
      <c r="G3206" s="8" t="s">
        <v>14935</v>
      </c>
      <c r="H3206" s="8" t="s">
        <v>327</v>
      </c>
      <c r="I3206" s="8" t="s">
        <v>153</v>
      </c>
      <c r="J3206" s="8" t="s">
        <v>14936</v>
      </c>
      <c r="K3206" s="8" t="s">
        <v>116</v>
      </c>
      <c r="L3206" s="8" t="s">
        <v>14937</v>
      </c>
    </row>
    <row r="3207" customFormat="false" ht="23.25" hidden="false" customHeight="true" outlineLevel="0" collapsed="false">
      <c r="A3207" s="8" t="n">
        <v>2939</v>
      </c>
      <c r="B3207" s="8" t="s">
        <v>89</v>
      </c>
      <c r="C3207" s="8" t="s">
        <v>14938</v>
      </c>
      <c r="D3207" s="8" t="n">
        <v>2020</v>
      </c>
      <c r="E3207" s="8" t="s">
        <v>14939</v>
      </c>
      <c r="F3207" s="8" t="s">
        <v>201</v>
      </c>
      <c r="G3207" s="8" t="s">
        <v>3552</v>
      </c>
      <c r="H3207" s="8" t="s">
        <v>145</v>
      </c>
      <c r="I3207" s="8" t="s">
        <v>146</v>
      </c>
      <c r="J3207" s="8" t="s">
        <v>14940</v>
      </c>
      <c r="K3207" s="8"/>
      <c r="L3207" s="8" t="s">
        <v>14941</v>
      </c>
    </row>
    <row r="3208" customFormat="false" ht="34.5" hidden="false" customHeight="true" outlineLevel="0" collapsed="false">
      <c r="A3208" s="8" t="n">
        <v>2940</v>
      </c>
      <c r="B3208" s="8" t="s">
        <v>89</v>
      </c>
      <c r="C3208" s="8" t="s">
        <v>14942</v>
      </c>
      <c r="D3208" s="8" t="n">
        <v>2020</v>
      </c>
      <c r="E3208" s="8" t="s">
        <v>14943</v>
      </c>
      <c r="F3208" s="8" t="s">
        <v>579</v>
      </c>
      <c r="G3208" s="8" t="s">
        <v>14944</v>
      </c>
      <c r="H3208" s="8" t="s">
        <v>14491</v>
      </c>
      <c r="I3208" s="8" t="s">
        <v>153</v>
      </c>
      <c r="J3208" s="8" t="s">
        <v>14945</v>
      </c>
      <c r="K3208" s="8" t="s">
        <v>114</v>
      </c>
      <c r="L3208" s="8" t="s">
        <v>14946</v>
      </c>
    </row>
    <row r="3209" customFormat="false" ht="23.25" hidden="false" customHeight="true" outlineLevel="0" collapsed="false">
      <c r="A3209" s="8" t="n">
        <v>2941</v>
      </c>
      <c r="B3209" s="8" t="s">
        <v>89</v>
      </c>
      <c r="C3209" s="8" t="s">
        <v>14947</v>
      </c>
      <c r="D3209" s="8" t="n">
        <v>2023</v>
      </c>
      <c r="E3209" s="8" t="s">
        <v>14948</v>
      </c>
      <c r="F3209" s="8" t="s">
        <v>14895</v>
      </c>
      <c r="G3209" s="8" t="s">
        <v>14949</v>
      </c>
      <c r="H3209" s="8" t="s">
        <v>327</v>
      </c>
      <c r="I3209" s="8" t="s">
        <v>153</v>
      </c>
      <c r="J3209" s="8" t="s">
        <v>14950</v>
      </c>
      <c r="K3209" s="8" t="s">
        <v>114</v>
      </c>
      <c r="L3209" s="8" t="s">
        <v>14951</v>
      </c>
    </row>
    <row r="3210" customFormat="false" ht="34.5" hidden="false" customHeight="true" outlineLevel="0" collapsed="false">
      <c r="A3210" s="8" t="n">
        <v>2942</v>
      </c>
      <c r="B3210" s="8" t="s">
        <v>89</v>
      </c>
      <c r="C3210" s="8" t="s">
        <v>14952</v>
      </c>
      <c r="D3210" s="8" t="n">
        <v>2024</v>
      </c>
      <c r="E3210" s="8" t="s">
        <v>14953</v>
      </c>
      <c r="F3210" s="8" t="s">
        <v>201</v>
      </c>
      <c r="G3210" s="8" t="s">
        <v>1776</v>
      </c>
      <c r="H3210" s="8" t="s">
        <v>678</v>
      </c>
      <c r="I3210" s="8" t="s">
        <v>146</v>
      </c>
      <c r="J3210" s="8" t="s">
        <v>14954</v>
      </c>
      <c r="K3210" s="8"/>
      <c r="L3210" s="8" t="s">
        <v>14955</v>
      </c>
    </row>
    <row r="3211" customFormat="false" ht="34.5" hidden="false" customHeight="true" outlineLevel="0" collapsed="false">
      <c r="A3211" s="8" t="n">
        <v>2943</v>
      </c>
      <c r="B3211" s="8" t="s">
        <v>89</v>
      </c>
      <c r="C3211" s="8" t="s">
        <v>14956</v>
      </c>
      <c r="D3211" s="8" t="n">
        <v>2022</v>
      </c>
      <c r="E3211" s="8" t="s">
        <v>14957</v>
      </c>
      <c r="F3211" s="8" t="s">
        <v>3817</v>
      </c>
      <c r="G3211" s="8" t="s">
        <v>14793</v>
      </c>
      <c r="H3211" s="8" t="s">
        <v>14958</v>
      </c>
      <c r="I3211" s="8" t="s">
        <v>146</v>
      </c>
      <c r="J3211" s="8" t="s">
        <v>14959</v>
      </c>
      <c r="K3211" s="8" t="s">
        <v>116</v>
      </c>
      <c r="L3211" s="8" t="s">
        <v>14960</v>
      </c>
    </row>
    <row r="3212" customFormat="false" ht="34.5" hidden="false" customHeight="true" outlineLevel="0" collapsed="false">
      <c r="A3212" s="8" t="n">
        <v>2944</v>
      </c>
      <c r="B3212" s="8" t="s">
        <v>89</v>
      </c>
      <c r="C3212" s="8" t="s">
        <v>14961</v>
      </c>
      <c r="D3212" s="8" t="n">
        <v>2022</v>
      </c>
      <c r="E3212" s="8" t="s">
        <v>14962</v>
      </c>
      <c r="F3212" s="8" t="s">
        <v>12529</v>
      </c>
      <c r="G3212" s="8" t="s">
        <v>152</v>
      </c>
      <c r="H3212" s="8" t="s">
        <v>2846</v>
      </c>
      <c r="I3212" s="8" t="s">
        <v>146</v>
      </c>
      <c r="J3212" s="8" t="s">
        <v>14963</v>
      </c>
      <c r="K3212" s="8"/>
      <c r="L3212" s="8" t="s">
        <v>14964</v>
      </c>
    </row>
    <row r="3213" customFormat="false" ht="34.5" hidden="false" customHeight="true" outlineLevel="0" collapsed="false">
      <c r="A3213" s="8" t="n">
        <v>2945</v>
      </c>
      <c r="B3213" s="8" t="s">
        <v>89</v>
      </c>
      <c r="C3213" s="8" t="s">
        <v>14965</v>
      </c>
      <c r="D3213" s="8" t="n">
        <v>2025</v>
      </c>
      <c r="E3213" s="8" t="s">
        <v>14966</v>
      </c>
      <c r="F3213" s="8" t="s">
        <v>14967</v>
      </c>
      <c r="G3213" s="8" t="s">
        <v>14146</v>
      </c>
      <c r="H3213" s="8" t="s">
        <v>327</v>
      </c>
      <c r="I3213" s="8" t="s">
        <v>146</v>
      </c>
      <c r="J3213" s="8" t="s">
        <v>14968</v>
      </c>
      <c r="K3213" s="8"/>
      <c r="L3213" s="8" t="s">
        <v>14969</v>
      </c>
    </row>
    <row r="3214" customFormat="false" ht="34.5" hidden="false" customHeight="true" outlineLevel="0" collapsed="false">
      <c r="A3214" s="8" t="n">
        <v>2946</v>
      </c>
      <c r="B3214" s="8" t="s">
        <v>89</v>
      </c>
      <c r="C3214" s="8" t="s">
        <v>4992</v>
      </c>
      <c r="D3214" s="8" t="n">
        <v>2005</v>
      </c>
      <c r="E3214" s="8" t="s">
        <v>14970</v>
      </c>
      <c r="F3214" s="8" t="s">
        <v>201</v>
      </c>
      <c r="G3214" s="8" t="s">
        <v>14971</v>
      </c>
      <c r="H3214" s="8" t="s">
        <v>145</v>
      </c>
      <c r="I3214" s="8" t="s">
        <v>153</v>
      </c>
      <c r="J3214" s="8" t="s">
        <v>507</v>
      </c>
      <c r="K3214" s="8" t="s">
        <v>116</v>
      </c>
      <c r="L3214" s="8" t="s">
        <v>14972</v>
      </c>
    </row>
    <row r="3215" customFormat="false" ht="34.5" hidden="false" customHeight="true" outlineLevel="0" collapsed="false">
      <c r="A3215" s="8" t="n">
        <v>2947</v>
      </c>
      <c r="B3215" s="8" t="s">
        <v>89</v>
      </c>
      <c r="C3215" s="8" t="s">
        <v>14973</v>
      </c>
      <c r="D3215" s="8" t="n">
        <v>2025</v>
      </c>
      <c r="E3215" s="8" t="s">
        <v>14974</v>
      </c>
      <c r="F3215" s="8" t="s">
        <v>579</v>
      </c>
      <c r="G3215" s="8" t="s">
        <v>14975</v>
      </c>
      <c r="H3215" s="8" t="s">
        <v>327</v>
      </c>
      <c r="I3215" s="8" t="s">
        <v>146</v>
      </c>
      <c r="J3215" s="8" t="s">
        <v>14976</v>
      </c>
      <c r="K3215" s="8" t="s">
        <v>114</v>
      </c>
      <c r="L3215" s="8" t="s">
        <v>14977</v>
      </c>
    </row>
    <row r="3216" customFormat="false" ht="34.5" hidden="false" customHeight="true" outlineLevel="0" collapsed="false">
      <c r="A3216" s="8" t="n">
        <v>2948</v>
      </c>
      <c r="B3216" s="8" t="s">
        <v>89</v>
      </c>
      <c r="C3216" s="8" t="s">
        <v>14978</v>
      </c>
      <c r="D3216" s="8" t="n">
        <v>2022</v>
      </c>
      <c r="E3216" s="8" t="s">
        <v>14979</v>
      </c>
      <c r="F3216" s="8" t="s">
        <v>14980</v>
      </c>
      <c r="G3216" s="8" t="s">
        <v>14193</v>
      </c>
      <c r="H3216" s="8" t="s">
        <v>327</v>
      </c>
      <c r="I3216" s="8" t="s">
        <v>146</v>
      </c>
      <c r="J3216" s="8" t="s">
        <v>14981</v>
      </c>
      <c r="K3216" s="8" t="s">
        <v>114</v>
      </c>
      <c r="L3216" s="8" t="s">
        <v>14982</v>
      </c>
    </row>
    <row r="3217" customFormat="false" ht="34.5" hidden="false" customHeight="true" outlineLevel="0" collapsed="false">
      <c r="A3217" s="8" t="n">
        <v>2949</v>
      </c>
      <c r="B3217" s="8" t="s">
        <v>89</v>
      </c>
      <c r="C3217" s="8" t="s">
        <v>14983</v>
      </c>
      <c r="D3217" s="8" t="n">
        <v>2020</v>
      </c>
      <c r="E3217" s="8" t="s">
        <v>14984</v>
      </c>
      <c r="F3217" s="8" t="s">
        <v>14489</v>
      </c>
      <c r="G3217" s="8" t="s">
        <v>14246</v>
      </c>
      <c r="H3217" s="8" t="s">
        <v>14491</v>
      </c>
      <c r="I3217" s="8" t="s">
        <v>146</v>
      </c>
      <c r="J3217" s="8" t="s">
        <v>14985</v>
      </c>
      <c r="K3217" s="8" t="s">
        <v>114</v>
      </c>
      <c r="L3217" s="8" t="s">
        <v>14986</v>
      </c>
    </row>
    <row r="3218" customFormat="false" ht="34.5" hidden="false" customHeight="true" outlineLevel="0" collapsed="false">
      <c r="A3218" s="8" t="n">
        <v>2950</v>
      </c>
      <c r="B3218" s="8" t="s">
        <v>89</v>
      </c>
      <c r="C3218" s="8" t="s">
        <v>14987</v>
      </c>
      <c r="D3218" s="8" t="n">
        <v>2026</v>
      </c>
      <c r="E3218" s="8" t="s">
        <v>14988</v>
      </c>
      <c r="F3218" s="8" t="s">
        <v>579</v>
      </c>
      <c r="G3218" s="8" t="s">
        <v>14989</v>
      </c>
      <c r="H3218" s="8" t="s">
        <v>327</v>
      </c>
      <c r="I3218" s="8" t="s">
        <v>146</v>
      </c>
      <c r="J3218" s="8" t="s">
        <v>14990</v>
      </c>
      <c r="K3218" s="8" t="s">
        <v>114</v>
      </c>
      <c r="L3218" s="8" t="s">
        <v>14991</v>
      </c>
    </row>
    <row r="3219" customFormat="false" ht="34.5" hidden="false" customHeight="true" outlineLevel="0" collapsed="false">
      <c r="A3219" s="8" t="n">
        <v>2951</v>
      </c>
      <c r="B3219" s="8" t="s">
        <v>89</v>
      </c>
      <c r="C3219" s="8" t="s">
        <v>14992</v>
      </c>
      <c r="D3219" s="8" t="n">
        <v>2026</v>
      </c>
      <c r="E3219" s="8" t="s">
        <v>14993</v>
      </c>
      <c r="F3219" s="8" t="s">
        <v>579</v>
      </c>
      <c r="G3219" s="8" t="s">
        <v>14944</v>
      </c>
      <c r="H3219" s="8" t="s">
        <v>14184</v>
      </c>
      <c r="I3219" s="8" t="s">
        <v>153</v>
      </c>
      <c r="J3219" s="8" t="s">
        <v>14994</v>
      </c>
      <c r="K3219" s="8" t="s">
        <v>114</v>
      </c>
      <c r="L3219" s="8" t="s">
        <v>14995</v>
      </c>
    </row>
    <row r="3220" customFormat="false" ht="23.25" hidden="false" customHeight="true" outlineLevel="0" collapsed="false">
      <c r="A3220" s="8" t="n">
        <v>2952</v>
      </c>
      <c r="B3220" s="8" t="s">
        <v>89</v>
      </c>
      <c r="C3220" s="8" t="s">
        <v>14996</v>
      </c>
      <c r="D3220" s="8" t="n">
        <v>2016</v>
      </c>
      <c r="E3220" s="8" t="s">
        <v>14997</v>
      </c>
      <c r="F3220" s="8" t="s">
        <v>14998</v>
      </c>
      <c r="G3220" s="8" t="s">
        <v>14404</v>
      </c>
      <c r="H3220" s="8" t="s">
        <v>145</v>
      </c>
      <c r="I3220" s="8" t="s">
        <v>208</v>
      </c>
      <c r="J3220" s="8" t="s">
        <v>14999</v>
      </c>
      <c r="K3220" s="8"/>
      <c r="L3220" s="8" t="s">
        <v>15000</v>
      </c>
    </row>
    <row r="3221" customFormat="false" ht="34.5" hidden="false" customHeight="true" outlineLevel="0" collapsed="false">
      <c r="A3221" s="8" t="n">
        <v>2953</v>
      </c>
      <c r="B3221" s="8" t="s">
        <v>89</v>
      </c>
      <c r="C3221" s="8" t="s">
        <v>15001</v>
      </c>
      <c r="D3221" s="8" t="n">
        <v>2019</v>
      </c>
      <c r="E3221" s="8" t="s">
        <v>15002</v>
      </c>
      <c r="F3221" s="8" t="s">
        <v>151</v>
      </c>
      <c r="G3221" s="8" t="s">
        <v>15003</v>
      </c>
      <c r="H3221" s="8" t="s">
        <v>327</v>
      </c>
      <c r="I3221" s="8" t="s">
        <v>208</v>
      </c>
      <c r="J3221" s="8" t="s">
        <v>15004</v>
      </c>
      <c r="K3221" s="8" t="s">
        <v>114</v>
      </c>
      <c r="L3221" s="8" t="s">
        <v>15005</v>
      </c>
    </row>
    <row r="3222" customFormat="false" ht="34.5" hidden="false" customHeight="true" outlineLevel="0" collapsed="false">
      <c r="A3222" s="8" t="n">
        <v>2954</v>
      </c>
      <c r="B3222" s="8" t="s">
        <v>89</v>
      </c>
      <c r="C3222" s="8" t="s">
        <v>15006</v>
      </c>
      <c r="D3222" s="8" t="n">
        <v>2023</v>
      </c>
      <c r="E3222" s="8" t="s">
        <v>15007</v>
      </c>
      <c r="F3222" s="8" t="s">
        <v>151</v>
      </c>
      <c r="G3222" s="8" t="s">
        <v>14404</v>
      </c>
      <c r="H3222" s="8" t="s">
        <v>327</v>
      </c>
      <c r="I3222" s="8" t="s">
        <v>153</v>
      </c>
      <c r="J3222" s="8" t="s">
        <v>15008</v>
      </c>
      <c r="K3222" s="8" t="s">
        <v>114</v>
      </c>
      <c r="L3222" s="8" t="s">
        <v>15009</v>
      </c>
    </row>
    <row r="3223" customFormat="false" ht="23.25" hidden="false" customHeight="true" outlineLevel="0" collapsed="false">
      <c r="A3223" s="8" t="n">
        <v>2955</v>
      </c>
      <c r="B3223" s="8" t="s">
        <v>89</v>
      </c>
      <c r="C3223" s="8" t="s">
        <v>15010</v>
      </c>
      <c r="D3223" s="8" t="n">
        <v>2024</v>
      </c>
      <c r="E3223" s="8" t="s">
        <v>15011</v>
      </c>
      <c r="F3223" s="8" t="s">
        <v>579</v>
      </c>
      <c r="G3223" s="8" t="s">
        <v>14238</v>
      </c>
      <c r="H3223" s="8" t="s">
        <v>327</v>
      </c>
      <c r="I3223" s="8" t="s">
        <v>146</v>
      </c>
      <c r="J3223" s="8" t="s">
        <v>15012</v>
      </c>
      <c r="K3223" s="8" t="s">
        <v>114</v>
      </c>
      <c r="L3223" s="8" t="s">
        <v>15013</v>
      </c>
    </row>
    <row r="3224" customFormat="false" ht="34.5" hidden="false" customHeight="true" outlineLevel="0" collapsed="false">
      <c r="A3224" s="8" t="n">
        <v>2956</v>
      </c>
      <c r="B3224" s="8" t="s">
        <v>89</v>
      </c>
      <c r="C3224" s="8" t="s">
        <v>15014</v>
      </c>
      <c r="D3224" s="8" t="n">
        <v>2024</v>
      </c>
      <c r="E3224" s="8" t="s">
        <v>15015</v>
      </c>
      <c r="F3224" s="8" t="s">
        <v>14285</v>
      </c>
      <c r="G3224" s="8" t="s">
        <v>14286</v>
      </c>
      <c r="H3224" s="8" t="s">
        <v>327</v>
      </c>
      <c r="I3224" s="8" t="s">
        <v>153</v>
      </c>
      <c r="J3224" s="8" t="s">
        <v>15016</v>
      </c>
      <c r="K3224" s="8" t="s">
        <v>114</v>
      </c>
      <c r="L3224" s="8" t="s">
        <v>15017</v>
      </c>
    </row>
    <row r="3225" customFormat="false" ht="34.5" hidden="false" customHeight="true" outlineLevel="0" collapsed="false">
      <c r="A3225" s="8" t="n">
        <v>2957</v>
      </c>
      <c r="B3225" s="8" t="s">
        <v>89</v>
      </c>
      <c r="C3225" s="8" t="s">
        <v>15018</v>
      </c>
      <c r="D3225" s="8" t="n">
        <v>2024</v>
      </c>
      <c r="E3225" s="8" t="s">
        <v>15019</v>
      </c>
      <c r="F3225" s="8" t="s">
        <v>8720</v>
      </c>
      <c r="G3225" s="8" t="s">
        <v>15020</v>
      </c>
      <c r="H3225" s="8" t="s">
        <v>327</v>
      </c>
      <c r="I3225" s="8" t="s">
        <v>153</v>
      </c>
      <c r="J3225" s="8" t="s">
        <v>15021</v>
      </c>
      <c r="K3225" s="8" t="s">
        <v>114</v>
      </c>
      <c r="L3225" s="8" t="s">
        <v>15022</v>
      </c>
    </row>
    <row r="3226" customFormat="false" ht="34.5" hidden="false" customHeight="true" outlineLevel="0" collapsed="false">
      <c r="A3226" s="8" t="n">
        <v>2958</v>
      </c>
      <c r="B3226" s="8" t="s">
        <v>89</v>
      </c>
      <c r="C3226" s="8" t="s">
        <v>15023</v>
      </c>
      <c r="D3226" s="8" t="n">
        <v>2014</v>
      </c>
      <c r="E3226" s="8" t="s">
        <v>15024</v>
      </c>
      <c r="F3226" s="8" t="s">
        <v>8720</v>
      </c>
      <c r="G3226" s="8" t="s">
        <v>14809</v>
      </c>
      <c r="H3226" s="8" t="s">
        <v>327</v>
      </c>
      <c r="I3226" s="8" t="s">
        <v>153</v>
      </c>
      <c r="J3226" s="8" t="s">
        <v>15025</v>
      </c>
      <c r="K3226" s="8" t="s">
        <v>114</v>
      </c>
      <c r="L3226" s="8" t="s">
        <v>15026</v>
      </c>
    </row>
    <row r="3227" customFormat="false" ht="34.5" hidden="false" customHeight="true" outlineLevel="0" collapsed="false">
      <c r="A3227" s="8" t="n">
        <v>2959</v>
      </c>
      <c r="B3227" s="8" t="s">
        <v>89</v>
      </c>
      <c r="C3227" s="8" t="s">
        <v>15027</v>
      </c>
      <c r="D3227" s="8" t="n">
        <v>2020</v>
      </c>
      <c r="E3227" s="8" t="s">
        <v>15028</v>
      </c>
      <c r="F3227" s="8" t="s">
        <v>151</v>
      </c>
      <c r="G3227" s="8" t="s">
        <v>152</v>
      </c>
      <c r="H3227" s="8" t="s">
        <v>678</v>
      </c>
      <c r="I3227" s="8" t="s">
        <v>146</v>
      </c>
      <c r="J3227" s="8" t="s">
        <v>14689</v>
      </c>
      <c r="K3227" s="8"/>
      <c r="L3227" s="8" t="s">
        <v>15029</v>
      </c>
    </row>
    <row r="3228" customFormat="false" ht="34.5" hidden="false" customHeight="true" outlineLevel="0" collapsed="false">
      <c r="A3228" s="8" t="n">
        <v>2960</v>
      </c>
      <c r="B3228" s="8" t="s">
        <v>89</v>
      </c>
      <c r="C3228" s="8" t="s">
        <v>15030</v>
      </c>
      <c r="D3228" s="8" t="n">
        <v>2023</v>
      </c>
      <c r="E3228" s="8" t="s">
        <v>15031</v>
      </c>
      <c r="F3228" s="8" t="s">
        <v>579</v>
      </c>
      <c r="G3228" s="8" t="s">
        <v>152</v>
      </c>
      <c r="H3228" s="8" t="s">
        <v>145</v>
      </c>
      <c r="I3228" s="8" t="s">
        <v>153</v>
      </c>
      <c r="J3228" s="8" t="s">
        <v>15032</v>
      </c>
      <c r="K3228" s="8"/>
      <c r="L3228" s="8" t="s">
        <v>15033</v>
      </c>
    </row>
    <row r="3229" customFormat="false" ht="34.5" hidden="false" customHeight="true" outlineLevel="0" collapsed="false">
      <c r="A3229" s="8" t="n">
        <v>2961</v>
      </c>
      <c r="B3229" s="8" t="s">
        <v>89</v>
      </c>
      <c r="C3229" s="8" t="s">
        <v>15034</v>
      </c>
      <c r="D3229" s="8" t="n">
        <v>2024</v>
      </c>
      <c r="E3229" s="8" t="s">
        <v>15035</v>
      </c>
      <c r="F3229" s="8" t="s">
        <v>8720</v>
      </c>
      <c r="G3229" s="8" t="s">
        <v>15036</v>
      </c>
      <c r="H3229" s="8" t="s">
        <v>145</v>
      </c>
      <c r="I3229" s="8" t="s">
        <v>153</v>
      </c>
      <c r="J3229" s="8" t="s">
        <v>15037</v>
      </c>
      <c r="K3229" s="8" t="s">
        <v>114</v>
      </c>
      <c r="L3229" s="8" t="s">
        <v>15038</v>
      </c>
    </row>
    <row r="3230" customFormat="false" ht="45.75" hidden="false" customHeight="true" outlineLevel="0" collapsed="false">
      <c r="A3230" s="8" t="n">
        <v>2962</v>
      </c>
      <c r="B3230" s="8" t="s">
        <v>89</v>
      </c>
      <c r="C3230" s="8" t="s">
        <v>1770</v>
      </c>
      <c r="D3230" s="8" t="n">
        <v>2022</v>
      </c>
      <c r="E3230" s="8" t="s">
        <v>15039</v>
      </c>
      <c r="F3230" s="8" t="s">
        <v>14403</v>
      </c>
      <c r="G3230" s="8" t="s">
        <v>15040</v>
      </c>
      <c r="H3230" s="8" t="s">
        <v>14184</v>
      </c>
      <c r="I3230" s="8" t="s">
        <v>153</v>
      </c>
      <c r="J3230" s="8" t="s">
        <v>15041</v>
      </c>
      <c r="K3230" s="8" t="s">
        <v>114</v>
      </c>
      <c r="L3230" s="8" t="s">
        <v>15042</v>
      </c>
    </row>
    <row r="3231" customFormat="false" ht="45.75" hidden="false" customHeight="true" outlineLevel="0" collapsed="false">
      <c r="A3231" s="8" t="n">
        <v>2963</v>
      </c>
      <c r="B3231" s="8" t="s">
        <v>92</v>
      </c>
      <c r="C3231" s="8" t="s">
        <v>15043</v>
      </c>
      <c r="D3231" s="8" t="n">
        <v>2024</v>
      </c>
      <c r="E3231" s="8" t="s">
        <v>15044</v>
      </c>
      <c r="F3231" s="8" t="s">
        <v>143</v>
      </c>
      <c r="G3231" s="8" t="s">
        <v>15045</v>
      </c>
      <c r="H3231" s="8" t="s">
        <v>1689</v>
      </c>
      <c r="I3231" s="8" t="s">
        <v>153</v>
      </c>
      <c r="J3231" s="8" t="s">
        <v>15046</v>
      </c>
      <c r="K3231" s="8" t="s">
        <v>112</v>
      </c>
      <c r="L3231" s="8" t="s">
        <v>15047</v>
      </c>
    </row>
    <row r="3232" customFormat="false" ht="45.75" hidden="false" customHeight="true" outlineLevel="0" collapsed="false">
      <c r="A3232" s="8" t="n">
        <v>2964</v>
      </c>
      <c r="B3232" s="8" t="s">
        <v>92</v>
      </c>
      <c r="C3232" s="8" t="s">
        <v>15048</v>
      </c>
      <c r="D3232" s="8" t="n">
        <v>2023</v>
      </c>
      <c r="E3232" s="8" t="s">
        <v>15049</v>
      </c>
      <c r="F3232" s="8" t="s">
        <v>579</v>
      </c>
      <c r="G3232" s="8" t="s">
        <v>15050</v>
      </c>
      <c r="H3232" s="8" t="s">
        <v>145</v>
      </c>
      <c r="I3232" s="8" t="s">
        <v>153</v>
      </c>
      <c r="J3232" s="8" t="s">
        <v>15051</v>
      </c>
      <c r="K3232" s="8" t="s">
        <v>114</v>
      </c>
      <c r="L3232" s="8" t="s">
        <v>15052</v>
      </c>
    </row>
    <row r="3233" customFormat="false" ht="45.75" hidden="false" customHeight="true" outlineLevel="0" collapsed="false">
      <c r="A3233" s="8" t="n">
        <v>2965</v>
      </c>
      <c r="B3233" s="8" t="s">
        <v>92</v>
      </c>
      <c r="C3233" s="8" t="s">
        <v>15053</v>
      </c>
      <c r="D3233" s="8" t="n">
        <v>2023</v>
      </c>
      <c r="E3233" s="8" t="s">
        <v>15054</v>
      </c>
      <c r="F3233" s="8" t="s">
        <v>579</v>
      </c>
      <c r="G3233" s="8" t="s">
        <v>15055</v>
      </c>
      <c r="H3233" s="8" t="s">
        <v>15056</v>
      </c>
      <c r="I3233" s="8" t="s">
        <v>146</v>
      </c>
      <c r="J3233" s="8" t="s">
        <v>15057</v>
      </c>
      <c r="K3233" s="8" t="s">
        <v>112</v>
      </c>
      <c r="L3233" s="8" t="s">
        <v>15058</v>
      </c>
    </row>
    <row r="3234" customFormat="false" ht="57" hidden="false" customHeight="true" outlineLevel="0" collapsed="false">
      <c r="A3234" s="8" t="n">
        <v>2966</v>
      </c>
      <c r="B3234" s="8" t="s">
        <v>92</v>
      </c>
      <c r="C3234" s="8" t="s">
        <v>15059</v>
      </c>
      <c r="D3234" s="8" t="n">
        <v>2023</v>
      </c>
      <c r="E3234" s="8" t="s">
        <v>15060</v>
      </c>
      <c r="F3234" s="8" t="s">
        <v>151</v>
      </c>
      <c r="G3234" s="8" t="s">
        <v>15061</v>
      </c>
      <c r="H3234" s="8" t="s">
        <v>327</v>
      </c>
      <c r="I3234" s="8" t="s">
        <v>522</v>
      </c>
      <c r="J3234" s="8" t="s">
        <v>15062</v>
      </c>
      <c r="K3234" s="8" t="s">
        <v>112</v>
      </c>
      <c r="L3234" s="8" t="s">
        <v>15063</v>
      </c>
    </row>
    <row r="3235" customFormat="false" ht="45.75" hidden="false" customHeight="true" outlineLevel="0" collapsed="false">
      <c r="A3235" s="8" t="n">
        <v>2967</v>
      </c>
      <c r="B3235" s="8" t="s">
        <v>92</v>
      </c>
      <c r="C3235" s="8" t="s">
        <v>15064</v>
      </c>
      <c r="D3235" s="8" t="n">
        <v>2023</v>
      </c>
      <c r="E3235" s="8" t="s">
        <v>15065</v>
      </c>
      <c r="F3235" s="8" t="s">
        <v>143</v>
      </c>
      <c r="G3235" s="8" t="s">
        <v>15066</v>
      </c>
      <c r="H3235" s="8" t="s">
        <v>327</v>
      </c>
      <c r="I3235" s="8" t="s">
        <v>153</v>
      </c>
      <c r="J3235" s="8" t="s">
        <v>15067</v>
      </c>
      <c r="K3235" s="8" t="s">
        <v>114</v>
      </c>
      <c r="L3235" s="8" t="s">
        <v>15068</v>
      </c>
    </row>
    <row r="3236" customFormat="false" ht="45.75" hidden="false" customHeight="true" outlineLevel="0" collapsed="false">
      <c r="A3236" s="8" t="n">
        <v>2968</v>
      </c>
      <c r="B3236" s="8" t="s">
        <v>92</v>
      </c>
      <c r="C3236" s="8" t="s">
        <v>15069</v>
      </c>
      <c r="D3236" s="8" t="n">
        <v>2023</v>
      </c>
      <c r="E3236" s="8" t="s">
        <v>15070</v>
      </c>
      <c r="F3236" s="8" t="s">
        <v>143</v>
      </c>
      <c r="G3236" s="8" t="s">
        <v>15071</v>
      </c>
      <c r="H3236" s="8" t="s">
        <v>15072</v>
      </c>
      <c r="I3236" s="8" t="s">
        <v>522</v>
      </c>
      <c r="J3236" s="8" t="s">
        <v>15073</v>
      </c>
      <c r="K3236" s="8" t="s">
        <v>112</v>
      </c>
      <c r="L3236" s="8" t="s">
        <v>15074</v>
      </c>
    </row>
    <row r="3237" customFormat="false" ht="45.75" hidden="false" customHeight="true" outlineLevel="0" collapsed="false">
      <c r="A3237" s="8" t="n">
        <v>2969</v>
      </c>
      <c r="B3237" s="8" t="s">
        <v>92</v>
      </c>
      <c r="C3237" s="8" t="s">
        <v>15075</v>
      </c>
      <c r="D3237" s="8" t="n">
        <v>2023</v>
      </c>
      <c r="E3237" s="8" t="s">
        <v>15076</v>
      </c>
      <c r="F3237" s="8" t="s">
        <v>201</v>
      </c>
      <c r="G3237" s="8" t="s">
        <v>15077</v>
      </c>
      <c r="H3237" s="8" t="s">
        <v>327</v>
      </c>
      <c r="I3237" s="8" t="s">
        <v>146</v>
      </c>
      <c r="J3237" s="8" t="s">
        <v>15078</v>
      </c>
      <c r="K3237" s="8" t="s">
        <v>116</v>
      </c>
      <c r="L3237" s="8" t="s">
        <v>15079</v>
      </c>
    </row>
    <row r="3238" customFormat="false" ht="45.75" hidden="false" customHeight="true" outlineLevel="0" collapsed="false">
      <c r="A3238" s="8" t="n">
        <v>2970</v>
      </c>
      <c r="B3238" s="8" t="s">
        <v>92</v>
      </c>
      <c r="C3238" s="8" t="s">
        <v>15080</v>
      </c>
      <c r="D3238" s="8" t="n">
        <v>2023</v>
      </c>
      <c r="E3238" s="8" t="s">
        <v>15081</v>
      </c>
      <c r="F3238" s="8" t="s">
        <v>143</v>
      </c>
      <c r="G3238" s="8" t="s">
        <v>15082</v>
      </c>
      <c r="H3238" s="8" t="s">
        <v>15083</v>
      </c>
      <c r="I3238" s="8" t="s">
        <v>522</v>
      </c>
      <c r="J3238" s="8" t="s">
        <v>15084</v>
      </c>
      <c r="K3238" s="8" t="s">
        <v>112</v>
      </c>
      <c r="L3238" s="8" t="s">
        <v>15085</v>
      </c>
    </row>
    <row r="3239" customFormat="false" ht="45.75" hidden="false" customHeight="true" outlineLevel="0" collapsed="false">
      <c r="A3239" s="8" t="n">
        <v>2971</v>
      </c>
      <c r="B3239" s="8" t="s">
        <v>92</v>
      </c>
      <c r="C3239" s="8" t="s">
        <v>15086</v>
      </c>
      <c r="D3239" s="8" t="n">
        <v>2023</v>
      </c>
      <c r="E3239" s="8" t="s">
        <v>15087</v>
      </c>
      <c r="F3239" s="8" t="s">
        <v>143</v>
      </c>
      <c r="G3239" s="8" t="s">
        <v>15088</v>
      </c>
      <c r="H3239" s="8" t="s">
        <v>327</v>
      </c>
      <c r="I3239" s="8" t="s">
        <v>153</v>
      </c>
      <c r="J3239" s="8" t="s">
        <v>15089</v>
      </c>
      <c r="K3239" s="8" t="s">
        <v>114</v>
      </c>
      <c r="L3239" s="8" t="s">
        <v>15090</v>
      </c>
    </row>
    <row r="3240" customFormat="false" ht="45.75" hidden="false" customHeight="true" outlineLevel="0" collapsed="false">
      <c r="A3240" s="8" t="n">
        <v>2972</v>
      </c>
      <c r="B3240" s="8" t="s">
        <v>92</v>
      </c>
      <c r="C3240" s="8" t="s">
        <v>15091</v>
      </c>
      <c r="D3240" s="8" t="n">
        <v>2023</v>
      </c>
      <c r="E3240" s="8" t="s">
        <v>15092</v>
      </c>
      <c r="F3240" s="8" t="s">
        <v>143</v>
      </c>
      <c r="G3240" s="8" t="s">
        <v>15093</v>
      </c>
      <c r="H3240" s="8" t="s">
        <v>15094</v>
      </c>
      <c r="I3240" s="8" t="s">
        <v>153</v>
      </c>
      <c r="J3240" s="8" t="s">
        <v>15095</v>
      </c>
      <c r="K3240" s="8" t="s">
        <v>112</v>
      </c>
      <c r="L3240" s="8" t="s">
        <v>15096</v>
      </c>
    </row>
    <row r="3241" customFormat="false" ht="90.75" hidden="false" customHeight="true" outlineLevel="0" collapsed="false">
      <c r="A3241" s="8" t="n">
        <v>2973</v>
      </c>
      <c r="B3241" s="8" t="s">
        <v>94</v>
      </c>
      <c r="C3241" s="8" t="s">
        <v>15097</v>
      </c>
      <c r="D3241" s="8" t="n">
        <v>2022</v>
      </c>
      <c r="E3241" s="8" t="s">
        <v>15098</v>
      </c>
      <c r="F3241" s="8" t="s">
        <v>579</v>
      </c>
      <c r="G3241" s="8" t="s">
        <v>15099</v>
      </c>
      <c r="H3241" s="8" t="s">
        <v>15100</v>
      </c>
      <c r="I3241" s="8" t="s">
        <v>153</v>
      </c>
      <c r="J3241" s="8" t="s">
        <v>15101</v>
      </c>
      <c r="K3241" s="8"/>
      <c r="L3241" s="8" t="s">
        <v>15102</v>
      </c>
    </row>
    <row r="3242" customFormat="false" ht="45.75" hidden="false" customHeight="true" outlineLevel="0" collapsed="false">
      <c r="A3242" s="8" t="n">
        <v>2974</v>
      </c>
      <c r="B3242" s="8" t="s">
        <v>94</v>
      </c>
      <c r="C3242" s="8" t="s">
        <v>15097</v>
      </c>
      <c r="D3242" s="8" t="n">
        <v>2011</v>
      </c>
      <c r="E3242" s="8" t="s">
        <v>15103</v>
      </c>
      <c r="F3242" s="8" t="s">
        <v>143</v>
      </c>
      <c r="G3242" s="8" t="s">
        <v>15104</v>
      </c>
      <c r="H3242" s="8" t="s">
        <v>15105</v>
      </c>
      <c r="I3242" s="8" t="s">
        <v>146</v>
      </c>
      <c r="J3242" s="8" t="s">
        <v>15106</v>
      </c>
      <c r="K3242" s="8" t="s">
        <v>114</v>
      </c>
      <c r="L3242" s="8" t="s">
        <v>15107</v>
      </c>
    </row>
    <row r="3243" customFormat="false" ht="57" hidden="false" customHeight="true" outlineLevel="0" collapsed="false">
      <c r="A3243" s="8" t="n">
        <v>2975</v>
      </c>
      <c r="B3243" s="8" t="s">
        <v>94</v>
      </c>
      <c r="C3243" s="8" t="s">
        <v>15108</v>
      </c>
      <c r="D3243" s="8" t="n">
        <v>2015</v>
      </c>
      <c r="E3243" s="8" t="s">
        <v>15109</v>
      </c>
      <c r="F3243" s="8" t="s">
        <v>143</v>
      </c>
      <c r="G3243" s="8" t="s">
        <v>15110</v>
      </c>
      <c r="H3243" s="8" t="s">
        <v>15111</v>
      </c>
      <c r="I3243" s="8" t="s">
        <v>153</v>
      </c>
      <c r="J3243" s="8" t="s">
        <v>15112</v>
      </c>
      <c r="K3243" s="8" t="s">
        <v>114</v>
      </c>
      <c r="L3243" s="8" t="s">
        <v>15113</v>
      </c>
    </row>
    <row r="3244" customFormat="false" ht="57" hidden="false" customHeight="true" outlineLevel="0" collapsed="false">
      <c r="A3244" s="8" t="n">
        <v>2976</v>
      </c>
      <c r="B3244" s="8" t="s">
        <v>94</v>
      </c>
      <c r="C3244" s="8" t="s">
        <v>15114</v>
      </c>
      <c r="D3244" s="8" t="n">
        <v>2018</v>
      </c>
      <c r="E3244" s="8" t="s">
        <v>15115</v>
      </c>
      <c r="F3244" s="8" t="s">
        <v>579</v>
      </c>
      <c r="G3244" s="8" t="s">
        <v>197</v>
      </c>
      <c r="H3244" s="8" t="s">
        <v>145</v>
      </c>
      <c r="I3244" s="8" t="s">
        <v>153</v>
      </c>
      <c r="J3244" s="8" t="s">
        <v>15116</v>
      </c>
      <c r="K3244" s="8"/>
      <c r="L3244" s="8" t="s">
        <v>15117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9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2"/>
    <col collapsed="false" customWidth="true" hidden="false" outlineLevel="0" max="3" min="3" style="0" width="8"/>
    <col collapsed="false" customWidth="true" hidden="false" outlineLevel="0" max="4" min="4" style="0" width="40"/>
    <col collapsed="false" customWidth="true" hidden="false" outlineLevel="0" max="5" min="5" style="0" width="18"/>
    <col collapsed="false" customWidth="true" hidden="false" outlineLevel="0" max="6" min="6" style="0" width="30"/>
    <col collapsed="false" customWidth="true" hidden="false" outlineLevel="0" max="7" min="7" style="0" width="22"/>
    <col collapsed="false" customWidth="true" hidden="false" outlineLevel="0" max="8" min="8" style="0" width="16"/>
    <col collapsed="false" customWidth="true" hidden="false" outlineLevel="0" max="9" min="9" style="0" width="30"/>
    <col collapsed="false" customWidth="true" hidden="false" outlineLevel="0" max="10" min="10" style="0" width="24"/>
    <col collapsed="false" customWidth="true" hidden="false" outlineLevel="0" max="11" min="11" style="0" width="50"/>
  </cols>
  <sheetData>
    <row r="1" customFormat="false" ht="30" hidden="false" customHeight="true" outlineLevel="0" collapsed="false">
      <c r="A1" s="6" t="s">
        <v>130</v>
      </c>
      <c r="B1" s="6" t="s">
        <v>132</v>
      </c>
      <c r="C1" s="6" t="s">
        <v>133</v>
      </c>
      <c r="D1" s="6" t="s">
        <v>134</v>
      </c>
      <c r="E1" s="6" t="s">
        <v>104</v>
      </c>
      <c r="F1" s="6" t="s">
        <v>135</v>
      </c>
      <c r="G1" s="6" t="s">
        <v>136</v>
      </c>
      <c r="H1" s="6" t="s">
        <v>137</v>
      </c>
      <c r="I1" s="6" t="s">
        <v>138</v>
      </c>
      <c r="J1" s="6" t="s">
        <v>139</v>
      </c>
      <c r="K1" s="6" t="s">
        <v>140</v>
      </c>
    </row>
    <row r="2" customFormat="false" ht="35.05" hidden="false" customHeight="false" outlineLevel="0" collapsed="false">
      <c r="A2" s="7" t="n">
        <v>1</v>
      </c>
      <c r="B2" s="7" t="s">
        <v>141</v>
      </c>
      <c r="C2" s="7" t="n">
        <v>2018</v>
      </c>
      <c r="D2" s="7" t="s">
        <v>142</v>
      </c>
      <c r="E2" s="7" t="s">
        <v>143</v>
      </c>
      <c r="F2" s="7" t="s">
        <v>144</v>
      </c>
      <c r="G2" s="7" t="s">
        <v>145</v>
      </c>
      <c r="H2" s="7" t="s">
        <v>146</v>
      </c>
      <c r="I2" s="7" t="s">
        <v>147</v>
      </c>
      <c r="J2" s="7"/>
      <c r="K2" s="7" t="s">
        <v>148</v>
      </c>
    </row>
    <row r="3" customFormat="false" ht="35.05" hidden="false" customHeight="false" outlineLevel="0" collapsed="false">
      <c r="A3" s="7" t="n">
        <v>2</v>
      </c>
      <c r="B3" s="7" t="s">
        <v>149</v>
      </c>
      <c r="C3" s="7" t="n">
        <v>2017</v>
      </c>
      <c r="D3" s="7" t="s">
        <v>150</v>
      </c>
      <c r="E3" s="7" t="s">
        <v>151</v>
      </c>
      <c r="F3" s="7" t="s">
        <v>152</v>
      </c>
      <c r="G3" s="7" t="s">
        <v>145</v>
      </c>
      <c r="H3" s="7" t="s">
        <v>153</v>
      </c>
      <c r="I3" s="7" t="s">
        <v>154</v>
      </c>
      <c r="J3" s="7"/>
      <c r="K3" s="7" t="s">
        <v>155</v>
      </c>
    </row>
    <row r="4" customFormat="false" ht="35.05" hidden="false" customHeight="false" outlineLevel="0" collapsed="false">
      <c r="A4" s="7" t="n">
        <v>3</v>
      </c>
      <c r="B4" s="7" t="s">
        <v>156</v>
      </c>
      <c r="C4" s="7" t="n">
        <v>2017</v>
      </c>
      <c r="D4" s="7" t="s">
        <v>157</v>
      </c>
      <c r="E4" s="7" t="s">
        <v>143</v>
      </c>
      <c r="F4" s="7" t="s">
        <v>158</v>
      </c>
      <c r="G4" s="7" t="s">
        <v>145</v>
      </c>
      <c r="H4" s="7" t="s">
        <v>146</v>
      </c>
      <c r="I4" s="7" t="s">
        <v>159</v>
      </c>
      <c r="J4" s="7" t="s">
        <v>114</v>
      </c>
      <c r="K4" s="7" t="s">
        <v>160</v>
      </c>
    </row>
    <row r="5" customFormat="false" ht="35.05" hidden="false" customHeight="false" outlineLevel="0" collapsed="false">
      <c r="A5" s="7" t="n">
        <v>4</v>
      </c>
      <c r="B5" s="7" t="s">
        <v>161</v>
      </c>
      <c r="C5" s="7" t="n">
        <v>2021</v>
      </c>
      <c r="D5" s="7" t="s">
        <v>162</v>
      </c>
      <c r="E5" s="7" t="s">
        <v>143</v>
      </c>
      <c r="F5" s="7" t="s">
        <v>163</v>
      </c>
      <c r="G5" s="7" t="s">
        <v>145</v>
      </c>
      <c r="H5" s="7" t="s">
        <v>153</v>
      </c>
      <c r="I5" s="7" t="s">
        <v>164</v>
      </c>
      <c r="J5" s="7" t="s">
        <v>116</v>
      </c>
      <c r="K5" s="7" t="s">
        <v>165</v>
      </c>
    </row>
    <row r="6" customFormat="false" ht="35.05" hidden="false" customHeight="false" outlineLevel="0" collapsed="false">
      <c r="A6" s="7" t="n">
        <v>5</v>
      </c>
      <c r="B6" s="7" t="s">
        <v>166</v>
      </c>
      <c r="C6" s="7" t="n">
        <v>2020</v>
      </c>
      <c r="D6" s="7" t="s">
        <v>167</v>
      </c>
      <c r="E6" s="7" t="s">
        <v>151</v>
      </c>
      <c r="F6" s="7" t="s">
        <v>168</v>
      </c>
      <c r="G6" s="7" t="s">
        <v>169</v>
      </c>
      <c r="H6" s="7" t="s">
        <v>146</v>
      </c>
      <c r="I6" s="7" t="s">
        <v>170</v>
      </c>
      <c r="J6" s="7" t="s">
        <v>110</v>
      </c>
      <c r="K6" s="7" t="s">
        <v>171</v>
      </c>
    </row>
    <row r="7" customFormat="false" ht="35.05" hidden="false" customHeight="false" outlineLevel="0" collapsed="false">
      <c r="A7" s="7" t="n">
        <v>6</v>
      </c>
      <c r="B7" s="7" t="s">
        <v>172</v>
      </c>
      <c r="C7" s="7" t="n">
        <v>2022</v>
      </c>
      <c r="D7" s="7" t="s">
        <v>173</v>
      </c>
      <c r="E7" s="7" t="s">
        <v>143</v>
      </c>
      <c r="F7" s="7" t="s">
        <v>174</v>
      </c>
      <c r="G7" s="7" t="s">
        <v>145</v>
      </c>
      <c r="H7" s="7" t="s">
        <v>153</v>
      </c>
      <c r="I7" s="7" t="s">
        <v>175</v>
      </c>
      <c r="J7" s="7" t="s">
        <v>110</v>
      </c>
      <c r="K7" s="7" t="s">
        <v>176</v>
      </c>
    </row>
    <row r="8" customFormat="false" ht="57.45" hidden="false" customHeight="false" outlineLevel="0" collapsed="false">
      <c r="A8" s="7" t="n">
        <v>7</v>
      </c>
      <c r="B8" s="7" t="s">
        <v>177</v>
      </c>
      <c r="C8" s="7" t="n">
        <v>2007</v>
      </c>
      <c r="D8" s="7" t="s">
        <v>178</v>
      </c>
      <c r="E8" s="7" t="s">
        <v>143</v>
      </c>
      <c r="F8" s="7" t="s">
        <v>152</v>
      </c>
      <c r="G8" s="7" t="s">
        <v>15118</v>
      </c>
      <c r="H8" s="7" t="s">
        <v>153</v>
      </c>
      <c r="I8" s="7" t="s">
        <v>15119</v>
      </c>
      <c r="J8" s="7" t="s">
        <v>15120</v>
      </c>
      <c r="K8" s="7" t="s">
        <v>15121</v>
      </c>
    </row>
    <row r="9" customFormat="false" ht="46.25" hidden="false" customHeight="false" outlineLevel="0" collapsed="false">
      <c r="A9" s="7" t="n">
        <v>8</v>
      </c>
      <c r="B9" s="7" t="s">
        <v>184</v>
      </c>
      <c r="C9" s="7" t="n">
        <v>2021</v>
      </c>
      <c r="D9" s="7" t="s">
        <v>185</v>
      </c>
      <c r="E9" s="7" t="s">
        <v>143</v>
      </c>
      <c r="F9" s="7" t="s">
        <v>186</v>
      </c>
      <c r="G9" s="7" t="s">
        <v>187</v>
      </c>
      <c r="H9" s="7" t="s">
        <v>153</v>
      </c>
      <c r="I9" s="7" t="s">
        <v>188</v>
      </c>
      <c r="J9" s="7" t="s">
        <v>110</v>
      </c>
      <c r="K9" s="7" t="s">
        <v>189</v>
      </c>
    </row>
    <row r="10" customFormat="false" ht="35.05" hidden="false" customHeight="false" outlineLevel="0" collapsed="false">
      <c r="A10" s="7" t="n">
        <v>9</v>
      </c>
      <c r="B10" s="7" t="s">
        <v>190</v>
      </c>
      <c r="C10" s="7" t="n">
        <v>2016</v>
      </c>
      <c r="D10" s="7" t="s">
        <v>191</v>
      </c>
      <c r="E10" s="7" t="s">
        <v>151</v>
      </c>
      <c r="F10" s="7" t="s">
        <v>192</v>
      </c>
      <c r="G10" s="7" t="s">
        <v>145</v>
      </c>
      <c r="H10" s="7" t="s">
        <v>153</v>
      </c>
      <c r="I10" s="7" t="s">
        <v>193</v>
      </c>
      <c r="J10" s="7"/>
      <c r="K10" s="7" t="s">
        <v>194</v>
      </c>
    </row>
    <row r="11" customFormat="false" ht="57.45" hidden="false" customHeight="false" outlineLevel="0" collapsed="false">
      <c r="A11" s="7" t="n">
        <v>10</v>
      </c>
      <c r="B11" s="7" t="s">
        <v>15122</v>
      </c>
      <c r="C11" s="7" t="n">
        <v>2012</v>
      </c>
      <c r="D11" s="7" t="s">
        <v>196</v>
      </c>
      <c r="E11" s="7" t="s">
        <v>15123</v>
      </c>
      <c r="F11" s="7" t="s">
        <v>197</v>
      </c>
      <c r="G11" s="7" t="s">
        <v>145</v>
      </c>
      <c r="H11" s="7" t="s">
        <v>153</v>
      </c>
      <c r="I11" s="7" t="s">
        <v>15124</v>
      </c>
      <c r="J11" s="7"/>
      <c r="K11" s="7" t="s">
        <v>15125</v>
      </c>
    </row>
    <row r="12" customFormat="false" ht="35.05" hidden="false" customHeight="false" outlineLevel="0" collapsed="false">
      <c r="A12" s="7" t="n">
        <v>11</v>
      </c>
      <c r="B12" s="7" t="s">
        <v>204</v>
      </c>
      <c r="C12" s="7" t="n">
        <v>2019</v>
      </c>
      <c r="D12" s="7" t="s">
        <v>205</v>
      </c>
      <c r="E12" s="7" t="s">
        <v>151</v>
      </c>
      <c r="F12" s="7" t="s">
        <v>206</v>
      </c>
      <c r="G12" s="7" t="s">
        <v>207</v>
      </c>
      <c r="H12" s="7" t="s">
        <v>208</v>
      </c>
      <c r="I12" s="7" t="s">
        <v>209</v>
      </c>
      <c r="J12" s="7"/>
      <c r="K12" s="7" t="s">
        <v>210</v>
      </c>
    </row>
    <row r="13" customFormat="false" ht="23.85" hidden="false" customHeight="false" outlineLevel="0" collapsed="false">
      <c r="A13" s="7" t="n">
        <v>12</v>
      </c>
      <c r="B13" s="7" t="s">
        <v>211</v>
      </c>
      <c r="C13" s="7" t="n">
        <v>2019</v>
      </c>
      <c r="D13" s="7" t="s">
        <v>212</v>
      </c>
      <c r="E13" s="7" t="s">
        <v>143</v>
      </c>
      <c r="F13" s="7" t="s">
        <v>213</v>
      </c>
      <c r="G13" s="7" t="s">
        <v>145</v>
      </c>
      <c r="H13" s="7" t="s">
        <v>153</v>
      </c>
      <c r="I13" s="7" t="s">
        <v>214</v>
      </c>
      <c r="J13" s="7"/>
      <c r="K13" s="7" t="s">
        <v>215</v>
      </c>
    </row>
    <row r="14" customFormat="false" ht="35.05" hidden="false" customHeight="false" outlineLevel="0" collapsed="false">
      <c r="A14" s="7" t="n">
        <v>13</v>
      </c>
      <c r="B14" s="7" t="s">
        <v>216</v>
      </c>
      <c r="C14" s="7" t="n">
        <v>2011</v>
      </c>
      <c r="D14" s="7" t="s">
        <v>217</v>
      </c>
      <c r="E14" s="7" t="s">
        <v>151</v>
      </c>
      <c r="F14" s="7" t="s">
        <v>218</v>
      </c>
      <c r="G14" s="7" t="s">
        <v>187</v>
      </c>
      <c r="H14" s="7" t="s">
        <v>153</v>
      </c>
      <c r="I14" s="7" t="s">
        <v>219</v>
      </c>
      <c r="J14" s="7" t="s">
        <v>114</v>
      </c>
      <c r="K14" s="7" t="s">
        <v>220</v>
      </c>
    </row>
    <row r="15" customFormat="false" ht="57.45" hidden="false" customHeight="false" outlineLevel="0" collapsed="false">
      <c r="A15" s="7" t="n">
        <v>14</v>
      </c>
      <c r="B15" s="7" t="s">
        <v>15126</v>
      </c>
      <c r="C15" s="7" t="n">
        <v>2004</v>
      </c>
      <c r="D15" s="7" t="s">
        <v>222</v>
      </c>
      <c r="E15" s="7" t="s">
        <v>143</v>
      </c>
      <c r="F15" s="7" t="s">
        <v>15127</v>
      </c>
      <c r="G15" s="7" t="s">
        <v>145</v>
      </c>
      <c r="H15" s="7" t="s">
        <v>153</v>
      </c>
      <c r="I15" s="7" t="s">
        <v>15128</v>
      </c>
      <c r="J15" s="7"/>
      <c r="K15" s="7" t="s">
        <v>15129</v>
      </c>
    </row>
    <row r="16" customFormat="false" ht="35.05" hidden="false" customHeight="false" outlineLevel="0" collapsed="false">
      <c r="A16" s="7" t="n">
        <v>15</v>
      </c>
      <c r="B16" s="7" t="s">
        <v>231</v>
      </c>
      <c r="C16" s="7" t="n">
        <v>2018</v>
      </c>
      <c r="D16" s="7" t="s">
        <v>232</v>
      </c>
      <c r="E16" s="7" t="s">
        <v>151</v>
      </c>
      <c r="F16" s="7" t="s">
        <v>233</v>
      </c>
      <c r="G16" s="7" t="s">
        <v>187</v>
      </c>
      <c r="H16" s="7" t="s">
        <v>153</v>
      </c>
      <c r="I16" s="7" t="s">
        <v>234</v>
      </c>
      <c r="J16" s="7" t="s">
        <v>114</v>
      </c>
      <c r="K16" s="7" t="s">
        <v>235</v>
      </c>
    </row>
    <row r="17" customFormat="false" ht="23.85" hidden="false" customHeight="false" outlineLevel="0" collapsed="false">
      <c r="A17" s="7" t="n">
        <v>16</v>
      </c>
      <c r="B17" s="7" t="s">
        <v>236</v>
      </c>
      <c r="C17" s="7" t="n">
        <v>1995</v>
      </c>
      <c r="D17" s="7" t="s">
        <v>237</v>
      </c>
      <c r="E17" s="7" t="s">
        <v>143</v>
      </c>
      <c r="F17" s="7" t="s">
        <v>238</v>
      </c>
      <c r="G17" s="7" t="s">
        <v>145</v>
      </c>
      <c r="H17" s="7" t="s">
        <v>153</v>
      </c>
      <c r="I17" s="7" t="s">
        <v>239</v>
      </c>
      <c r="J17" s="7" t="s">
        <v>114</v>
      </c>
      <c r="K17" s="7" t="s">
        <v>240</v>
      </c>
    </row>
    <row r="18" customFormat="false" ht="35.05" hidden="false" customHeight="false" outlineLevel="0" collapsed="false">
      <c r="A18" s="7" t="n">
        <v>17</v>
      </c>
      <c r="B18" s="7" t="s">
        <v>241</v>
      </c>
      <c r="C18" s="7" t="n">
        <v>2021</v>
      </c>
      <c r="D18" s="7" t="s">
        <v>242</v>
      </c>
      <c r="E18" s="7" t="s">
        <v>143</v>
      </c>
      <c r="F18" s="7" t="s">
        <v>243</v>
      </c>
      <c r="G18" s="7" t="s">
        <v>244</v>
      </c>
      <c r="H18" s="7" t="s">
        <v>146</v>
      </c>
      <c r="I18" s="7" t="s">
        <v>245</v>
      </c>
      <c r="J18" s="7" t="s">
        <v>112</v>
      </c>
      <c r="K18" s="7" t="s">
        <v>246</v>
      </c>
    </row>
    <row r="19" customFormat="false" ht="23.85" hidden="false" customHeight="false" outlineLevel="0" collapsed="false">
      <c r="A19" s="7" t="n">
        <v>18</v>
      </c>
      <c r="B19" s="7" t="s">
        <v>247</v>
      </c>
      <c r="C19" s="7" t="n">
        <v>2024</v>
      </c>
      <c r="D19" s="7" t="s">
        <v>248</v>
      </c>
      <c r="E19" s="7" t="s">
        <v>151</v>
      </c>
      <c r="F19" s="7" t="s">
        <v>249</v>
      </c>
      <c r="G19" s="7" t="s">
        <v>145</v>
      </c>
      <c r="H19" s="7" t="s">
        <v>153</v>
      </c>
      <c r="I19" s="7" t="s">
        <v>250</v>
      </c>
      <c r="J19" s="7" t="s">
        <v>110</v>
      </c>
      <c r="K19" s="7" t="s">
        <v>251</v>
      </c>
    </row>
    <row r="20" customFormat="false" ht="35.05" hidden="false" customHeight="false" outlineLevel="0" collapsed="false">
      <c r="A20" s="7" t="n">
        <v>19</v>
      </c>
      <c r="B20" s="7" t="s">
        <v>252</v>
      </c>
      <c r="C20" s="7" t="n">
        <v>2016</v>
      </c>
      <c r="D20" s="7" t="s">
        <v>253</v>
      </c>
      <c r="E20" s="7" t="s">
        <v>143</v>
      </c>
      <c r="F20" s="7" t="s">
        <v>254</v>
      </c>
      <c r="G20" s="7" t="s">
        <v>255</v>
      </c>
      <c r="H20" s="7" t="s">
        <v>146</v>
      </c>
      <c r="I20" s="7" t="s">
        <v>256</v>
      </c>
      <c r="J20" s="7" t="s">
        <v>110</v>
      </c>
      <c r="K20" s="7" t="s">
        <v>257</v>
      </c>
    </row>
    <row r="21" customFormat="false" ht="35.05" hidden="false" customHeight="false" outlineLevel="0" collapsed="false">
      <c r="A21" s="7" t="n">
        <v>20</v>
      </c>
      <c r="B21" s="7" t="s">
        <v>258</v>
      </c>
      <c r="C21" s="7" t="n">
        <v>2023</v>
      </c>
      <c r="D21" s="7" t="s">
        <v>259</v>
      </c>
      <c r="E21" s="7" t="s">
        <v>143</v>
      </c>
      <c r="F21" s="7" t="s">
        <v>260</v>
      </c>
      <c r="G21" s="7" t="s">
        <v>145</v>
      </c>
      <c r="H21" s="7" t="s">
        <v>153</v>
      </c>
      <c r="I21" s="7" t="s">
        <v>261</v>
      </c>
      <c r="J21" s="7" t="s">
        <v>114</v>
      </c>
      <c r="K21" s="7" t="s">
        <v>262</v>
      </c>
    </row>
    <row r="22" customFormat="false" ht="57.45" hidden="false" customHeight="false" outlineLevel="0" collapsed="false">
      <c r="A22" s="7" t="n">
        <v>21</v>
      </c>
      <c r="B22" s="7" t="s">
        <v>263</v>
      </c>
      <c r="C22" s="7" t="n">
        <v>2024</v>
      </c>
      <c r="D22" s="7" t="s">
        <v>264</v>
      </c>
      <c r="E22" s="7" t="s">
        <v>151</v>
      </c>
      <c r="F22" s="7" t="s">
        <v>15130</v>
      </c>
      <c r="G22" s="7" t="s">
        <v>145</v>
      </c>
      <c r="H22" s="7" t="s">
        <v>153</v>
      </c>
      <c r="I22" s="7" t="s">
        <v>15131</v>
      </c>
      <c r="J22" s="7" t="s">
        <v>114</v>
      </c>
      <c r="K22" s="7" t="s">
        <v>15132</v>
      </c>
    </row>
    <row r="23" customFormat="false" ht="23.85" hidden="false" customHeight="false" outlineLevel="0" collapsed="false">
      <c r="A23" s="7" t="n">
        <v>22</v>
      </c>
      <c r="B23" s="7" t="s">
        <v>272</v>
      </c>
      <c r="C23" s="7" t="n">
        <v>2015</v>
      </c>
      <c r="D23" s="7" t="s">
        <v>273</v>
      </c>
      <c r="E23" s="7" t="s">
        <v>143</v>
      </c>
      <c r="F23" s="7" t="s">
        <v>274</v>
      </c>
      <c r="G23" s="7" t="s">
        <v>145</v>
      </c>
      <c r="H23" s="7" t="s">
        <v>153</v>
      </c>
      <c r="I23" s="7" t="s">
        <v>275</v>
      </c>
      <c r="J23" s="7"/>
      <c r="K23" s="7" t="s">
        <v>276</v>
      </c>
    </row>
    <row r="24" customFormat="false" ht="35.05" hidden="false" customHeight="false" outlineLevel="0" collapsed="false">
      <c r="A24" s="7" t="n">
        <v>23</v>
      </c>
      <c r="B24" s="7" t="s">
        <v>277</v>
      </c>
      <c r="C24" s="7" t="n">
        <v>2023</v>
      </c>
      <c r="D24" s="7" t="s">
        <v>278</v>
      </c>
      <c r="E24" s="7" t="s">
        <v>143</v>
      </c>
      <c r="F24" s="7" t="s">
        <v>279</v>
      </c>
      <c r="G24" s="7" t="s">
        <v>145</v>
      </c>
      <c r="H24" s="7" t="s">
        <v>146</v>
      </c>
      <c r="I24" s="7" t="s">
        <v>280</v>
      </c>
      <c r="J24" s="7" t="s">
        <v>116</v>
      </c>
      <c r="K24" s="7" t="s">
        <v>281</v>
      </c>
    </row>
    <row r="25" customFormat="false" ht="35.05" hidden="false" customHeight="false" outlineLevel="0" collapsed="false">
      <c r="A25" s="7" t="n">
        <v>24</v>
      </c>
      <c r="B25" s="7" t="s">
        <v>282</v>
      </c>
      <c r="C25" s="7" t="n">
        <v>2017</v>
      </c>
      <c r="D25" s="7" t="s">
        <v>283</v>
      </c>
      <c r="E25" s="7" t="s">
        <v>143</v>
      </c>
      <c r="F25" s="7" t="s">
        <v>284</v>
      </c>
      <c r="G25" s="7" t="s">
        <v>285</v>
      </c>
      <c r="H25" s="7" t="s">
        <v>146</v>
      </c>
      <c r="I25" s="7" t="s">
        <v>286</v>
      </c>
      <c r="J25" s="7" t="s">
        <v>110</v>
      </c>
      <c r="K25" s="7" t="s">
        <v>287</v>
      </c>
    </row>
    <row r="26" customFormat="false" ht="35.05" hidden="false" customHeight="false" outlineLevel="0" collapsed="false">
      <c r="A26" s="7" t="n">
        <v>25</v>
      </c>
      <c r="B26" s="7" t="s">
        <v>288</v>
      </c>
      <c r="C26" s="7" t="n">
        <v>1970</v>
      </c>
      <c r="D26" s="7" t="s">
        <v>289</v>
      </c>
      <c r="E26" s="7" t="s">
        <v>143</v>
      </c>
      <c r="F26" s="7" t="s">
        <v>290</v>
      </c>
      <c r="G26" s="7" t="s">
        <v>187</v>
      </c>
      <c r="H26" s="7" t="s">
        <v>146</v>
      </c>
      <c r="I26" s="7" t="s">
        <v>291</v>
      </c>
      <c r="J26" s="7"/>
      <c r="K26" s="7" t="s">
        <v>292</v>
      </c>
    </row>
    <row r="27" customFormat="false" ht="35.05" hidden="false" customHeight="false" outlineLevel="0" collapsed="false">
      <c r="A27" s="7" t="n">
        <v>26</v>
      </c>
      <c r="B27" s="7" t="s">
        <v>293</v>
      </c>
      <c r="C27" s="7" t="n">
        <v>2019</v>
      </c>
      <c r="D27" s="7" t="s">
        <v>294</v>
      </c>
      <c r="E27" s="7" t="s">
        <v>143</v>
      </c>
      <c r="F27" s="7" t="s">
        <v>295</v>
      </c>
      <c r="G27" s="7" t="s">
        <v>296</v>
      </c>
      <c r="H27" s="7" t="s">
        <v>208</v>
      </c>
      <c r="I27" s="7" t="s">
        <v>297</v>
      </c>
      <c r="J27" s="7" t="s">
        <v>110</v>
      </c>
      <c r="K27" s="7" t="s">
        <v>298</v>
      </c>
    </row>
    <row r="28" customFormat="false" ht="35.05" hidden="false" customHeight="false" outlineLevel="0" collapsed="false">
      <c r="A28" s="7" t="n">
        <v>27</v>
      </c>
      <c r="B28" s="7" t="s">
        <v>299</v>
      </c>
      <c r="C28" s="7" t="n">
        <v>2023</v>
      </c>
      <c r="D28" s="7" t="s">
        <v>300</v>
      </c>
      <c r="E28" s="7" t="s">
        <v>151</v>
      </c>
      <c r="F28" s="7" t="s">
        <v>301</v>
      </c>
      <c r="G28" s="7" t="s">
        <v>187</v>
      </c>
      <c r="H28" s="7" t="s">
        <v>153</v>
      </c>
      <c r="I28" s="7" t="s">
        <v>302</v>
      </c>
      <c r="J28" s="7" t="s">
        <v>114</v>
      </c>
      <c r="K28" s="7" t="s">
        <v>303</v>
      </c>
    </row>
    <row r="29" customFormat="false" ht="35.05" hidden="false" customHeight="false" outlineLevel="0" collapsed="false">
      <c r="A29" s="7" t="n">
        <v>28</v>
      </c>
      <c r="B29" s="7" t="s">
        <v>304</v>
      </c>
      <c r="C29" s="7" t="n">
        <v>2021</v>
      </c>
      <c r="D29" s="7" t="s">
        <v>305</v>
      </c>
      <c r="E29" s="7" t="s">
        <v>143</v>
      </c>
      <c r="F29" s="7" t="s">
        <v>306</v>
      </c>
      <c r="G29" s="7" t="s">
        <v>145</v>
      </c>
      <c r="H29" s="7" t="s">
        <v>146</v>
      </c>
      <c r="I29" s="7" t="s">
        <v>307</v>
      </c>
      <c r="J29" s="7"/>
      <c r="K29" s="7" t="s">
        <v>308</v>
      </c>
    </row>
    <row r="30" customFormat="false" ht="35.05" hidden="false" customHeight="false" outlineLevel="0" collapsed="false">
      <c r="A30" s="7" t="n">
        <v>29</v>
      </c>
      <c r="B30" s="7" t="s">
        <v>309</v>
      </c>
      <c r="C30" s="7" t="n">
        <v>2024</v>
      </c>
      <c r="D30" s="7" t="s">
        <v>310</v>
      </c>
      <c r="E30" s="7" t="s">
        <v>143</v>
      </c>
      <c r="F30" s="7" t="s">
        <v>311</v>
      </c>
      <c r="G30" s="7" t="s">
        <v>145</v>
      </c>
      <c r="H30" s="7" t="s">
        <v>153</v>
      </c>
      <c r="I30" s="7" t="s">
        <v>312</v>
      </c>
      <c r="J30" s="7" t="s">
        <v>114</v>
      </c>
      <c r="K30" s="7" t="s">
        <v>313</v>
      </c>
    </row>
    <row r="31" customFormat="false" ht="35.05" hidden="false" customHeight="false" outlineLevel="0" collapsed="false">
      <c r="A31" s="7" t="n">
        <v>30</v>
      </c>
      <c r="B31" s="7" t="s">
        <v>314</v>
      </c>
      <c r="C31" s="7" t="n">
        <v>2011</v>
      </c>
      <c r="D31" s="7" t="s">
        <v>315</v>
      </c>
      <c r="E31" s="7" t="s">
        <v>143</v>
      </c>
      <c r="F31" s="7" t="s">
        <v>316</v>
      </c>
      <c r="G31" s="7" t="s">
        <v>145</v>
      </c>
      <c r="H31" s="7" t="s">
        <v>153</v>
      </c>
      <c r="I31" s="7" t="s">
        <v>317</v>
      </c>
      <c r="J31" s="7" t="s">
        <v>116</v>
      </c>
      <c r="K31" s="7" t="s">
        <v>318</v>
      </c>
    </row>
    <row r="32" customFormat="false" ht="35.05" hidden="false" customHeight="false" outlineLevel="0" collapsed="false">
      <c r="A32" s="7" t="n">
        <v>31</v>
      </c>
      <c r="B32" s="7" t="s">
        <v>319</v>
      </c>
      <c r="C32" s="7" t="n">
        <v>2021</v>
      </c>
      <c r="D32" s="7" t="s">
        <v>320</v>
      </c>
      <c r="E32" s="7" t="s">
        <v>151</v>
      </c>
      <c r="F32" s="7" t="s">
        <v>321</v>
      </c>
      <c r="G32" s="7" t="s">
        <v>145</v>
      </c>
      <c r="H32" s="7" t="s">
        <v>146</v>
      </c>
      <c r="I32" s="7" t="s">
        <v>322</v>
      </c>
      <c r="J32" s="7"/>
      <c r="K32" s="7" t="s">
        <v>323</v>
      </c>
    </row>
    <row r="33" customFormat="false" ht="35.05" hidden="false" customHeight="false" outlineLevel="0" collapsed="false">
      <c r="A33" s="7" t="n">
        <v>32</v>
      </c>
      <c r="B33" s="7" t="s">
        <v>324</v>
      </c>
      <c r="C33" s="7" t="n">
        <v>2023</v>
      </c>
      <c r="D33" s="7" t="s">
        <v>325</v>
      </c>
      <c r="E33" s="7" t="s">
        <v>143</v>
      </c>
      <c r="F33" s="7" t="s">
        <v>326</v>
      </c>
      <c r="G33" s="7" t="s">
        <v>327</v>
      </c>
      <c r="H33" s="7" t="s">
        <v>153</v>
      </c>
      <c r="I33" s="7" t="s">
        <v>328</v>
      </c>
      <c r="J33" s="7" t="s">
        <v>110</v>
      </c>
      <c r="K33" s="7" t="s">
        <v>329</v>
      </c>
    </row>
    <row r="34" customFormat="false" ht="35.05" hidden="false" customHeight="false" outlineLevel="0" collapsed="false">
      <c r="A34" s="7" t="n">
        <v>33</v>
      </c>
      <c r="B34" s="7" t="s">
        <v>330</v>
      </c>
      <c r="C34" s="7" t="n">
        <v>2019</v>
      </c>
      <c r="D34" s="7" t="s">
        <v>331</v>
      </c>
      <c r="E34" s="7" t="s">
        <v>143</v>
      </c>
      <c r="F34" s="7" t="s">
        <v>332</v>
      </c>
      <c r="G34" s="7" t="s">
        <v>145</v>
      </c>
      <c r="H34" s="7" t="s">
        <v>208</v>
      </c>
      <c r="I34" s="7" t="s">
        <v>333</v>
      </c>
      <c r="J34" s="7" t="s">
        <v>114</v>
      </c>
      <c r="K34" s="7" t="s">
        <v>334</v>
      </c>
    </row>
    <row r="35" customFormat="false" ht="35.05" hidden="false" customHeight="false" outlineLevel="0" collapsed="false">
      <c r="A35" s="7" t="n">
        <v>34</v>
      </c>
      <c r="B35" s="7" t="s">
        <v>335</v>
      </c>
      <c r="C35" s="7" t="n">
        <v>2018</v>
      </c>
      <c r="D35" s="7" t="s">
        <v>336</v>
      </c>
      <c r="E35" s="7" t="s">
        <v>143</v>
      </c>
      <c r="F35" s="7" t="s">
        <v>337</v>
      </c>
      <c r="G35" s="7" t="s">
        <v>338</v>
      </c>
      <c r="H35" s="7" t="s">
        <v>146</v>
      </c>
      <c r="I35" s="7" t="s">
        <v>339</v>
      </c>
      <c r="J35" s="7" t="s">
        <v>110</v>
      </c>
      <c r="K35" s="7" t="s">
        <v>340</v>
      </c>
    </row>
    <row r="36" customFormat="false" ht="23.85" hidden="false" customHeight="false" outlineLevel="0" collapsed="false">
      <c r="A36" s="7" t="n">
        <v>35</v>
      </c>
      <c r="B36" s="7" t="s">
        <v>341</v>
      </c>
      <c r="C36" s="7" t="n">
        <v>2020</v>
      </c>
      <c r="D36" s="7" t="s">
        <v>342</v>
      </c>
      <c r="E36" s="7" t="s">
        <v>143</v>
      </c>
      <c r="F36" s="7" t="s">
        <v>343</v>
      </c>
      <c r="G36" s="7" t="s">
        <v>145</v>
      </c>
      <c r="H36" s="7" t="s">
        <v>153</v>
      </c>
      <c r="I36" s="7" t="s">
        <v>344</v>
      </c>
      <c r="J36" s="7"/>
      <c r="K36" s="7" t="s">
        <v>345</v>
      </c>
    </row>
    <row r="37" customFormat="false" ht="35.05" hidden="false" customHeight="false" outlineLevel="0" collapsed="false">
      <c r="A37" s="7" t="n">
        <v>36</v>
      </c>
      <c r="B37" s="7" t="s">
        <v>346</v>
      </c>
      <c r="C37" s="7" t="n">
        <v>2012</v>
      </c>
      <c r="D37" s="7" t="s">
        <v>347</v>
      </c>
      <c r="E37" s="7" t="s">
        <v>151</v>
      </c>
      <c r="F37" s="7" t="s">
        <v>348</v>
      </c>
      <c r="G37" s="7" t="s">
        <v>145</v>
      </c>
      <c r="H37" s="7" t="s">
        <v>153</v>
      </c>
      <c r="I37" s="7" t="s">
        <v>349</v>
      </c>
      <c r="J37" s="7"/>
      <c r="K37" s="7" t="s">
        <v>350</v>
      </c>
    </row>
    <row r="38" customFormat="false" ht="35.05" hidden="false" customHeight="false" outlineLevel="0" collapsed="false">
      <c r="A38" s="7" t="n">
        <v>37</v>
      </c>
      <c r="B38" s="7" t="s">
        <v>351</v>
      </c>
      <c r="C38" s="7" t="n">
        <v>1995</v>
      </c>
      <c r="D38" s="7" t="s">
        <v>352</v>
      </c>
      <c r="E38" s="7" t="s">
        <v>143</v>
      </c>
      <c r="F38" s="7" t="s">
        <v>353</v>
      </c>
      <c r="G38" s="7" t="s">
        <v>145</v>
      </c>
      <c r="H38" s="7" t="s">
        <v>153</v>
      </c>
      <c r="I38" s="7" t="s">
        <v>354</v>
      </c>
      <c r="J38" s="7" t="s">
        <v>114</v>
      </c>
      <c r="K38" s="7" t="s">
        <v>355</v>
      </c>
    </row>
    <row r="39" customFormat="false" ht="35.05" hidden="false" customHeight="false" outlineLevel="0" collapsed="false">
      <c r="A39" s="7" t="n">
        <v>38</v>
      </c>
      <c r="B39" s="7" t="s">
        <v>356</v>
      </c>
      <c r="C39" s="7" t="n">
        <v>2019</v>
      </c>
      <c r="D39" s="7" t="s">
        <v>357</v>
      </c>
      <c r="E39" s="7" t="s">
        <v>143</v>
      </c>
      <c r="F39" s="7" t="s">
        <v>358</v>
      </c>
      <c r="G39" s="7" t="s">
        <v>359</v>
      </c>
      <c r="H39" s="7" t="s">
        <v>146</v>
      </c>
      <c r="I39" s="7" t="s">
        <v>360</v>
      </c>
      <c r="J39" s="7" t="s">
        <v>110</v>
      </c>
      <c r="K39" s="7" t="s">
        <v>361</v>
      </c>
    </row>
    <row r="40" customFormat="false" ht="35.05" hidden="false" customHeight="false" outlineLevel="0" collapsed="false">
      <c r="A40" s="7" t="n">
        <v>39</v>
      </c>
      <c r="B40" s="7" t="s">
        <v>362</v>
      </c>
      <c r="C40" s="7" t="n">
        <v>2005</v>
      </c>
      <c r="D40" s="7" t="s">
        <v>363</v>
      </c>
      <c r="E40" s="7" t="s">
        <v>143</v>
      </c>
      <c r="F40" s="7" t="s">
        <v>364</v>
      </c>
      <c r="G40" s="7" t="s">
        <v>145</v>
      </c>
      <c r="H40" s="7" t="s">
        <v>153</v>
      </c>
      <c r="I40" s="7" t="s">
        <v>365</v>
      </c>
      <c r="J40" s="7" t="s">
        <v>116</v>
      </c>
      <c r="K40" s="7" t="s">
        <v>366</v>
      </c>
    </row>
    <row r="41" customFormat="false" ht="35.05" hidden="false" customHeight="false" outlineLevel="0" collapsed="false">
      <c r="A41" s="7" t="n">
        <v>40</v>
      </c>
      <c r="B41" s="7" t="s">
        <v>367</v>
      </c>
      <c r="C41" s="7" t="n">
        <v>2015</v>
      </c>
      <c r="D41" s="7" t="s">
        <v>368</v>
      </c>
      <c r="E41" s="7" t="s">
        <v>143</v>
      </c>
      <c r="F41" s="7" t="s">
        <v>348</v>
      </c>
      <c r="G41" s="7" t="s">
        <v>145</v>
      </c>
      <c r="H41" s="7" t="s">
        <v>153</v>
      </c>
      <c r="I41" s="7" t="s">
        <v>369</v>
      </c>
      <c r="J41" s="7"/>
      <c r="K41" s="7" t="s">
        <v>370</v>
      </c>
    </row>
    <row r="42" customFormat="false" ht="102.2" hidden="false" customHeight="false" outlineLevel="0" collapsed="false">
      <c r="A42" s="7" t="n">
        <v>41</v>
      </c>
      <c r="B42" s="7" t="s">
        <v>15133</v>
      </c>
      <c r="C42" s="7" t="n">
        <v>2021</v>
      </c>
      <c r="D42" s="7" t="s">
        <v>372</v>
      </c>
      <c r="E42" s="7" t="s">
        <v>15123</v>
      </c>
      <c r="F42" s="7" t="s">
        <v>15134</v>
      </c>
      <c r="G42" s="7" t="s">
        <v>15135</v>
      </c>
      <c r="H42" s="7" t="s">
        <v>15136</v>
      </c>
      <c r="I42" s="7" t="s">
        <v>15137</v>
      </c>
      <c r="J42" s="7" t="s">
        <v>15138</v>
      </c>
      <c r="K42" s="7" t="s">
        <v>15139</v>
      </c>
    </row>
    <row r="43" customFormat="false" ht="57.45" hidden="false" customHeight="false" outlineLevel="0" collapsed="false">
      <c r="A43" s="7" t="n">
        <v>42</v>
      </c>
      <c r="B43" s="7" t="s">
        <v>390</v>
      </c>
      <c r="C43" s="7" t="n">
        <v>2015</v>
      </c>
      <c r="D43" s="7" t="s">
        <v>391</v>
      </c>
      <c r="E43" s="7" t="s">
        <v>143</v>
      </c>
      <c r="F43" s="7" t="s">
        <v>15140</v>
      </c>
      <c r="G43" s="7" t="s">
        <v>15141</v>
      </c>
      <c r="H43" s="7" t="s">
        <v>15142</v>
      </c>
      <c r="I43" s="7" t="s">
        <v>15143</v>
      </c>
      <c r="J43" s="7" t="s">
        <v>116</v>
      </c>
      <c r="K43" s="7" t="s">
        <v>15144</v>
      </c>
    </row>
    <row r="44" customFormat="false" ht="35.05" hidden="false" customHeight="false" outlineLevel="0" collapsed="false">
      <c r="A44" s="7" t="n">
        <v>43</v>
      </c>
      <c r="B44" s="7" t="s">
        <v>399</v>
      </c>
      <c r="C44" s="7" t="n">
        <v>2015</v>
      </c>
      <c r="D44" s="7" t="s">
        <v>400</v>
      </c>
      <c r="E44" s="7" t="s">
        <v>151</v>
      </c>
      <c r="F44" s="7" t="s">
        <v>152</v>
      </c>
      <c r="G44" s="7" t="s">
        <v>145</v>
      </c>
      <c r="H44" s="7" t="s">
        <v>146</v>
      </c>
      <c r="I44" s="7" t="s">
        <v>401</v>
      </c>
      <c r="J44" s="7"/>
      <c r="K44" s="7" t="s">
        <v>402</v>
      </c>
    </row>
    <row r="45" customFormat="false" ht="46.25" hidden="false" customHeight="false" outlineLevel="0" collapsed="false">
      <c r="A45" s="7" t="n">
        <v>44</v>
      </c>
      <c r="B45" s="7" t="s">
        <v>15145</v>
      </c>
      <c r="C45" s="7" t="n">
        <v>2021</v>
      </c>
      <c r="D45" s="7" t="s">
        <v>404</v>
      </c>
      <c r="E45" s="7" t="s">
        <v>143</v>
      </c>
      <c r="F45" s="7" t="s">
        <v>348</v>
      </c>
      <c r="G45" s="7" t="s">
        <v>145</v>
      </c>
      <c r="H45" s="7" t="s">
        <v>153</v>
      </c>
      <c r="I45" s="7" t="s">
        <v>15146</v>
      </c>
      <c r="J45" s="7"/>
      <c r="K45" s="7" t="s">
        <v>15147</v>
      </c>
    </row>
    <row r="46" customFormat="false" ht="35.05" hidden="false" customHeight="false" outlineLevel="0" collapsed="false">
      <c r="A46" s="7" t="n">
        <v>45</v>
      </c>
      <c r="B46" s="7" t="s">
        <v>411</v>
      </c>
      <c r="C46" s="7" t="n">
        <v>2024</v>
      </c>
      <c r="D46" s="7" t="s">
        <v>412</v>
      </c>
      <c r="E46" s="7" t="s">
        <v>143</v>
      </c>
      <c r="F46" s="7" t="s">
        <v>413</v>
      </c>
      <c r="G46" s="7" t="s">
        <v>187</v>
      </c>
      <c r="H46" s="7" t="s">
        <v>146</v>
      </c>
      <c r="I46" s="7" t="s">
        <v>414</v>
      </c>
      <c r="J46" s="7" t="s">
        <v>114</v>
      </c>
      <c r="K46" s="7" t="s">
        <v>415</v>
      </c>
    </row>
    <row r="47" customFormat="false" ht="35.05" hidden="false" customHeight="false" outlineLevel="0" collapsed="false">
      <c r="A47" s="7" t="n">
        <v>46</v>
      </c>
      <c r="B47" s="7" t="s">
        <v>416</v>
      </c>
      <c r="C47" s="7" t="n">
        <v>2019</v>
      </c>
      <c r="D47" s="7" t="s">
        <v>417</v>
      </c>
      <c r="E47" s="7" t="s">
        <v>151</v>
      </c>
      <c r="F47" s="7" t="s">
        <v>152</v>
      </c>
      <c r="G47" s="7" t="s">
        <v>145</v>
      </c>
      <c r="H47" s="7" t="s">
        <v>146</v>
      </c>
      <c r="I47" s="7" t="s">
        <v>418</v>
      </c>
      <c r="J47" s="7"/>
      <c r="K47" s="7" t="s">
        <v>419</v>
      </c>
    </row>
    <row r="48" customFormat="false" ht="35.05" hidden="false" customHeight="false" outlineLevel="0" collapsed="false">
      <c r="A48" s="7" t="n">
        <v>47</v>
      </c>
      <c r="B48" s="7" t="s">
        <v>420</v>
      </c>
      <c r="C48" s="7" t="n">
        <v>2021</v>
      </c>
      <c r="D48" s="7" t="s">
        <v>421</v>
      </c>
      <c r="E48" s="7" t="s">
        <v>143</v>
      </c>
      <c r="F48" s="7" t="s">
        <v>422</v>
      </c>
      <c r="G48" s="7" t="s">
        <v>423</v>
      </c>
      <c r="H48" s="7" t="s">
        <v>153</v>
      </c>
      <c r="I48" s="7" t="s">
        <v>424</v>
      </c>
      <c r="J48" s="7" t="s">
        <v>114</v>
      </c>
      <c r="K48" s="7" t="s">
        <v>425</v>
      </c>
    </row>
    <row r="49" customFormat="false" ht="35.05" hidden="false" customHeight="false" outlineLevel="0" collapsed="false">
      <c r="A49" s="7" t="n">
        <v>48</v>
      </c>
      <c r="B49" s="7" t="s">
        <v>426</v>
      </c>
      <c r="C49" s="7" t="n">
        <v>2018</v>
      </c>
      <c r="D49" s="7" t="s">
        <v>427</v>
      </c>
      <c r="E49" s="7" t="s">
        <v>143</v>
      </c>
      <c r="F49" s="7" t="s">
        <v>428</v>
      </c>
      <c r="G49" s="7" t="s">
        <v>145</v>
      </c>
      <c r="H49" s="7" t="s">
        <v>153</v>
      </c>
      <c r="I49" s="7" t="s">
        <v>429</v>
      </c>
      <c r="J49" s="7" t="s">
        <v>114</v>
      </c>
      <c r="K49" s="7" t="s">
        <v>430</v>
      </c>
    </row>
    <row r="50" customFormat="false" ht="35.05" hidden="false" customHeight="false" outlineLevel="0" collapsed="false">
      <c r="A50" s="7" t="n">
        <v>49</v>
      </c>
      <c r="B50" s="7" t="s">
        <v>431</v>
      </c>
      <c r="C50" s="7" t="n">
        <v>2023</v>
      </c>
      <c r="D50" s="7" t="s">
        <v>432</v>
      </c>
      <c r="E50" s="7" t="s">
        <v>143</v>
      </c>
      <c r="F50" s="7" t="s">
        <v>433</v>
      </c>
      <c r="G50" s="7" t="s">
        <v>145</v>
      </c>
      <c r="H50" s="7" t="s">
        <v>153</v>
      </c>
      <c r="I50" s="7" t="s">
        <v>434</v>
      </c>
      <c r="J50" s="7" t="s">
        <v>114</v>
      </c>
      <c r="K50" s="7" t="s">
        <v>435</v>
      </c>
    </row>
    <row r="51" customFormat="false" ht="35.05" hidden="false" customHeight="false" outlineLevel="0" collapsed="false">
      <c r="A51" s="7" t="n">
        <v>50</v>
      </c>
      <c r="B51" s="7" t="s">
        <v>436</v>
      </c>
      <c r="C51" s="7" t="n">
        <v>2024</v>
      </c>
      <c r="D51" s="7" t="s">
        <v>437</v>
      </c>
      <c r="E51" s="7" t="s">
        <v>143</v>
      </c>
      <c r="F51" s="7" t="s">
        <v>438</v>
      </c>
      <c r="G51" s="7" t="s">
        <v>439</v>
      </c>
      <c r="H51" s="7" t="s">
        <v>146</v>
      </c>
      <c r="I51" s="7" t="s">
        <v>440</v>
      </c>
      <c r="J51" s="7"/>
      <c r="K51" s="7" t="s">
        <v>441</v>
      </c>
    </row>
    <row r="52" customFormat="false" ht="23.85" hidden="false" customHeight="false" outlineLevel="0" collapsed="false">
      <c r="A52" s="7" t="n">
        <v>51</v>
      </c>
      <c r="B52" s="7" t="s">
        <v>442</v>
      </c>
      <c r="C52" s="7" t="n">
        <v>2020</v>
      </c>
      <c r="D52" s="7" t="s">
        <v>443</v>
      </c>
      <c r="E52" s="7" t="s">
        <v>143</v>
      </c>
      <c r="F52" s="7" t="s">
        <v>444</v>
      </c>
      <c r="G52" s="7" t="s">
        <v>145</v>
      </c>
      <c r="H52" s="7" t="s">
        <v>153</v>
      </c>
      <c r="I52" s="7" t="s">
        <v>445</v>
      </c>
      <c r="J52" s="7" t="s">
        <v>114</v>
      </c>
      <c r="K52" s="7" t="s">
        <v>446</v>
      </c>
    </row>
    <row r="53" customFormat="false" ht="35.05" hidden="false" customHeight="false" outlineLevel="0" collapsed="false">
      <c r="A53" s="7" t="n">
        <v>52</v>
      </c>
      <c r="B53" s="7" t="s">
        <v>447</v>
      </c>
      <c r="C53" s="7" t="n">
        <v>2020</v>
      </c>
      <c r="D53" s="7" t="s">
        <v>448</v>
      </c>
      <c r="E53" s="7" t="s">
        <v>143</v>
      </c>
      <c r="F53" s="7" t="s">
        <v>449</v>
      </c>
      <c r="G53" s="7" t="s">
        <v>145</v>
      </c>
      <c r="H53" s="7" t="s">
        <v>153</v>
      </c>
      <c r="I53" s="7" t="s">
        <v>450</v>
      </c>
      <c r="J53" s="7" t="s">
        <v>114</v>
      </c>
      <c r="K53" s="7" t="s">
        <v>451</v>
      </c>
    </row>
    <row r="54" customFormat="false" ht="23.85" hidden="false" customHeight="false" outlineLevel="0" collapsed="false">
      <c r="A54" s="7" t="n">
        <v>53</v>
      </c>
      <c r="B54" s="7" t="s">
        <v>452</v>
      </c>
      <c r="C54" s="7" t="n">
        <v>1995</v>
      </c>
      <c r="D54" s="7" t="s">
        <v>453</v>
      </c>
      <c r="E54" s="7" t="s">
        <v>143</v>
      </c>
      <c r="F54" s="7" t="s">
        <v>348</v>
      </c>
      <c r="G54" s="7" t="s">
        <v>145</v>
      </c>
      <c r="H54" s="7" t="s">
        <v>153</v>
      </c>
      <c r="I54" s="7" t="s">
        <v>454</v>
      </c>
      <c r="J54" s="7"/>
      <c r="K54" s="7" t="s">
        <v>455</v>
      </c>
    </row>
    <row r="55" customFormat="false" ht="57.45" hidden="false" customHeight="false" outlineLevel="0" collapsed="false">
      <c r="A55" s="7" t="n">
        <v>54</v>
      </c>
      <c r="B55" s="7" t="s">
        <v>456</v>
      </c>
      <c r="C55" s="7" t="n">
        <v>2023</v>
      </c>
      <c r="D55" s="7" t="s">
        <v>457</v>
      </c>
      <c r="E55" s="7" t="s">
        <v>15123</v>
      </c>
      <c r="F55" s="7" t="s">
        <v>15148</v>
      </c>
      <c r="G55" s="7" t="s">
        <v>15149</v>
      </c>
      <c r="H55" s="7" t="s">
        <v>15136</v>
      </c>
      <c r="I55" s="7" t="s">
        <v>15150</v>
      </c>
      <c r="J55" s="7" t="s">
        <v>110</v>
      </c>
      <c r="K55" s="7" t="s">
        <v>15151</v>
      </c>
    </row>
    <row r="56" customFormat="false" ht="35.05" hidden="false" customHeight="false" outlineLevel="0" collapsed="false">
      <c r="A56" s="7" t="n">
        <v>55</v>
      </c>
      <c r="B56" s="7" t="s">
        <v>467</v>
      </c>
      <c r="C56" s="7" t="n">
        <v>2022</v>
      </c>
      <c r="D56" s="7" t="s">
        <v>468</v>
      </c>
      <c r="E56" s="7" t="s">
        <v>143</v>
      </c>
      <c r="F56" s="7" t="s">
        <v>469</v>
      </c>
      <c r="G56" s="7" t="s">
        <v>145</v>
      </c>
      <c r="H56" s="7" t="s">
        <v>146</v>
      </c>
      <c r="I56" s="7" t="s">
        <v>470</v>
      </c>
      <c r="J56" s="7"/>
      <c r="K56" s="7" t="s">
        <v>471</v>
      </c>
    </row>
    <row r="57" customFormat="false" ht="35.05" hidden="false" customHeight="false" outlineLevel="0" collapsed="false">
      <c r="A57" s="7" t="n">
        <v>56</v>
      </c>
      <c r="B57" s="7" t="s">
        <v>472</v>
      </c>
      <c r="C57" s="7" t="n">
        <v>2016</v>
      </c>
      <c r="D57" s="7" t="s">
        <v>473</v>
      </c>
      <c r="E57" s="7" t="s">
        <v>151</v>
      </c>
      <c r="F57" s="7" t="s">
        <v>152</v>
      </c>
      <c r="G57" s="7" t="s">
        <v>145</v>
      </c>
      <c r="H57" s="7" t="s">
        <v>146</v>
      </c>
      <c r="I57" s="7" t="s">
        <v>474</v>
      </c>
      <c r="J57" s="7"/>
      <c r="K57" s="7" t="s">
        <v>475</v>
      </c>
    </row>
    <row r="58" customFormat="false" ht="23.85" hidden="false" customHeight="false" outlineLevel="0" collapsed="false">
      <c r="A58" s="7" t="n">
        <v>57</v>
      </c>
      <c r="B58" s="7" t="s">
        <v>476</v>
      </c>
      <c r="C58" s="7" t="n">
        <v>2013</v>
      </c>
      <c r="D58" s="7" t="s">
        <v>477</v>
      </c>
      <c r="E58" s="7" t="s">
        <v>151</v>
      </c>
      <c r="F58" s="7" t="s">
        <v>478</v>
      </c>
      <c r="G58" s="7" t="s">
        <v>479</v>
      </c>
      <c r="H58" s="7" t="s">
        <v>146</v>
      </c>
      <c r="I58" s="7" t="s">
        <v>480</v>
      </c>
      <c r="J58" s="7"/>
      <c r="K58" s="7" t="s">
        <v>481</v>
      </c>
    </row>
    <row r="59" customFormat="false" ht="35.05" hidden="false" customHeight="false" outlineLevel="0" collapsed="false">
      <c r="A59" s="7" t="n">
        <v>58</v>
      </c>
      <c r="B59" s="7" t="s">
        <v>482</v>
      </c>
      <c r="C59" s="7" t="n">
        <v>2000</v>
      </c>
      <c r="D59" s="7" t="s">
        <v>483</v>
      </c>
      <c r="E59" s="7" t="s">
        <v>143</v>
      </c>
      <c r="F59" s="7" t="s">
        <v>484</v>
      </c>
      <c r="G59" s="7" t="s">
        <v>145</v>
      </c>
      <c r="H59" s="7" t="s">
        <v>153</v>
      </c>
      <c r="I59" s="7" t="s">
        <v>485</v>
      </c>
      <c r="J59" s="7" t="s">
        <v>114</v>
      </c>
      <c r="K59" s="7" t="s">
        <v>486</v>
      </c>
    </row>
    <row r="60" customFormat="false" ht="35.05" hidden="false" customHeight="false" outlineLevel="0" collapsed="false">
      <c r="A60" s="7" t="n">
        <v>59</v>
      </c>
      <c r="B60" s="7" t="s">
        <v>487</v>
      </c>
      <c r="C60" s="7" t="n">
        <v>2015</v>
      </c>
      <c r="D60" s="7" t="s">
        <v>488</v>
      </c>
      <c r="E60" s="7" t="s">
        <v>151</v>
      </c>
      <c r="F60" s="7" t="s">
        <v>489</v>
      </c>
      <c r="G60" s="7" t="s">
        <v>490</v>
      </c>
      <c r="H60" s="7" t="s">
        <v>146</v>
      </c>
      <c r="I60" s="7" t="s">
        <v>491</v>
      </c>
      <c r="J60" s="7" t="s">
        <v>116</v>
      </c>
      <c r="K60" s="7" t="s">
        <v>492</v>
      </c>
    </row>
    <row r="61" customFormat="false" ht="23.85" hidden="false" customHeight="false" outlineLevel="0" collapsed="false">
      <c r="A61" s="7" t="n">
        <v>60</v>
      </c>
      <c r="B61" s="7" t="s">
        <v>493</v>
      </c>
      <c r="C61" s="7" t="n">
        <v>2019</v>
      </c>
      <c r="D61" s="7" t="s">
        <v>494</v>
      </c>
      <c r="E61" s="7" t="s">
        <v>143</v>
      </c>
      <c r="F61" s="7" t="s">
        <v>495</v>
      </c>
      <c r="G61" s="7" t="s">
        <v>327</v>
      </c>
      <c r="H61" s="7" t="s">
        <v>146</v>
      </c>
      <c r="I61" s="7" t="s">
        <v>496</v>
      </c>
      <c r="J61" s="7" t="s">
        <v>116</v>
      </c>
      <c r="K61" s="7" t="s">
        <v>497</v>
      </c>
    </row>
    <row r="62" customFormat="false" ht="35.05" hidden="false" customHeight="false" outlineLevel="0" collapsed="false">
      <c r="A62" s="7" t="n">
        <v>61</v>
      </c>
      <c r="B62" s="7" t="s">
        <v>498</v>
      </c>
      <c r="C62" s="7" t="n">
        <v>2012</v>
      </c>
      <c r="D62" s="7" t="s">
        <v>499</v>
      </c>
      <c r="E62" s="7" t="s">
        <v>151</v>
      </c>
      <c r="F62" s="7" t="s">
        <v>500</v>
      </c>
      <c r="G62" s="7" t="s">
        <v>501</v>
      </c>
      <c r="H62" s="7" t="s">
        <v>146</v>
      </c>
      <c r="I62" s="7" t="s">
        <v>502</v>
      </c>
      <c r="J62" s="7" t="s">
        <v>116</v>
      </c>
      <c r="K62" s="7" t="s">
        <v>503</v>
      </c>
    </row>
    <row r="63" customFormat="false" ht="23.85" hidden="false" customHeight="false" outlineLevel="0" collapsed="false">
      <c r="A63" s="7" t="n">
        <v>62</v>
      </c>
      <c r="B63" s="7" t="s">
        <v>504</v>
      </c>
      <c r="C63" s="7" t="n">
        <v>2025</v>
      </c>
      <c r="D63" s="7" t="s">
        <v>505</v>
      </c>
      <c r="E63" s="7" t="s">
        <v>143</v>
      </c>
      <c r="F63" s="7" t="s">
        <v>506</v>
      </c>
      <c r="G63" s="7" t="s">
        <v>145</v>
      </c>
      <c r="H63" s="7" t="s">
        <v>387</v>
      </c>
      <c r="I63" s="7" t="s">
        <v>507</v>
      </c>
      <c r="J63" s="7"/>
      <c r="K63" s="7" t="s">
        <v>508</v>
      </c>
    </row>
    <row r="64" customFormat="false" ht="57.45" hidden="false" customHeight="false" outlineLevel="0" collapsed="false">
      <c r="A64" s="7" t="n">
        <v>63</v>
      </c>
      <c r="B64" s="7" t="s">
        <v>509</v>
      </c>
      <c r="C64" s="7" t="n">
        <v>2015</v>
      </c>
      <c r="D64" s="7" t="s">
        <v>510</v>
      </c>
      <c r="E64" s="7" t="s">
        <v>15152</v>
      </c>
      <c r="F64" s="7" t="s">
        <v>15153</v>
      </c>
      <c r="G64" s="7" t="s">
        <v>512</v>
      </c>
      <c r="H64" s="7" t="s">
        <v>146</v>
      </c>
      <c r="I64" s="7" t="s">
        <v>15154</v>
      </c>
      <c r="J64" s="7" t="s">
        <v>116</v>
      </c>
      <c r="K64" s="7" t="s">
        <v>15155</v>
      </c>
    </row>
    <row r="65" customFormat="false" ht="23.85" hidden="false" customHeight="false" outlineLevel="0" collapsed="false">
      <c r="A65" s="7" t="n">
        <v>64</v>
      </c>
      <c r="B65" s="7" t="s">
        <v>518</v>
      </c>
      <c r="C65" s="7" t="n">
        <v>2024</v>
      </c>
      <c r="D65" s="7" t="s">
        <v>519</v>
      </c>
      <c r="E65" s="7" t="s">
        <v>143</v>
      </c>
      <c r="F65" s="7" t="s">
        <v>520</v>
      </c>
      <c r="G65" s="7" t="s">
        <v>521</v>
      </c>
      <c r="H65" s="7" t="s">
        <v>522</v>
      </c>
      <c r="I65" s="7" t="s">
        <v>523</v>
      </c>
      <c r="J65" s="7" t="s">
        <v>116</v>
      </c>
      <c r="K65" s="7" t="s">
        <v>524</v>
      </c>
    </row>
    <row r="66" customFormat="false" ht="23.85" hidden="false" customHeight="false" outlineLevel="0" collapsed="false">
      <c r="A66" s="7" t="n">
        <v>65</v>
      </c>
      <c r="B66" s="7" t="s">
        <v>525</v>
      </c>
      <c r="C66" s="7" t="n">
        <v>2018</v>
      </c>
      <c r="D66" s="7" t="s">
        <v>526</v>
      </c>
      <c r="E66" s="7" t="s">
        <v>151</v>
      </c>
      <c r="F66" s="7" t="s">
        <v>495</v>
      </c>
      <c r="G66" s="7" t="s">
        <v>527</v>
      </c>
      <c r="H66" s="7" t="s">
        <v>146</v>
      </c>
      <c r="I66" s="7" t="s">
        <v>528</v>
      </c>
      <c r="J66" s="7" t="s">
        <v>116</v>
      </c>
      <c r="K66" s="7" t="s">
        <v>529</v>
      </c>
    </row>
    <row r="67" customFormat="false" ht="147" hidden="false" customHeight="false" outlineLevel="0" collapsed="false">
      <c r="A67" s="7" t="n">
        <v>66</v>
      </c>
      <c r="B67" s="7" t="s">
        <v>15156</v>
      </c>
      <c r="C67" s="7" t="n">
        <v>2021</v>
      </c>
      <c r="D67" s="7" t="s">
        <v>531</v>
      </c>
      <c r="E67" s="7" t="s">
        <v>15157</v>
      </c>
      <c r="F67" s="7" t="s">
        <v>15158</v>
      </c>
      <c r="G67" s="7" t="s">
        <v>145</v>
      </c>
      <c r="H67" s="7" t="s">
        <v>15159</v>
      </c>
      <c r="I67" s="7" t="s">
        <v>15160</v>
      </c>
      <c r="J67" s="7" t="s">
        <v>114</v>
      </c>
      <c r="K67" s="7" t="s">
        <v>15161</v>
      </c>
    </row>
    <row r="68" customFormat="false" ht="326.1" hidden="false" customHeight="false" outlineLevel="0" collapsed="false">
      <c r="A68" s="7" t="n">
        <v>67</v>
      </c>
      <c r="B68" s="7" t="s">
        <v>15162</v>
      </c>
      <c r="C68" s="7" t="n">
        <v>2020</v>
      </c>
      <c r="D68" s="7" t="s">
        <v>547</v>
      </c>
      <c r="E68" s="7" t="s">
        <v>15163</v>
      </c>
      <c r="F68" s="7" t="s">
        <v>15164</v>
      </c>
      <c r="G68" s="7" t="s">
        <v>145</v>
      </c>
      <c r="H68" s="7" t="s">
        <v>15165</v>
      </c>
      <c r="I68" s="7" t="s">
        <v>15166</v>
      </c>
      <c r="J68" s="7" t="s">
        <v>114</v>
      </c>
      <c r="K68" s="7" t="s">
        <v>15167</v>
      </c>
    </row>
    <row r="69" customFormat="false" ht="102.2" hidden="false" customHeight="false" outlineLevel="0" collapsed="false">
      <c r="A69" s="7" t="n">
        <v>68</v>
      </c>
      <c r="B69" s="7" t="s">
        <v>15168</v>
      </c>
      <c r="C69" s="7" t="n">
        <v>2019</v>
      </c>
      <c r="D69" s="7" t="s">
        <v>592</v>
      </c>
      <c r="E69" s="7" t="s">
        <v>15169</v>
      </c>
      <c r="F69" s="7" t="s">
        <v>15170</v>
      </c>
      <c r="G69" s="7" t="s">
        <v>145</v>
      </c>
      <c r="H69" s="7" t="s">
        <v>15159</v>
      </c>
      <c r="I69" s="7" t="s">
        <v>15171</v>
      </c>
      <c r="J69" s="7" t="s">
        <v>114</v>
      </c>
      <c r="K69" s="7" t="s">
        <v>15172</v>
      </c>
    </row>
    <row r="70" customFormat="false" ht="68.65" hidden="false" customHeight="false" outlineLevel="0" collapsed="false">
      <c r="A70" s="7" t="n">
        <v>69</v>
      </c>
      <c r="B70" s="7" t="s">
        <v>15173</v>
      </c>
      <c r="C70" s="7" t="n">
        <v>2022</v>
      </c>
      <c r="D70" s="7" t="s">
        <v>604</v>
      </c>
      <c r="E70" s="7" t="s">
        <v>143</v>
      </c>
      <c r="F70" s="7" t="s">
        <v>15174</v>
      </c>
      <c r="G70" s="7" t="s">
        <v>15175</v>
      </c>
      <c r="H70" s="7" t="s">
        <v>15176</v>
      </c>
      <c r="I70" s="7" t="s">
        <v>15177</v>
      </c>
      <c r="J70" s="7" t="s">
        <v>112</v>
      </c>
      <c r="K70" s="7" t="s">
        <v>15178</v>
      </c>
    </row>
    <row r="71" customFormat="false" ht="23.85" hidden="false" customHeight="false" outlineLevel="0" collapsed="false">
      <c r="A71" s="7" t="n">
        <v>70</v>
      </c>
      <c r="B71" s="7" t="s">
        <v>614</v>
      </c>
      <c r="C71" s="7" t="n">
        <v>2016</v>
      </c>
      <c r="D71" s="7" t="s">
        <v>615</v>
      </c>
      <c r="E71" s="7" t="s">
        <v>143</v>
      </c>
      <c r="F71" s="7" t="s">
        <v>495</v>
      </c>
      <c r="G71" s="7" t="s">
        <v>616</v>
      </c>
      <c r="H71" s="7" t="s">
        <v>146</v>
      </c>
      <c r="I71" s="7" t="s">
        <v>617</v>
      </c>
      <c r="J71" s="7" t="s">
        <v>116</v>
      </c>
      <c r="K71" s="7" t="s">
        <v>618</v>
      </c>
    </row>
    <row r="72" customFormat="false" ht="46.25" hidden="false" customHeight="false" outlineLevel="0" collapsed="false">
      <c r="A72" s="7" t="n">
        <v>71</v>
      </c>
      <c r="B72" s="7" t="s">
        <v>15179</v>
      </c>
      <c r="C72" s="7" t="n">
        <v>2023</v>
      </c>
      <c r="D72" s="7" t="s">
        <v>620</v>
      </c>
      <c r="E72" s="7" t="s">
        <v>15152</v>
      </c>
      <c r="F72" s="7" t="s">
        <v>15180</v>
      </c>
      <c r="G72" s="7" t="s">
        <v>15181</v>
      </c>
      <c r="H72" s="7" t="s">
        <v>387</v>
      </c>
      <c r="I72" s="7" t="s">
        <v>15182</v>
      </c>
      <c r="J72" s="7" t="s">
        <v>112</v>
      </c>
      <c r="K72" s="7" t="s">
        <v>15183</v>
      </c>
    </row>
    <row r="73" customFormat="false" ht="23.85" hidden="false" customHeight="false" outlineLevel="0" collapsed="false">
      <c r="A73" s="7" t="n">
        <v>72</v>
      </c>
      <c r="B73" s="7" t="s">
        <v>629</v>
      </c>
      <c r="C73" s="7" t="n">
        <v>2023</v>
      </c>
      <c r="D73" s="7" t="s">
        <v>630</v>
      </c>
      <c r="E73" s="7" t="s">
        <v>151</v>
      </c>
      <c r="F73" s="7" t="s">
        <v>631</v>
      </c>
      <c r="G73" s="7" t="s">
        <v>632</v>
      </c>
      <c r="H73" s="7" t="s">
        <v>146</v>
      </c>
      <c r="I73" s="7" t="s">
        <v>633</v>
      </c>
      <c r="J73" s="7"/>
      <c r="K73" s="7" t="s">
        <v>634</v>
      </c>
    </row>
    <row r="74" customFormat="false" ht="35.05" hidden="false" customHeight="false" outlineLevel="0" collapsed="false">
      <c r="A74" s="7" t="n">
        <v>73</v>
      </c>
      <c r="B74" s="7" t="s">
        <v>635</v>
      </c>
      <c r="C74" s="7" t="n">
        <v>2021</v>
      </c>
      <c r="D74" s="7" t="s">
        <v>636</v>
      </c>
      <c r="E74" s="7" t="s">
        <v>143</v>
      </c>
      <c r="F74" s="7" t="s">
        <v>637</v>
      </c>
      <c r="G74" s="7" t="s">
        <v>638</v>
      </c>
      <c r="H74" s="7" t="s">
        <v>387</v>
      </c>
      <c r="I74" s="7" t="s">
        <v>507</v>
      </c>
      <c r="J74" s="7" t="s">
        <v>114</v>
      </c>
      <c r="K74" s="7" t="s">
        <v>639</v>
      </c>
    </row>
    <row r="75" customFormat="false" ht="23.85" hidden="false" customHeight="false" outlineLevel="0" collapsed="false">
      <c r="A75" s="7" t="n">
        <v>74</v>
      </c>
      <c r="B75" s="7" t="s">
        <v>635</v>
      </c>
      <c r="C75" s="7" t="n">
        <v>2024</v>
      </c>
      <c r="D75" s="7" t="s">
        <v>640</v>
      </c>
      <c r="E75" s="7" t="s">
        <v>151</v>
      </c>
      <c r="F75" s="7" t="s">
        <v>641</v>
      </c>
      <c r="G75" s="7" t="s">
        <v>642</v>
      </c>
      <c r="H75" s="7" t="s">
        <v>387</v>
      </c>
      <c r="I75" s="7" t="s">
        <v>507</v>
      </c>
      <c r="J75" s="7" t="s">
        <v>114</v>
      </c>
      <c r="K75" s="7" t="s">
        <v>643</v>
      </c>
    </row>
    <row r="76" customFormat="false" ht="23.85" hidden="false" customHeight="false" outlineLevel="0" collapsed="false">
      <c r="A76" s="7" t="n">
        <v>75</v>
      </c>
      <c r="B76" s="7" t="s">
        <v>635</v>
      </c>
      <c r="C76" s="7" t="n">
        <v>2025</v>
      </c>
      <c r="D76" s="7" t="s">
        <v>644</v>
      </c>
      <c r="E76" s="7" t="s">
        <v>143</v>
      </c>
      <c r="F76" s="7" t="s">
        <v>645</v>
      </c>
      <c r="G76" s="7" t="s">
        <v>145</v>
      </c>
      <c r="H76" s="7" t="s">
        <v>533</v>
      </c>
      <c r="I76" s="7" t="s">
        <v>646</v>
      </c>
      <c r="J76" s="7" t="s">
        <v>110</v>
      </c>
      <c r="K76" s="7" t="s">
        <v>647</v>
      </c>
    </row>
    <row r="77" customFormat="false" ht="35.05" hidden="false" customHeight="false" outlineLevel="0" collapsed="false">
      <c r="A77" s="7" t="n">
        <v>76</v>
      </c>
      <c r="B77" s="7" t="s">
        <v>648</v>
      </c>
      <c r="C77" s="7" t="n">
        <v>2022</v>
      </c>
      <c r="D77" s="7" t="s">
        <v>649</v>
      </c>
      <c r="E77" s="7" t="s">
        <v>143</v>
      </c>
      <c r="F77" s="7" t="s">
        <v>650</v>
      </c>
      <c r="G77" s="7" t="s">
        <v>145</v>
      </c>
      <c r="H77" s="7" t="s">
        <v>146</v>
      </c>
      <c r="I77" s="7" t="s">
        <v>651</v>
      </c>
      <c r="J77" s="7" t="s">
        <v>116</v>
      </c>
      <c r="K77" s="7" t="s">
        <v>652</v>
      </c>
    </row>
    <row r="78" customFormat="false" ht="23.85" hidden="false" customHeight="false" outlineLevel="0" collapsed="false">
      <c r="A78" s="7" t="n">
        <v>77</v>
      </c>
      <c r="B78" s="7" t="s">
        <v>653</v>
      </c>
      <c r="C78" s="7" t="n">
        <v>2020</v>
      </c>
      <c r="D78" s="7" t="s">
        <v>654</v>
      </c>
      <c r="E78" s="7" t="s">
        <v>143</v>
      </c>
      <c r="F78" s="7" t="s">
        <v>655</v>
      </c>
      <c r="G78" s="7" t="s">
        <v>656</v>
      </c>
      <c r="H78" s="7" t="s">
        <v>146</v>
      </c>
      <c r="I78" s="7" t="s">
        <v>657</v>
      </c>
      <c r="J78" s="7" t="s">
        <v>116</v>
      </c>
      <c r="K78" s="7" t="s">
        <v>658</v>
      </c>
    </row>
    <row r="79" customFormat="false" ht="35.05" hidden="false" customHeight="false" outlineLevel="0" collapsed="false">
      <c r="A79" s="7" t="n">
        <v>78</v>
      </c>
      <c r="B79" s="7" t="s">
        <v>659</v>
      </c>
      <c r="C79" s="7" t="n">
        <v>2019</v>
      </c>
      <c r="D79" s="7" t="s">
        <v>660</v>
      </c>
      <c r="E79" s="7" t="s">
        <v>151</v>
      </c>
      <c r="F79" s="7" t="s">
        <v>661</v>
      </c>
      <c r="G79" s="7" t="s">
        <v>145</v>
      </c>
      <c r="H79" s="7" t="s">
        <v>387</v>
      </c>
      <c r="I79" s="7" t="s">
        <v>662</v>
      </c>
      <c r="J79" s="7" t="s">
        <v>116</v>
      </c>
      <c r="K79" s="7" t="s">
        <v>663</v>
      </c>
    </row>
    <row r="80" customFormat="false" ht="35.05" hidden="false" customHeight="false" outlineLevel="0" collapsed="false">
      <c r="A80" s="7" t="n">
        <v>79</v>
      </c>
      <c r="B80" s="7" t="s">
        <v>664</v>
      </c>
      <c r="C80" s="7" t="n">
        <v>2018</v>
      </c>
      <c r="D80" s="7" t="s">
        <v>665</v>
      </c>
      <c r="E80" s="7" t="s">
        <v>151</v>
      </c>
      <c r="F80" s="7" t="s">
        <v>495</v>
      </c>
      <c r="G80" s="7" t="s">
        <v>666</v>
      </c>
      <c r="H80" s="7" t="s">
        <v>146</v>
      </c>
      <c r="I80" s="7" t="s">
        <v>667</v>
      </c>
      <c r="J80" s="7" t="s">
        <v>116</v>
      </c>
      <c r="K80" s="7" t="s">
        <v>668</v>
      </c>
    </row>
    <row r="81" customFormat="false" ht="35.05" hidden="false" customHeight="false" outlineLevel="0" collapsed="false">
      <c r="A81" s="7" t="n">
        <v>80</v>
      </c>
      <c r="B81" s="7" t="s">
        <v>669</v>
      </c>
      <c r="C81" s="7" t="n">
        <v>2014</v>
      </c>
      <c r="D81" s="7" t="s">
        <v>670</v>
      </c>
      <c r="E81" s="7" t="s">
        <v>143</v>
      </c>
      <c r="F81" s="7" t="s">
        <v>671</v>
      </c>
      <c r="G81" s="7" t="s">
        <v>672</v>
      </c>
      <c r="H81" s="7" t="s">
        <v>146</v>
      </c>
      <c r="I81" s="7" t="s">
        <v>673</v>
      </c>
      <c r="J81" s="7" t="s">
        <v>116</v>
      </c>
      <c r="K81" s="7" t="s">
        <v>674</v>
      </c>
    </row>
    <row r="82" customFormat="false" ht="23.85" hidden="false" customHeight="false" outlineLevel="0" collapsed="false">
      <c r="A82" s="7" t="n">
        <v>81</v>
      </c>
      <c r="B82" s="7" t="s">
        <v>675</v>
      </c>
      <c r="C82" s="7" t="n">
        <v>2023</v>
      </c>
      <c r="D82" s="7" t="s">
        <v>676</v>
      </c>
      <c r="E82" s="7" t="s">
        <v>151</v>
      </c>
      <c r="F82" s="7" t="s">
        <v>677</v>
      </c>
      <c r="G82" s="7" t="s">
        <v>678</v>
      </c>
      <c r="H82" s="7" t="s">
        <v>146</v>
      </c>
      <c r="I82" s="7" t="s">
        <v>679</v>
      </c>
      <c r="J82" s="7" t="s">
        <v>116</v>
      </c>
      <c r="K82" s="7" t="s">
        <v>680</v>
      </c>
    </row>
    <row r="83" customFormat="false" ht="23.85" hidden="false" customHeight="false" outlineLevel="0" collapsed="false">
      <c r="A83" s="7" t="n">
        <v>82</v>
      </c>
      <c r="B83" s="7" t="s">
        <v>681</v>
      </c>
      <c r="C83" s="7" t="n">
        <v>2009</v>
      </c>
      <c r="D83" s="7" t="s">
        <v>682</v>
      </c>
      <c r="E83" s="7" t="s">
        <v>151</v>
      </c>
      <c r="F83" s="7" t="s">
        <v>683</v>
      </c>
      <c r="G83" s="7" t="s">
        <v>684</v>
      </c>
      <c r="H83" s="7" t="s">
        <v>146</v>
      </c>
      <c r="I83" s="7" t="s">
        <v>685</v>
      </c>
      <c r="J83" s="7" t="s">
        <v>116</v>
      </c>
      <c r="K83" s="7" t="s">
        <v>686</v>
      </c>
    </row>
    <row r="84" customFormat="false" ht="23.85" hidden="false" customHeight="false" outlineLevel="0" collapsed="false">
      <c r="A84" s="7" t="n">
        <v>83</v>
      </c>
      <c r="B84" s="7" t="s">
        <v>687</v>
      </c>
      <c r="C84" s="7" t="n">
        <v>2022</v>
      </c>
      <c r="D84" s="7" t="s">
        <v>688</v>
      </c>
      <c r="E84" s="7" t="s">
        <v>151</v>
      </c>
      <c r="F84" s="7" t="s">
        <v>689</v>
      </c>
      <c r="G84" s="7" t="s">
        <v>690</v>
      </c>
      <c r="H84" s="7" t="s">
        <v>146</v>
      </c>
      <c r="I84" s="7" t="s">
        <v>691</v>
      </c>
      <c r="J84" s="7" t="s">
        <v>116</v>
      </c>
      <c r="K84" s="7" t="s">
        <v>692</v>
      </c>
    </row>
    <row r="85" customFormat="false" ht="35.05" hidden="false" customHeight="false" outlineLevel="0" collapsed="false">
      <c r="A85" s="7" t="n">
        <v>84</v>
      </c>
      <c r="B85" s="7" t="s">
        <v>693</v>
      </c>
      <c r="C85" s="7" t="n">
        <v>2013</v>
      </c>
      <c r="D85" s="7" t="s">
        <v>694</v>
      </c>
      <c r="E85" s="7" t="s">
        <v>151</v>
      </c>
      <c r="F85" s="7" t="s">
        <v>695</v>
      </c>
      <c r="G85" s="7" t="s">
        <v>696</v>
      </c>
      <c r="H85" s="7" t="s">
        <v>146</v>
      </c>
      <c r="I85" s="7" t="s">
        <v>697</v>
      </c>
      <c r="J85" s="7" t="s">
        <v>116</v>
      </c>
      <c r="K85" s="7" t="s">
        <v>698</v>
      </c>
    </row>
    <row r="86" customFormat="false" ht="23.85" hidden="false" customHeight="false" outlineLevel="0" collapsed="false">
      <c r="A86" s="7" t="n">
        <v>85</v>
      </c>
      <c r="B86" s="7" t="s">
        <v>699</v>
      </c>
      <c r="C86" s="7" t="n">
        <v>2024</v>
      </c>
      <c r="D86" s="7" t="s">
        <v>700</v>
      </c>
      <c r="E86" s="7" t="s">
        <v>151</v>
      </c>
      <c r="F86" s="7" t="s">
        <v>677</v>
      </c>
      <c r="G86" s="7" t="s">
        <v>423</v>
      </c>
      <c r="H86" s="7" t="s">
        <v>146</v>
      </c>
      <c r="I86" s="7" t="s">
        <v>701</v>
      </c>
      <c r="J86" s="7" t="s">
        <v>116</v>
      </c>
      <c r="K86" s="7" t="s">
        <v>702</v>
      </c>
    </row>
    <row r="87" customFormat="false" ht="23.85" hidden="false" customHeight="false" outlineLevel="0" collapsed="false">
      <c r="A87" s="7" t="n">
        <v>86</v>
      </c>
      <c r="B87" s="7" t="s">
        <v>703</v>
      </c>
      <c r="C87" s="7" t="n">
        <v>2016</v>
      </c>
      <c r="D87" s="7" t="s">
        <v>704</v>
      </c>
      <c r="E87" s="7" t="s">
        <v>143</v>
      </c>
      <c r="F87" s="7" t="s">
        <v>705</v>
      </c>
      <c r="G87" s="7" t="s">
        <v>145</v>
      </c>
      <c r="H87" s="7" t="s">
        <v>387</v>
      </c>
      <c r="I87" s="7" t="s">
        <v>397</v>
      </c>
      <c r="J87" s="7" t="s">
        <v>116</v>
      </c>
      <c r="K87" s="7" t="s">
        <v>706</v>
      </c>
    </row>
    <row r="88" customFormat="false" ht="35.05" hidden="false" customHeight="false" outlineLevel="0" collapsed="false">
      <c r="A88" s="7" t="n">
        <v>87</v>
      </c>
      <c r="B88" s="7" t="s">
        <v>707</v>
      </c>
      <c r="C88" s="7" t="n">
        <v>2017</v>
      </c>
      <c r="D88" s="7" t="s">
        <v>708</v>
      </c>
      <c r="E88" s="7" t="s">
        <v>151</v>
      </c>
      <c r="F88" s="7" t="s">
        <v>709</v>
      </c>
      <c r="G88" s="7" t="s">
        <v>710</v>
      </c>
      <c r="H88" s="7" t="s">
        <v>146</v>
      </c>
      <c r="I88" s="7" t="s">
        <v>662</v>
      </c>
      <c r="J88" s="7" t="s">
        <v>116</v>
      </c>
      <c r="K88" s="7" t="s">
        <v>711</v>
      </c>
    </row>
    <row r="89" customFormat="false" ht="23.85" hidden="false" customHeight="false" outlineLevel="0" collapsed="false">
      <c r="A89" s="7" t="n">
        <v>88</v>
      </c>
      <c r="B89" s="7" t="s">
        <v>712</v>
      </c>
      <c r="C89" s="7" t="n">
        <v>2024</v>
      </c>
      <c r="D89" s="7" t="s">
        <v>713</v>
      </c>
      <c r="E89" s="7" t="s">
        <v>143</v>
      </c>
      <c r="F89" s="7" t="s">
        <v>714</v>
      </c>
      <c r="G89" s="7" t="s">
        <v>715</v>
      </c>
      <c r="H89" s="7" t="s">
        <v>146</v>
      </c>
      <c r="I89" s="7" t="s">
        <v>716</v>
      </c>
      <c r="J89" s="7" t="s">
        <v>116</v>
      </c>
      <c r="K89" s="7" t="s">
        <v>717</v>
      </c>
    </row>
    <row r="90" customFormat="false" ht="23.85" hidden="false" customHeight="false" outlineLevel="0" collapsed="false">
      <c r="A90" s="7" t="n">
        <v>89</v>
      </c>
      <c r="B90" s="7" t="s">
        <v>718</v>
      </c>
      <c r="C90" s="7" t="n">
        <v>2012</v>
      </c>
      <c r="D90" s="7" t="s">
        <v>719</v>
      </c>
      <c r="E90" s="7" t="s">
        <v>143</v>
      </c>
      <c r="F90" s="7" t="s">
        <v>720</v>
      </c>
      <c r="G90" s="7" t="s">
        <v>721</v>
      </c>
      <c r="H90" s="7" t="s">
        <v>146</v>
      </c>
      <c r="I90" s="7" t="s">
        <v>722</v>
      </c>
      <c r="J90" s="7" t="s">
        <v>116</v>
      </c>
      <c r="K90" s="7" t="s">
        <v>723</v>
      </c>
    </row>
    <row r="91" customFormat="false" ht="23.85" hidden="false" customHeight="false" outlineLevel="0" collapsed="false">
      <c r="A91" s="7" t="n">
        <v>90</v>
      </c>
      <c r="B91" s="7" t="s">
        <v>724</v>
      </c>
      <c r="C91" s="7" t="n">
        <v>2011</v>
      </c>
      <c r="D91" s="7" t="s">
        <v>725</v>
      </c>
      <c r="E91" s="7" t="s">
        <v>151</v>
      </c>
      <c r="F91" s="7" t="s">
        <v>726</v>
      </c>
      <c r="G91" s="7" t="s">
        <v>490</v>
      </c>
      <c r="H91" s="7" t="s">
        <v>146</v>
      </c>
      <c r="I91" s="7" t="s">
        <v>727</v>
      </c>
      <c r="J91" s="7" t="s">
        <v>116</v>
      </c>
      <c r="K91" s="7" t="s">
        <v>728</v>
      </c>
    </row>
    <row r="92" customFormat="false" ht="23.85" hidden="false" customHeight="false" outlineLevel="0" collapsed="false">
      <c r="A92" s="7" t="n">
        <v>91</v>
      </c>
      <c r="B92" s="7" t="s">
        <v>729</v>
      </c>
      <c r="C92" s="7" t="n">
        <v>2024</v>
      </c>
      <c r="D92" s="7" t="s">
        <v>730</v>
      </c>
      <c r="E92" s="7" t="s">
        <v>151</v>
      </c>
      <c r="F92" s="7" t="s">
        <v>731</v>
      </c>
      <c r="G92" s="7" t="s">
        <v>490</v>
      </c>
      <c r="H92" s="7" t="s">
        <v>146</v>
      </c>
      <c r="I92" s="7" t="s">
        <v>732</v>
      </c>
      <c r="J92" s="7" t="s">
        <v>116</v>
      </c>
      <c r="K92" s="7" t="s">
        <v>733</v>
      </c>
    </row>
    <row r="93" customFormat="false" ht="46.25" hidden="false" customHeight="false" outlineLevel="0" collapsed="false">
      <c r="A93" s="7" t="n">
        <v>92</v>
      </c>
      <c r="B93" s="7" t="s">
        <v>734</v>
      </c>
      <c r="C93" s="7" t="n">
        <v>2018</v>
      </c>
      <c r="D93" s="7" t="s">
        <v>735</v>
      </c>
      <c r="E93" s="7" t="s">
        <v>15184</v>
      </c>
      <c r="F93" s="7" t="s">
        <v>15185</v>
      </c>
      <c r="G93" s="7" t="s">
        <v>15186</v>
      </c>
      <c r="H93" s="7" t="s">
        <v>146</v>
      </c>
      <c r="I93" s="7" t="s">
        <v>15187</v>
      </c>
      <c r="J93" s="7" t="s">
        <v>116</v>
      </c>
      <c r="K93" s="7" t="s">
        <v>15188</v>
      </c>
    </row>
    <row r="94" customFormat="false" ht="23.85" hidden="false" customHeight="false" outlineLevel="0" collapsed="false">
      <c r="A94" s="7" t="n">
        <v>93</v>
      </c>
      <c r="B94" s="7" t="s">
        <v>740</v>
      </c>
      <c r="C94" s="7" t="n">
        <v>2008</v>
      </c>
      <c r="D94" s="7" t="s">
        <v>741</v>
      </c>
      <c r="E94" s="7" t="s">
        <v>151</v>
      </c>
      <c r="F94" s="7" t="s">
        <v>677</v>
      </c>
      <c r="G94" s="7" t="s">
        <v>423</v>
      </c>
      <c r="H94" s="7" t="s">
        <v>146</v>
      </c>
      <c r="I94" s="7" t="s">
        <v>742</v>
      </c>
      <c r="J94" s="7" t="s">
        <v>116</v>
      </c>
      <c r="K94" s="7" t="s">
        <v>743</v>
      </c>
    </row>
    <row r="95" customFormat="false" ht="35.05" hidden="false" customHeight="false" outlineLevel="0" collapsed="false">
      <c r="A95" s="7" t="n">
        <v>94</v>
      </c>
      <c r="B95" s="7" t="s">
        <v>744</v>
      </c>
      <c r="C95" s="7" t="n">
        <v>2024</v>
      </c>
      <c r="D95" s="7" t="s">
        <v>745</v>
      </c>
      <c r="E95" s="7" t="s">
        <v>143</v>
      </c>
      <c r="F95" s="7" t="s">
        <v>746</v>
      </c>
      <c r="G95" s="7" t="s">
        <v>747</v>
      </c>
      <c r="H95" s="7" t="s">
        <v>748</v>
      </c>
      <c r="I95" s="7" t="s">
        <v>749</v>
      </c>
      <c r="J95" s="7" t="s">
        <v>116</v>
      </c>
      <c r="K95" s="7" t="s">
        <v>750</v>
      </c>
    </row>
    <row r="96" customFormat="false" ht="23.85" hidden="false" customHeight="false" outlineLevel="0" collapsed="false">
      <c r="A96" s="7" t="n">
        <v>95</v>
      </c>
      <c r="B96" s="7" t="s">
        <v>751</v>
      </c>
      <c r="C96" s="7" t="n">
        <v>2017</v>
      </c>
      <c r="D96" s="7" t="s">
        <v>752</v>
      </c>
      <c r="E96" s="7" t="s">
        <v>151</v>
      </c>
      <c r="F96" s="7" t="s">
        <v>753</v>
      </c>
      <c r="G96" s="7" t="s">
        <v>754</v>
      </c>
      <c r="H96" s="7" t="s">
        <v>146</v>
      </c>
      <c r="I96" s="7" t="s">
        <v>755</v>
      </c>
      <c r="J96" s="7" t="s">
        <v>116</v>
      </c>
      <c r="K96" s="7" t="s">
        <v>756</v>
      </c>
    </row>
    <row r="97" customFormat="false" ht="23.85" hidden="false" customHeight="false" outlineLevel="0" collapsed="false">
      <c r="A97" s="7" t="n">
        <v>96</v>
      </c>
      <c r="B97" s="7" t="s">
        <v>757</v>
      </c>
      <c r="C97" s="7" t="n">
        <v>2015</v>
      </c>
      <c r="D97" s="7" t="s">
        <v>758</v>
      </c>
      <c r="E97" s="7" t="s">
        <v>143</v>
      </c>
      <c r="F97" s="7" t="s">
        <v>759</v>
      </c>
      <c r="G97" s="7" t="s">
        <v>760</v>
      </c>
      <c r="H97" s="7" t="s">
        <v>387</v>
      </c>
      <c r="I97" s="7" t="s">
        <v>761</v>
      </c>
      <c r="J97" s="7" t="s">
        <v>116</v>
      </c>
      <c r="K97" s="7" t="s">
        <v>762</v>
      </c>
    </row>
    <row r="98" customFormat="false" ht="35.05" hidden="false" customHeight="false" outlineLevel="0" collapsed="false">
      <c r="A98" s="7" t="n">
        <v>97</v>
      </c>
      <c r="B98" s="7" t="s">
        <v>763</v>
      </c>
      <c r="C98" s="7" t="n">
        <v>2022</v>
      </c>
      <c r="D98" s="7" t="s">
        <v>764</v>
      </c>
      <c r="E98" s="7" t="s">
        <v>151</v>
      </c>
      <c r="F98" s="7" t="s">
        <v>765</v>
      </c>
      <c r="G98" s="7" t="s">
        <v>423</v>
      </c>
      <c r="H98" s="7" t="s">
        <v>146</v>
      </c>
      <c r="I98" s="7" t="s">
        <v>528</v>
      </c>
      <c r="J98" s="7" t="s">
        <v>116</v>
      </c>
      <c r="K98" s="7" t="s">
        <v>766</v>
      </c>
    </row>
    <row r="99" customFormat="false" ht="23.85" hidden="false" customHeight="false" outlineLevel="0" collapsed="false">
      <c r="A99" s="7" t="n">
        <v>98</v>
      </c>
      <c r="B99" s="7" t="s">
        <v>767</v>
      </c>
      <c r="C99" s="7" t="n">
        <v>2021</v>
      </c>
      <c r="D99" s="7" t="s">
        <v>768</v>
      </c>
      <c r="E99" s="7" t="s">
        <v>151</v>
      </c>
      <c r="F99" s="7" t="s">
        <v>765</v>
      </c>
      <c r="G99" s="7" t="s">
        <v>769</v>
      </c>
      <c r="H99" s="7" t="s">
        <v>146</v>
      </c>
      <c r="I99" s="7" t="s">
        <v>617</v>
      </c>
      <c r="J99" s="7" t="s">
        <v>116</v>
      </c>
      <c r="K99" s="7" t="s">
        <v>770</v>
      </c>
    </row>
    <row r="100" customFormat="false" ht="23.85" hidden="false" customHeight="false" outlineLevel="0" collapsed="false">
      <c r="A100" s="7" t="n">
        <v>99</v>
      </c>
      <c r="B100" s="7" t="s">
        <v>771</v>
      </c>
      <c r="C100" s="7" t="n">
        <v>2023</v>
      </c>
      <c r="D100" s="7" t="s">
        <v>772</v>
      </c>
      <c r="E100" s="7" t="s">
        <v>151</v>
      </c>
      <c r="F100" s="7" t="s">
        <v>731</v>
      </c>
      <c r="G100" s="7" t="s">
        <v>773</v>
      </c>
      <c r="H100" s="7" t="s">
        <v>146</v>
      </c>
      <c r="I100" s="7" t="s">
        <v>774</v>
      </c>
      <c r="J100" s="7" t="s">
        <v>116</v>
      </c>
      <c r="K100" s="7" t="s">
        <v>775</v>
      </c>
    </row>
    <row r="101" customFormat="false" ht="23.85" hidden="false" customHeight="false" outlineLevel="0" collapsed="false">
      <c r="A101" s="7" t="n">
        <v>100</v>
      </c>
      <c r="B101" s="7" t="s">
        <v>776</v>
      </c>
      <c r="C101" s="7" t="n">
        <v>2005</v>
      </c>
      <c r="D101" s="7" t="s">
        <v>777</v>
      </c>
      <c r="E101" s="7" t="s">
        <v>143</v>
      </c>
      <c r="F101" s="7" t="s">
        <v>778</v>
      </c>
      <c r="G101" s="7" t="s">
        <v>779</v>
      </c>
      <c r="H101" s="7" t="s">
        <v>146</v>
      </c>
      <c r="I101" s="7" t="s">
        <v>780</v>
      </c>
      <c r="J101" s="7" t="s">
        <v>116</v>
      </c>
      <c r="K101" s="7" t="s">
        <v>781</v>
      </c>
    </row>
    <row r="102" customFormat="false" ht="23.85" hidden="false" customHeight="false" outlineLevel="0" collapsed="false">
      <c r="A102" s="7" t="n">
        <v>101</v>
      </c>
      <c r="B102" s="7" t="s">
        <v>782</v>
      </c>
      <c r="C102" s="7" t="n">
        <v>2018</v>
      </c>
      <c r="D102" s="7" t="s">
        <v>783</v>
      </c>
      <c r="E102" s="7" t="s">
        <v>143</v>
      </c>
      <c r="F102" s="7" t="s">
        <v>784</v>
      </c>
      <c r="G102" s="7" t="s">
        <v>501</v>
      </c>
      <c r="H102" s="7" t="s">
        <v>146</v>
      </c>
      <c r="I102" s="7" t="s">
        <v>785</v>
      </c>
      <c r="J102" s="7" t="s">
        <v>116</v>
      </c>
      <c r="K102" s="7" t="s">
        <v>786</v>
      </c>
    </row>
    <row r="103" customFormat="false" ht="23.85" hidden="false" customHeight="false" outlineLevel="0" collapsed="false">
      <c r="A103" s="7" t="n">
        <v>102</v>
      </c>
      <c r="B103" s="7" t="s">
        <v>787</v>
      </c>
      <c r="C103" s="7" t="n">
        <v>2018</v>
      </c>
      <c r="D103" s="7" t="s">
        <v>788</v>
      </c>
      <c r="E103" s="7" t="s">
        <v>151</v>
      </c>
      <c r="F103" s="7" t="s">
        <v>753</v>
      </c>
      <c r="G103" s="7" t="s">
        <v>490</v>
      </c>
      <c r="H103" s="7" t="s">
        <v>146</v>
      </c>
      <c r="I103" s="7" t="s">
        <v>789</v>
      </c>
      <c r="J103" s="7" t="s">
        <v>116</v>
      </c>
      <c r="K103" s="7" t="s">
        <v>790</v>
      </c>
    </row>
    <row r="104" customFormat="false" ht="23.85" hidden="false" customHeight="false" outlineLevel="0" collapsed="false">
      <c r="A104" s="7" t="n">
        <v>103</v>
      </c>
      <c r="B104" s="7" t="s">
        <v>791</v>
      </c>
      <c r="C104" s="7" t="n">
        <v>2019</v>
      </c>
      <c r="D104" s="7" t="s">
        <v>792</v>
      </c>
      <c r="E104" s="7" t="s">
        <v>143</v>
      </c>
      <c r="F104" s="7" t="s">
        <v>793</v>
      </c>
      <c r="G104" s="7" t="s">
        <v>145</v>
      </c>
      <c r="H104" s="7" t="s">
        <v>146</v>
      </c>
      <c r="I104" s="7" t="s">
        <v>794</v>
      </c>
      <c r="J104" s="7" t="s">
        <v>116</v>
      </c>
      <c r="K104" s="7" t="s">
        <v>795</v>
      </c>
    </row>
    <row r="105" customFormat="false" ht="23.85" hidden="false" customHeight="false" outlineLevel="0" collapsed="false">
      <c r="A105" s="7" t="n">
        <v>104</v>
      </c>
      <c r="B105" s="7" t="s">
        <v>796</v>
      </c>
      <c r="C105" s="7" t="n">
        <v>2023</v>
      </c>
      <c r="D105" s="7" t="s">
        <v>797</v>
      </c>
      <c r="E105" s="7" t="s">
        <v>151</v>
      </c>
      <c r="F105" s="7" t="s">
        <v>798</v>
      </c>
      <c r="G105" s="7" t="s">
        <v>145</v>
      </c>
      <c r="H105" s="7" t="s">
        <v>146</v>
      </c>
      <c r="I105" s="7" t="s">
        <v>491</v>
      </c>
      <c r="J105" s="7" t="s">
        <v>116</v>
      </c>
      <c r="K105" s="7" t="s">
        <v>799</v>
      </c>
    </row>
    <row r="106" customFormat="false" ht="35.05" hidden="false" customHeight="false" outlineLevel="0" collapsed="false">
      <c r="A106" s="7" t="n">
        <v>105</v>
      </c>
      <c r="B106" s="7" t="s">
        <v>800</v>
      </c>
      <c r="C106" s="7" t="n">
        <v>2012</v>
      </c>
      <c r="D106" s="7" t="s">
        <v>801</v>
      </c>
      <c r="E106" s="7" t="s">
        <v>143</v>
      </c>
      <c r="F106" s="7" t="s">
        <v>802</v>
      </c>
      <c r="G106" s="7" t="s">
        <v>187</v>
      </c>
      <c r="H106" s="7" t="s">
        <v>748</v>
      </c>
      <c r="I106" s="7" t="s">
        <v>803</v>
      </c>
      <c r="J106" s="7" t="s">
        <v>116</v>
      </c>
      <c r="K106" s="7" t="s">
        <v>804</v>
      </c>
    </row>
    <row r="107" customFormat="false" ht="23.85" hidden="false" customHeight="false" outlineLevel="0" collapsed="false">
      <c r="A107" s="7" t="n">
        <v>106</v>
      </c>
      <c r="B107" s="7" t="s">
        <v>805</v>
      </c>
      <c r="C107" s="7" t="n">
        <v>2015</v>
      </c>
      <c r="D107" s="7" t="s">
        <v>806</v>
      </c>
      <c r="E107" s="7" t="s">
        <v>143</v>
      </c>
      <c r="F107" s="7" t="s">
        <v>807</v>
      </c>
      <c r="G107" s="7" t="s">
        <v>145</v>
      </c>
      <c r="H107" s="7" t="s">
        <v>146</v>
      </c>
      <c r="I107" s="7" t="s">
        <v>808</v>
      </c>
      <c r="J107" s="7" t="s">
        <v>116</v>
      </c>
      <c r="K107" s="7" t="s">
        <v>809</v>
      </c>
    </row>
    <row r="108" customFormat="false" ht="23.85" hidden="false" customHeight="false" outlineLevel="0" collapsed="false">
      <c r="A108" s="7" t="n">
        <v>107</v>
      </c>
      <c r="B108" s="7" t="s">
        <v>810</v>
      </c>
      <c r="C108" s="7" t="n">
        <v>2022</v>
      </c>
      <c r="D108" s="7" t="s">
        <v>811</v>
      </c>
      <c r="E108" s="7" t="s">
        <v>151</v>
      </c>
      <c r="F108" s="7" t="s">
        <v>495</v>
      </c>
      <c r="G108" s="7" t="s">
        <v>812</v>
      </c>
      <c r="H108" s="7" t="s">
        <v>146</v>
      </c>
      <c r="I108" s="7" t="s">
        <v>813</v>
      </c>
      <c r="J108" s="7" t="s">
        <v>116</v>
      </c>
      <c r="K108" s="7" t="s">
        <v>814</v>
      </c>
    </row>
    <row r="109" customFormat="false" ht="35.05" hidden="false" customHeight="false" outlineLevel="0" collapsed="false">
      <c r="A109" s="7" t="n">
        <v>108</v>
      </c>
      <c r="B109" s="7" t="s">
        <v>815</v>
      </c>
      <c r="C109" s="7" t="n">
        <v>2023</v>
      </c>
      <c r="D109" s="7" t="s">
        <v>816</v>
      </c>
      <c r="E109" s="7" t="s">
        <v>151</v>
      </c>
      <c r="F109" s="7" t="s">
        <v>495</v>
      </c>
      <c r="G109" s="7" t="s">
        <v>817</v>
      </c>
      <c r="H109" s="7" t="s">
        <v>146</v>
      </c>
      <c r="I109" s="7" t="s">
        <v>818</v>
      </c>
      <c r="J109" s="7" t="s">
        <v>116</v>
      </c>
      <c r="K109" s="7" t="s">
        <v>819</v>
      </c>
    </row>
    <row r="110" customFormat="false" ht="23.85" hidden="false" customHeight="false" outlineLevel="0" collapsed="false">
      <c r="A110" s="7" t="n">
        <v>109</v>
      </c>
      <c r="B110" s="7" t="s">
        <v>456</v>
      </c>
      <c r="C110" s="7" t="n">
        <v>2021</v>
      </c>
      <c r="D110" s="7" t="s">
        <v>820</v>
      </c>
      <c r="E110" s="7" t="s">
        <v>143</v>
      </c>
      <c r="F110" s="7" t="s">
        <v>821</v>
      </c>
      <c r="G110" s="7" t="s">
        <v>145</v>
      </c>
      <c r="H110" s="7" t="s">
        <v>387</v>
      </c>
      <c r="I110" s="7" t="s">
        <v>822</v>
      </c>
      <c r="J110" s="7" t="s">
        <v>116</v>
      </c>
      <c r="K110" s="7" t="s">
        <v>823</v>
      </c>
    </row>
    <row r="111" customFormat="false" ht="23.85" hidden="false" customHeight="false" outlineLevel="0" collapsed="false">
      <c r="A111" s="7" t="n">
        <v>110</v>
      </c>
      <c r="B111" s="7" t="s">
        <v>824</v>
      </c>
      <c r="C111" s="7" t="n">
        <v>2021</v>
      </c>
      <c r="D111" s="7" t="s">
        <v>825</v>
      </c>
      <c r="E111" s="7" t="s">
        <v>151</v>
      </c>
      <c r="F111" s="7" t="s">
        <v>495</v>
      </c>
      <c r="G111" s="7" t="s">
        <v>826</v>
      </c>
      <c r="H111" s="7" t="s">
        <v>146</v>
      </c>
      <c r="I111" s="7" t="s">
        <v>528</v>
      </c>
      <c r="J111" s="7" t="s">
        <v>116</v>
      </c>
      <c r="K111" s="7" t="s">
        <v>827</v>
      </c>
    </row>
    <row r="112" customFormat="false" ht="46.25" hidden="false" customHeight="false" outlineLevel="0" collapsed="false">
      <c r="A112" s="7" t="n">
        <v>111</v>
      </c>
      <c r="B112" s="7" t="s">
        <v>828</v>
      </c>
      <c r="C112" s="7" t="n">
        <v>2020</v>
      </c>
      <c r="D112" s="7" t="s">
        <v>829</v>
      </c>
      <c r="E112" s="7" t="s">
        <v>15123</v>
      </c>
      <c r="F112" s="7" t="s">
        <v>15189</v>
      </c>
      <c r="G112" s="7" t="s">
        <v>145</v>
      </c>
      <c r="H112" s="7" t="s">
        <v>15165</v>
      </c>
      <c r="I112" s="7" t="s">
        <v>15190</v>
      </c>
      <c r="J112" s="7" t="s">
        <v>116</v>
      </c>
      <c r="K112" s="7" t="s">
        <v>15191</v>
      </c>
    </row>
    <row r="113" customFormat="false" ht="35.05" hidden="false" customHeight="false" outlineLevel="0" collapsed="false">
      <c r="A113" s="7" t="n">
        <v>112</v>
      </c>
      <c r="B113" s="7" t="s">
        <v>835</v>
      </c>
      <c r="C113" s="7" t="n">
        <v>2008</v>
      </c>
      <c r="D113" s="7" t="s">
        <v>836</v>
      </c>
      <c r="E113" s="7" t="s">
        <v>151</v>
      </c>
      <c r="F113" s="7" t="s">
        <v>837</v>
      </c>
      <c r="G113" s="7" t="s">
        <v>501</v>
      </c>
      <c r="H113" s="7" t="s">
        <v>146</v>
      </c>
      <c r="I113" s="7" t="s">
        <v>785</v>
      </c>
      <c r="J113" s="7" t="s">
        <v>116</v>
      </c>
      <c r="K113" s="7" t="s">
        <v>838</v>
      </c>
    </row>
    <row r="114" customFormat="false" ht="23.85" hidden="false" customHeight="false" outlineLevel="0" collapsed="false">
      <c r="A114" s="7" t="n">
        <v>113</v>
      </c>
      <c r="B114" s="7" t="s">
        <v>839</v>
      </c>
      <c r="C114" s="7" t="n">
        <v>2020</v>
      </c>
      <c r="D114" s="7" t="s">
        <v>840</v>
      </c>
      <c r="E114" s="7" t="s">
        <v>151</v>
      </c>
      <c r="F114" s="7" t="s">
        <v>683</v>
      </c>
      <c r="G114" s="7" t="s">
        <v>684</v>
      </c>
      <c r="H114" s="7" t="s">
        <v>146</v>
      </c>
      <c r="I114" s="7" t="s">
        <v>841</v>
      </c>
      <c r="J114" s="7" t="s">
        <v>116</v>
      </c>
      <c r="K114" s="7" t="s">
        <v>842</v>
      </c>
    </row>
    <row r="115" customFormat="false" ht="35.05" hidden="false" customHeight="false" outlineLevel="0" collapsed="false">
      <c r="A115" s="7" t="n">
        <v>114</v>
      </c>
      <c r="B115" s="7" t="s">
        <v>843</v>
      </c>
      <c r="C115" s="7" t="n">
        <v>2020</v>
      </c>
      <c r="D115" s="7" t="s">
        <v>844</v>
      </c>
      <c r="E115" s="7" t="s">
        <v>151</v>
      </c>
      <c r="F115" s="7" t="s">
        <v>845</v>
      </c>
      <c r="G115" s="7" t="s">
        <v>846</v>
      </c>
      <c r="H115" s="7" t="s">
        <v>146</v>
      </c>
      <c r="I115" s="7" t="s">
        <v>617</v>
      </c>
      <c r="J115" s="7" t="s">
        <v>116</v>
      </c>
      <c r="K115" s="7" t="s">
        <v>847</v>
      </c>
    </row>
    <row r="116" customFormat="false" ht="35.05" hidden="false" customHeight="false" outlineLevel="0" collapsed="false">
      <c r="A116" s="7" t="n">
        <v>115</v>
      </c>
      <c r="B116" s="7" t="s">
        <v>848</v>
      </c>
      <c r="C116" s="7" t="n">
        <v>2024</v>
      </c>
      <c r="D116" s="7" t="s">
        <v>849</v>
      </c>
      <c r="E116" s="7" t="s">
        <v>151</v>
      </c>
      <c r="F116" s="7" t="s">
        <v>850</v>
      </c>
      <c r="G116" s="7" t="s">
        <v>145</v>
      </c>
      <c r="H116" s="7" t="s">
        <v>748</v>
      </c>
      <c r="I116" s="7" t="s">
        <v>851</v>
      </c>
      <c r="J116" s="7"/>
      <c r="K116" s="7" t="s">
        <v>852</v>
      </c>
    </row>
    <row r="117" customFormat="false" ht="23.85" hidden="false" customHeight="false" outlineLevel="0" collapsed="false">
      <c r="A117" s="7" t="n">
        <v>116</v>
      </c>
      <c r="B117" s="7" t="s">
        <v>853</v>
      </c>
      <c r="C117" s="7" t="n">
        <v>2023</v>
      </c>
      <c r="D117" s="7" t="s">
        <v>854</v>
      </c>
      <c r="E117" s="7" t="s">
        <v>143</v>
      </c>
      <c r="F117" s="7" t="s">
        <v>855</v>
      </c>
      <c r="G117" s="7" t="s">
        <v>856</v>
      </c>
      <c r="H117" s="7" t="s">
        <v>146</v>
      </c>
      <c r="I117" s="7" t="s">
        <v>857</v>
      </c>
      <c r="J117" s="7"/>
      <c r="K117" s="7" t="s">
        <v>858</v>
      </c>
    </row>
    <row r="118" customFormat="false" ht="23.85" hidden="false" customHeight="false" outlineLevel="0" collapsed="false">
      <c r="A118" s="7" t="n">
        <v>117</v>
      </c>
      <c r="B118" s="7" t="s">
        <v>859</v>
      </c>
      <c r="C118" s="7" t="n">
        <v>2008</v>
      </c>
      <c r="D118" s="7" t="s">
        <v>860</v>
      </c>
      <c r="E118" s="7" t="s">
        <v>151</v>
      </c>
      <c r="F118" s="7" t="s">
        <v>861</v>
      </c>
      <c r="G118" s="7" t="s">
        <v>145</v>
      </c>
      <c r="H118" s="7" t="s">
        <v>153</v>
      </c>
      <c r="I118" s="7" t="s">
        <v>862</v>
      </c>
      <c r="J118" s="7"/>
      <c r="K118" s="7" t="s">
        <v>863</v>
      </c>
    </row>
    <row r="119" customFormat="false" ht="23.85" hidden="false" customHeight="false" outlineLevel="0" collapsed="false">
      <c r="A119" s="7" t="n">
        <v>118</v>
      </c>
      <c r="B119" s="7" t="s">
        <v>864</v>
      </c>
      <c r="C119" s="7" t="n">
        <v>2019</v>
      </c>
      <c r="D119" s="7" t="s">
        <v>865</v>
      </c>
      <c r="E119" s="7" t="s">
        <v>143</v>
      </c>
      <c r="F119" s="7" t="s">
        <v>866</v>
      </c>
      <c r="G119" s="7" t="s">
        <v>678</v>
      </c>
      <c r="H119" s="7" t="s">
        <v>748</v>
      </c>
      <c r="I119" s="7" t="s">
        <v>867</v>
      </c>
      <c r="J119" s="7"/>
      <c r="K119" s="7" t="s">
        <v>868</v>
      </c>
    </row>
    <row r="120" customFormat="false" ht="35.05" hidden="false" customHeight="false" outlineLevel="0" collapsed="false">
      <c r="A120" s="7" t="n">
        <v>119</v>
      </c>
      <c r="B120" s="7" t="s">
        <v>869</v>
      </c>
      <c r="C120" s="7" t="n">
        <v>2022</v>
      </c>
      <c r="D120" s="7" t="s">
        <v>870</v>
      </c>
      <c r="E120" s="7" t="s">
        <v>143</v>
      </c>
      <c r="F120" s="7" t="s">
        <v>495</v>
      </c>
      <c r="G120" s="7" t="s">
        <v>871</v>
      </c>
      <c r="H120" s="7" t="s">
        <v>146</v>
      </c>
      <c r="I120" s="7" t="s">
        <v>872</v>
      </c>
      <c r="J120" s="7"/>
      <c r="K120" s="7" t="s">
        <v>873</v>
      </c>
    </row>
    <row r="121" customFormat="false" ht="35.05" hidden="false" customHeight="false" outlineLevel="0" collapsed="false">
      <c r="A121" s="7" t="n">
        <v>120</v>
      </c>
      <c r="B121" s="7" t="s">
        <v>874</v>
      </c>
      <c r="C121" s="7" t="n">
        <v>2016</v>
      </c>
      <c r="D121" s="7" t="s">
        <v>875</v>
      </c>
      <c r="E121" s="7" t="s">
        <v>143</v>
      </c>
      <c r="F121" s="7" t="s">
        <v>876</v>
      </c>
      <c r="G121" s="7" t="s">
        <v>877</v>
      </c>
      <c r="H121" s="7" t="s">
        <v>146</v>
      </c>
      <c r="I121" s="7" t="s">
        <v>878</v>
      </c>
      <c r="J121" s="7"/>
      <c r="K121" s="7" t="s">
        <v>879</v>
      </c>
    </row>
    <row r="122" customFormat="false" ht="35.05" hidden="false" customHeight="false" outlineLevel="0" collapsed="false">
      <c r="A122" s="7" t="n">
        <v>121</v>
      </c>
      <c r="B122" s="7" t="s">
        <v>880</v>
      </c>
      <c r="C122" s="7" t="n">
        <v>2021</v>
      </c>
      <c r="D122" s="7" t="s">
        <v>881</v>
      </c>
      <c r="E122" s="7" t="s">
        <v>151</v>
      </c>
      <c r="F122" s="7" t="s">
        <v>882</v>
      </c>
      <c r="G122" s="7" t="s">
        <v>883</v>
      </c>
      <c r="H122" s="7" t="s">
        <v>208</v>
      </c>
      <c r="I122" s="7" t="s">
        <v>884</v>
      </c>
      <c r="J122" s="7"/>
      <c r="K122" s="7" t="s">
        <v>885</v>
      </c>
    </row>
    <row r="123" customFormat="false" ht="35.05" hidden="false" customHeight="false" outlineLevel="0" collapsed="false">
      <c r="A123" s="7" t="n">
        <v>122</v>
      </c>
      <c r="B123" s="7" t="s">
        <v>886</v>
      </c>
      <c r="C123" s="7" t="n">
        <v>2019</v>
      </c>
      <c r="D123" s="7" t="s">
        <v>887</v>
      </c>
      <c r="E123" s="7" t="s">
        <v>151</v>
      </c>
      <c r="F123" s="7" t="s">
        <v>888</v>
      </c>
      <c r="G123" s="7" t="s">
        <v>889</v>
      </c>
      <c r="H123" s="7" t="s">
        <v>748</v>
      </c>
      <c r="I123" s="7" t="s">
        <v>890</v>
      </c>
      <c r="J123" s="7"/>
      <c r="K123" s="7" t="s">
        <v>891</v>
      </c>
    </row>
    <row r="124" customFormat="false" ht="23.85" hidden="false" customHeight="false" outlineLevel="0" collapsed="false">
      <c r="A124" s="7" t="n">
        <v>123</v>
      </c>
      <c r="B124" s="7" t="s">
        <v>892</v>
      </c>
      <c r="C124" s="7" t="n">
        <v>2007</v>
      </c>
      <c r="D124" s="7" t="s">
        <v>893</v>
      </c>
      <c r="E124" s="7" t="s">
        <v>143</v>
      </c>
      <c r="F124" s="7" t="s">
        <v>894</v>
      </c>
      <c r="G124" s="7" t="s">
        <v>895</v>
      </c>
      <c r="H124" s="7" t="s">
        <v>748</v>
      </c>
      <c r="I124" s="7" t="s">
        <v>896</v>
      </c>
      <c r="J124" s="7"/>
      <c r="K124" s="7" t="s">
        <v>897</v>
      </c>
    </row>
    <row r="125" customFormat="false" ht="23.85" hidden="false" customHeight="false" outlineLevel="0" collapsed="false">
      <c r="A125" s="7" t="n">
        <v>124</v>
      </c>
      <c r="B125" s="7" t="s">
        <v>898</v>
      </c>
      <c r="C125" s="7" t="n">
        <v>2007</v>
      </c>
      <c r="D125" s="7" t="s">
        <v>899</v>
      </c>
      <c r="E125" s="7" t="s">
        <v>143</v>
      </c>
      <c r="F125" s="7" t="s">
        <v>900</v>
      </c>
      <c r="G125" s="7" t="s">
        <v>901</v>
      </c>
      <c r="H125" s="7" t="s">
        <v>146</v>
      </c>
      <c r="I125" s="7" t="s">
        <v>902</v>
      </c>
      <c r="J125" s="7"/>
      <c r="K125" s="7" t="s">
        <v>903</v>
      </c>
    </row>
    <row r="126" customFormat="false" ht="23.85" hidden="false" customHeight="false" outlineLevel="0" collapsed="false">
      <c r="A126" s="7" t="n">
        <v>125</v>
      </c>
      <c r="B126" s="7" t="s">
        <v>904</v>
      </c>
      <c r="C126" s="7" t="n">
        <v>2019</v>
      </c>
      <c r="D126" s="7" t="s">
        <v>905</v>
      </c>
      <c r="E126" s="7" t="s">
        <v>143</v>
      </c>
      <c r="F126" s="7" t="s">
        <v>906</v>
      </c>
      <c r="G126" s="7" t="s">
        <v>145</v>
      </c>
      <c r="H126" s="7" t="s">
        <v>748</v>
      </c>
      <c r="I126" s="7" t="s">
        <v>907</v>
      </c>
      <c r="J126" s="7"/>
      <c r="K126" s="7" t="s">
        <v>908</v>
      </c>
    </row>
    <row r="127" customFormat="false" ht="23.85" hidden="false" customHeight="false" outlineLevel="0" collapsed="false">
      <c r="A127" s="7" t="n">
        <v>126</v>
      </c>
      <c r="B127" s="7" t="s">
        <v>909</v>
      </c>
      <c r="C127" s="7" t="n">
        <v>2017</v>
      </c>
      <c r="D127" s="7" t="s">
        <v>910</v>
      </c>
      <c r="E127" s="7" t="s">
        <v>143</v>
      </c>
      <c r="F127" s="7" t="s">
        <v>802</v>
      </c>
      <c r="G127" s="7" t="s">
        <v>678</v>
      </c>
      <c r="H127" s="7" t="s">
        <v>146</v>
      </c>
      <c r="I127" s="7" t="s">
        <v>513</v>
      </c>
      <c r="J127" s="7"/>
      <c r="K127" s="7" t="s">
        <v>911</v>
      </c>
    </row>
    <row r="128" customFormat="false" ht="23.85" hidden="false" customHeight="false" outlineLevel="0" collapsed="false">
      <c r="A128" s="7" t="n">
        <v>127</v>
      </c>
      <c r="B128" s="7" t="s">
        <v>912</v>
      </c>
      <c r="C128" s="7" t="n">
        <v>2023</v>
      </c>
      <c r="D128" s="7" t="s">
        <v>913</v>
      </c>
      <c r="E128" s="7" t="s">
        <v>151</v>
      </c>
      <c r="F128" s="7" t="s">
        <v>888</v>
      </c>
      <c r="G128" s="7" t="s">
        <v>914</v>
      </c>
      <c r="H128" s="7" t="s">
        <v>748</v>
      </c>
      <c r="I128" s="7" t="s">
        <v>915</v>
      </c>
      <c r="J128" s="7"/>
      <c r="K128" s="7" t="s">
        <v>916</v>
      </c>
    </row>
    <row r="129" customFormat="false" ht="23.85" hidden="false" customHeight="false" outlineLevel="0" collapsed="false">
      <c r="A129" s="7" t="n">
        <v>128</v>
      </c>
      <c r="B129" s="7" t="s">
        <v>917</v>
      </c>
      <c r="C129" s="7" t="n">
        <v>2022</v>
      </c>
      <c r="D129" s="7" t="s">
        <v>918</v>
      </c>
      <c r="E129" s="7" t="s">
        <v>151</v>
      </c>
      <c r="F129" s="7" t="s">
        <v>919</v>
      </c>
      <c r="G129" s="7" t="s">
        <v>920</v>
      </c>
      <c r="H129" s="7" t="s">
        <v>146</v>
      </c>
      <c r="I129" s="7" t="s">
        <v>921</v>
      </c>
      <c r="J129" s="7"/>
      <c r="K129" s="7" t="s">
        <v>922</v>
      </c>
    </row>
    <row r="130" customFormat="false" ht="23.85" hidden="false" customHeight="false" outlineLevel="0" collapsed="false">
      <c r="A130" s="7" t="n">
        <v>129</v>
      </c>
      <c r="B130" s="7" t="s">
        <v>923</v>
      </c>
      <c r="C130" s="7" t="n">
        <v>2021</v>
      </c>
      <c r="D130" s="7" t="s">
        <v>924</v>
      </c>
      <c r="E130" s="7" t="s">
        <v>143</v>
      </c>
      <c r="F130" s="7" t="s">
        <v>925</v>
      </c>
      <c r="G130" s="7" t="s">
        <v>926</v>
      </c>
      <c r="H130" s="7" t="s">
        <v>146</v>
      </c>
      <c r="I130" s="7" t="s">
        <v>617</v>
      </c>
      <c r="J130" s="7"/>
      <c r="K130" s="7" t="s">
        <v>927</v>
      </c>
    </row>
    <row r="131" customFormat="false" ht="23.85" hidden="false" customHeight="false" outlineLevel="0" collapsed="false">
      <c r="A131" s="7" t="n">
        <v>130</v>
      </c>
      <c r="B131" s="7" t="s">
        <v>928</v>
      </c>
      <c r="C131" s="7" t="n">
        <v>2018</v>
      </c>
      <c r="D131" s="7" t="s">
        <v>929</v>
      </c>
      <c r="E131" s="7" t="s">
        <v>151</v>
      </c>
      <c r="F131" s="7" t="s">
        <v>930</v>
      </c>
      <c r="G131" s="7" t="s">
        <v>931</v>
      </c>
      <c r="H131" s="7" t="s">
        <v>146</v>
      </c>
      <c r="I131" s="7" t="s">
        <v>932</v>
      </c>
      <c r="J131" s="7"/>
      <c r="K131" s="7" t="s">
        <v>933</v>
      </c>
    </row>
    <row r="132" customFormat="false" ht="23.85" hidden="false" customHeight="false" outlineLevel="0" collapsed="false">
      <c r="A132" s="7" t="n">
        <v>131</v>
      </c>
      <c r="B132" s="7" t="s">
        <v>934</v>
      </c>
      <c r="C132" s="7" t="n">
        <v>2010</v>
      </c>
      <c r="D132" s="7" t="s">
        <v>935</v>
      </c>
      <c r="E132" s="7" t="s">
        <v>151</v>
      </c>
      <c r="F132" s="7" t="s">
        <v>802</v>
      </c>
      <c r="G132" s="7" t="s">
        <v>936</v>
      </c>
      <c r="H132" s="7" t="s">
        <v>748</v>
      </c>
      <c r="I132" s="7" t="s">
        <v>803</v>
      </c>
      <c r="J132" s="7"/>
      <c r="K132" s="7" t="s">
        <v>937</v>
      </c>
    </row>
    <row r="133" customFormat="false" ht="23.85" hidden="false" customHeight="false" outlineLevel="0" collapsed="false">
      <c r="A133" s="7" t="n">
        <v>132</v>
      </c>
      <c r="B133" s="7" t="s">
        <v>938</v>
      </c>
      <c r="C133" s="7" t="n">
        <v>2023</v>
      </c>
      <c r="D133" s="7" t="s">
        <v>939</v>
      </c>
      <c r="E133" s="7" t="s">
        <v>143</v>
      </c>
      <c r="F133" s="7" t="s">
        <v>798</v>
      </c>
      <c r="G133" s="7" t="s">
        <v>145</v>
      </c>
      <c r="H133" s="7" t="s">
        <v>208</v>
      </c>
      <c r="I133" s="7" t="s">
        <v>940</v>
      </c>
      <c r="J133" s="7"/>
      <c r="K133" s="7" t="s">
        <v>941</v>
      </c>
    </row>
    <row r="134" customFormat="false" ht="23.85" hidden="false" customHeight="false" outlineLevel="0" collapsed="false">
      <c r="A134" s="7" t="n">
        <v>133</v>
      </c>
      <c r="B134" s="7" t="s">
        <v>942</v>
      </c>
      <c r="C134" s="7" t="n">
        <v>2017</v>
      </c>
      <c r="D134" s="7" t="s">
        <v>943</v>
      </c>
      <c r="E134" s="7" t="s">
        <v>151</v>
      </c>
      <c r="F134" s="7" t="s">
        <v>944</v>
      </c>
      <c r="G134" s="7" t="s">
        <v>945</v>
      </c>
      <c r="H134" s="7" t="s">
        <v>387</v>
      </c>
      <c r="I134" s="7" t="s">
        <v>946</v>
      </c>
      <c r="J134" s="7"/>
      <c r="K134" s="7" t="s">
        <v>947</v>
      </c>
    </row>
    <row r="135" customFormat="false" ht="23.85" hidden="false" customHeight="false" outlineLevel="0" collapsed="false">
      <c r="A135" s="7" t="n">
        <v>134</v>
      </c>
      <c r="B135" s="7" t="s">
        <v>948</v>
      </c>
      <c r="C135" s="7" t="n">
        <v>2015</v>
      </c>
      <c r="D135" s="7" t="s">
        <v>949</v>
      </c>
      <c r="E135" s="7" t="s">
        <v>143</v>
      </c>
      <c r="F135" s="7" t="s">
        <v>950</v>
      </c>
      <c r="G135" s="7" t="s">
        <v>951</v>
      </c>
      <c r="H135" s="7" t="s">
        <v>748</v>
      </c>
      <c r="I135" s="7" t="s">
        <v>952</v>
      </c>
      <c r="J135" s="7"/>
      <c r="K135" s="7" t="s">
        <v>953</v>
      </c>
    </row>
    <row r="136" customFormat="false" ht="23.85" hidden="false" customHeight="false" outlineLevel="0" collapsed="false">
      <c r="A136" s="7" t="n">
        <v>135</v>
      </c>
      <c r="B136" s="7" t="s">
        <v>954</v>
      </c>
      <c r="C136" s="7" t="n">
        <v>2021</v>
      </c>
      <c r="D136" s="7" t="s">
        <v>955</v>
      </c>
      <c r="E136" s="7" t="s">
        <v>143</v>
      </c>
      <c r="F136" s="7" t="s">
        <v>956</v>
      </c>
      <c r="G136" s="7" t="s">
        <v>327</v>
      </c>
      <c r="H136" s="7" t="s">
        <v>387</v>
      </c>
      <c r="I136" s="7" t="s">
        <v>397</v>
      </c>
      <c r="J136" s="7"/>
      <c r="K136" s="7" t="s">
        <v>957</v>
      </c>
    </row>
    <row r="137" customFormat="false" ht="23.85" hidden="false" customHeight="false" outlineLevel="0" collapsed="false">
      <c r="A137" s="7" t="n">
        <v>136</v>
      </c>
      <c r="B137" s="7" t="s">
        <v>958</v>
      </c>
      <c r="C137" s="7" t="n">
        <v>2018</v>
      </c>
      <c r="D137" s="7" t="s">
        <v>959</v>
      </c>
      <c r="E137" s="7" t="s">
        <v>143</v>
      </c>
      <c r="F137" s="7" t="s">
        <v>960</v>
      </c>
      <c r="G137" s="7" t="s">
        <v>914</v>
      </c>
      <c r="H137" s="7" t="s">
        <v>208</v>
      </c>
      <c r="I137" s="7" t="s">
        <v>961</v>
      </c>
      <c r="J137" s="7"/>
      <c r="K137" s="7" t="s">
        <v>962</v>
      </c>
    </row>
    <row r="138" customFormat="false" ht="23.85" hidden="false" customHeight="false" outlineLevel="0" collapsed="false">
      <c r="A138" s="7" t="n">
        <v>137</v>
      </c>
      <c r="B138" s="7" t="s">
        <v>963</v>
      </c>
      <c r="C138" s="7" t="n">
        <v>2024</v>
      </c>
      <c r="D138" s="7" t="s">
        <v>964</v>
      </c>
      <c r="E138" s="7" t="s">
        <v>143</v>
      </c>
      <c r="F138" s="7" t="s">
        <v>965</v>
      </c>
      <c r="G138" s="7" t="s">
        <v>490</v>
      </c>
      <c r="H138" s="7" t="s">
        <v>387</v>
      </c>
      <c r="I138" s="7" t="s">
        <v>966</v>
      </c>
      <c r="J138" s="7"/>
      <c r="K138" s="7" t="s">
        <v>967</v>
      </c>
    </row>
    <row r="139" customFormat="false" ht="23.85" hidden="false" customHeight="false" outlineLevel="0" collapsed="false">
      <c r="A139" s="7" t="n">
        <v>138</v>
      </c>
      <c r="B139" s="7" t="s">
        <v>968</v>
      </c>
      <c r="C139" s="7" t="n">
        <v>2020</v>
      </c>
      <c r="D139" s="7" t="s">
        <v>969</v>
      </c>
      <c r="E139" s="7" t="s">
        <v>143</v>
      </c>
      <c r="F139" s="7" t="s">
        <v>925</v>
      </c>
      <c r="G139" s="7" t="s">
        <v>616</v>
      </c>
      <c r="H139" s="7" t="s">
        <v>387</v>
      </c>
      <c r="I139" s="7" t="s">
        <v>970</v>
      </c>
      <c r="J139" s="7"/>
      <c r="K139" s="7" t="s">
        <v>971</v>
      </c>
    </row>
    <row r="140" customFormat="false" ht="23.85" hidden="false" customHeight="false" outlineLevel="0" collapsed="false">
      <c r="A140" s="7" t="n">
        <v>139</v>
      </c>
      <c r="B140" s="7" t="s">
        <v>972</v>
      </c>
      <c r="C140" s="7" t="n">
        <v>2019</v>
      </c>
      <c r="D140" s="7" t="s">
        <v>973</v>
      </c>
      <c r="E140" s="7" t="s">
        <v>143</v>
      </c>
      <c r="F140" s="7" t="s">
        <v>974</v>
      </c>
      <c r="G140" s="7" t="s">
        <v>975</v>
      </c>
      <c r="H140" s="7" t="s">
        <v>146</v>
      </c>
      <c r="I140" s="7" t="s">
        <v>976</v>
      </c>
      <c r="J140" s="7"/>
      <c r="K140" s="7" t="s">
        <v>977</v>
      </c>
    </row>
    <row r="141" customFormat="false" ht="23.85" hidden="false" customHeight="false" outlineLevel="0" collapsed="false">
      <c r="A141" s="7" t="n">
        <v>140</v>
      </c>
      <c r="B141" s="7" t="s">
        <v>978</v>
      </c>
      <c r="C141" s="7" t="n">
        <v>2022</v>
      </c>
      <c r="D141" s="7" t="s">
        <v>979</v>
      </c>
      <c r="E141" s="7" t="s">
        <v>143</v>
      </c>
      <c r="F141" s="7" t="s">
        <v>980</v>
      </c>
      <c r="G141" s="7" t="s">
        <v>678</v>
      </c>
      <c r="H141" s="7" t="s">
        <v>748</v>
      </c>
      <c r="I141" s="7" t="s">
        <v>981</v>
      </c>
      <c r="J141" s="7"/>
      <c r="K141" s="7" t="s">
        <v>982</v>
      </c>
    </row>
    <row r="142" customFormat="false" ht="23.85" hidden="false" customHeight="false" outlineLevel="0" collapsed="false">
      <c r="A142" s="7" t="n">
        <v>141</v>
      </c>
      <c r="B142" s="7" t="s">
        <v>983</v>
      </c>
      <c r="C142" s="7" t="n">
        <v>2023</v>
      </c>
      <c r="D142" s="7" t="s">
        <v>984</v>
      </c>
      <c r="E142" s="7" t="s">
        <v>151</v>
      </c>
      <c r="F142" s="7" t="s">
        <v>985</v>
      </c>
      <c r="G142" s="7" t="s">
        <v>684</v>
      </c>
      <c r="H142" s="7" t="s">
        <v>208</v>
      </c>
      <c r="I142" s="7" t="s">
        <v>986</v>
      </c>
      <c r="J142" s="7"/>
      <c r="K142" s="7" t="s">
        <v>987</v>
      </c>
    </row>
    <row r="143" customFormat="false" ht="23.85" hidden="false" customHeight="false" outlineLevel="0" collapsed="false">
      <c r="A143" s="7" t="n">
        <v>142</v>
      </c>
      <c r="B143" s="7" t="s">
        <v>988</v>
      </c>
      <c r="C143" s="7" t="n">
        <v>2002</v>
      </c>
      <c r="D143" s="7" t="s">
        <v>989</v>
      </c>
      <c r="E143" s="7" t="s">
        <v>143</v>
      </c>
      <c r="F143" s="7" t="s">
        <v>990</v>
      </c>
      <c r="G143" s="7" t="s">
        <v>991</v>
      </c>
      <c r="H143" s="7" t="s">
        <v>208</v>
      </c>
      <c r="I143" s="7" t="s">
        <v>992</v>
      </c>
      <c r="J143" s="7"/>
      <c r="K143" s="7" t="s">
        <v>993</v>
      </c>
    </row>
    <row r="144" customFormat="false" ht="35.05" hidden="false" customHeight="false" outlineLevel="0" collapsed="false">
      <c r="A144" s="7" t="n">
        <v>143</v>
      </c>
      <c r="B144" s="7" t="s">
        <v>994</v>
      </c>
      <c r="C144" s="7" t="n">
        <v>2023</v>
      </c>
      <c r="D144" s="7" t="s">
        <v>995</v>
      </c>
      <c r="E144" s="7" t="s">
        <v>151</v>
      </c>
      <c r="F144" s="7" t="s">
        <v>996</v>
      </c>
      <c r="G144" s="7" t="s">
        <v>187</v>
      </c>
      <c r="H144" s="7" t="s">
        <v>748</v>
      </c>
      <c r="I144" s="7" t="s">
        <v>997</v>
      </c>
      <c r="J144" s="7" t="s">
        <v>112</v>
      </c>
      <c r="K144" s="7" t="s">
        <v>998</v>
      </c>
    </row>
    <row r="145" customFormat="false" ht="23.85" hidden="false" customHeight="false" outlineLevel="0" collapsed="false">
      <c r="A145" s="7" t="n">
        <v>144</v>
      </c>
      <c r="B145" s="7" t="s">
        <v>999</v>
      </c>
      <c r="C145" s="7" t="n">
        <v>2023</v>
      </c>
      <c r="D145" s="7" t="s">
        <v>1000</v>
      </c>
      <c r="E145" s="7" t="s">
        <v>143</v>
      </c>
      <c r="F145" s="7" t="s">
        <v>1001</v>
      </c>
      <c r="G145" s="7" t="s">
        <v>1002</v>
      </c>
      <c r="H145" s="7" t="s">
        <v>208</v>
      </c>
      <c r="I145" s="7" t="s">
        <v>1003</v>
      </c>
      <c r="J145" s="7"/>
      <c r="K145" s="7" t="s">
        <v>1004</v>
      </c>
    </row>
    <row r="146" customFormat="false" ht="23.85" hidden="false" customHeight="false" outlineLevel="0" collapsed="false">
      <c r="A146" s="7" t="n">
        <v>145</v>
      </c>
      <c r="B146" s="7" t="s">
        <v>1005</v>
      </c>
      <c r="C146" s="7" t="n">
        <v>2008</v>
      </c>
      <c r="D146" s="7" t="s">
        <v>1006</v>
      </c>
      <c r="E146" s="7" t="s">
        <v>151</v>
      </c>
      <c r="F146" s="7" t="s">
        <v>1007</v>
      </c>
      <c r="G146" s="7" t="s">
        <v>1008</v>
      </c>
      <c r="H146" s="7" t="s">
        <v>208</v>
      </c>
      <c r="I146" s="7" t="s">
        <v>1009</v>
      </c>
      <c r="J146" s="7"/>
      <c r="K146" s="7" t="s">
        <v>1010</v>
      </c>
    </row>
    <row r="147" customFormat="false" ht="23.85" hidden="false" customHeight="false" outlineLevel="0" collapsed="false">
      <c r="A147" s="7" t="n">
        <v>146</v>
      </c>
      <c r="B147" s="7" t="s">
        <v>1011</v>
      </c>
      <c r="C147" s="7" t="n">
        <v>2015</v>
      </c>
      <c r="D147" s="7" t="s">
        <v>1012</v>
      </c>
      <c r="E147" s="7" t="s">
        <v>143</v>
      </c>
      <c r="F147" s="7" t="s">
        <v>1013</v>
      </c>
      <c r="G147" s="7" t="s">
        <v>1014</v>
      </c>
      <c r="H147" s="7" t="s">
        <v>748</v>
      </c>
      <c r="I147" s="7" t="s">
        <v>1015</v>
      </c>
      <c r="J147" s="7"/>
      <c r="K147" s="7" t="s">
        <v>1016</v>
      </c>
    </row>
    <row r="148" customFormat="false" ht="23.85" hidden="false" customHeight="false" outlineLevel="0" collapsed="false">
      <c r="A148" s="7" t="n">
        <v>147</v>
      </c>
      <c r="B148" s="7" t="s">
        <v>1017</v>
      </c>
      <c r="C148" s="7" t="n">
        <v>2021</v>
      </c>
      <c r="D148" s="7" t="s">
        <v>1018</v>
      </c>
      <c r="E148" s="7" t="s">
        <v>143</v>
      </c>
      <c r="F148" s="7" t="s">
        <v>1019</v>
      </c>
      <c r="G148" s="7" t="s">
        <v>1020</v>
      </c>
      <c r="H148" s="7" t="s">
        <v>146</v>
      </c>
      <c r="I148" s="7" t="s">
        <v>1021</v>
      </c>
      <c r="J148" s="7"/>
      <c r="K148" s="7" t="s">
        <v>1022</v>
      </c>
    </row>
    <row r="149" customFormat="false" ht="35.05" hidden="false" customHeight="false" outlineLevel="0" collapsed="false">
      <c r="A149" s="7" t="n">
        <v>148</v>
      </c>
      <c r="B149" s="7" t="s">
        <v>1023</v>
      </c>
      <c r="C149" s="7" t="n">
        <v>2018</v>
      </c>
      <c r="D149" s="7" t="s">
        <v>1024</v>
      </c>
      <c r="E149" s="7" t="s">
        <v>143</v>
      </c>
      <c r="F149" s="7" t="s">
        <v>1025</v>
      </c>
      <c r="G149" s="7" t="s">
        <v>1026</v>
      </c>
      <c r="H149" s="7" t="s">
        <v>146</v>
      </c>
      <c r="I149" s="7" t="s">
        <v>1027</v>
      </c>
      <c r="J149" s="7"/>
      <c r="K149" s="7" t="s">
        <v>1028</v>
      </c>
    </row>
    <row r="150" customFormat="false" ht="35.05" hidden="false" customHeight="false" outlineLevel="0" collapsed="false">
      <c r="A150" s="7" t="n">
        <v>149</v>
      </c>
      <c r="B150" s="7" t="s">
        <v>1029</v>
      </c>
      <c r="C150" s="7" t="n">
        <v>2022</v>
      </c>
      <c r="D150" s="7" t="s">
        <v>1030</v>
      </c>
      <c r="E150" s="7" t="s">
        <v>143</v>
      </c>
      <c r="F150" s="7" t="s">
        <v>1031</v>
      </c>
      <c r="G150" s="7" t="s">
        <v>1032</v>
      </c>
      <c r="H150" s="7" t="s">
        <v>208</v>
      </c>
      <c r="I150" s="7" t="s">
        <v>1033</v>
      </c>
      <c r="J150" s="7"/>
      <c r="K150" s="7" t="s">
        <v>1034</v>
      </c>
    </row>
    <row r="151" customFormat="false" ht="23.85" hidden="false" customHeight="false" outlineLevel="0" collapsed="false">
      <c r="A151" s="7" t="n">
        <v>150</v>
      </c>
      <c r="B151" s="7" t="s">
        <v>1035</v>
      </c>
      <c r="C151" s="7" t="n">
        <v>2024</v>
      </c>
      <c r="D151" s="7" t="s">
        <v>1036</v>
      </c>
      <c r="E151" s="7" t="s">
        <v>143</v>
      </c>
      <c r="F151" s="7" t="s">
        <v>990</v>
      </c>
      <c r="G151" s="7" t="s">
        <v>285</v>
      </c>
      <c r="H151" s="7" t="s">
        <v>208</v>
      </c>
      <c r="I151" s="7" t="s">
        <v>1037</v>
      </c>
      <c r="J151" s="7"/>
      <c r="K151" s="7" t="s">
        <v>1038</v>
      </c>
    </row>
    <row r="152" customFormat="false" ht="23.85" hidden="false" customHeight="false" outlineLevel="0" collapsed="false">
      <c r="A152" s="7" t="n">
        <v>151</v>
      </c>
      <c r="B152" s="7" t="s">
        <v>1039</v>
      </c>
      <c r="C152" s="7" t="n">
        <v>2021</v>
      </c>
      <c r="D152" s="7" t="s">
        <v>1040</v>
      </c>
      <c r="E152" s="7" t="s">
        <v>143</v>
      </c>
      <c r="F152" s="7" t="s">
        <v>1041</v>
      </c>
      <c r="G152" s="7" t="s">
        <v>1042</v>
      </c>
      <c r="H152" s="7" t="s">
        <v>208</v>
      </c>
      <c r="I152" s="7" t="s">
        <v>1043</v>
      </c>
      <c r="J152" s="7"/>
      <c r="K152" s="7" t="s">
        <v>1044</v>
      </c>
    </row>
    <row r="153" customFormat="false" ht="23.85" hidden="false" customHeight="false" outlineLevel="0" collapsed="false">
      <c r="A153" s="7" t="n">
        <v>152</v>
      </c>
      <c r="B153" s="7" t="s">
        <v>1045</v>
      </c>
      <c r="C153" s="7" t="n">
        <v>2015</v>
      </c>
      <c r="D153" s="7" t="s">
        <v>1046</v>
      </c>
      <c r="E153" s="7" t="s">
        <v>143</v>
      </c>
      <c r="F153" s="7" t="s">
        <v>1047</v>
      </c>
      <c r="G153" s="7" t="s">
        <v>1048</v>
      </c>
      <c r="H153" s="7" t="s">
        <v>146</v>
      </c>
      <c r="I153" s="7" t="s">
        <v>1049</v>
      </c>
      <c r="J153" s="7"/>
      <c r="K153" s="7" t="s">
        <v>1050</v>
      </c>
    </row>
    <row r="154" customFormat="false" ht="35.05" hidden="false" customHeight="false" outlineLevel="0" collapsed="false">
      <c r="A154" s="7" t="n">
        <v>153</v>
      </c>
      <c r="B154" s="7" t="s">
        <v>1051</v>
      </c>
      <c r="C154" s="7" t="n">
        <v>2018</v>
      </c>
      <c r="D154" s="7" t="s">
        <v>1052</v>
      </c>
      <c r="E154" s="7" t="s">
        <v>143</v>
      </c>
      <c r="F154" s="7" t="s">
        <v>1053</v>
      </c>
      <c r="G154" s="7" t="s">
        <v>285</v>
      </c>
      <c r="H154" s="7" t="s">
        <v>208</v>
      </c>
      <c r="I154" s="7" t="s">
        <v>1054</v>
      </c>
      <c r="J154" s="7"/>
      <c r="K154" s="7" t="s">
        <v>1055</v>
      </c>
    </row>
    <row r="155" customFormat="false" ht="23.85" hidden="false" customHeight="false" outlineLevel="0" collapsed="false">
      <c r="A155" s="7" t="n">
        <v>154</v>
      </c>
      <c r="B155" s="7" t="s">
        <v>1056</v>
      </c>
      <c r="C155" s="7" t="n">
        <v>2017</v>
      </c>
      <c r="D155" s="7" t="s">
        <v>1057</v>
      </c>
      <c r="E155" s="7" t="s">
        <v>143</v>
      </c>
      <c r="F155" s="7" t="s">
        <v>1058</v>
      </c>
      <c r="G155" s="7" t="s">
        <v>817</v>
      </c>
      <c r="H155" s="7" t="s">
        <v>208</v>
      </c>
      <c r="I155" s="7" t="s">
        <v>1059</v>
      </c>
      <c r="J155" s="7"/>
      <c r="K155" s="7" t="s">
        <v>1060</v>
      </c>
    </row>
    <row r="156" customFormat="false" ht="23.85" hidden="false" customHeight="false" outlineLevel="0" collapsed="false">
      <c r="A156" s="7" t="n">
        <v>155</v>
      </c>
      <c r="B156" s="7" t="s">
        <v>1061</v>
      </c>
      <c r="C156" s="7" t="n">
        <v>2020</v>
      </c>
      <c r="D156" s="7" t="s">
        <v>1062</v>
      </c>
      <c r="E156" s="7" t="s">
        <v>151</v>
      </c>
      <c r="F156" s="7" t="s">
        <v>798</v>
      </c>
      <c r="G156" s="7" t="s">
        <v>1063</v>
      </c>
      <c r="H156" s="7" t="s">
        <v>208</v>
      </c>
      <c r="I156" s="7" t="s">
        <v>1064</v>
      </c>
      <c r="J156" s="7"/>
      <c r="K156" s="7" t="s">
        <v>1065</v>
      </c>
    </row>
    <row r="157" customFormat="false" ht="35.05" hidden="false" customHeight="false" outlineLevel="0" collapsed="false">
      <c r="A157" s="7" t="n">
        <v>156</v>
      </c>
      <c r="B157" s="7" t="s">
        <v>1066</v>
      </c>
      <c r="C157" s="7" t="n">
        <v>2012</v>
      </c>
      <c r="D157" s="7" t="s">
        <v>1067</v>
      </c>
      <c r="E157" s="7" t="s">
        <v>143</v>
      </c>
      <c r="F157" s="7" t="s">
        <v>1068</v>
      </c>
      <c r="G157" s="7" t="s">
        <v>1069</v>
      </c>
      <c r="H157" s="7" t="s">
        <v>208</v>
      </c>
      <c r="I157" s="7" t="s">
        <v>1070</v>
      </c>
      <c r="J157" s="7"/>
      <c r="K157" s="7" t="s">
        <v>1071</v>
      </c>
    </row>
    <row r="158" customFormat="false" ht="23.85" hidden="false" customHeight="false" outlineLevel="0" collapsed="false">
      <c r="A158" s="7" t="n">
        <v>157</v>
      </c>
      <c r="B158" s="7" t="s">
        <v>1072</v>
      </c>
      <c r="C158" s="7" t="n">
        <v>2017</v>
      </c>
      <c r="D158" s="7" t="s">
        <v>1073</v>
      </c>
      <c r="E158" s="7" t="s">
        <v>151</v>
      </c>
      <c r="F158" s="7" t="s">
        <v>1074</v>
      </c>
      <c r="G158" s="7" t="s">
        <v>1075</v>
      </c>
      <c r="H158" s="7" t="s">
        <v>208</v>
      </c>
      <c r="I158" s="7" t="s">
        <v>1076</v>
      </c>
      <c r="J158" s="7"/>
      <c r="K158" s="7" t="s">
        <v>1077</v>
      </c>
    </row>
    <row r="159" customFormat="false" ht="23.85" hidden="false" customHeight="false" outlineLevel="0" collapsed="false">
      <c r="A159" s="7" t="n">
        <v>158</v>
      </c>
      <c r="B159" s="7" t="s">
        <v>1078</v>
      </c>
      <c r="C159" s="7" t="n">
        <v>2023</v>
      </c>
      <c r="D159" s="7" t="s">
        <v>1079</v>
      </c>
      <c r="E159" s="7" t="s">
        <v>143</v>
      </c>
      <c r="F159" s="7" t="s">
        <v>1080</v>
      </c>
      <c r="G159" s="7" t="s">
        <v>1081</v>
      </c>
      <c r="H159" s="7" t="s">
        <v>208</v>
      </c>
      <c r="I159" s="7" t="s">
        <v>662</v>
      </c>
      <c r="J159" s="7"/>
      <c r="K159" s="7" t="s">
        <v>1082</v>
      </c>
    </row>
    <row r="160" customFormat="false" ht="23.85" hidden="false" customHeight="false" outlineLevel="0" collapsed="false">
      <c r="A160" s="7" t="n">
        <v>159</v>
      </c>
      <c r="B160" s="7" t="s">
        <v>1083</v>
      </c>
      <c r="C160" s="7" t="n">
        <v>2018</v>
      </c>
      <c r="D160" s="7" t="s">
        <v>1084</v>
      </c>
      <c r="E160" s="7" t="s">
        <v>151</v>
      </c>
      <c r="F160" s="7" t="s">
        <v>1085</v>
      </c>
      <c r="G160" s="7" t="s">
        <v>632</v>
      </c>
      <c r="H160" s="7" t="s">
        <v>208</v>
      </c>
      <c r="I160" s="7" t="s">
        <v>1086</v>
      </c>
      <c r="J160" s="7"/>
      <c r="K160" s="7" t="s">
        <v>1087</v>
      </c>
    </row>
    <row r="161" customFormat="false" ht="46.25" hidden="false" customHeight="false" outlineLevel="0" collapsed="false">
      <c r="A161" s="7" t="n">
        <v>160</v>
      </c>
      <c r="B161" s="7" t="s">
        <v>15192</v>
      </c>
      <c r="C161" s="7" t="n">
        <v>2012</v>
      </c>
      <c r="D161" s="7" t="s">
        <v>1089</v>
      </c>
      <c r="E161" s="7" t="s">
        <v>143</v>
      </c>
      <c r="F161" s="7" t="s">
        <v>15193</v>
      </c>
      <c r="G161" s="7" t="s">
        <v>145</v>
      </c>
      <c r="H161" s="7" t="s">
        <v>387</v>
      </c>
      <c r="I161" s="7" t="s">
        <v>15194</v>
      </c>
      <c r="J161" s="7" t="s">
        <v>114</v>
      </c>
      <c r="K161" s="7" t="s">
        <v>15195</v>
      </c>
    </row>
    <row r="162" customFormat="false" ht="23.85" hidden="false" customHeight="false" outlineLevel="0" collapsed="false">
      <c r="A162" s="7" t="n">
        <v>161</v>
      </c>
      <c r="B162" s="7" t="s">
        <v>1094</v>
      </c>
      <c r="C162" s="7" t="n">
        <v>2020</v>
      </c>
      <c r="D162" s="7" t="s">
        <v>1095</v>
      </c>
      <c r="E162" s="7" t="s">
        <v>143</v>
      </c>
      <c r="F162" s="7" t="s">
        <v>956</v>
      </c>
      <c r="G162" s="7" t="s">
        <v>145</v>
      </c>
      <c r="H162" s="7" t="s">
        <v>748</v>
      </c>
      <c r="I162" s="7" t="s">
        <v>1096</v>
      </c>
      <c r="J162" s="7"/>
      <c r="K162" s="7" t="s">
        <v>1097</v>
      </c>
    </row>
    <row r="163" customFormat="false" ht="35.05" hidden="false" customHeight="false" outlineLevel="0" collapsed="false">
      <c r="A163" s="7" t="n">
        <v>162</v>
      </c>
      <c r="B163" s="7" t="s">
        <v>1098</v>
      </c>
      <c r="C163" s="7" t="n">
        <v>2021</v>
      </c>
      <c r="D163" s="7" t="s">
        <v>1099</v>
      </c>
      <c r="E163" s="7" t="s">
        <v>143</v>
      </c>
      <c r="F163" s="7" t="s">
        <v>495</v>
      </c>
      <c r="G163" s="7" t="s">
        <v>285</v>
      </c>
      <c r="H163" s="7" t="s">
        <v>387</v>
      </c>
      <c r="I163" s="7" t="s">
        <v>1100</v>
      </c>
      <c r="J163" s="7"/>
      <c r="K163" s="7" t="s">
        <v>1101</v>
      </c>
    </row>
    <row r="164" customFormat="false" ht="35.05" hidden="false" customHeight="false" outlineLevel="0" collapsed="false">
      <c r="A164" s="7" t="n">
        <v>163</v>
      </c>
      <c r="B164" s="7" t="s">
        <v>1102</v>
      </c>
      <c r="C164" s="7" t="n">
        <v>2018</v>
      </c>
      <c r="D164" s="7" t="s">
        <v>1103</v>
      </c>
      <c r="E164" s="7" t="s">
        <v>143</v>
      </c>
      <c r="F164" s="7" t="s">
        <v>396</v>
      </c>
      <c r="G164" s="7" t="s">
        <v>145</v>
      </c>
      <c r="H164" s="7" t="s">
        <v>208</v>
      </c>
      <c r="I164" s="7" t="s">
        <v>1054</v>
      </c>
      <c r="J164" s="7"/>
      <c r="K164" s="7" t="s">
        <v>1104</v>
      </c>
    </row>
    <row r="165" customFormat="false" ht="23.85" hidden="false" customHeight="false" outlineLevel="0" collapsed="false">
      <c r="A165" s="7" t="n">
        <v>164</v>
      </c>
      <c r="B165" s="7" t="s">
        <v>1105</v>
      </c>
      <c r="C165" s="7" t="n">
        <v>2006</v>
      </c>
      <c r="D165" s="7" t="s">
        <v>1106</v>
      </c>
      <c r="E165" s="7" t="s">
        <v>143</v>
      </c>
      <c r="F165" s="7" t="s">
        <v>798</v>
      </c>
      <c r="G165" s="7" t="s">
        <v>145</v>
      </c>
      <c r="H165" s="7" t="s">
        <v>387</v>
      </c>
      <c r="I165" s="7" t="s">
        <v>862</v>
      </c>
      <c r="J165" s="7"/>
      <c r="K165" s="7" t="s">
        <v>1107</v>
      </c>
    </row>
    <row r="166" customFormat="false" ht="23.85" hidden="false" customHeight="false" outlineLevel="0" collapsed="false">
      <c r="A166" s="7" t="n">
        <v>165</v>
      </c>
      <c r="B166" s="7" t="s">
        <v>1108</v>
      </c>
      <c r="C166" s="7" t="n">
        <v>2017</v>
      </c>
      <c r="D166" s="7" t="s">
        <v>1109</v>
      </c>
      <c r="E166" s="7" t="s">
        <v>143</v>
      </c>
      <c r="F166" s="7" t="s">
        <v>1110</v>
      </c>
      <c r="G166" s="7" t="s">
        <v>1111</v>
      </c>
      <c r="H166" s="7" t="s">
        <v>208</v>
      </c>
      <c r="I166" s="7" t="s">
        <v>1112</v>
      </c>
      <c r="J166" s="7"/>
      <c r="K166" s="7" t="s">
        <v>1113</v>
      </c>
    </row>
    <row r="167" customFormat="false" ht="23.85" hidden="false" customHeight="false" outlineLevel="0" collapsed="false">
      <c r="A167" s="7" t="n">
        <v>166</v>
      </c>
      <c r="B167" s="7" t="s">
        <v>1114</v>
      </c>
      <c r="C167" s="7" t="n">
        <v>2024</v>
      </c>
      <c r="D167" s="7" t="s">
        <v>1115</v>
      </c>
      <c r="E167" s="7" t="s">
        <v>143</v>
      </c>
      <c r="F167" s="7" t="s">
        <v>1116</v>
      </c>
      <c r="G167" s="7" t="s">
        <v>1117</v>
      </c>
      <c r="H167" s="7" t="s">
        <v>208</v>
      </c>
      <c r="I167" s="7" t="s">
        <v>1118</v>
      </c>
      <c r="J167" s="7"/>
      <c r="K167" s="7" t="s">
        <v>1119</v>
      </c>
    </row>
    <row r="168" customFormat="false" ht="23.85" hidden="false" customHeight="false" outlineLevel="0" collapsed="false">
      <c r="A168" s="7" t="n">
        <v>167</v>
      </c>
      <c r="B168" s="7" t="s">
        <v>1120</v>
      </c>
      <c r="C168" s="7" t="n">
        <v>2013</v>
      </c>
      <c r="D168" s="7" t="s">
        <v>1121</v>
      </c>
      <c r="E168" s="7" t="s">
        <v>143</v>
      </c>
      <c r="F168" s="7" t="s">
        <v>1122</v>
      </c>
      <c r="G168" s="7" t="s">
        <v>1123</v>
      </c>
      <c r="H168" s="7" t="s">
        <v>208</v>
      </c>
      <c r="I168" s="7" t="s">
        <v>1124</v>
      </c>
      <c r="J168" s="7"/>
      <c r="K168" s="7" t="s">
        <v>1125</v>
      </c>
    </row>
    <row r="169" customFormat="false" ht="23.85" hidden="false" customHeight="false" outlineLevel="0" collapsed="false">
      <c r="A169" s="7" t="n">
        <v>168</v>
      </c>
      <c r="B169" s="7" t="s">
        <v>1126</v>
      </c>
      <c r="C169" s="7" t="n">
        <v>2012</v>
      </c>
      <c r="D169" s="7" t="s">
        <v>1127</v>
      </c>
      <c r="E169" s="7" t="s">
        <v>143</v>
      </c>
      <c r="F169" s="7" t="s">
        <v>1128</v>
      </c>
      <c r="G169" s="7" t="s">
        <v>145</v>
      </c>
      <c r="H169" s="7" t="s">
        <v>387</v>
      </c>
      <c r="I169" s="7" t="s">
        <v>1129</v>
      </c>
      <c r="J169" s="7" t="s">
        <v>112</v>
      </c>
      <c r="K169" s="7" t="s">
        <v>1130</v>
      </c>
    </row>
    <row r="170" customFormat="false" ht="35.05" hidden="false" customHeight="false" outlineLevel="0" collapsed="false">
      <c r="A170" s="7" t="n">
        <v>169</v>
      </c>
      <c r="B170" s="7" t="s">
        <v>1131</v>
      </c>
      <c r="C170" s="7" t="n">
        <v>2017</v>
      </c>
      <c r="D170" s="7" t="s">
        <v>1132</v>
      </c>
      <c r="E170" s="7" t="s">
        <v>151</v>
      </c>
      <c r="F170" s="7" t="s">
        <v>1133</v>
      </c>
      <c r="G170" s="7" t="s">
        <v>145</v>
      </c>
      <c r="H170" s="7" t="s">
        <v>387</v>
      </c>
      <c r="I170" s="7" t="s">
        <v>507</v>
      </c>
      <c r="J170" s="7" t="s">
        <v>112</v>
      </c>
      <c r="K170" s="7" t="s">
        <v>1134</v>
      </c>
    </row>
    <row r="171" customFormat="false" ht="23.85" hidden="false" customHeight="false" outlineLevel="0" collapsed="false">
      <c r="A171" s="7" t="n">
        <v>170</v>
      </c>
      <c r="B171" s="7" t="s">
        <v>1135</v>
      </c>
      <c r="C171" s="7" t="n">
        <v>2021</v>
      </c>
      <c r="D171" s="7" t="s">
        <v>1136</v>
      </c>
      <c r="E171" s="7" t="s">
        <v>143</v>
      </c>
      <c r="F171" s="7" t="s">
        <v>1137</v>
      </c>
      <c r="G171" s="7" t="s">
        <v>1138</v>
      </c>
      <c r="H171" s="7" t="s">
        <v>146</v>
      </c>
      <c r="I171" s="7" t="s">
        <v>1139</v>
      </c>
      <c r="J171" s="7" t="s">
        <v>112</v>
      </c>
      <c r="K171" s="7" t="s">
        <v>1140</v>
      </c>
    </row>
    <row r="172" customFormat="false" ht="35.05" hidden="false" customHeight="false" outlineLevel="0" collapsed="false">
      <c r="A172" s="7" t="n">
        <v>171</v>
      </c>
      <c r="B172" s="7" t="s">
        <v>1141</v>
      </c>
      <c r="C172" s="7" t="n">
        <v>2019</v>
      </c>
      <c r="D172" s="7" t="s">
        <v>1142</v>
      </c>
      <c r="E172" s="7" t="s">
        <v>151</v>
      </c>
      <c r="F172" s="7" t="s">
        <v>605</v>
      </c>
      <c r="G172" s="7" t="s">
        <v>1143</v>
      </c>
      <c r="H172" s="7" t="s">
        <v>146</v>
      </c>
      <c r="I172" s="7" t="s">
        <v>1144</v>
      </c>
      <c r="J172" s="7" t="s">
        <v>112</v>
      </c>
      <c r="K172" s="7" t="s">
        <v>1145</v>
      </c>
    </row>
    <row r="173" customFormat="false" ht="23.85" hidden="false" customHeight="false" outlineLevel="0" collapsed="false">
      <c r="A173" s="7" t="n">
        <v>172</v>
      </c>
      <c r="B173" s="7" t="s">
        <v>1146</v>
      </c>
      <c r="C173" s="7" t="n">
        <v>2020</v>
      </c>
      <c r="D173" s="7" t="s">
        <v>1147</v>
      </c>
      <c r="E173" s="7" t="s">
        <v>143</v>
      </c>
      <c r="F173" s="7" t="s">
        <v>1148</v>
      </c>
      <c r="G173" s="7" t="s">
        <v>871</v>
      </c>
      <c r="H173" s="7" t="s">
        <v>146</v>
      </c>
      <c r="I173" s="7" t="s">
        <v>1149</v>
      </c>
      <c r="J173" s="7" t="s">
        <v>112</v>
      </c>
      <c r="K173" s="7" t="s">
        <v>1150</v>
      </c>
    </row>
    <row r="174" customFormat="false" ht="91" hidden="false" customHeight="false" outlineLevel="0" collapsed="false">
      <c r="A174" s="7" t="n">
        <v>173</v>
      </c>
      <c r="B174" s="7" t="s">
        <v>1151</v>
      </c>
      <c r="C174" s="7" t="n">
        <v>2018</v>
      </c>
      <c r="D174" s="7" t="s">
        <v>1152</v>
      </c>
      <c r="E174" s="7" t="s">
        <v>15196</v>
      </c>
      <c r="F174" s="7" t="s">
        <v>15197</v>
      </c>
      <c r="G174" s="7" t="s">
        <v>15198</v>
      </c>
      <c r="H174" s="7" t="s">
        <v>15165</v>
      </c>
      <c r="I174" s="7" t="s">
        <v>15199</v>
      </c>
      <c r="J174" s="7" t="s">
        <v>112</v>
      </c>
      <c r="K174" s="7" t="s">
        <v>15200</v>
      </c>
    </row>
    <row r="175" customFormat="false" ht="35.05" hidden="false" customHeight="false" outlineLevel="0" collapsed="false">
      <c r="A175" s="7" t="n">
        <v>174</v>
      </c>
      <c r="B175" s="7" t="s">
        <v>1166</v>
      </c>
      <c r="C175" s="7" t="n">
        <v>2018</v>
      </c>
      <c r="D175" s="7" t="s">
        <v>1167</v>
      </c>
      <c r="E175" s="7" t="s">
        <v>143</v>
      </c>
      <c r="F175" s="7" t="s">
        <v>1168</v>
      </c>
      <c r="G175" s="7" t="s">
        <v>145</v>
      </c>
      <c r="H175" s="7" t="s">
        <v>146</v>
      </c>
      <c r="I175" s="7" t="s">
        <v>1169</v>
      </c>
      <c r="J175" s="7" t="s">
        <v>112</v>
      </c>
      <c r="K175" s="7" t="s">
        <v>1170</v>
      </c>
    </row>
    <row r="176" customFormat="false" ht="91" hidden="false" customHeight="false" outlineLevel="0" collapsed="false">
      <c r="A176" s="7" t="n">
        <v>175</v>
      </c>
      <c r="B176" s="7" t="s">
        <v>15201</v>
      </c>
      <c r="C176" s="7" t="n">
        <v>2017</v>
      </c>
      <c r="D176" s="7" t="s">
        <v>1172</v>
      </c>
      <c r="E176" s="7" t="s">
        <v>15152</v>
      </c>
      <c r="F176" s="7" t="s">
        <v>15202</v>
      </c>
      <c r="G176" s="7" t="s">
        <v>187</v>
      </c>
      <c r="H176" s="7" t="s">
        <v>146</v>
      </c>
      <c r="I176" s="7" t="s">
        <v>15203</v>
      </c>
      <c r="J176" s="7" t="s">
        <v>112</v>
      </c>
      <c r="K176" s="7" t="s">
        <v>15204</v>
      </c>
    </row>
    <row r="177" customFormat="false" ht="57.45" hidden="false" customHeight="false" outlineLevel="0" collapsed="false">
      <c r="A177" s="7" t="n">
        <v>176</v>
      </c>
      <c r="B177" s="7" t="s">
        <v>1184</v>
      </c>
      <c r="C177" s="7" t="n">
        <v>2011</v>
      </c>
      <c r="D177" s="7" t="s">
        <v>1185</v>
      </c>
      <c r="E177" s="7" t="s">
        <v>15123</v>
      </c>
      <c r="F177" s="7" t="s">
        <v>15205</v>
      </c>
      <c r="G177" s="7" t="s">
        <v>1186</v>
      </c>
      <c r="H177" s="7" t="s">
        <v>15206</v>
      </c>
      <c r="I177" s="7" t="s">
        <v>15207</v>
      </c>
      <c r="J177" s="7" t="s">
        <v>112</v>
      </c>
      <c r="K177" s="7" t="s">
        <v>15208</v>
      </c>
    </row>
    <row r="178" customFormat="false" ht="23.85" hidden="false" customHeight="false" outlineLevel="0" collapsed="false">
      <c r="A178" s="7" t="n">
        <v>177</v>
      </c>
      <c r="B178" s="7" t="s">
        <v>1192</v>
      </c>
      <c r="C178" s="7" t="n">
        <v>2021</v>
      </c>
      <c r="D178" s="7" t="s">
        <v>1193</v>
      </c>
      <c r="E178" s="7" t="s">
        <v>143</v>
      </c>
      <c r="F178" s="7" t="s">
        <v>621</v>
      </c>
      <c r="G178" s="7" t="s">
        <v>145</v>
      </c>
      <c r="H178" s="7" t="s">
        <v>146</v>
      </c>
      <c r="I178" s="7" t="s">
        <v>623</v>
      </c>
      <c r="J178" s="7" t="s">
        <v>112</v>
      </c>
      <c r="K178" s="7" t="s">
        <v>1194</v>
      </c>
    </row>
    <row r="179" customFormat="false" ht="79.85" hidden="false" customHeight="false" outlineLevel="0" collapsed="false">
      <c r="A179" s="7" t="n">
        <v>178</v>
      </c>
      <c r="B179" s="7" t="s">
        <v>1195</v>
      </c>
      <c r="C179" s="7" t="n">
        <v>2022</v>
      </c>
      <c r="D179" s="7" t="s">
        <v>1196</v>
      </c>
      <c r="E179" s="7" t="s">
        <v>151</v>
      </c>
      <c r="F179" s="7" t="s">
        <v>15209</v>
      </c>
      <c r="G179" s="7" t="s">
        <v>1198</v>
      </c>
      <c r="H179" s="7" t="s">
        <v>146</v>
      </c>
      <c r="I179" s="7" t="s">
        <v>15210</v>
      </c>
      <c r="J179" s="7" t="s">
        <v>112</v>
      </c>
      <c r="K179" s="7" t="s">
        <v>15211</v>
      </c>
    </row>
    <row r="180" customFormat="false" ht="46.25" hidden="false" customHeight="false" outlineLevel="0" collapsed="false">
      <c r="A180" s="7" t="n">
        <v>179</v>
      </c>
      <c r="B180" s="7" t="s">
        <v>1207</v>
      </c>
      <c r="C180" s="7" t="n">
        <v>2024</v>
      </c>
      <c r="D180" s="7" t="s">
        <v>1208</v>
      </c>
      <c r="E180" s="7" t="s">
        <v>15123</v>
      </c>
      <c r="F180" s="7" t="s">
        <v>15212</v>
      </c>
      <c r="G180" s="7" t="s">
        <v>15213</v>
      </c>
      <c r="H180" s="7" t="s">
        <v>146</v>
      </c>
      <c r="I180" s="7" t="s">
        <v>15214</v>
      </c>
      <c r="J180" s="7" t="s">
        <v>112</v>
      </c>
      <c r="K180" s="7" t="s">
        <v>15215</v>
      </c>
    </row>
    <row r="181" customFormat="false" ht="23.85" hidden="false" customHeight="false" outlineLevel="0" collapsed="false">
      <c r="A181" s="7" t="n">
        <v>180</v>
      </c>
      <c r="B181" s="7" t="s">
        <v>1216</v>
      </c>
      <c r="C181" s="7" t="n">
        <v>2021</v>
      </c>
      <c r="D181" s="7" t="s">
        <v>1217</v>
      </c>
      <c r="E181" s="7" t="s">
        <v>151</v>
      </c>
      <c r="F181" s="7" t="s">
        <v>925</v>
      </c>
      <c r="G181" s="7" t="s">
        <v>871</v>
      </c>
      <c r="H181" s="7" t="s">
        <v>146</v>
      </c>
      <c r="I181" s="7" t="s">
        <v>623</v>
      </c>
      <c r="J181" s="7" t="s">
        <v>112</v>
      </c>
      <c r="K181" s="7" t="s">
        <v>1218</v>
      </c>
    </row>
    <row r="182" customFormat="false" ht="23.85" hidden="false" customHeight="false" outlineLevel="0" collapsed="false">
      <c r="A182" s="7" t="n">
        <v>181</v>
      </c>
      <c r="B182" s="7" t="s">
        <v>1219</v>
      </c>
      <c r="C182" s="7" t="n">
        <v>2017</v>
      </c>
      <c r="D182" s="7" t="s">
        <v>1220</v>
      </c>
      <c r="E182" s="7" t="s">
        <v>151</v>
      </c>
      <c r="F182" s="7" t="s">
        <v>1148</v>
      </c>
      <c r="G182" s="7" t="s">
        <v>1117</v>
      </c>
      <c r="H182" s="7" t="s">
        <v>146</v>
      </c>
      <c r="I182" s="7" t="s">
        <v>1221</v>
      </c>
      <c r="J182" s="7" t="s">
        <v>112</v>
      </c>
      <c r="K182" s="7" t="s">
        <v>1222</v>
      </c>
    </row>
    <row r="183" customFormat="false" ht="91" hidden="false" customHeight="false" outlineLevel="0" collapsed="false">
      <c r="A183" s="7" t="n">
        <v>182</v>
      </c>
      <c r="B183" s="7" t="s">
        <v>1223</v>
      </c>
      <c r="C183" s="7" t="n">
        <v>2015</v>
      </c>
      <c r="D183" s="7" t="s">
        <v>1224</v>
      </c>
      <c r="E183" s="7" t="s">
        <v>143</v>
      </c>
      <c r="F183" s="7" t="s">
        <v>15216</v>
      </c>
      <c r="G183" s="7" t="s">
        <v>15217</v>
      </c>
      <c r="H183" s="7" t="s">
        <v>15136</v>
      </c>
      <c r="I183" s="7" t="s">
        <v>15218</v>
      </c>
      <c r="J183" s="7" t="s">
        <v>112</v>
      </c>
      <c r="K183" s="7" t="s">
        <v>15219</v>
      </c>
    </row>
    <row r="184" customFormat="false" ht="35.05" hidden="false" customHeight="false" outlineLevel="0" collapsed="false">
      <c r="A184" s="7" t="n">
        <v>183</v>
      </c>
      <c r="B184" s="7" t="s">
        <v>1237</v>
      </c>
      <c r="C184" s="7" t="n">
        <v>2020</v>
      </c>
      <c r="D184" s="7" t="s">
        <v>1238</v>
      </c>
      <c r="E184" s="7" t="s">
        <v>143</v>
      </c>
      <c r="F184" s="7" t="s">
        <v>1239</v>
      </c>
      <c r="G184" s="7" t="s">
        <v>145</v>
      </c>
      <c r="H184" s="7" t="s">
        <v>208</v>
      </c>
      <c r="I184" s="7" t="s">
        <v>1240</v>
      </c>
      <c r="J184" s="7" t="s">
        <v>112</v>
      </c>
      <c r="K184" s="7" t="s">
        <v>1241</v>
      </c>
    </row>
    <row r="185" customFormat="false" ht="23.85" hidden="false" customHeight="false" outlineLevel="0" collapsed="false">
      <c r="A185" s="7" t="n">
        <v>184</v>
      </c>
      <c r="B185" s="7" t="s">
        <v>1242</v>
      </c>
      <c r="C185" s="7" t="n">
        <v>2019</v>
      </c>
      <c r="D185" s="7" t="s">
        <v>1243</v>
      </c>
      <c r="E185" s="7" t="s">
        <v>143</v>
      </c>
      <c r="F185" s="7" t="s">
        <v>1244</v>
      </c>
      <c r="G185" s="7" t="s">
        <v>1245</v>
      </c>
      <c r="H185" s="7" t="s">
        <v>748</v>
      </c>
      <c r="I185" s="7" t="s">
        <v>1246</v>
      </c>
      <c r="J185" s="7" t="s">
        <v>112</v>
      </c>
      <c r="K185" s="7" t="s">
        <v>1247</v>
      </c>
    </row>
    <row r="186" customFormat="false" ht="23.85" hidden="false" customHeight="false" outlineLevel="0" collapsed="false">
      <c r="A186" s="7" t="n">
        <v>185</v>
      </c>
      <c r="B186" s="7" t="s">
        <v>1248</v>
      </c>
      <c r="C186" s="7" t="n">
        <v>2021</v>
      </c>
      <c r="D186" s="7" t="s">
        <v>1249</v>
      </c>
      <c r="E186" s="7" t="s">
        <v>143</v>
      </c>
      <c r="F186" s="7" t="s">
        <v>798</v>
      </c>
      <c r="G186" s="7" t="s">
        <v>145</v>
      </c>
      <c r="H186" s="7" t="s">
        <v>146</v>
      </c>
      <c r="I186" s="7" t="s">
        <v>623</v>
      </c>
      <c r="J186" s="7" t="s">
        <v>112</v>
      </c>
      <c r="K186" s="7" t="s">
        <v>1250</v>
      </c>
    </row>
    <row r="187" customFormat="false" ht="35.05" hidden="false" customHeight="false" outlineLevel="0" collapsed="false">
      <c r="A187" s="7" t="n">
        <v>186</v>
      </c>
      <c r="B187" s="7" t="s">
        <v>1251</v>
      </c>
      <c r="C187" s="7" t="n">
        <v>2016</v>
      </c>
      <c r="D187" s="7" t="s">
        <v>1252</v>
      </c>
      <c r="E187" s="7" t="s">
        <v>151</v>
      </c>
      <c r="F187" s="7" t="s">
        <v>1253</v>
      </c>
      <c r="G187" s="7" t="s">
        <v>187</v>
      </c>
      <c r="H187" s="7" t="s">
        <v>146</v>
      </c>
      <c r="I187" s="7" t="s">
        <v>1254</v>
      </c>
      <c r="J187" s="7" t="s">
        <v>112</v>
      </c>
      <c r="K187" s="7" t="s">
        <v>1255</v>
      </c>
    </row>
    <row r="188" customFormat="false" ht="35.05" hidden="false" customHeight="false" outlineLevel="0" collapsed="false">
      <c r="A188" s="7" t="n">
        <v>187</v>
      </c>
      <c r="B188" s="7" t="s">
        <v>1256</v>
      </c>
      <c r="C188" s="7" t="n">
        <v>2024</v>
      </c>
      <c r="D188" s="7" t="s">
        <v>1257</v>
      </c>
      <c r="E188" s="7" t="s">
        <v>143</v>
      </c>
      <c r="F188" s="7" t="s">
        <v>1258</v>
      </c>
      <c r="G188" s="7" t="s">
        <v>145</v>
      </c>
      <c r="H188" s="7" t="s">
        <v>146</v>
      </c>
      <c r="I188" s="7" t="s">
        <v>1259</v>
      </c>
      <c r="J188" s="7" t="s">
        <v>112</v>
      </c>
      <c r="K188" s="7" t="s">
        <v>1260</v>
      </c>
    </row>
    <row r="189" customFormat="false" ht="46.25" hidden="false" customHeight="false" outlineLevel="0" collapsed="false">
      <c r="A189" s="7" t="n">
        <v>188</v>
      </c>
      <c r="B189" s="7" t="s">
        <v>1261</v>
      </c>
      <c r="C189" s="7" t="n">
        <v>2018</v>
      </c>
      <c r="D189" s="7" t="s">
        <v>1262</v>
      </c>
      <c r="E189" s="7" t="s">
        <v>143</v>
      </c>
      <c r="F189" s="7" t="s">
        <v>15220</v>
      </c>
      <c r="G189" s="7" t="s">
        <v>145</v>
      </c>
      <c r="H189" s="7" t="s">
        <v>15165</v>
      </c>
      <c r="I189" s="7" t="s">
        <v>15221</v>
      </c>
      <c r="J189" s="7" t="s">
        <v>112</v>
      </c>
      <c r="K189" s="7" t="s">
        <v>15222</v>
      </c>
    </row>
    <row r="190" customFormat="false" ht="23.85" hidden="false" customHeight="false" outlineLevel="0" collapsed="false">
      <c r="A190" s="7" t="n">
        <v>189</v>
      </c>
      <c r="B190" s="7" t="s">
        <v>1261</v>
      </c>
      <c r="C190" s="7" t="n">
        <v>2025</v>
      </c>
      <c r="D190" s="7" t="s">
        <v>1267</v>
      </c>
      <c r="E190" s="7" t="s">
        <v>143</v>
      </c>
      <c r="F190" s="7" t="s">
        <v>1080</v>
      </c>
      <c r="G190" s="7" t="s">
        <v>145</v>
      </c>
      <c r="H190" s="7" t="s">
        <v>387</v>
      </c>
      <c r="I190" s="7" t="s">
        <v>507</v>
      </c>
      <c r="J190" s="7" t="s">
        <v>112</v>
      </c>
      <c r="K190" s="7" t="s">
        <v>1268</v>
      </c>
    </row>
    <row r="191" customFormat="false" ht="23.85" hidden="false" customHeight="false" outlineLevel="0" collapsed="false">
      <c r="A191" s="7" t="n">
        <v>190</v>
      </c>
      <c r="B191" s="7" t="s">
        <v>619</v>
      </c>
      <c r="C191" s="7" t="n">
        <v>2024</v>
      </c>
      <c r="D191" s="7" t="s">
        <v>1269</v>
      </c>
      <c r="E191" s="7" t="s">
        <v>151</v>
      </c>
      <c r="F191" s="7" t="s">
        <v>1080</v>
      </c>
      <c r="G191" s="7" t="s">
        <v>1209</v>
      </c>
      <c r="H191" s="7" t="s">
        <v>146</v>
      </c>
      <c r="I191" s="7" t="s">
        <v>1270</v>
      </c>
      <c r="J191" s="7" t="s">
        <v>112</v>
      </c>
      <c r="K191" s="7" t="s">
        <v>1271</v>
      </c>
    </row>
    <row r="192" customFormat="false" ht="46.25" hidden="false" customHeight="false" outlineLevel="0" collapsed="false">
      <c r="A192" s="7" t="n">
        <v>191</v>
      </c>
      <c r="B192" s="7" t="s">
        <v>1272</v>
      </c>
      <c r="C192" s="7" t="n">
        <v>2021</v>
      </c>
      <c r="D192" s="7" t="s">
        <v>1273</v>
      </c>
      <c r="E192" s="7" t="s">
        <v>15152</v>
      </c>
      <c r="F192" s="7" t="s">
        <v>15223</v>
      </c>
      <c r="G192" s="7" t="s">
        <v>1274</v>
      </c>
      <c r="H192" s="7" t="s">
        <v>146</v>
      </c>
      <c r="I192" s="7" t="s">
        <v>15224</v>
      </c>
      <c r="J192" s="7" t="s">
        <v>112</v>
      </c>
      <c r="K192" s="7" t="s">
        <v>15225</v>
      </c>
    </row>
    <row r="193" customFormat="false" ht="91" hidden="false" customHeight="false" outlineLevel="0" collapsed="false">
      <c r="A193" s="7" t="n">
        <v>192</v>
      </c>
      <c r="B193" s="7" t="s">
        <v>1281</v>
      </c>
      <c r="C193" s="7" t="n">
        <v>2009</v>
      </c>
      <c r="D193" s="7" t="s">
        <v>1282</v>
      </c>
      <c r="E193" s="7" t="s">
        <v>143</v>
      </c>
      <c r="F193" s="7" t="s">
        <v>15226</v>
      </c>
      <c r="G193" s="7" t="s">
        <v>145</v>
      </c>
      <c r="H193" s="7" t="s">
        <v>15227</v>
      </c>
      <c r="I193" s="7" t="s">
        <v>15228</v>
      </c>
      <c r="J193" s="7" t="s">
        <v>112</v>
      </c>
      <c r="K193" s="7" t="s">
        <v>15229</v>
      </c>
    </row>
    <row r="194" customFormat="false" ht="35.05" hidden="false" customHeight="false" outlineLevel="0" collapsed="false">
      <c r="A194" s="7" t="n">
        <v>193</v>
      </c>
      <c r="B194" s="7" t="s">
        <v>1284</v>
      </c>
      <c r="C194" s="7" t="n">
        <v>2009</v>
      </c>
      <c r="D194" s="7" t="s">
        <v>1285</v>
      </c>
      <c r="E194" s="7" t="s">
        <v>151</v>
      </c>
      <c r="F194" s="7" t="s">
        <v>798</v>
      </c>
      <c r="G194" s="7" t="s">
        <v>145</v>
      </c>
      <c r="H194" s="7" t="s">
        <v>146</v>
      </c>
      <c r="I194" s="7" t="s">
        <v>1286</v>
      </c>
      <c r="J194" s="7" t="s">
        <v>112</v>
      </c>
      <c r="K194" s="7" t="s">
        <v>1287</v>
      </c>
    </row>
    <row r="195" customFormat="false" ht="35.05" hidden="false" customHeight="false" outlineLevel="0" collapsed="false">
      <c r="A195" s="7" t="n">
        <v>194</v>
      </c>
      <c r="B195" s="7" t="s">
        <v>1288</v>
      </c>
      <c r="C195" s="7" t="n">
        <v>2023</v>
      </c>
      <c r="D195" s="7" t="s">
        <v>1289</v>
      </c>
      <c r="E195" s="7" t="s">
        <v>151</v>
      </c>
      <c r="F195" s="7" t="s">
        <v>1290</v>
      </c>
      <c r="G195" s="7" t="s">
        <v>1291</v>
      </c>
      <c r="H195" s="7" t="s">
        <v>387</v>
      </c>
      <c r="I195" s="7" t="s">
        <v>1292</v>
      </c>
      <c r="J195" s="7" t="s">
        <v>114</v>
      </c>
      <c r="K195" s="7" t="s">
        <v>1293</v>
      </c>
    </row>
    <row r="196" customFormat="false" ht="23.85" hidden="false" customHeight="false" outlineLevel="0" collapsed="false">
      <c r="A196" s="7" t="n">
        <v>195</v>
      </c>
      <c r="B196" s="7" t="s">
        <v>1294</v>
      </c>
      <c r="C196" s="7" t="n">
        <v>2019</v>
      </c>
      <c r="D196" s="7" t="s">
        <v>1295</v>
      </c>
      <c r="E196" s="7" t="s">
        <v>151</v>
      </c>
      <c r="F196" s="7" t="s">
        <v>1296</v>
      </c>
      <c r="G196" s="7" t="s">
        <v>255</v>
      </c>
      <c r="H196" s="7" t="s">
        <v>146</v>
      </c>
      <c r="I196" s="7" t="s">
        <v>1297</v>
      </c>
      <c r="J196" s="7" t="s">
        <v>112</v>
      </c>
      <c r="K196" s="7" t="s">
        <v>1298</v>
      </c>
    </row>
    <row r="197" customFormat="false" ht="46.25" hidden="false" customHeight="false" outlineLevel="0" collapsed="false">
      <c r="A197" s="7" t="n">
        <v>196</v>
      </c>
      <c r="B197" s="7" t="s">
        <v>1299</v>
      </c>
      <c r="C197" s="7" t="n">
        <v>2017</v>
      </c>
      <c r="D197" s="7" t="s">
        <v>1300</v>
      </c>
      <c r="E197" s="7" t="s">
        <v>15123</v>
      </c>
      <c r="F197" s="7" t="s">
        <v>15230</v>
      </c>
      <c r="G197" s="7" t="s">
        <v>145</v>
      </c>
      <c r="H197" s="7" t="s">
        <v>15231</v>
      </c>
      <c r="I197" s="7" t="s">
        <v>15232</v>
      </c>
      <c r="J197" s="7" t="s">
        <v>112</v>
      </c>
      <c r="K197" s="7" t="s">
        <v>15233</v>
      </c>
    </row>
    <row r="198" customFormat="false" ht="35.05" hidden="false" customHeight="false" outlineLevel="0" collapsed="false">
      <c r="A198" s="7" t="n">
        <v>197</v>
      </c>
      <c r="B198" s="7" t="s">
        <v>1303</v>
      </c>
      <c r="C198" s="7" t="n">
        <v>2023</v>
      </c>
      <c r="D198" s="7" t="s">
        <v>1304</v>
      </c>
      <c r="E198" s="7" t="s">
        <v>143</v>
      </c>
      <c r="F198" s="7" t="s">
        <v>1148</v>
      </c>
      <c r="G198" s="7" t="s">
        <v>1209</v>
      </c>
      <c r="H198" s="7" t="s">
        <v>146</v>
      </c>
      <c r="I198" s="7" t="s">
        <v>1144</v>
      </c>
      <c r="J198" s="7" t="s">
        <v>112</v>
      </c>
      <c r="K198" s="7" t="s">
        <v>1305</v>
      </c>
    </row>
    <row r="199" customFormat="false" ht="57.45" hidden="false" customHeight="false" outlineLevel="0" collapsed="false">
      <c r="A199" s="7" t="n">
        <v>198</v>
      </c>
      <c r="B199" s="7" t="s">
        <v>1306</v>
      </c>
      <c r="C199" s="7" t="n">
        <v>2024</v>
      </c>
      <c r="D199" s="7" t="s">
        <v>1307</v>
      </c>
      <c r="E199" s="7" t="s">
        <v>151</v>
      </c>
      <c r="F199" s="7" t="s">
        <v>15234</v>
      </c>
      <c r="G199" s="7" t="s">
        <v>145</v>
      </c>
      <c r="H199" s="7" t="s">
        <v>387</v>
      </c>
      <c r="I199" s="7" t="s">
        <v>15235</v>
      </c>
      <c r="J199" s="7" t="s">
        <v>110</v>
      </c>
      <c r="K199" s="7" t="s">
        <v>15236</v>
      </c>
    </row>
    <row r="200" customFormat="false" ht="35.05" hidden="false" customHeight="false" outlineLevel="0" collapsed="false">
      <c r="A200" s="7" t="n">
        <v>199</v>
      </c>
      <c r="B200" s="7" t="s">
        <v>1314</v>
      </c>
      <c r="C200" s="7" t="n">
        <v>2019</v>
      </c>
      <c r="D200" s="7" t="s">
        <v>1315</v>
      </c>
      <c r="E200" s="7" t="s">
        <v>143</v>
      </c>
      <c r="F200" s="7" t="s">
        <v>798</v>
      </c>
      <c r="G200" s="7" t="s">
        <v>145</v>
      </c>
      <c r="H200" s="7" t="s">
        <v>387</v>
      </c>
      <c r="I200" s="7" t="s">
        <v>507</v>
      </c>
      <c r="J200" s="7" t="s">
        <v>112</v>
      </c>
      <c r="K200" s="7" t="s">
        <v>1316</v>
      </c>
    </row>
    <row r="201" customFormat="false" ht="35.05" hidden="false" customHeight="false" outlineLevel="0" collapsed="false">
      <c r="A201" s="7" t="n">
        <v>200</v>
      </c>
      <c r="B201" s="7" t="s">
        <v>1317</v>
      </c>
      <c r="C201" s="7" t="n">
        <v>2021</v>
      </c>
      <c r="D201" s="7" t="s">
        <v>1318</v>
      </c>
      <c r="E201" s="7" t="s">
        <v>151</v>
      </c>
      <c r="F201" s="7" t="s">
        <v>1080</v>
      </c>
      <c r="G201" s="7" t="s">
        <v>1319</v>
      </c>
      <c r="H201" s="7" t="s">
        <v>146</v>
      </c>
      <c r="I201" s="7" t="s">
        <v>1320</v>
      </c>
      <c r="J201" s="7" t="s">
        <v>112</v>
      </c>
      <c r="K201" s="7" t="s">
        <v>1321</v>
      </c>
    </row>
    <row r="202" customFormat="false" ht="23.85" hidden="false" customHeight="false" outlineLevel="0" collapsed="false">
      <c r="A202" s="7" t="n">
        <v>201</v>
      </c>
      <c r="B202" s="7" t="s">
        <v>1322</v>
      </c>
      <c r="C202" s="7" t="n">
        <v>2021</v>
      </c>
      <c r="D202" s="7" t="s">
        <v>1323</v>
      </c>
      <c r="E202" s="7" t="s">
        <v>151</v>
      </c>
      <c r="F202" s="7" t="s">
        <v>621</v>
      </c>
      <c r="G202" s="7" t="s">
        <v>871</v>
      </c>
      <c r="H202" s="7" t="s">
        <v>146</v>
      </c>
      <c r="I202" s="7" t="s">
        <v>1324</v>
      </c>
      <c r="J202" s="7" t="s">
        <v>112</v>
      </c>
      <c r="K202" s="7" t="s">
        <v>1325</v>
      </c>
    </row>
    <row r="203" customFormat="false" ht="23.85" hidden="false" customHeight="false" outlineLevel="0" collapsed="false">
      <c r="A203" s="7" t="n">
        <v>202</v>
      </c>
      <c r="B203" s="7" t="s">
        <v>1326</v>
      </c>
      <c r="C203" s="7" t="n">
        <v>2004</v>
      </c>
      <c r="D203" s="7" t="s">
        <v>1327</v>
      </c>
      <c r="E203" s="7" t="s">
        <v>143</v>
      </c>
      <c r="F203" s="7" t="s">
        <v>1328</v>
      </c>
      <c r="G203" s="7" t="s">
        <v>145</v>
      </c>
      <c r="H203" s="7" t="s">
        <v>387</v>
      </c>
      <c r="I203" s="7" t="s">
        <v>1329</v>
      </c>
      <c r="J203" s="7" t="s">
        <v>112</v>
      </c>
      <c r="K203" s="7" t="s">
        <v>1330</v>
      </c>
    </row>
    <row r="204" customFormat="false" ht="79.85" hidden="false" customHeight="false" outlineLevel="0" collapsed="false">
      <c r="A204" s="7" t="n">
        <v>203</v>
      </c>
      <c r="B204" s="7" t="s">
        <v>1331</v>
      </c>
      <c r="C204" s="7" t="n">
        <v>2019</v>
      </c>
      <c r="D204" s="7" t="s">
        <v>1332</v>
      </c>
      <c r="E204" s="7" t="s">
        <v>15237</v>
      </c>
      <c r="F204" s="7" t="s">
        <v>15238</v>
      </c>
      <c r="G204" s="7" t="s">
        <v>15239</v>
      </c>
      <c r="H204" s="7" t="s">
        <v>15165</v>
      </c>
      <c r="I204" s="7" t="s">
        <v>15240</v>
      </c>
      <c r="J204" s="7" t="s">
        <v>112</v>
      </c>
      <c r="K204" s="7" t="s">
        <v>15241</v>
      </c>
    </row>
    <row r="205" customFormat="false" ht="57.45" hidden="false" customHeight="false" outlineLevel="0" collapsed="false">
      <c r="A205" s="7" t="n">
        <v>204</v>
      </c>
      <c r="B205" s="7" t="s">
        <v>15242</v>
      </c>
      <c r="C205" s="7" t="n">
        <v>2022</v>
      </c>
      <c r="D205" s="7" t="s">
        <v>1343</v>
      </c>
      <c r="E205" s="7" t="s">
        <v>15123</v>
      </c>
      <c r="F205" s="7" t="s">
        <v>15243</v>
      </c>
      <c r="G205" s="7" t="s">
        <v>15244</v>
      </c>
      <c r="H205" s="7" t="s">
        <v>15165</v>
      </c>
      <c r="I205" s="7" t="s">
        <v>15245</v>
      </c>
      <c r="J205" s="7" t="s">
        <v>114</v>
      </c>
      <c r="K205" s="7" t="s">
        <v>15246</v>
      </c>
    </row>
    <row r="206" customFormat="false" ht="102.2" hidden="false" customHeight="false" outlineLevel="0" collapsed="false">
      <c r="A206" s="7" t="n">
        <v>205</v>
      </c>
      <c r="B206" s="7" t="s">
        <v>15247</v>
      </c>
      <c r="C206" s="7" t="n">
        <v>2023</v>
      </c>
      <c r="D206" s="7" t="s">
        <v>1353</v>
      </c>
      <c r="E206" s="7" t="s">
        <v>15248</v>
      </c>
      <c r="F206" s="7" t="s">
        <v>15249</v>
      </c>
      <c r="G206" s="7" t="s">
        <v>15250</v>
      </c>
      <c r="H206" s="7" t="s">
        <v>146</v>
      </c>
      <c r="I206" s="7" t="s">
        <v>15251</v>
      </c>
      <c r="J206" s="7" t="s">
        <v>112</v>
      </c>
      <c r="K206" s="7" t="s">
        <v>15252</v>
      </c>
    </row>
    <row r="207" customFormat="false" ht="23.85" hidden="false" customHeight="false" outlineLevel="0" collapsed="false">
      <c r="A207" s="7" t="n">
        <v>206</v>
      </c>
      <c r="B207" s="7" t="s">
        <v>1366</v>
      </c>
      <c r="C207" s="7" t="n">
        <v>2024</v>
      </c>
      <c r="D207" s="7" t="s">
        <v>1367</v>
      </c>
      <c r="E207" s="7" t="s">
        <v>143</v>
      </c>
      <c r="F207" s="7" t="s">
        <v>1368</v>
      </c>
      <c r="G207" s="7" t="s">
        <v>145</v>
      </c>
      <c r="H207" s="7" t="s">
        <v>146</v>
      </c>
      <c r="I207" s="7" t="s">
        <v>491</v>
      </c>
      <c r="J207" s="7" t="s">
        <v>110</v>
      </c>
      <c r="K207" s="7" t="s">
        <v>1369</v>
      </c>
    </row>
    <row r="208" customFormat="false" ht="57.45" hidden="false" customHeight="false" outlineLevel="0" collapsed="false">
      <c r="A208" s="7" t="n">
        <v>207</v>
      </c>
      <c r="B208" s="7" t="s">
        <v>1370</v>
      </c>
      <c r="C208" s="7" t="n">
        <v>2022</v>
      </c>
      <c r="D208" s="7" t="s">
        <v>1371</v>
      </c>
      <c r="E208" s="7" t="s">
        <v>143</v>
      </c>
      <c r="F208" s="7" t="s">
        <v>15253</v>
      </c>
      <c r="G208" s="7" t="s">
        <v>1373</v>
      </c>
      <c r="H208" s="7" t="s">
        <v>387</v>
      </c>
      <c r="I208" s="7" t="s">
        <v>15254</v>
      </c>
      <c r="J208" s="7" t="s">
        <v>110</v>
      </c>
      <c r="K208" s="7" t="s">
        <v>15255</v>
      </c>
    </row>
    <row r="209" customFormat="false" ht="23.85" hidden="false" customHeight="false" outlineLevel="0" collapsed="false">
      <c r="A209" s="7" t="n">
        <v>208</v>
      </c>
      <c r="B209" s="7" t="s">
        <v>1379</v>
      </c>
      <c r="C209" s="7" t="n">
        <v>2024</v>
      </c>
      <c r="D209" s="7" t="s">
        <v>1380</v>
      </c>
      <c r="E209" s="7" t="s">
        <v>143</v>
      </c>
      <c r="F209" s="7" t="s">
        <v>1381</v>
      </c>
      <c r="G209" s="7" t="s">
        <v>479</v>
      </c>
      <c r="H209" s="7" t="s">
        <v>146</v>
      </c>
      <c r="I209" s="7" t="s">
        <v>1382</v>
      </c>
      <c r="J209" s="7" t="s">
        <v>110</v>
      </c>
      <c r="K209" s="7" t="s">
        <v>1383</v>
      </c>
    </row>
    <row r="210" customFormat="false" ht="35.05" hidden="false" customHeight="false" outlineLevel="0" collapsed="false">
      <c r="A210" s="7" t="n">
        <v>209</v>
      </c>
      <c r="B210" s="7" t="s">
        <v>1384</v>
      </c>
      <c r="C210" s="7" t="n">
        <v>2023</v>
      </c>
      <c r="D210" s="7" t="s">
        <v>1385</v>
      </c>
      <c r="E210" s="7" t="s">
        <v>143</v>
      </c>
      <c r="F210" s="7" t="s">
        <v>1386</v>
      </c>
      <c r="G210" s="7" t="s">
        <v>145</v>
      </c>
      <c r="H210" s="7" t="s">
        <v>387</v>
      </c>
      <c r="I210" s="7" t="s">
        <v>507</v>
      </c>
      <c r="J210" s="7" t="s">
        <v>110</v>
      </c>
      <c r="K210" s="7" t="s">
        <v>1387</v>
      </c>
    </row>
    <row r="211" customFormat="false" ht="214.15" hidden="false" customHeight="false" outlineLevel="0" collapsed="false">
      <c r="A211" s="7" t="n">
        <v>210</v>
      </c>
      <c r="B211" s="7" t="s">
        <v>15256</v>
      </c>
      <c r="C211" s="7" t="n">
        <v>2024</v>
      </c>
      <c r="D211" s="7" t="s">
        <v>1389</v>
      </c>
      <c r="E211" s="7" t="s">
        <v>15257</v>
      </c>
      <c r="F211" s="7" t="s">
        <v>15258</v>
      </c>
      <c r="G211" s="7" t="s">
        <v>145</v>
      </c>
      <c r="H211" s="7" t="s">
        <v>15165</v>
      </c>
      <c r="I211" s="7" t="s">
        <v>15259</v>
      </c>
      <c r="J211" s="7" t="s">
        <v>110</v>
      </c>
      <c r="K211" s="7" t="s">
        <v>15260</v>
      </c>
    </row>
    <row r="212" customFormat="false" ht="135.8" hidden="false" customHeight="false" outlineLevel="0" collapsed="false">
      <c r="A212" s="7" t="n">
        <v>211</v>
      </c>
      <c r="B212" s="7" t="s">
        <v>15261</v>
      </c>
      <c r="C212" s="7" t="n">
        <v>2023</v>
      </c>
      <c r="D212" s="7" t="s">
        <v>1415</v>
      </c>
      <c r="E212" s="7" t="s">
        <v>143</v>
      </c>
      <c r="F212" s="7" t="s">
        <v>15262</v>
      </c>
      <c r="G212" s="7" t="s">
        <v>145</v>
      </c>
      <c r="H212" s="7" t="s">
        <v>15165</v>
      </c>
      <c r="I212" s="7" t="s">
        <v>15263</v>
      </c>
      <c r="J212" s="7" t="s">
        <v>110</v>
      </c>
      <c r="K212" s="7" t="s">
        <v>15264</v>
      </c>
    </row>
    <row r="213" customFormat="false" ht="57.45" hidden="false" customHeight="false" outlineLevel="0" collapsed="false">
      <c r="A213" s="7" t="n">
        <v>212</v>
      </c>
      <c r="B213" s="7" t="s">
        <v>15265</v>
      </c>
      <c r="C213" s="7" t="n">
        <v>2023</v>
      </c>
      <c r="D213" s="7" t="s">
        <v>1436</v>
      </c>
      <c r="E213" s="7" t="s">
        <v>143</v>
      </c>
      <c r="F213" s="7" t="s">
        <v>15266</v>
      </c>
      <c r="G213" s="7" t="s">
        <v>145</v>
      </c>
      <c r="H213" s="7" t="s">
        <v>387</v>
      </c>
      <c r="I213" s="7" t="s">
        <v>15267</v>
      </c>
      <c r="J213" s="7" t="s">
        <v>110</v>
      </c>
      <c r="K213" s="7" t="s">
        <v>15268</v>
      </c>
    </row>
    <row r="214" customFormat="false" ht="23.85" hidden="false" customHeight="false" outlineLevel="0" collapsed="false">
      <c r="A214" s="7" t="n">
        <v>213</v>
      </c>
      <c r="B214" s="7" t="s">
        <v>1435</v>
      </c>
      <c r="C214" s="7" t="n">
        <v>2024</v>
      </c>
      <c r="D214" s="7" t="s">
        <v>1444</v>
      </c>
      <c r="E214" s="7" t="s">
        <v>151</v>
      </c>
      <c r="F214" s="7" t="s">
        <v>1445</v>
      </c>
      <c r="G214" s="7" t="s">
        <v>145</v>
      </c>
      <c r="H214" s="7" t="s">
        <v>387</v>
      </c>
      <c r="I214" s="7" t="s">
        <v>507</v>
      </c>
      <c r="J214" s="7" t="s">
        <v>110</v>
      </c>
      <c r="K214" s="7" t="s">
        <v>1446</v>
      </c>
    </row>
    <row r="215" customFormat="false" ht="23.85" hidden="false" customHeight="false" outlineLevel="0" collapsed="false">
      <c r="A215" s="7" t="n">
        <v>214</v>
      </c>
      <c r="B215" s="7" t="s">
        <v>1447</v>
      </c>
      <c r="C215" s="7" t="n">
        <v>2023</v>
      </c>
      <c r="D215" s="7" t="s">
        <v>1448</v>
      </c>
      <c r="E215" s="7" t="s">
        <v>143</v>
      </c>
      <c r="F215" s="7" t="s">
        <v>1449</v>
      </c>
      <c r="G215" s="7" t="s">
        <v>1450</v>
      </c>
      <c r="H215" s="7" t="s">
        <v>146</v>
      </c>
      <c r="I215" s="7" t="s">
        <v>1451</v>
      </c>
      <c r="J215" s="7" t="s">
        <v>1452</v>
      </c>
      <c r="K215" s="7" t="s">
        <v>1453</v>
      </c>
    </row>
    <row r="216" customFormat="false" ht="79.85" hidden="false" customHeight="false" outlineLevel="0" collapsed="false">
      <c r="A216" s="7" t="n">
        <v>215</v>
      </c>
      <c r="B216" s="7" t="s">
        <v>1454</v>
      </c>
      <c r="C216" s="7" t="n">
        <v>2024</v>
      </c>
      <c r="D216" s="7" t="s">
        <v>1455</v>
      </c>
      <c r="E216" s="7" t="s">
        <v>143</v>
      </c>
      <c r="F216" s="7" t="s">
        <v>15269</v>
      </c>
      <c r="G216" s="7" t="s">
        <v>145</v>
      </c>
      <c r="H216" s="7" t="s">
        <v>15165</v>
      </c>
      <c r="I216" s="7" t="s">
        <v>15270</v>
      </c>
      <c r="J216" s="7" t="s">
        <v>110</v>
      </c>
      <c r="K216" s="7" t="s">
        <v>15271</v>
      </c>
    </row>
    <row r="217" customFormat="false" ht="202.95" hidden="false" customHeight="false" outlineLevel="0" collapsed="false">
      <c r="A217" s="7" t="n">
        <v>216</v>
      </c>
      <c r="B217" s="7" t="s">
        <v>15272</v>
      </c>
      <c r="C217" s="7" t="n">
        <v>2022</v>
      </c>
      <c r="D217" s="7" t="s">
        <v>1465</v>
      </c>
      <c r="E217" s="7" t="s">
        <v>143</v>
      </c>
      <c r="F217" s="7" t="s">
        <v>15273</v>
      </c>
      <c r="G217" s="7" t="s">
        <v>145</v>
      </c>
      <c r="H217" s="7" t="s">
        <v>15165</v>
      </c>
      <c r="I217" s="7" t="s">
        <v>15274</v>
      </c>
      <c r="J217" s="7" t="s">
        <v>110</v>
      </c>
      <c r="K217" s="7" t="s">
        <v>15275</v>
      </c>
    </row>
    <row r="218" customFormat="false" ht="46.25" hidden="false" customHeight="false" outlineLevel="0" collapsed="false">
      <c r="A218" s="7" t="n">
        <v>217</v>
      </c>
      <c r="B218" s="7" t="s">
        <v>15276</v>
      </c>
      <c r="C218" s="7" t="n">
        <v>2023</v>
      </c>
      <c r="D218" s="7" t="s">
        <v>1490</v>
      </c>
      <c r="E218" s="7" t="s">
        <v>15277</v>
      </c>
      <c r="F218" s="7" t="s">
        <v>15278</v>
      </c>
      <c r="G218" s="7" t="s">
        <v>145</v>
      </c>
      <c r="H218" s="7" t="s">
        <v>15165</v>
      </c>
      <c r="I218" s="7" t="s">
        <v>15279</v>
      </c>
      <c r="J218" s="7" t="s">
        <v>110</v>
      </c>
      <c r="K218" s="7" t="s">
        <v>15280</v>
      </c>
    </row>
    <row r="219" customFormat="false" ht="23.85" hidden="false" customHeight="false" outlineLevel="0" collapsed="false">
      <c r="A219" s="7" t="n">
        <v>218</v>
      </c>
      <c r="B219" s="7" t="s">
        <v>1464</v>
      </c>
      <c r="C219" s="7" t="n">
        <v>2024</v>
      </c>
      <c r="D219" s="7" t="s">
        <v>1498</v>
      </c>
      <c r="E219" s="7" t="s">
        <v>143</v>
      </c>
      <c r="F219" s="7" t="s">
        <v>1499</v>
      </c>
      <c r="G219" s="7" t="s">
        <v>145</v>
      </c>
      <c r="H219" s="7" t="s">
        <v>387</v>
      </c>
      <c r="I219" s="7" t="s">
        <v>507</v>
      </c>
      <c r="J219" s="7" t="s">
        <v>110</v>
      </c>
      <c r="K219" s="7" t="s">
        <v>1500</v>
      </c>
    </row>
    <row r="220" customFormat="false" ht="46.25" hidden="false" customHeight="false" outlineLevel="0" collapsed="false">
      <c r="A220" s="7" t="n">
        <v>219</v>
      </c>
      <c r="B220" s="7" t="s">
        <v>15281</v>
      </c>
      <c r="C220" s="7" t="n">
        <v>2024</v>
      </c>
      <c r="D220" s="7" t="s">
        <v>1502</v>
      </c>
      <c r="E220" s="7" t="s">
        <v>143</v>
      </c>
      <c r="F220" s="7" t="s">
        <v>15282</v>
      </c>
      <c r="G220" s="7" t="s">
        <v>145</v>
      </c>
      <c r="H220" s="7" t="s">
        <v>15283</v>
      </c>
      <c r="I220" s="7" t="s">
        <v>15284</v>
      </c>
      <c r="J220" s="7" t="s">
        <v>112</v>
      </c>
      <c r="K220" s="7" t="s">
        <v>15285</v>
      </c>
    </row>
    <row r="221" customFormat="false" ht="23.85" hidden="false" customHeight="false" outlineLevel="0" collapsed="false">
      <c r="A221" s="7" t="n">
        <v>220</v>
      </c>
      <c r="B221" s="7" t="s">
        <v>1501</v>
      </c>
      <c r="C221" s="7" t="n">
        <v>2025</v>
      </c>
      <c r="D221" s="7" t="s">
        <v>1509</v>
      </c>
      <c r="E221" s="7" t="s">
        <v>143</v>
      </c>
      <c r="F221" s="7" t="s">
        <v>956</v>
      </c>
      <c r="G221" s="7" t="s">
        <v>145</v>
      </c>
      <c r="H221" s="7" t="s">
        <v>522</v>
      </c>
      <c r="I221" s="7" t="s">
        <v>1503</v>
      </c>
      <c r="J221" s="7"/>
      <c r="K221" s="7" t="s">
        <v>1510</v>
      </c>
    </row>
    <row r="222" customFormat="false" ht="57.45" hidden="false" customHeight="false" outlineLevel="0" collapsed="false">
      <c r="A222" s="7" t="n">
        <v>221</v>
      </c>
      <c r="B222" s="7" t="s">
        <v>1511</v>
      </c>
      <c r="C222" s="7" t="n">
        <v>2023</v>
      </c>
      <c r="D222" s="7" t="s">
        <v>1512</v>
      </c>
      <c r="E222" s="7" t="s">
        <v>143</v>
      </c>
      <c r="F222" s="7" t="s">
        <v>15286</v>
      </c>
      <c r="G222" s="7" t="s">
        <v>145</v>
      </c>
      <c r="H222" s="7" t="s">
        <v>15165</v>
      </c>
      <c r="I222" s="7" t="s">
        <v>15287</v>
      </c>
      <c r="J222" s="7" t="s">
        <v>114</v>
      </c>
      <c r="K222" s="7" t="s">
        <v>15288</v>
      </c>
    </row>
    <row r="223" customFormat="false" ht="91" hidden="false" customHeight="false" outlineLevel="0" collapsed="false">
      <c r="A223" s="7" t="n">
        <v>222</v>
      </c>
      <c r="B223" s="7" t="s">
        <v>828</v>
      </c>
      <c r="C223" s="7" t="n">
        <v>2024</v>
      </c>
      <c r="D223" s="7" t="s">
        <v>1520</v>
      </c>
      <c r="E223" s="7" t="s">
        <v>143</v>
      </c>
      <c r="F223" s="7" t="s">
        <v>15289</v>
      </c>
      <c r="G223" s="7" t="s">
        <v>15290</v>
      </c>
      <c r="H223" s="7" t="s">
        <v>15165</v>
      </c>
      <c r="I223" s="7" t="s">
        <v>15291</v>
      </c>
      <c r="J223" s="7" t="s">
        <v>110</v>
      </c>
      <c r="K223" s="7" t="s">
        <v>15292</v>
      </c>
    </row>
    <row r="224" customFormat="false" ht="57.45" hidden="false" customHeight="false" outlineLevel="0" collapsed="false">
      <c r="A224" s="7" t="n">
        <v>223</v>
      </c>
      <c r="B224" s="7" t="s">
        <v>1530</v>
      </c>
      <c r="C224" s="7" t="n">
        <v>2011</v>
      </c>
      <c r="D224" s="7" t="s">
        <v>1531</v>
      </c>
      <c r="E224" s="7" t="s">
        <v>143</v>
      </c>
      <c r="F224" s="7" t="s">
        <v>15293</v>
      </c>
      <c r="G224" s="7" t="s">
        <v>1319</v>
      </c>
      <c r="H224" s="7" t="s">
        <v>15165</v>
      </c>
      <c r="I224" s="7" t="s">
        <v>15294</v>
      </c>
      <c r="J224" s="7" t="s">
        <v>15295</v>
      </c>
      <c r="K224" s="7" t="s">
        <v>15296</v>
      </c>
    </row>
    <row r="225" customFormat="false" ht="35.05" hidden="false" customHeight="false" outlineLevel="0" collapsed="false">
      <c r="A225" s="7" t="n">
        <v>224</v>
      </c>
      <c r="B225" s="7" t="s">
        <v>1538</v>
      </c>
      <c r="C225" s="7" t="n">
        <v>2021</v>
      </c>
      <c r="D225" s="7" t="s">
        <v>1539</v>
      </c>
      <c r="E225" s="7" t="s">
        <v>143</v>
      </c>
      <c r="F225" s="7" t="s">
        <v>956</v>
      </c>
      <c r="G225" s="7" t="s">
        <v>721</v>
      </c>
      <c r="H225" s="7" t="s">
        <v>146</v>
      </c>
      <c r="I225" s="7" t="s">
        <v>1540</v>
      </c>
      <c r="J225" s="7" t="s">
        <v>1533</v>
      </c>
      <c r="K225" s="7" t="s">
        <v>1541</v>
      </c>
    </row>
    <row r="226" customFormat="false" ht="23.85" hidden="false" customHeight="false" outlineLevel="0" collapsed="false">
      <c r="A226" s="7" t="n">
        <v>225</v>
      </c>
      <c r="B226" s="7" t="s">
        <v>1542</v>
      </c>
      <c r="C226" s="7" t="n">
        <v>2022</v>
      </c>
      <c r="D226" s="7" t="s">
        <v>1543</v>
      </c>
      <c r="E226" s="7" t="s">
        <v>143</v>
      </c>
      <c r="F226" s="7" t="s">
        <v>1080</v>
      </c>
      <c r="G226" s="7" t="s">
        <v>145</v>
      </c>
      <c r="H226" s="7" t="s">
        <v>387</v>
      </c>
      <c r="I226" s="7" t="s">
        <v>397</v>
      </c>
      <c r="J226" s="7" t="s">
        <v>110</v>
      </c>
      <c r="K226" s="7" t="s">
        <v>1544</v>
      </c>
    </row>
    <row r="227" customFormat="false" ht="79.85" hidden="false" customHeight="false" outlineLevel="0" collapsed="false">
      <c r="A227" s="7" t="n">
        <v>226</v>
      </c>
      <c r="B227" s="7" t="s">
        <v>1545</v>
      </c>
      <c r="C227" s="7" t="n">
        <v>2017</v>
      </c>
      <c r="D227" s="7" t="s">
        <v>1546</v>
      </c>
      <c r="E227" s="7" t="s">
        <v>151</v>
      </c>
      <c r="F227" s="7" t="s">
        <v>15297</v>
      </c>
      <c r="G227" s="7" t="s">
        <v>145</v>
      </c>
      <c r="H227" s="7" t="s">
        <v>15165</v>
      </c>
      <c r="I227" s="7" t="s">
        <v>15298</v>
      </c>
      <c r="J227" s="7" t="s">
        <v>15138</v>
      </c>
      <c r="K227" s="7" t="s">
        <v>15299</v>
      </c>
    </row>
    <row r="228" customFormat="false" ht="35.05" hidden="false" customHeight="false" outlineLevel="0" collapsed="false">
      <c r="A228" s="7" t="n">
        <v>227</v>
      </c>
      <c r="B228" s="7" t="s">
        <v>1554</v>
      </c>
      <c r="C228" s="7" t="n">
        <v>2015</v>
      </c>
      <c r="D228" s="7" t="s">
        <v>1555</v>
      </c>
      <c r="E228" s="7" t="s">
        <v>151</v>
      </c>
      <c r="F228" s="7" t="s">
        <v>396</v>
      </c>
      <c r="G228" s="7" t="s">
        <v>1556</v>
      </c>
      <c r="H228" s="7" t="s">
        <v>387</v>
      </c>
      <c r="I228" s="7" t="s">
        <v>803</v>
      </c>
      <c r="J228" s="7" t="s">
        <v>1533</v>
      </c>
      <c r="K228" s="7" t="s">
        <v>1557</v>
      </c>
    </row>
    <row r="229" customFormat="false" ht="23.85" hidden="false" customHeight="false" outlineLevel="0" collapsed="false">
      <c r="A229" s="7" t="n">
        <v>228</v>
      </c>
      <c r="B229" s="7" t="s">
        <v>1558</v>
      </c>
      <c r="C229" s="7" t="n">
        <v>2019</v>
      </c>
      <c r="D229" s="7" t="s">
        <v>1559</v>
      </c>
      <c r="E229" s="7" t="s">
        <v>143</v>
      </c>
      <c r="F229" s="7" t="s">
        <v>798</v>
      </c>
      <c r="G229" s="7" t="s">
        <v>145</v>
      </c>
      <c r="H229" s="7" t="s">
        <v>146</v>
      </c>
      <c r="I229" s="7" t="s">
        <v>1560</v>
      </c>
      <c r="J229" s="7" t="s">
        <v>110</v>
      </c>
      <c r="K229" s="7" t="s">
        <v>1561</v>
      </c>
    </row>
    <row r="230" customFormat="false" ht="23.85" hidden="false" customHeight="false" outlineLevel="0" collapsed="false">
      <c r="A230" s="7" t="n">
        <v>229</v>
      </c>
      <c r="B230" s="7" t="s">
        <v>341</v>
      </c>
      <c r="C230" s="7" t="n">
        <v>2025</v>
      </c>
      <c r="D230" s="7" t="s">
        <v>1562</v>
      </c>
      <c r="E230" s="7" t="s">
        <v>143</v>
      </c>
      <c r="F230" s="7" t="s">
        <v>1563</v>
      </c>
      <c r="G230" s="7" t="s">
        <v>145</v>
      </c>
      <c r="H230" s="7" t="s">
        <v>153</v>
      </c>
      <c r="I230" s="7" t="s">
        <v>1564</v>
      </c>
      <c r="J230" s="7" t="s">
        <v>114</v>
      </c>
      <c r="K230" s="7" t="s">
        <v>1565</v>
      </c>
    </row>
    <row r="231" customFormat="false" ht="23.85" hidden="false" customHeight="false" outlineLevel="0" collapsed="false">
      <c r="A231" s="7" t="n">
        <v>230</v>
      </c>
      <c r="B231" s="7" t="s">
        <v>1566</v>
      </c>
      <c r="C231" s="7" t="n">
        <v>2004</v>
      </c>
      <c r="D231" s="7" t="s">
        <v>1567</v>
      </c>
      <c r="E231" s="7" t="s">
        <v>151</v>
      </c>
      <c r="F231" s="7" t="s">
        <v>1568</v>
      </c>
      <c r="G231" s="7" t="s">
        <v>1569</v>
      </c>
      <c r="H231" s="7" t="s">
        <v>146</v>
      </c>
      <c r="I231" s="7" t="s">
        <v>1570</v>
      </c>
      <c r="J231" s="7"/>
      <c r="K231" s="7" t="s">
        <v>1571</v>
      </c>
    </row>
    <row r="232" customFormat="false" ht="23.85" hidden="false" customHeight="false" outlineLevel="0" collapsed="false">
      <c r="A232" s="7" t="n">
        <v>231</v>
      </c>
      <c r="B232" s="7" t="s">
        <v>1572</v>
      </c>
      <c r="C232" s="7" t="n">
        <v>2015</v>
      </c>
      <c r="D232" s="7" t="s">
        <v>1573</v>
      </c>
      <c r="E232" s="7" t="s">
        <v>143</v>
      </c>
      <c r="F232" s="7" t="s">
        <v>798</v>
      </c>
      <c r="G232" s="7" t="s">
        <v>145</v>
      </c>
      <c r="H232" s="7" t="s">
        <v>387</v>
      </c>
      <c r="I232" s="7" t="s">
        <v>507</v>
      </c>
      <c r="J232" s="7"/>
      <c r="K232" s="7" t="s">
        <v>1574</v>
      </c>
    </row>
    <row r="233" customFormat="false" ht="35.05" hidden="false" customHeight="false" outlineLevel="0" collapsed="false">
      <c r="A233" s="7" t="n">
        <v>232</v>
      </c>
      <c r="B233" s="7" t="s">
        <v>1575</v>
      </c>
      <c r="C233" s="7" t="n">
        <v>2014</v>
      </c>
      <c r="D233" s="7" t="s">
        <v>1576</v>
      </c>
      <c r="E233" s="7" t="s">
        <v>143</v>
      </c>
      <c r="F233" s="7" t="s">
        <v>1047</v>
      </c>
      <c r="G233" s="7" t="s">
        <v>1186</v>
      </c>
      <c r="H233" s="7" t="s">
        <v>387</v>
      </c>
      <c r="I233" s="7" t="s">
        <v>1577</v>
      </c>
      <c r="J233" s="7" t="s">
        <v>1533</v>
      </c>
      <c r="K233" s="7" t="s">
        <v>1578</v>
      </c>
    </row>
    <row r="234" customFormat="false" ht="57.45" hidden="false" customHeight="false" outlineLevel="0" collapsed="false">
      <c r="A234" s="7" t="n">
        <v>233</v>
      </c>
      <c r="B234" s="7" t="s">
        <v>1579</v>
      </c>
      <c r="C234" s="7" t="n">
        <v>2014</v>
      </c>
      <c r="D234" s="7" t="s">
        <v>1580</v>
      </c>
      <c r="E234" s="7" t="s">
        <v>143</v>
      </c>
      <c r="F234" s="7" t="s">
        <v>15300</v>
      </c>
      <c r="G234" s="7" t="s">
        <v>187</v>
      </c>
      <c r="H234" s="7" t="s">
        <v>15165</v>
      </c>
      <c r="I234" s="7" t="s">
        <v>15301</v>
      </c>
      <c r="J234" s="7" t="s">
        <v>15295</v>
      </c>
      <c r="K234" s="7" t="s">
        <v>15302</v>
      </c>
    </row>
    <row r="235" customFormat="false" ht="46.25" hidden="false" customHeight="false" outlineLevel="0" collapsed="false">
      <c r="A235" s="7" t="n">
        <v>234</v>
      </c>
      <c r="B235" s="7" t="s">
        <v>1585</v>
      </c>
      <c r="C235" s="7" t="n">
        <v>2020</v>
      </c>
      <c r="D235" s="7" t="s">
        <v>1586</v>
      </c>
      <c r="E235" s="7" t="s">
        <v>15303</v>
      </c>
      <c r="F235" s="7" t="s">
        <v>15304</v>
      </c>
      <c r="G235" s="7" t="s">
        <v>145</v>
      </c>
      <c r="H235" s="7" t="s">
        <v>15165</v>
      </c>
      <c r="I235" s="7" t="s">
        <v>15305</v>
      </c>
      <c r="J235" s="7" t="s">
        <v>15306</v>
      </c>
      <c r="K235" s="7" t="s">
        <v>15307</v>
      </c>
    </row>
    <row r="236" customFormat="false" ht="23.85" hidden="false" customHeight="false" outlineLevel="0" collapsed="false">
      <c r="A236" s="7" t="n">
        <v>235</v>
      </c>
      <c r="B236" s="7" t="s">
        <v>1591</v>
      </c>
      <c r="C236" s="7" t="n">
        <v>2018</v>
      </c>
      <c r="D236" s="7" t="s">
        <v>1592</v>
      </c>
      <c r="E236" s="7" t="s">
        <v>151</v>
      </c>
      <c r="F236" s="7" t="s">
        <v>798</v>
      </c>
      <c r="G236" s="7" t="s">
        <v>145</v>
      </c>
      <c r="H236" s="7" t="s">
        <v>146</v>
      </c>
      <c r="I236" s="7" t="s">
        <v>1593</v>
      </c>
      <c r="J236" s="7"/>
      <c r="K236" s="7" t="s">
        <v>1594</v>
      </c>
    </row>
    <row r="237" customFormat="false" ht="35.05" hidden="false" customHeight="false" outlineLevel="0" collapsed="false">
      <c r="A237" s="7" t="n">
        <v>236</v>
      </c>
      <c r="B237" s="7" t="s">
        <v>1595</v>
      </c>
      <c r="C237" s="7" t="n">
        <v>2018</v>
      </c>
      <c r="D237" s="7" t="s">
        <v>1596</v>
      </c>
      <c r="E237" s="7" t="s">
        <v>143</v>
      </c>
      <c r="F237" s="7" t="s">
        <v>1597</v>
      </c>
      <c r="G237" s="7" t="s">
        <v>145</v>
      </c>
      <c r="H237" s="7" t="s">
        <v>387</v>
      </c>
      <c r="I237" s="7" t="s">
        <v>397</v>
      </c>
      <c r="J237" s="7" t="s">
        <v>1533</v>
      </c>
      <c r="K237" s="7" t="s">
        <v>1598</v>
      </c>
    </row>
    <row r="238" customFormat="false" ht="68.65" hidden="false" customHeight="false" outlineLevel="0" collapsed="false">
      <c r="A238" s="7" t="n">
        <v>237</v>
      </c>
      <c r="B238" s="7" t="s">
        <v>15308</v>
      </c>
      <c r="C238" s="7" t="n">
        <v>2025</v>
      </c>
      <c r="D238" s="7" t="s">
        <v>1600</v>
      </c>
      <c r="E238" s="7" t="s">
        <v>15309</v>
      </c>
      <c r="F238" s="7" t="s">
        <v>15310</v>
      </c>
      <c r="G238" s="7" t="s">
        <v>15311</v>
      </c>
      <c r="H238" s="7" t="s">
        <v>15312</v>
      </c>
      <c r="I238" s="7" t="s">
        <v>15313</v>
      </c>
      <c r="J238" s="7" t="s">
        <v>15314</v>
      </c>
      <c r="K238" s="7" t="s">
        <v>15315</v>
      </c>
    </row>
    <row r="239" customFormat="false" ht="35.05" hidden="false" customHeight="false" outlineLevel="0" collapsed="false">
      <c r="A239" s="7" t="n">
        <v>238</v>
      </c>
      <c r="B239" s="7" t="s">
        <v>1611</v>
      </c>
      <c r="C239" s="7" t="n">
        <v>2025</v>
      </c>
      <c r="D239" s="7" t="s">
        <v>1612</v>
      </c>
      <c r="E239" s="7" t="s">
        <v>143</v>
      </c>
      <c r="F239" s="7" t="s">
        <v>1613</v>
      </c>
      <c r="G239" s="7" t="s">
        <v>1614</v>
      </c>
      <c r="H239" s="7" t="s">
        <v>153</v>
      </c>
      <c r="I239" s="7" t="s">
        <v>1615</v>
      </c>
      <c r="J239" s="7" t="s">
        <v>114</v>
      </c>
      <c r="K239" s="7" t="s">
        <v>1616</v>
      </c>
    </row>
    <row r="240" customFormat="false" ht="35.05" hidden="false" customHeight="false" outlineLevel="0" collapsed="false">
      <c r="A240" s="7" t="n">
        <v>239</v>
      </c>
      <c r="B240" s="7" t="s">
        <v>1617</v>
      </c>
      <c r="C240" s="7" t="n">
        <v>1992</v>
      </c>
      <c r="D240" s="7" t="s">
        <v>1618</v>
      </c>
      <c r="E240" s="7" t="s">
        <v>143</v>
      </c>
      <c r="F240" s="7" t="s">
        <v>1619</v>
      </c>
      <c r="G240" s="7" t="s">
        <v>145</v>
      </c>
      <c r="H240" s="7" t="s">
        <v>153</v>
      </c>
      <c r="I240" s="7" t="s">
        <v>1620</v>
      </c>
      <c r="J240" s="7" t="s">
        <v>110</v>
      </c>
      <c r="K240" s="7" t="s">
        <v>1621</v>
      </c>
    </row>
    <row r="241" customFormat="false" ht="35.05" hidden="false" customHeight="false" outlineLevel="0" collapsed="false">
      <c r="A241" s="7" t="n">
        <v>240</v>
      </c>
      <c r="B241" s="7" t="s">
        <v>1622</v>
      </c>
      <c r="C241" s="7" t="n">
        <v>2025</v>
      </c>
      <c r="D241" s="7" t="s">
        <v>1623</v>
      </c>
      <c r="E241" s="7" t="s">
        <v>143</v>
      </c>
      <c r="F241" s="7" t="s">
        <v>1624</v>
      </c>
      <c r="G241" s="7" t="s">
        <v>327</v>
      </c>
      <c r="H241" s="7" t="s">
        <v>146</v>
      </c>
      <c r="I241" s="7" t="s">
        <v>1625</v>
      </c>
      <c r="J241" s="7" t="s">
        <v>116</v>
      </c>
      <c r="K241" s="7" t="s">
        <v>1626</v>
      </c>
    </row>
    <row r="242" customFormat="false" ht="23.85" hidden="false" customHeight="false" outlineLevel="0" collapsed="false">
      <c r="A242" s="7" t="n">
        <v>241</v>
      </c>
      <c r="B242" s="7" t="s">
        <v>1622</v>
      </c>
      <c r="C242" s="7" t="n">
        <v>2025</v>
      </c>
      <c r="D242" s="7" t="s">
        <v>1627</v>
      </c>
      <c r="E242" s="7" t="s">
        <v>143</v>
      </c>
      <c r="F242" s="7" t="s">
        <v>1628</v>
      </c>
      <c r="G242" s="7" t="s">
        <v>327</v>
      </c>
      <c r="H242" s="7" t="s">
        <v>208</v>
      </c>
      <c r="I242" s="7" t="s">
        <v>1629</v>
      </c>
      <c r="J242" s="7" t="s">
        <v>110</v>
      </c>
      <c r="K242" s="7" t="s">
        <v>1630</v>
      </c>
    </row>
    <row r="243" customFormat="false" ht="35.05" hidden="false" customHeight="false" outlineLevel="0" collapsed="false">
      <c r="A243" s="7" t="n">
        <v>242</v>
      </c>
      <c r="B243" s="7" t="s">
        <v>1622</v>
      </c>
      <c r="C243" s="7" t="n">
        <v>2025</v>
      </c>
      <c r="D243" s="7" t="s">
        <v>1631</v>
      </c>
      <c r="E243" s="7" t="s">
        <v>143</v>
      </c>
      <c r="F243" s="7" t="s">
        <v>1632</v>
      </c>
      <c r="G243" s="7" t="s">
        <v>327</v>
      </c>
      <c r="H243" s="7" t="s">
        <v>208</v>
      </c>
      <c r="I243" s="7" t="s">
        <v>1633</v>
      </c>
      <c r="J243" s="7" t="s">
        <v>110</v>
      </c>
      <c r="K243" s="7" t="s">
        <v>1634</v>
      </c>
    </row>
    <row r="244" customFormat="false" ht="124.6" hidden="false" customHeight="false" outlineLevel="0" collapsed="false">
      <c r="A244" s="7" t="n">
        <v>243</v>
      </c>
      <c r="B244" s="7" t="s">
        <v>15316</v>
      </c>
      <c r="C244" s="7" t="n">
        <v>2020</v>
      </c>
      <c r="D244" s="7" t="s">
        <v>1635</v>
      </c>
      <c r="E244" s="7" t="s">
        <v>15317</v>
      </c>
      <c r="F244" s="7" t="s">
        <v>15318</v>
      </c>
      <c r="G244" s="7" t="s">
        <v>145</v>
      </c>
      <c r="H244" s="7" t="s">
        <v>153</v>
      </c>
      <c r="I244" s="7" t="s">
        <v>15319</v>
      </c>
      <c r="J244" s="7" t="s">
        <v>114</v>
      </c>
      <c r="K244" s="7" t="s">
        <v>15320</v>
      </c>
    </row>
    <row r="245" customFormat="false" ht="35.05" hidden="false" customHeight="false" outlineLevel="0" collapsed="false">
      <c r="A245" s="7" t="n">
        <v>244</v>
      </c>
      <c r="B245" s="7" t="s">
        <v>1648</v>
      </c>
      <c r="C245" s="7" t="n">
        <v>2025</v>
      </c>
      <c r="D245" s="7" t="s">
        <v>1649</v>
      </c>
      <c r="E245" s="7" t="s">
        <v>151</v>
      </c>
      <c r="F245" s="7" t="s">
        <v>1650</v>
      </c>
      <c r="G245" s="7" t="s">
        <v>327</v>
      </c>
      <c r="H245" s="7" t="s">
        <v>153</v>
      </c>
      <c r="I245" s="7" t="s">
        <v>1651</v>
      </c>
      <c r="J245" s="7" t="s">
        <v>114</v>
      </c>
      <c r="K245" s="7" t="s">
        <v>1652</v>
      </c>
    </row>
    <row r="246" customFormat="false" ht="35.05" hidden="false" customHeight="false" outlineLevel="0" collapsed="false">
      <c r="A246" s="7" t="n">
        <v>245</v>
      </c>
      <c r="B246" s="7" t="s">
        <v>1653</v>
      </c>
      <c r="C246" s="7" t="n">
        <v>2024</v>
      </c>
      <c r="D246" s="7" t="s">
        <v>1654</v>
      </c>
      <c r="E246" s="7" t="s">
        <v>151</v>
      </c>
      <c r="F246" s="7" t="s">
        <v>1655</v>
      </c>
      <c r="G246" s="7" t="s">
        <v>1656</v>
      </c>
      <c r="H246" s="7" t="s">
        <v>153</v>
      </c>
      <c r="I246" s="7" t="s">
        <v>1657</v>
      </c>
      <c r="J246" s="7" t="s">
        <v>114</v>
      </c>
      <c r="K246" s="7" t="s">
        <v>1658</v>
      </c>
    </row>
    <row r="247" customFormat="false" ht="35.05" hidden="false" customHeight="false" outlineLevel="0" collapsed="false">
      <c r="A247" s="7" t="n">
        <v>246</v>
      </c>
      <c r="B247" s="7" t="s">
        <v>1659</v>
      </c>
      <c r="C247" s="7" t="n">
        <v>2020</v>
      </c>
      <c r="D247" s="7" t="s">
        <v>1660</v>
      </c>
      <c r="E247" s="7" t="s">
        <v>151</v>
      </c>
      <c r="F247" s="7" t="s">
        <v>1264</v>
      </c>
      <c r="G247" s="7" t="s">
        <v>327</v>
      </c>
      <c r="H247" s="7" t="s">
        <v>153</v>
      </c>
      <c r="I247" s="7" t="s">
        <v>1661</v>
      </c>
      <c r="J247" s="7" t="s">
        <v>116</v>
      </c>
      <c r="K247" s="7" t="s">
        <v>1662</v>
      </c>
    </row>
    <row r="248" customFormat="false" ht="35.05" hidden="false" customHeight="false" outlineLevel="0" collapsed="false">
      <c r="A248" s="7" t="n">
        <v>247</v>
      </c>
      <c r="B248" s="7" t="s">
        <v>1663</v>
      </c>
      <c r="C248" s="7" t="n">
        <v>2022</v>
      </c>
      <c r="D248" s="7" t="s">
        <v>1664</v>
      </c>
      <c r="E248" s="7" t="s">
        <v>151</v>
      </c>
      <c r="F248" s="7" t="s">
        <v>1665</v>
      </c>
      <c r="G248" s="7" t="s">
        <v>327</v>
      </c>
      <c r="H248" s="7" t="s">
        <v>153</v>
      </c>
      <c r="I248" s="7" t="s">
        <v>1666</v>
      </c>
      <c r="J248" s="7" t="s">
        <v>114</v>
      </c>
      <c r="K248" s="7" t="s">
        <v>1667</v>
      </c>
    </row>
    <row r="249" customFormat="false" ht="23.85" hidden="false" customHeight="false" outlineLevel="0" collapsed="false">
      <c r="A249" s="7" t="n">
        <v>248</v>
      </c>
      <c r="B249" s="7" t="s">
        <v>1622</v>
      </c>
      <c r="C249" s="7" t="n">
        <v>2021</v>
      </c>
      <c r="D249" s="7" t="s">
        <v>1668</v>
      </c>
      <c r="E249" s="7" t="s">
        <v>151</v>
      </c>
      <c r="F249" s="7" t="s">
        <v>1669</v>
      </c>
      <c r="G249" s="7" t="s">
        <v>327</v>
      </c>
      <c r="H249" s="7" t="s">
        <v>153</v>
      </c>
      <c r="I249" s="7" t="s">
        <v>1670</v>
      </c>
      <c r="J249" s="7" t="s">
        <v>116</v>
      </c>
      <c r="K249" s="7" t="s">
        <v>1671</v>
      </c>
    </row>
    <row r="250" customFormat="false" ht="35.05" hidden="false" customHeight="false" outlineLevel="0" collapsed="false">
      <c r="A250" s="7" t="n">
        <v>249</v>
      </c>
      <c r="B250" s="7" t="s">
        <v>1672</v>
      </c>
      <c r="C250" s="7" t="n">
        <v>2022</v>
      </c>
      <c r="D250" s="7" t="s">
        <v>1673</v>
      </c>
      <c r="E250" s="7" t="s">
        <v>143</v>
      </c>
      <c r="F250" s="7" t="s">
        <v>1674</v>
      </c>
      <c r="G250" s="7" t="s">
        <v>145</v>
      </c>
      <c r="H250" s="7" t="s">
        <v>153</v>
      </c>
      <c r="I250" s="7" t="s">
        <v>1675</v>
      </c>
      <c r="J250" s="7" t="s">
        <v>110</v>
      </c>
      <c r="K250" s="7" t="s">
        <v>1676</v>
      </c>
    </row>
    <row r="251" customFormat="false" ht="23.85" hidden="false" customHeight="false" outlineLevel="0" collapsed="false">
      <c r="A251" s="7" t="n">
        <v>250</v>
      </c>
      <c r="B251" s="7" t="s">
        <v>1622</v>
      </c>
      <c r="C251" s="7" t="n">
        <v>2025</v>
      </c>
      <c r="D251" s="7" t="s">
        <v>1677</v>
      </c>
      <c r="E251" s="7" t="s">
        <v>143</v>
      </c>
      <c r="F251" s="7" t="s">
        <v>1678</v>
      </c>
      <c r="G251" s="7" t="s">
        <v>327</v>
      </c>
      <c r="H251" s="7" t="s">
        <v>153</v>
      </c>
      <c r="I251" s="7" t="s">
        <v>1679</v>
      </c>
      <c r="J251" s="7"/>
      <c r="K251" s="7" t="s">
        <v>1680</v>
      </c>
    </row>
    <row r="252" customFormat="false" ht="35.05" hidden="false" customHeight="false" outlineLevel="0" collapsed="false">
      <c r="A252" s="7" t="n">
        <v>251</v>
      </c>
      <c r="B252" s="7" t="s">
        <v>1681</v>
      </c>
      <c r="C252" s="7" t="n">
        <v>2024</v>
      </c>
      <c r="D252" s="7" t="s">
        <v>1682</v>
      </c>
      <c r="E252" s="7" t="s">
        <v>143</v>
      </c>
      <c r="F252" s="7" t="s">
        <v>1683</v>
      </c>
      <c r="G252" s="7" t="s">
        <v>327</v>
      </c>
      <c r="H252" s="7" t="s">
        <v>153</v>
      </c>
      <c r="I252" s="7" t="s">
        <v>1684</v>
      </c>
      <c r="J252" s="7"/>
      <c r="K252" s="7" t="s">
        <v>1685</v>
      </c>
    </row>
    <row r="253" customFormat="false" ht="35.05" hidden="false" customHeight="false" outlineLevel="0" collapsed="false">
      <c r="A253" s="7" t="n">
        <v>252</v>
      </c>
      <c r="B253" s="7" t="s">
        <v>1686</v>
      </c>
      <c r="C253" s="7" t="n">
        <v>2022</v>
      </c>
      <c r="D253" s="7" t="s">
        <v>1687</v>
      </c>
      <c r="E253" s="7" t="s">
        <v>143</v>
      </c>
      <c r="F253" s="7" t="s">
        <v>1688</v>
      </c>
      <c r="G253" s="7" t="s">
        <v>1689</v>
      </c>
      <c r="H253" s="7" t="s">
        <v>153</v>
      </c>
      <c r="I253" s="7" t="s">
        <v>1690</v>
      </c>
      <c r="J253" s="7" t="s">
        <v>114</v>
      </c>
      <c r="K253" s="7" t="s">
        <v>1691</v>
      </c>
    </row>
    <row r="254" customFormat="false" ht="35.05" hidden="false" customHeight="false" outlineLevel="0" collapsed="false">
      <c r="A254" s="7" t="n">
        <v>253</v>
      </c>
      <c r="B254" s="7" t="s">
        <v>1692</v>
      </c>
      <c r="C254" s="7" t="n">
        <v>2022</v>
      </c>
      <c r="D254" s="7" t="s">
        <v>1693</v>
      </c>
      <c r="E254" s="7" t="s">
        <v>143</v>
      </c>
      <c r="F254" s="7" t="s">
        <v>1694</v>
      </c>
      <c r="G254" s="7" t="s">
        <v>145</v>
      </c>
      <c r="H254" s="7" t="s">
        <v>153</v>
      </c>
      <c r="I254" s="7" t="s">
        <v>1695</v>
      </c>
      <c r="J254" s="7" t="s">
        <v>114</v>
      </c>
      <c r="K254" s="7" t="s">
        <v>1696</v>
      </c>
    </row>
    <row r="255" customFormat="false" ht="35.05" hidden="false" customHeight="false" outlineLevel="0" collapsed="false">
      <c r="A255" s="7" t="n">
        <v>254</v>
      </c>
      <c r="B255" s="7" t="s">
        <v>1697</v>
      </c>
      <c r="C255" s="7" t="n">
        <v>2024</v>
      </c>
      <c r="D255" s="7" t="s">
        <v>1698</v>
      </c>
      <c r="E255" s="7" t="s">
        <v>151</v>
      </c>
      <c r="F255" s="7" t="s">
        <v>677</v>
      </c>
      <c r="G255" s="7" t="s">
        <v>145</v>
      </c>
      <c r="H255" s="7" t="s">
        <v>146</v>
      </c>
      <c r="I255" s="7" t="s">
        <v>1699</v>
      </c>
      <c r="J255" s="7"/>
      <c r="K255" s="7" t="s">
        <v>1700</v>
      </c>
    </row>
    <row r="256" customFormat="false" ht="23.85" hidden="false" customHeight="false" outlineLevel="0" collapsed="false">
      <c r="A256" s="7" t="n">
        <v>255</v>
      </c>
      <c r="B256" s="7" t="s">
        <v>1701</v>
      </c>
      <c r="C256" s="7" t="n">
        <v>2024</v>
      </c>
      <c r="D256" s="7" t="s">
        <v>1702</v>
      </c>
      <c r="E256" s="7" t="s">
        <v>151</v>
      </c>
      <c r="F256" s="7" t="s">
        <v>1703</v>
      </c>
      <c r="G256" s="7" t="s">
        <v>145</v>
      </c>
      <c r="H256" s="7" t="s">
        <v>387</v>
      </c>
      <c r="I256" s="7" t="s">
        <v>1704</v>
      </c>
      <c r="J256" s="7" t="s">
        <v>114</v>
      </c>
      <c r="K256" s="7" t="s">
        <v>1705</v>
      </c>
    </row>
    <row r="257" customFormat="false" ht="35.05" hidden="false" customHeight="false" outlineLevel="0" collapsed="false">
      <c r="A257" s="7" t="n">
        <v>256</v>
      </c>
      <c r="B257" s="7" t="s">
        <v>1706</v>
      </c>
      <c r="C257" s="7" t="n">
        <v>2023</v>
      </c>
      <c r="D257" s="7" t="s">
        <v>1707</v>
      </c>
      <c r="E257" s="7" t="s">
        <v>143</v>
      </c>
      <c r="F257" s="7" t="s">
        <v>1708</v>
      </c>
      <c r="G257" s="7" t="s">
        <v>678</v>
      </c>
      <c r="H257" s="7" t="s">
        <v>146</v>
      </c>
      <c r="I257" s="7" t="s">
        <v>1709</v>
      </c>
      <c r="J257" s="7" t="s">
        <v>116</v>
      </c>
      <c r="K257" s="7" t="s">
        <v>1710</v>
      </c>
    </row>
    <row r="258" customFormat="false" ht="35.05" hidden="false" customHeight="false" outlineLevel="0" collapsed="false">
      <c r="A258" s="7" t="n">
        <v>257</v>
      </c>
      <c r="B258" s="7" t="s">
        <v>1711</v>
      </c>
      <c r="C258" s="7" t="n">
        <v>2023</v>
      </c>
      <c r="D258" s="7" t="s">
        <v>1712</v>
      </c>
      <c r="E258" s="7" t="s">
        <v>143</v>
      </c>
      <c r="F258" s="7" t="s">
        <v>1713</v>
      </c>
      <c r="G258" s="7" t="s">
        <v>1714</v>
      </c>
      <c r="H258" s="7" t="s">
        <v>387</v>
      </c>
      <c r="I258" s="7" t="s">
        <v>1715</v>
      </c>
      <c r="J258" s="7" t="s">
        <v>110</v>
      </c>
      <c r="K258" s="7" t="s">
        <v>1716</v>
      </c>
    </row>
    <row r="259" customFormat="false" ht="23.85" hidden="false" customHeight="false" outlineLevel="0" collapsed="false">
      <c r="A259" s="7" t="n">
        <v>258</v>
      </c>
      <c r="B259" s="7" t="s">
        <v>1717</v>
      </c>
      <c r="C259" s="7" t="n">
        <v>2025</v>
      </c>
      <c r="D259" s="7" t="s">
        <v>1718</v>
      </c>
      <c r="E259" s="7" t="s">
        <v>143</v>
      </c>
      <c r="F259" s="7" t="s">
        <v>1719</v>
      </c>
      <c r="G259" s="7" t="s">
        <v>327</v>
      </c>
      <c r="H259" s="7" t="s">
        <v>208</v>
      </c>
      <c r="I259" s="7" t="s">
        <v>1720</v>
      </c>
      <c r="J259" s="7" t="s">
        <v>110</v>
      </c>
      <c r="K259" s="7" t="s">
        <v>1721</v>
      </c>
    </row>
    <row r="260" customFormat="false" ht="35.05" hidden="false" customHeight="false" outlineLevel="0" collapsed="false">
      <c r="A260" s="7" t="n">
        <v>259</v>
      </c>
      <c r="B260" s="7" t="s">
        <v>1476</v>
      </c>
      <c r="C260" s="7" t="n">
        <v>2024</v>
      </c>
      <c r="D260" s="7" t="s">
        <v>1722</v>
      </c>
      <c r="E260" s="7" t="s">
        <v>143</v>
      </c>
      <c r="F260" s="7" t="s">
        <v>1723</v>
      </c>
      <c r="G260" s="7" t="s">
        <v>145</v>
      </c>
      <c r="H260" s="7" t="s">
        <v>153</v>
      </c>
      <c r="I260" s="7" t="s">
        <v>1724</v>
      </c>
      <c r="J260" s="7" t="s">
        <v>114</v>
      </c>
      <c r="K260" s="7" t="s">
        <v>1725</v>
      </c>
    </row>
    <row r="261" customFormat="false" ht="35.05" hidden="false" customHeight="false" outlineLevel="0" collapsed="false">
      <c r="A261" s="7" t="n">
        <v>260</v>
      </c>
      <c r="B261" s="7" t="s">
        <v>1726</v>
      </c>
      <c r="C261" s="7" t="n">
        <v>2023</v>
      </c>
      <c r="D261" s="7" t="s">
        <v>1727</v>
      </c>
      <c r="E261" s="7" t="s">
        <v>143</v>
      </c>
      <c r="F261" s="7" t="s">
        <v>1728</v>
      </c>
      <c r="G261" s="7" t="s">
        <v>145</v>
      </c>
      <c r="H261" s="7" t="s">
        <v>153</v>
      </c>
      <c r="I261" s="7" t="s">
        <v>1729</v>
      </c>
      <c r="J261" s="7" t="s">
        <v>114</v>
      </c>
      <c r="K261" s="7" t="s">
        <v>1730</v>
      </c>
    </row>
    <row r="262" customFormat="false" ht="35.05" hidden="false" customHeight="false" outlineLevel="0" collapsed="false">
      <c r="A262" s="7" t="n">
        <v>261</v>
      </c>
      <c r="B262" s="7" t="s">
        <v>1731</v>
      </c>
      <c r="C262" s="7" t="n">
        <v>2023</v>
      </c>
      <c r="D262" s="7" t="s">
        <v>1732</v>
      </c>
      <c r="E262" s="7" t="s">
        <v>143</v>
      </c>
      <c r="F262" s="7" t="s">
        <v>1733</v>
      </c>
      <c r="G262" s="7" t="s">
        <v>678</v>
      </c>
      <c r="H262" s="7" t="s">
        <v>387</v>
      </c>
      <c r="I262" s="7" t="s">
        <v>1734</v>
      </c>
      <c r="J262" s="7" t="s">
        <v>110</v>
      </c>
      <c r="K262" s="7" t="s">
        <v>1735</v>
      </c>
    </row>
    <row r="263" customFormat="false" ht="35.05" hidden="false" customHeight="false" outlineLevel="0" collapsed="false">
      <c r="A263" s="7" t="n">
        <v>262</v>
      </c>
      <c r="B263" s="7" t="s">
        <v>1476</v>
      </c>
      <c r="C263" s="7" t="n">
        <v>2019</v>
      </c>
      <c r="D263" s="7" t="s">
        <v>1736</v>
      </c>
      <c r="E263" s="7" t="s">
        <v>143</v>
      </c>
      <c r="F263" s="7" t="s">
        <v>1737</v>
      </c>
      <c r="G263" s="7" t="s">
        <v>145</v>
      </c>
      <c r="H263" s="7" t="s">
        <v>153</v>
      </c>
      <c r="I263" s="7" t="s">
        <v>1738</v>
      </c>
      <c r="J263" s="7" t="s">
        <v>114</v>
      </c>
      <c r="K263" s="7" t="s">
        <v>1739</v>
      </c>
    </row>
    <row r="264" customFormat="false" ht="57.45" hidden="false" customHeight="false" outlineLevel="0" collapsed="false">
      <c r="A264" s="7" t="n">
        <v>263</v>
      </c>
      <c r="B264" s="7" t="s">
        <v>15321</v>
      </c>
      <c r="C264" s="7" t="n">
        <v>2022</v>
      </c>
      <c r="D264" s="7" t="s">
        <v>1741</v>
      </c>
      <c r="E264" s="7" t="s">
        <v>143</v>
      </c>
      <c r="F264" s="7" t="s">
        <v>15322</v>
      </c>
      <c r="G264" s="7" t="s">
        <v>327</v>
      </c>
      <c r="H264" s="7" t="s">
        <v>153</v>
      </c>
      <c r="I264" s="7" t="s">
        <v>15323</v>
      </c>
      <c r="J264" s="7" t="s">
        <v>114</v>
      </c>
      <c r="K264" s="7" t="s">
        <v>15324</v>
      </c>
    </row>
    <row r="265" customFormat="false" ht="35.05" hidden="false" customHeight="false" outlineLevel="0" collapsed="false">
      <c r="A265" s="7" t="n">
        <v>264</v>
      </c>
      <c r="B265" s="7" t="s">
        <v>1740</v>
      </c>
      <c r="C265" s="7" t="n">
        <v>2019</v>
      </c>
      <c r="D265" s="7" t="s">
        <v>1749</v>
      </c>
      <c r="E265" s="7" t="s">
        <v>143</v>
      </c>
      <c r="F265" s="7" t="s">
        <v>1750</v>
      </c>
      <c r="G265" s="7" t="s">
        <v>327</v>
      </c>
      <c r="H265" s="7" t="s">
        <v>153</v>
      </c>
      <c r="I265" s="7" t="s">
        <v>1751</v>
      </c>
      <c r="J265" s="7" t="s">
        <v>114</v>
      </c>
      <c r="K265" s="7" t="s">
        <v>1752</v>
      </c>
    </row>
    <row r="266" customFormat="false" ht="35.05" hidden="false" customHeight="false" outlineLevel="0" collapsed="false">
      <c r="A266" s="7" t="n">
        <v>265</v>
      </c>
      <c r="B266" s="7" t="s">
        <v>1740</v>
      </c>
      <c r="C266" s="7" t="n">
        <v>2020</v>
      </c>
      <c r="D266" s="7" t="s">
        <v>1753</v>
      </c>
      <c r="E266" s="7" t="s">
        <v>143</v>
      </c>
      <c r="F266" s="7" t="s">
        <v>1754</v>
      </c>
      <c r="G266" s="7" t="s">
        <v>327</v>
      </c>
      <c r="H266" s="7" t="s">
        <v>153</v>
      </c>
      <c r="I266" s="7" t="s">
        <v>1755</v>
      </c>
      <c r="J266" s="7" t="s">
        <v>114</v>
      </c>
      <c r="K266" s="7" t="s">
        <v>1756</v>
      </c>
    </row>
    <row r="267" customFormat="false" ht="35.05" hidden="false" customHeight="false" outlineLevel="0" collapsed="false">
      <c r="A267" s="7" t="n">
        <v>266</v>
      </c>
      <c r="B267" s="7" t="s">
        <v>1757</v>
      </c>
      <c r="C267" s="7" t="n">
        <v>2023</v>
      </c>
      <c r="D267" s="7" t="s">
        <v>1758</v>
      </c>
      <c r="E267" s="7" t="s">
        <v>143</v>
      </c>
      <c r="F267" s="7" t="s">
        <v>1759</v>
      </c>
      <c r="G267" s="7" t="s">
        <v>678</v>
      </c>
      <c r="H267" s="7" t="s">
        <v>387</v>
      </c>
      <c r="I267" s="7" t="s">
        <v>1760</v>
      </c>
      <c r="J267" s="7" t="s">
        <v>110</v>
      </c>
      <c r="K267" s="7" t="s">
        <v>1761</v>
      </c>
    </row>
    <row r="268" customFormat="false" ht="23.85" hidden="false" customHeight="false" outlineLevel="0" collapsed="false">
      <c r="A268" s="7" t="n">
        <v>267</v>
      </c>
      <c r="B268" s="7" t="s">
        <v>1740</v>
      </c>
      <c r="C268" s="7" t="n">
        <v>2009</v>
      </c>
      <c r="D268" s="7" t="s">
        <v>1762</v>
      </c>
      <c r="E268" s="7" t="s">
        <v>143</v>
      </c>
      <c r="F268" s="7" t="s">
        <v>1763</v>
      </c>
      <c r="G268" s="7" t="s">
        <v>327</v>
      </c>
      <c r="H268" s="7" t="s">
        <v>387</v>
      </c>
      <c r="I268" s="7" t="s">
        <v>1764</v>
      </c>
      <c r="J268" s="7" t="s">
        <v>112</v>
      </c>
      <c r="K268" s="7" t="s">
        <v>1765</v>
      </c>
    </row>
    <row r="269" customFormat="false" ht="35.05" hidden="false" customHeight="false" outlineLevel="0" collapsed="false">
      <c r="A269" s="7" t="n">
        <v>268</v>
      </c>
      <c r="B269" s="7" t="s">
        <v>1740</v>
      </c>
      <c r="C269" s="7" t="n">
        <v>2024</v>
      </c>
      <c r="D269" s="7" t="s">
        <v>1766</v>
      </c>
      <c r="E269" s="7" t="s">
        <v>143</v>
      </c>
      <c r="F269" s="7" t="s">
        <v>1767</v>
      </c>
      <c r="G269" s="7" t="s">
        <v>327</v>
      </c>
      <c r="H269" s="7" t="s">
        <v>387</v>
      </c>
      <c r="I269" s="7" t="s">
        <v>1768</v>
      </c>
      <c r="J269" s="7" t="s">
        <v>110</v>
      </c>
      <c r="K269" s="7" t="s">
        <v>1769</v>
      </c>
    </row>
    <row r="270" customFormat="false" ht="35.05" hidden="false" customHeight="false" outlineLevel="0" collapsed="false">
      <c r="A270" s="7" t="n">
        <v>269</v>
      </c>
      <c r="B270" s="7" t="s">
        <v>1770</v>
      </c>
      <c r="C270" s="7" t="n">
        <v>2022</v>
      </c>
      <c r="D270" s="7" t="s">
        <v>1771</v>
      </c>
      <c r="E270" s="7" t="s">
        <v>151</v>
      </c>
      <c r="F270" s="7" t="s">
        <v>152</v>
      </c>
      <c r="G270" s="7" t="s">
        <v>327</v>
      </c>
      <c r="H270" s="7" t="s">
        <v>387</v>
      </c>
      <c r="I270" s="7" t="s">
        <v>1772</v>
      </c>
      <c r="J270" s="7"/>
      <c r="K270" s="7" t="s">
        <v>1773</v>
      </c>
    </row>
    <row r="271" customFormat="false" ht="35.05" hidden="false" customHeight="false" outlineLevel="0" collapsed="false">
      <c r="A271" s="7" t="n">
        <v>270</v>
      </c>
      <c r="B271" s="7" t="s">
        <v>1774</v>
      </c>
      <c r="C271" s="7" t="n">
        <v>2023</v>
      </c>
      <c r="D271" s="7" t="s">
        <v>1775</v>
      </c>
      <c r="E271" s="7" t="s">
        <v>151</v>
      </c>
      <c r="F271" s="7" t="s">
        <v>1776</v>
      </c>
      <c r="G271" s="7" t="s">
        <v>678</v>
      </c>
      <c r="H271" s="7" t="s">
        <v>146</v>
      </c>
      <c r="I271" s="7" t="s">
        <v>1777</v>
      </c>
      <c r="J271" s="7"/>
      <c r="K271" s="7" t="s">
        <v>1778</v>
      </c>
    </row>
    <row r="272" customFormat="false" ht="35.05" hidden="false" customHeight="false" outlineLevel="0" collapsed="false">
      <c r="A272" s="7" t="n">
        <v>271</v>
      </c>
      <c r="B272" s="7" t="s">
        <v>1779</v>
      </c>
      <c r="C272" s="7" t="n">
        <v>2021</v>
      </c>
      <c r="D272" s="7" t="s">
        <v>1780</v>
      </c>
      <c r="E272" s="7" t="s">
        <v>151</v>
      </c>
      <c r="F272" s="7" t="s">
        <v>1781</v>
      </c>
      <c r="G272" s="7" t="s">
        <v>145</v>
      </c>
      <c r="H272" s="7" t="s">
        <v>153</v>
      </c>
      <c r="I272" s="7" t="s">
        <v>1782</v>
      </c>
      <c r="J272" s="7"/>
      <c r="K272" s="7" t="s">
        <v>1783</v>
      </c>
    </row>
    <row r="273" customFormat="false" ht="35.05" hidden="false" customHeight="false" outlineLevel="0" collapsed="false">
      <c r="A273" s="7" t="n">
        <v>272</v>
      </c>
      <c r="B273" s="7" t="s">
        <v>1740</v>
      </c>
      <c r="C273" s="7" t="n">
        <v>2018</v>
      </c>
      <c r="D273" s="7" t="s">
        <v>1784</v>
      </c>
      <c r="E273" s="7" t="s">
        <v>143</v>
      </c>
      <c r="F273" s="7" t="s">
        <v>1785</v>
      </c>
      <c r="G273" s="7" t="s">
        <v>327</v>
      </c>
      <c r="H273" s="7" t="s">
        <v>146</v>
      </c>
      <c r="I273" s="7" t="s">
        <v>1786</v>
      </c>
      <c r="J273" s="7" t="s">
        <v>116</v>
      </c>
      <c r="K273" s="7" t="s">
        <v>1787</v>
      </c>
    </row>
    <row r="274" customFormat="false" ht="35.05" hidden="false" customHeight="false" outlineLevel="0" collapsed="false">
      <c r="A274" s="7" t="n">
        <v>273</v>
      </c>
      <c r="B274" s="7" t="s">
        <v>1788</v>
      </c>
      <c r="C274" s="7" t="n">
        <v>2023</v>
      </c>
      <c r="D274" s="7" t="s">
        <v>1789</v>
      </c>
      <c r="E274" s="7" t="s">
        <v>151</v>
      </c>
      <c r="F274" s="7" t="s">
        <v>1790</v>
      </c>
      <c r="G274" s="7" t="s">
        <v>145</v>
      </c>
      <c r="H274" s="7" t="s">
        <v>387</v>
      </c>
      <c r="I274" s="7" t="s">
        <v>1791</v>
      </c>
      <c r="J274" s="7" t="s">
        <v>110</v>
      </c>
      <c r="K274" s="7" t="s">
        <v>1792</v>
      </c>
    </row>
    <row r="275" customFormat="false" ht="35.05" hidden="false" customHeight="false" outlineLevel="0" collapsed="false">
      <c r="A275" s="7" t="n">
        <v>274</v>
      </c>
      <c r="B275" s="7" t="s">
        <v>1793</v>
      </c>
      <c r="C275" s="7" t="n">
        <v>2023</v>
      </c>
      <c r="D275" s="7" t="s">
        <v>1794</v>
      </c>
      <c r="E275" s="7" t="s">
        <v>143</v>
      </c>
      <c r="F275" s="7" t="s">
        <v>1795</v>
      </c>
      <c r="G275" s="7" t="s">
        <v>145</v>
      </c>
      <c r="H275" s="7" t="s">
        <v>387</v>
      </c>
      <c r="I275" s="7" t="s">
        <v>1796</v>
      </c>
      <c r="J275" s="7" t="s">
        <v>110</v>
      </c>
      <c r="K275" s="7" t="s">
        <v>1797</v>
      </c>
    </row>
    <row r="276" customFormat="false" ht="35.05" hidden="false" customHeight="false" outlineLevel="0" collapsed="false">
      <c r="A276" s="7" t="n">
        <v>275</v>
      </c>
      <c r="B276" s="7" t="s">
        <v>1476</v>
      </c>
      <c r="C276" s="7" t="n">
        <v>2023</v>
      </c>
      <c r="D276" s="7" t="s">
        <v>1798</v>
      </c>
      <c r="E276" s="7" t="s">
        <v>143</v>
      </c>
      <c r="F276" s="7" t="s">
        <v>1799</v>
      </c>
      <c r="G276" s="7" t="s">
        <v>145</v>
      </c>
      <c r="H276" s="7" t="s">
        <v>387</v>
      </c>
      <c r="I276" s="7" t="s">
        <v>1800</v>
      </c>
      <c r="J276" s="7" t="s">
        <v>110</v>
      </c>
      <c r="K276" s="7" t="s">
        <v>1801</v>
      </c>
    </row>
    <row r="277" customFormat="false" ht="35.05" hidden="false" customHeight="false" outlineLevel="0" collapsed="false">
      <c r="A277" s="7" t="n">
        <v>276</v>
      </c>
      <c r="B277" s="7" t="s">
        <v>1802</v>
      </c>
      <c r="C277" s="7" t="n">
        <v>2023</v>
      </c>
      <c r="D277" s="7" t="s">
        <v>1803</v>
      </c>
      <c r="E277" s="7" t="s">
        <v>143</v>
      </c>
      <c r="F277" s="7" t="s">
        <v>1804</v>
      </c>
      <c r="G277" s="7" t="s">
        <v>145</v>
      </c>
      <c r="H277" s="7" t="s">
        <v>153</v>
      </c>
      <c r="I277" s="7" t="s">
        <v>1805</v>
      </c>
      <c r="J277" s="7" t="s">
        <v>114</v>
      </c>
      <c r="K277" s="7" t="s">
        <v>1806</v>
      </c>
    </row>
    <row r="278" customFormat="false" ht="23.85" hidden="false" customHeight="false" outlineLevel="0" collapsed="false">
      <c r="A278" s="7" t="n">
        <v>277</v>
      </c>
      <c r="B278" s="7" t="s">
        <v>1807</v>
      </c>
      <c r="C278" s="7" t="n">
        <v>2023</v>
      </c>
      <c r="D278" s="7" t="s">
        <v>1808</v>
      </c>
      <c r="E278" s="7" t="s">
        <v>143</v>
      </c>
      <c r="F278" s="7" t="s">
        <v>1513</v>
      </c>
      <c r="G278" s="7" t="s">
        <v>145</v>
      </c>
      <c r="H278" s="7" t="s">
        <v>387</v>
      </c>
      <c r="I278" s="7" t="s">
        <v>1809</v>
      </c>
      <c r="J278" s="7" t="s">
        <v>114</v>
      </c>
      <c r="K278" s="7" t="s">
        <v>1810</v>
      </c>
    </row>
    <row r="279" customFormat="false" ht="35.05" hidden="false" customHeight="false" outlineLevel="0" collapsed="false">
      <c r="A279" s="7" t="n">
        <v>278</v>
      </c>
      <c r="B279" s="7" t="s">
        <v>1811</v>
      </c>
      <c r="C279" s="7" t="n">
        <v>2023</v>
      </c>
      <c r="D279" s="7" t="s">
        <v>1812</v>
      </c>
      <c r="E279" s="7" t="s">
        <v>143</v>
      </c>
      <c r="F279" s="7" t="s">
        <v>1813</v>
      </c>
      <c r="G279" s="7" t="s">
        <v>871</v>
      </c>
      <c r="H279" s="7" t="s">
        <v>387</v>
      </c>
      <c r="I279" s="7" t="s">
        <v>1814</v>
      </c>
      <c r="J279" s="7" t="s">
        <v>112</v>
      </c>
      <c r="K279" s="7" t="s">
        <v>1815</v>
      </c>
    </row>
    <row r="280" customFormat="false" ht="35.05" hidden="false" customHeight="false" outlineLevel="0" collapsed="false">
      <c r="A280" s="7" t="n">
        <v>279</v>
      </c>
      <c r="B280" s="7" t="s">
        <v>1816</v>
      </c>
      <c r="C280" s="7" t="n">
        <v>2023</v>
      </c>
      <c r="D280" s="7" t="s">
        <v>1817</v>
      </c>
      <c r="E280" s="7" t="s">
        <v>143</v>
      </c>
      <c r="F280" s="7" t="s">
        <v>1818</v>
      </c>
      <c r="G280" s="7" t="s">
        <v>895</v>
      </c>
      <c r="H280" s="7" t="s">
        <v>146</v>
      </c>
      <c r="I280" s="7" t="s">
        <v>1819</v>
      </c>
      <c r="J280" s="7" t="s">
        <v>110</v>
      </c>
      <c r="K280" s="7" t="s">
        <v>1820</v>
      </c>
    </row>
    <row r="281" customFormat="false" ht="35.05" hidden="false" customHeight="false" outlineLevel="0" collapsed="false">
      <c r="A281" s="7" t="n">
        <v>280</v>
      </c>
      <c r="B281" s="7" t="s">
        <v>1821</v>
      </c>
      <c r="C281" s="7" t="n">
        <v>2023</v>
      </c>
      <c r="D281" s="7" t="s">
        <v>1822</v>
      </c>
      <c r="E281" s="7" t="s">
        <v>143</v>
      </c>
      <c r="F281" s="7" t="s">
        <v>1823</v>
      </c>
      <c r="G281" s="7" t="s">
        <v>936</v>
      </c>
      <c r="H281" s="7" t="s">
        <v>146</v>
      </c>
      <c r="I281" s="7" t="s">
        <v>1824</v>
      </c>
      <c r="J281" s="7" t="s">
        <v>110</v>
      </c>
      <c r="K281" s="7" t="s">
        <v>1825</v>
      </c>
    </row>
    <row r="282" customFormat="false" ht="23.85" hidden="false" customHeight="false" outlineLevel="0" collapsed="false">
      <c r="A282" s="7" t="n">
        <v>281</v>
      </c>
      <c r="B282" s="7" t="s">
        <v>1826</v>
      </c>
      <c r="C282" s="7" t="n">
        <v>2021</v>
      </c>
      <c r="D282" s="7" t="s">
        <v>1827</v>
      </c>
      <c r="E282" s="7" t="s">
        <v>143</v>
      </c>
      <c r="F282" s="7" t="s">
        <v>1828</v>
      </c>
      <c r="G282" s="7" t="s">
        <v>1213</v>
      </c>
      <c r="H282" s="7" t="s">
        <v>146</v>
      </c>
      <c r="I282" s="7" t="s">
        <v>1829</v>
      </c>
      <c r="J282" s="7" t="s">
        <v>112</v>
      </c>
      <c r="K282" s="7" t="s">
        <v>1830</v>
      </c>
    </row>
    <row r="283" customFormat="false" ht="35.05" hidden="false" customHeight="false" outlineLevel="0" collapsed="false">
      <c r="A283" s="7" t="n">
        <v>282</v>
      </c>
      <c r="B283" s="7" t="s">
        <v>1831</v>
      </c>
      <c r="C283" s="7" t="n">
        <v>2025</v>
      </c>
      <c r="D283" s="7" t="s">
        <v>1832</v>
      </c>
      <c r="E283" s="7" t="s">
        <v>151</v>
      </c>
      <c r="F283" s="7" t="s">
        <v>1833</v>
      </c>
      <c r="G283" s="7" t="s">
        <v>145</v>
      </c>
      <c r="H283" s="7" t="s">
        <v>387</v>
      </c>
      <c r="I283" s="7" t="s">
        <v>1834</v>
      </c>
      <c r="J283" s="7" t="s">
        <v>116</v>
      </c>
      <c r="K283" s="7" t="s">
        <v>1835</v>
      </c>
    </row>
    <row r="284" customFormat="false" ht="35.05" hidden="false" customHeight="false" outlineLevel="0" collapsed="false">
      <c r="A284" s="7" t="n">
        <v>283</v>
      </c>
      <c r="B284" s="7" t="s">
        <v>1740</v>
      </c>
      <c r="C284" s="7" t="n">
        <v>2024</v>
      </c>
      <c r="D284" s="7" t="s">
        <v>1836</v>
      </c>
      <c r="E284" s="7" t="s">
        <v>143</v>
      </c>
      <c r="F284" s="7" t="s">
        <v>1767</v>
      </c>
      <c r="G284" s="7" t="s">
        <v>327</v>
      </c>
      <c r="H284" s="7" t="s">
        <v>146</v>
      </c>
      <c r="I284" s="7" t="s">
        <v>1837</v>
      </c>
      <c r="J284" s="7" t="s">
        <v>116</v>
      </c>
      <c r="K284" s="7" t="s">
        <v>1838</v>
      </c>
    </row>
    <row r="285" customFormat="false" ht="35.05" hidden="false" customHeight="false" outlineLevel="0" collapsed="false">
      <c r="A285" s="7" t="n">
        <v>284</v>
      </c>
      <c r="B285" s="7" t="s">
        <v>1839</v>
      </c>
      <c r="C285" s="7" t="n">
        <v>2024</v>
      </c>
      <c r="D285" s="7" t="s">
        <v>1840</v>
      </c>
      <c r="E285" s="7" t="s">
        <v>143</v>
      </c>
      <c r="F285" s="7" t="s">
        <v>1841</v>
      </c>
      <c r="G285" s="7" t="s">
        <v>1842</v>
      </c>
      <c r="H285" s="7" t="s">
        <v>387</v>
      </c>
      <c r="I285" s="7" t="s">
        <v>1843</v>
      </c>
      <c r="J285" s="7" t="s">
        <v>110</v>
      </c>
      <c r="K285" s="7" t="s">
        <v>1844</v>
      </c>
    </row>
    <row r="286" customFormat="false" ht="23.85" hidden="false" customHeight="false" outlineLevel="0" collapsed="false">
      <c r="A286" s="7" t="n">
        <v>285</v>
      </c>
      <c r="B286" s="7" t="s">
        <v>1845</v>
      </c>
      <c r="C286" s="7" t="n">
        <v>2024</v>
      </c>
      <c r="D286" s="7" t="s">
        <v>1846</v>
      </c>
      <c r="E286" s="7" t="s">
        <v>151</v>
      </c>
      <c r="F286" s="7" t="s">
        <v>1847</v>
      </c>
      <c r="G286" s="7" t="s">
        <v>512</v>
      </c>
      <c r="H286" s="7" t="s">
        <v>387</v>
      </c>
      <c r="I286" s="7" t="s">
        <v>1848</v>
      </c>
      <c r="J286" s="7"/>
      <c r="K286" s="7" t="s">
        <v>1849</v>
      </c>
    </row>
    <row r="287" customFormat="false" ht="35.05" hidden="false" customHeight="false" outlineLevel="0" collapsed="false">
      <c r="A287" s="7" t="n">
        <v>286</v>
      </c>
      <c r="B287" s="7" t="s">
        <v>1622</v>
      </c>
      <c r="C287" s="7" t="n">
        <v>2024</v>
      </c>
      <c r="D287" s="7" t="s">
        <v>1850</v>
      </c>
      <c r="E287" s="7" t="s">
        <v>143</v>
      </c>
      <c r="F287" s="7" t="s">
        <v>1851</v>
      </c>
      <c r="G287" s="7" t="s">
        <v>327</v>
      </c>
      <c r="H287" s="7" t="s">
        <v>387</v>
      </c>
      <c r="I287" s="7" t="s">
        <v>1852</v>
      </c>
      <c r="J287" s="7" t="s">
        <v>110</v>
      </c>
      <c r="K287" s="7" t="s">
        <v>1853</v>
      </c>
    </row>
    <row r="288" customFormat="false" ht="35.05" hidden="false" customHeight="false" outlineLevel="0" collapsed="false">
      <c r="A288" s="7" t="n">
        <v>287</v>
      </c>
      <c r="B288" s="7" t="s">
        <v>1854</v>
      </c>
      <c r="C288" s="7" t="n">
        <v>2024</v>
      </c>
      <c r="D288" s="7" t="s">
        <v>1855</v>
      </c>
      <c r="E288" s="7" t="s">
        <v>143</v>
      </c>
      <c r="F288" s="7" t="s">
        <v>1856</v>
      </c>
      <c r="G288" s="7" t="s">
        <v>327</v>
      </c>
      <c r="H288" s="7" t="s">
        <v>146</v>
      </c>
      <c r="I288" s="7" t="s">
        <v>1857</v>
      </c>
      <c r="J288" s="7" t="s">
        <v>110</v>
      </c>
      <c r="K288" s="7" t="s">
        <v>1858</v>
      </c>
    </row>
    <row r="289" customFormat="false" ht="35.05" hidden="false" customHeight="false" outlineLevel="0" collapsed="false">
      <c r="A289" s="7" t="n">
        <v>288</v>
      </c>
      <c r="B289" s="7" t="s">
        <v>1859</v>
      </c>
      <c r="C289" s="7" t="n">
        <v>2024</v>
      </c>
      <c r="D289" s="7" t="s">
        <v>1860</v>
      </c>
      <c r="E289" s="7" t="s">
        <v>143</v>
      </c>
      <c r="F289" s="7" t="s">
        <v>1861</v>
      </c>
      <c r="G289" s="7" t="s">
        <v>327</v>
      </c>
      <c r="H289" s="7" t="s">
        <v>387</v>
      </c>
      <c r="I289" s="7" t="s">
        <v>1862</v>
      </c>
      <c r="J289" s="7" t="s">
        <v>110</v>
      </c>
      <c r="K289" s="7" t="s">
        <v>1863</v>
      </c>
    </row>
    <row r="290" customFormat="false" ht="46.25" hidden="false" customHeight="false" outlineLevel="0" collapsed="false">
      <c r="A290" s="7" t="n">
        <v>289</v>
      </c>
      <c r="B290" s="7" t="s">
        <v>1864</v>
      </c>
      <c r="C290" s="7" t="n">
        <v>2021</v>
      </c>
      <c r="D290" s="7" t="s">
        <v>1865</v>
      </c>
      <c r="E290" s="7" t="s">
        <v>151</v>
      </c>
      <c r="F290" s="7" t="s">
        <v>152</v>
      </c>
      <c r="G290" s="7" t="s">
        <v>145</v>
      </c>
      <c r="H290" s="7" t="s">
        <v>387</v>
      </c>
      <c r="I290" s="7" t="s">
        <v>1866</v>
      </c>
      <c r="J290" s="7"/>
      <c r="K290" s="7" t="s">
        <v>1867</v>
      </c>
    </row>
    <row r="291" customFormat="false" ht="46.25" hidden="false" customHeight="false" outlineLevel="0" collapsed="false">
      <c r="A291" s="7" t="n">
        <v>290</v>
      </c>
      <c r="B291" s="7" t="s">
        <v>1868</v>
      </c>
      <c r="C291" s="7" t="n">
        <v>2020</v>
      </c>
      <c r="D291" s="7" t="s">
        <v>1869</v>
      </c>
      <c r="E291" s="7" t="s">
        <v>151</v>
      </c>
      <c r="F291" s="7" t="s">
        <v>152</v>
      </c>
      <c r="G291" s="7" t="s">
        <v>1870</v>
      </c>
      <c r="H291" s="7" t="s">
        <v>208</v>
      </c>
      <c r="I291" s="7" t="s">
        <v>1871</v>
      </c>
      <c r="J291" s="7"/>
      <c r="K291" s="7" t="s">
        <v>1872</v>
      </c>
    </row>
    <row r="292" customFormat="false" ht="35.05" hidden="false" customHeight="false" outlineLevel="0" collapsed="false">
      <c r="A292" s="7" t="n">
        <v>291</v>
      </c>
      <c r="B292" s="7" t="s">
        <v>1873</v>
      </c>
      <c r="C292" s="7" t="n">
        <v>2018</v>
      </c>
      <c r="D292" s="7" t="s">
        <v>1874</v>
      </c>
      <c r="E292" s="7" t="s">
        <v>143</v>
      </c>
      <c r="F292" s="7" t="s">
        <v>152</v>
      </c>
      <c r="G292" s="7" t="s">
        <v>145</v>
      </c>
      <c r="H292" s="7" t="s">
        <v>208</v>
      </c>
      <c r="I292" s="7" t="s">
        <v>1875</v>
      </c>
      <c r="J292" s="7"/>
      <c r="K292" s="7" t="s">
        <v>1876</v>
      </c>
    </row>
    <row r="293" customFormat="false" ht="68.65" hidden="false" customHeight="false" outlineLevel="0" collapsed="false">
      <c r="A293" s="7" t="n">
        <v>292</v>
      </c>
      <c r="B293" s="7" t="s">
        <v>15325</v>
      </c>
      <c r="C293" s="7" t="n">
        <v>2004</v>
      </c>
      <c r="D293" s="7" t="s">
        <v>1878</v>
      </c>
      <c r="E293" s="7" t="s">
        <v>15326</v>
      </c>
      <c r="F293" s="7" t="s">
        <v>15327</v>
      </c>
      <c r="G293" s="7" t="s">
        <v>15328</v>
      </c>
      <c r="H293" s="7" t="s">
        <v>146</v>
      </c>
      <c r="I293" s="7" t="s">
        <v>15329</v>
      </c>
      <c r="J293" s="7" t="s">
        <v>15330</v>
      </c>
      <c r="K293" s="7" t="s">
        <v>15331</v>
      </c>
    </row>
    <row r="294" customFormat="false" ht="57.45" hidden="false" customHeight="false" outlineLevel="0" collapsed="false">
      <c r="A294" s="7" t="n">
        <v>293</v>
      </c>
      <c r="B294" s="7" t="s">
        <v>1888</v>
      </c>
      <c r="C294" s="7" t="n">
        <v>2023</v>
      </c>
      <c r="D294" s="7" t="s">
        <v>1889</v>
      </c>
      <c r="E294" s="7" t="s">
        <v>143</v>
      </c>
      <c r="F294" s="7" t="s">
        <v>1890</v>
      </c>
      <c r="G294" s="7" t="s">
        <v>1891</v>
      </c>
      <c r="H294" s="7" t="s">
        <v>146</v>
      </c>
      <c r="I294" s="7" t="s">
        <v>1892</v>
      </c>
      <c r="J294" s="7" t="s">
        <v>110</v>
      </c>
      <c r="K294" s="7" t="s">
        <v>1893</v>
      </c>
    </row>
    <row r="295" customFormat="false" ht="35.05" hidden="false" customHeight="false" outlineLevel="0" collapsed="false">
      <c r="A295" s="7" t="n">
        <v>294</v>
      </c>
      <c r="B295" s="7" t="s">
        <v>1894</v>
      </c>
      <c r="C295" s="7" t="n">
        <v>2022</v>
      </c>
      <c r="D295" s="7" t="s">
        <v>1895</v>
      </c>
      <c r="E295" s="7" t="s">
        <v>143</v>
      </c>
      <c r="F295" s="7" t="s">
        <v>1776</v>
      </c>
      <c r="G295" s="7" t="s">
        <v>145</v>
      </c>
      <c r="H295" s="7" t="s">
        <v>146</v>
      </c>
      <c r="I295" s="7" t="s">
        <v>1896</v>
      </c>
      <c r="J295" s="7"/>
      <c r="K295" s="7" t="s">
        <v>1897</v>
      </c>
    </row>
    <row r="296" customFormat="false" ht="57.45" hidden="false" customHeight="false" outlineLevel="0" collapsed="false">
      <c r="A296" s="7" t="n">
        <v>295</v>
      </c>
      <c r="B296" s="7" t="s">
        <v>1898</v>
      </c>
      <c r="C296" s="7" t="n">
        <v>2022</v>
      </c>
      <c r="D296" s="7" t="s">
        <v>1899</v>
      </c>
      <c r="E296" s="7" t="s">
        <v>15248</v>
      </c>
      <c r="F296" s="7" t="s">
        <v>15332</v>
      </c>
      <c r="G296" s="7" t="s">
        <v>15333</v>
      </c>
      <c r="H296" s="7" t="s">
        <v>146</v>
      </c>
      <c r="I296" s="7" t="s">
        <v>15334</v>
      </c>
      <c r="J296" s="7" t="s">
        <v>112</v>
      </c>
      <c r="K296" s="7" t="s">
        <v>15335</v>
      </c>
    </row>
    <row r="297" customFormat="false" ht="35.05" hidden="false" customHeight="false" outlineLevel="0" collapsed="false">
      <c r="A297" s="7" t="n">
        <v>296</v>
      </c>
      <c r="B297" s="7" t="s">
        <v>1907</v>
      </c>
      <c r="C297" s="7" t="n">
        <v>2022</v>
      </c>
      <c r="D297" s="7" t="s">
        <v>1908</v>
      </c>
      <c r="E297" s="7" t="s">
        <v>151</v>
      </c>
      <c r="F297" s="7" t="s">
        <v>1909</v>
      </c>
      <c r="G297" s="7" t="s">
        <v>145</v>
      </c>
      <c r="H297" s="7" t="s">
        <v>153</v>
      </c>
      <c r="I297" s="7" t="s">
        <v>1910</v>
      </c>
      <c r="J297" s="7" t="s">
        <v>114</v>
      </c>
      <c r="K297" s="7" t="s">
        <v>1911</v>
      </c>
    </row>
    <row r="298" customFormat="false" ht="68.65" hidden="false" customHeight="false" outlineLevel="0" collapsed="false">
      <c r="A298" s="7" t="n">
        <v>297</v>
      </c>
      <c r="B298" s="7" t="s">
        <v>1912</v>
      </c>
      <c r="C298" s="7" t="n">
        <v>2021</v>
      </c>
      <c r="D298" s="7" t="s">
        <v>1913</v>
      </c>
      <c r="E298" s="7" t="s">
        <v>151</v>
      </c>
      <c r="F298" s="7" t="s">
        <v>15336</v>
      </c>
      <c r="G298" s="7" t="s">
        <v>15337</v>
      </c>
      <c r="H298" s="7" t="s">
        <v>522</v>
      </c>
      <c r="I298" s="7" t="s">
        <v>15338</v>
      </c>
      <c r="J298" s="7" t="s">
        <v>112</v>
      </c>
      <c r="K298" s="7" t="s">
        <v>15339</v>
      </c>
    </row>
    <row r="299" customFormat="false" ht="35.05" hidden="false" customHeight="false" outlineLevel="0" collapsed="false">
      <c r="A299" s="7" t="n">
        <v>298</v>
      </c>
      <c r="B299" s="7" t="s">
        <v>1918</v>
      </c>
      <c r="C299" s="7" t="n">
        <v>2024</v>
      </c>
      <c r="D299" s="7" t="s">
        <v>1919</v>
      </c>
      <c r="E299" s="7" t="s">
        <v>143</v>
      </c>
      <c r="F299" s="7" t="s">
        <v>1920</v>
      </c>
      <c r="G299" s="7" t="s">
        <v>145</v>
      </c>
      <c r="H299" s="7" t="s">
        <v>387</v>
      </c>
      <c r="I299" s="7" t="s">
        <v>1921</v>
      </c>
      <c r="J299" s="7" t="s">
        <v>110</v>
      </c>
      <c r="K299" s="7" t="s">
        <v>1922</v>
      </c>
    </row>
    <row r="300" customFormat="false" ht="23.85" hidden="false" customHeight="false" outlineLevel="0" collapsed="false">
      <c r="A300" s="7" t="n">
        <v>299</v>
      </c>
      <c r="B300" s="7" t="s">
        <v>1918</v>
      </c>
      <c r="C300" s="7" t="n">
        <v>2024</v>
      </c>
      <c r="D300" s="7" t="s">
        <v>1923</v>
      </c>
      <c r="E300" s="7" t="s">
        <v>143</v>
      </c>
      <c r="F300" s="7" t="s">
        <v>1163</v>
      </c>
      <c r="G300" s="7" t="s">
        <v>145</v>
      </c>
      <c r="H300" s="7" t="s">
        <v>387</v>
      </c>
      <c r="I300" s="7" t="s">
        <v>1924</v>
      </c>
      <c r="J300" s="7" t="s">
        <v>110</v>
      </c>
      <c r="K300" s="7" t="s">
        <v>1925</v>
      </c>
    </row>
    <row r="301" customFormat="false" ht="23.85" hidden="false" customHeight="false" outlineLevel="0" collapsed="false">
      <c r="A301" s="7" t="n">
        <v>300</v>
      </c>
      <c r="B301" s="7" t="s">
        <v>1926</v>
      </c>
      <c r="C301" s="7" t="n">
        <v>2025</v>
      </c>
      <c r="D301" s="7" t="s">
        <v>1927</v>
      </c>
      <c r="E301" s="7" t="s">
        <v>143</v>
      </c>
      <c r="F301" s="7" t="s">
        <v>1928</v>
      </c>
      <c r="G301" s="7" t="s">
        <v>145</v>
      </c>
      <c r="H301" s="7" t="s">
        <v>387</v>
      </c>
      <c r="I301" s="7" t="s">
        <v>507</v>
      </c>
      <c r="J301" s="7" t="s">
        <v>110</v>
      </c>
      <c r="K301" s="7" t="s">
        <v>1929</v>
      </c>
    </row>
    <row r="302" customFormat="false" ht="35.05" hidden="false" customHeight="false" outlineLevel="0" collapsed="false">
      <c r="A302" s="7" t="n">
        <v>301</v>
      </c>
      <c r="B302" s="7" t="s">
        <v>1930</v>
      </c>
      <c r="C302" s="7" t="n">
        <v>1997</v>
      </c>
      <c r="D302" s="7" t="s">
        <v>1931</v>
      </c>
      <c r="E302" s="7" t="s">
        <v>151</v>
      </c>
      <c r="F302" s="7" t="s">
        <v>197</v>
      </c>
      <c r="G302" s="7" t="s">
        <v>145</v>
      </c>
      <c r="H302" s="7" t="s">
        <v>387</v>
      </c>
      <c r="I302" s="7" t="s">
        <v>1932</v>
      </c>
      <c r="J302" s="7"/>
      <c r="K302" s="7" t="s">
        <v>1933</v>
      </c>
    </row>
    <row r="303" customFormat="false" ht="46.25" hidden="false" customHeight="false" outlineLevel="0" collapsed="false">
      <c r="A303" s="7" t="n">
        <v>302</v>
      </c>
      <c r="B303" s="7" t="s">
        <v>15340</v>
      </c>
      <c r="C303" s="7" t="n">
        <v>2014</v>
      </c>
      <c r="D303" s="7" t="s">
        <v>1934</v>
      </c>
      <c r="E303" s="7" t="s">
        <v>151</v>
      </c>
      <c r="F303" s="7" t="s">
        <v>15341</v>
      </c>
      <c r="G303" s="7" t="s">
        <v>145</v>
      </c>
      <c r="H303" s="7" t="s">
        <v>15165</v>
      </c>
      <c r="I303" s="7" t="s">
        <v>15342</v>
      </c>
      <c r="J303" s="7" t="s">
        <v>116</v>
      </c>
      <c r="K303" s="7" t="s">
        <v>15343</v>
      </c>
    </row>
    <row r="304" customFormat="false" ht="35.05" hidden="false" customHeight="false" outlineLevel="0" collapsed="false">
      <c r="A304" s="7" t="n">
        <v>303</v>
      </c>
      <c r="B304" s="7" t="s">
        <v>1940</v>
      </c>
      <c r="C304" s="7" t="n">
        <v>2023</v>
      </c>
      <c r="D304" s="7" t="s">
        <v>1941</v>
      </c>
      <c r="E304" s="7" t="s">
        <v>151</v>
      </c>
      <c r="F304" s="7" t="s">
        <v>1942</v>
      </c>
      <c r="G304" s="7" t="s">
        <v>1213</v>
      </c>
      <c r="H304" s="7" t="s">
        <v>146</v>
      </c>
      <c r="I304" s="7" t="s">
        <v>1943</v>
      </c>
      <c r="J304" s="7" t="s">
        <v>112</v>
      </c>
      <c r="K304" s="7" t="s">
        <v>1944</v>
      </c>
    </row>
    <row r="305" customFormat="false" ht="35.05" hidden="false" customHeight="false" outlineLevel="0" collapsed="false">
      <c r="A305" s="7" t="n">
        <v>304</v>
      </c>
      <c r="B305" s="7" t="s">
        <v>1945</v>
      </c>
      <c r="C305" s="7" t="n">
        <v>2010</v>
      </c>
      <c r="D305" s="7" t="s">
        <v>1946</v>
      </c>
      <c r="E305" s="7" t="s">
        <v>151</v>
      </c>
      <c r="F305" s="7" t="s">
        <v>152</v>
      </c>
      <c r="G305" s="7" t="s">
        <v>145</v>
      </c>
      <c r="H305" s="7" t="s">
        <v>146</v>
      </c>
      <c r="I305" s="7" t="s">
        <v>1947</v>
      </c>
      <c r="J305" s="7"/>
      <c r="K305" s="7" t="s">
        <v>1948</v>
      </c>
    </row>
    <row r="306" customFormat="false" ht="35.05" hidden="false" customHeight="false" outlineLevel="0" collapsed="false">
      <c r="A306" s="7" t="n">
        <v>305</v>
      </c>
      <c r="B306" s="7" t="s">
        <v>1949</v>
      </c>
      <c r="C306" s="7" t="n">
        <v>2023</v>
      </c>
      <c r="D306" s="7" t="s">
        <v>1950</v>
      </c>
      <c r="E306" s="7" t="s">
        <v>143</v>
      </c>
      <c r="F306" s="7" t="s">
        <v>1264</v>
      </c>
      <c r="G306" s="7" t="s">
        <v>145</v>
      </c>
      <c r="H306" s="7" t="s">
        <v>522</v>
      </c>
      <c r="I306" s="7" t="s">
        <v>1951</v>
      </c>
      <c r="J306" s="7"/>
      <c r="K306" s="7" t="s">
        <v>1952</v>
      </c>
    </row>
    <row r="307" customFormat="false" ht="57.45" hidden="false" customHeight="false" outlineLevel="0" collapsed="false">
      <c r="A307" s="7" t="n">
        <v>306</v>
      </c>
      <c r="B307" s="7" t="s">
        <v>15344</v>
      </c>
      <c r="C307" s="7" t="n">
        <v>2023</v>
      </c>
      <c r="D307" s="7" t="s">
        <v>1954</v>
      </c>
      <c r="E307" s="7" t="s">
        <v>151</v>
      </c>
      <c r="F307" s="7" t="s">
        <v>15345</v>
      </c>
      <c r="G307" s="7" t="s">
        <v>145</v>
      </c>
      <c r="H307" s="7" t="s">
        <v>15165</v>
      </c>
      <c r="I307" s="7" t="s">
        <v>15346</v>
      </c>
      <c r="J307" s="7"/>
      <c r="K307" s="7" t="s">
        <v>15347</v>
      </c>
    </row>
    <row r="308" customFormat="false" ht="35.05" hidden="false" customHeight="false" outlineLevel="0" collapsed="false">
      <c r="A308" s="7" t="n">
        <v>307</v>
      </c>
      <c r="B308" s="7" t="s">
        <v>1957</v>
      </c>
      <c r="C308" s="7" t="n">
        <v>2024</v>
      </c>
      <c r="D308" s="7" t="s">
        <v>1958</v>
      </c>
      <c r="E308" s="7" t="s">
        <v>151</v>
      </c>
      <c r="F308" s="7" t="s">
        <v>1959</v>
      </c>
      <c r="G308" s="7" t="s">
        <v>1960</v>
      </c>
      <c r="H308" s="7" t="s">
        <v>522</v>
      </c>
      <c r="I308" s="7" t="s">
        <v>1961</v>
      </c>
      <c r="J308" s="7" t="s">
        <v>112</v>
      </c>
      <c r="K308" s="7" t="s">
        <v>1962</v>
      </c>
    </row>
    <row r="309" customFormat="false" ht="35.05" hidden="false" customHeight="false" outlineLevel="0" collapsed="false">
      <c r="A309" s="7" t="n">
        <v>308</v>
      </c>
      <c r="B309" s="7" t="s">
        <v>1963</v>
      </c>
      <c r="C309" s="7" t="n">
        <v>2017</v>
      </c>
      <c r="D309" s="7" t="s">
        <v>1964</v>
      </c>
      <c r="E309" s="7" t="s">
        <v>151</v>
      </c>
      <c r="F309" s="7" t="s">
        <v>1619</v>
      </c>
      <c r="G309" s="7" t="s">
        <v>145</v>
      </c>
      <c r="H309" s="7" t="s">
        <v>146</v>
      </c>
      <c r="I309" s="7" t="s">
        <v>1965</v>
      </c>
      <c r="J309" s="7"/>
      <c r="K309" s="7" t="s">
        <v>1966</v>
      </c>
    </row>
    <row r="310" customFormat="false" ht="35.05" hidden="false" customHeight="false" outlineLevel="0" collapsed="false">
      <c r="A310" s="7" t="n">
        <v>309</v>
      </c>
      <c r="B310" s="7" t="s">
        <v>1967</v>
      </c>
      <c r="C310" s="7" t="n">
        <v>2022</v>
      </c>
      <c r="D310" s="7" t="s">
        <v>1968</v>
      </c>
      <c r="E310" s="7" t="s">
        <v>151</v>
      </c>
      <c r="F310" s="7" t="s">
        <v>152</v>
      </c>
      <c r="G310" s="7" t="s">
        <v>145</v>
      </c>
      <c r="H310" s="7" t="s">
        <v>146</v>
      </c>
      <c r="I310" s="7" t="s">
        <v>1969</v>
      </c>
      <c r="J310" s="7"/>
      <c r="K310" s="7" t="s">
        <v>1970</v>
      </c>
    </row>
    <row r="311" customFormat="false" ht="35.05" hidden="false" customHeight="false" outlineLevel="0" collapsed="false">
      <c r="A311" s="7" t="n">
        <v>310</v>
      </c>
      <c r="B311" s="7" t="s">
        <v>1971</v>
      </c>
      <c r="C311" s="7" t="n">
        <v>2020</v>
      </c>
      <c r="D311" s="7" t="s">
        <v>1972</v>
      </c>
      <c r="E311" s="7" t="s">
        <v>151</v>
      </c>
      <c r="F311" s="7" t="s">
        <v>1973</v>
      </c>
      <c r="G311" s="7" t="s">
        <v>338</v>
      </c>
      <c r="H311" s="7" t="s">
        <v>146</v>
      </c>
      <c r="I311" s="7" t="s">
        <v>1974</v>
      </c>
      <c r="J311" s="7" t="s">
        <v>112</v>
      </c>
      <c r="K311" s="7" t="s">
        <v>1975</v>
      </c>
    </row>
    <row r="312" customFormat="false" ht="35.05" hidden="false" customHeight="false" outlineLevel="0" collapsed="false">
      <c r="A312" s="7" t="n">
        <v>311</v>
      </c>
      <c r="B312" s="7" t="s">
        <v>1976</v>
      </c>
      <c r="C312" s="7" t="n">
        <v>2020</v>
      </c>
      <c r="D312" s="7" t="s">
        <v>1977</v>
      </c>
      <c r="E312" s="7" t="s">
        <v>151</v>
      </c>
      <c r="F312" s="7" t="s">
        <v>1978</v>
      </c>
      <c r="G312" s="7" t="s">
        <v>1979</v>
      </c>
      <c r="H312" s="7" t="s">
        <v>146</v>
      </c>
      <c r="I312" s="7" t="s">
        <v>1980</v>
      </c>
      <c r="J312" s="7"/>
      <c r="K312" s="7" t="s">
        <v>1981</v>
      </c>
    </row>
    <row r="313" customFormat="false" ht="35.05" hidden="false" customHeight="false" outlineLevel="0" collapsed="false">
      <c r="A313" s="7" t="n">
        <v>312</v>
      </c>
      <c r="B313" s="7" t="s">
        <v>1982</v>
      </c>
      <c r="C313" s="7" t="n">
        <v>2005</v>
      </c>
      <c r="D313" s="7" t="s">
        <v>1983</v>
      </c>
      <c r="E313" s="7" t="s">
        <v>151</v>
      </c>
      <c r="F313" s="7" t="s">
        <v>348</v>
      </c>
      <c r="G313" s="7" t="s">
        <v>145</v>
      </c>
      <c r="H313" s="7" t="s">
        <v>387</v>
      </c>
      <c r="I313" s="7" t="s">
        <v>1984</v>
      </c>
      <c r="J313" s="7"/>
      <c r="K313" s="7" t="s">
        <v>1985</v>
      </c>
    </row>
    <row r="314" customFormat="false" ht="35.05" hidden="false" customHeight="false" outlineLevel="0" collapsed="false">
      <c r="A314" s="7" t="n">
        <v>313</v>
      </c>
      <c r="B314" s="7" t="s">
        <v>1986</v>
      </c>
      <c r="C314" s="7" t="n">
        <v>2005</v>
      </c>
      <c r="D314" s="7" t="s">
        <v>1987</v>
      </c>
      <c r="E314" s="7" t="s">
        <v>151</v>
      </c>
      <c r="F314" s="7" t="s">
        <v>197</v>
      </c>
      <c r="G314" s="7" t="s">
        <v>145</v>
      </c>
      <c r="H314" s="7" t="s">
        <v>387</v>
      </c>
      <c r="I314" s="7" t="s">
        <v>1988</v>
      </c>
      <c r="J314" s="7"/>
      <c r="K314" s="7" t="s">
        <v>1989</v>
      </c>
    </row>
    <row r="315" customFormat="false" ht="35.05" hidden="false" customHeight="false" outlineLevel="0" collapsed="false">
      <c r="A315" s="7" t="n">
        <v>314</v>
      </c>
      <c r="B315" s="7" t="s">
        <v>1990</v>
      </c>
      <c r="C315" s="7" t="n">
        <v>2008</v>
      </c>
      <c r="D315" s="7" t="s">
        <v>1991</v>
      </c>
      <c r="E315" s="7" t="s">
        <v>151</v>
      </c>
      <c r="F315" s="7" t="s">
        <v>152</v>
      </c>
      <c r="G315" s="7" t="s">
        <v>145</v>
      </c>
      <c r="H315" s="7" t="s">
        <v>146</v>
      </c>
      <c r="I315" s="7" t="s">
        <v>1992</v>
      </c>
      <c r="J315" s="7"/>
      <c r="K315" s="7" t="s">
        <v>1993</v>
      </c>
    </row>
    <row r="316" customFormat="false" ht="35.05" hidden="false" customHeight="false" outlineLevel="0" collapsed="false">
      <c r="A316" s="7" t="n">
        <v>315</v>
      </c>
      <c r="B316" s="7" t="s">
        <v>1994</v>
      </c>
      <c r="C316" s="7" t="n">
        <v>2024</v>
      </c>
      <c r="D316" s="7" t="s">
        <v>1995</v>
      </c>
      <c r="E316" s="7" t="s">
        <v>151</v>
      </c>
      <c r="F316" s="7" t="s">
        <v>152</v>
      </c>
      <c r="G316" s="7" t="s">
        <v>145</v>
      </c>
      <c r="H316" s="7" t="s">
        <v>146</v>
      </c>
      <c r="I316" s="7" t="s">
        <v>1996</v>
      </c>
      <c r="J316" s="7"/>
      <c r="K316" s="7" t="s">
        <v>1997</v>
      </c>
    </row>
    <row r="317" customFormat="false" ht="35.05" hidden="false" customHeight="false" outlineLevel="0" collapsed="false">
      <c r="A317" s="7" t="n">
        <v>316</v>
      </c>
      <c r="B317" s="7" t="s">
        <v>1998</v>
      </c>
      <c r="C317" s="7" t="n">
        <v>2020</v>
      </c>
      <c r="D317" s="7" t="s">
        <v>1999</v>
      </c>
      <c r="E317" s="7" t="s">
        <v>151</v>
      </c>
      <c r="F317" s="7" t="s">
        <v>152</v>
      </c>
      <c r="G317" s="7" t="s">
        <v>2000</v>
      </c>
      <c r="H317" s="7" t="s">
        <v>146</v>
      </c>
      <c r="I317" s="7" t="s">
        <v>2001</v>
      </c>
      <c r="J317" s="7"/>
      <c r="K317" s="7" t="s">
        <v>2002</v>
      </c>
    </row>
    <row r="318" customFormat="false" ht="35.05" hidden="false" customHeight="false" outlineLevel="0" collapsed="false">
      <c r="A318" s="7" t="n">
        <v>317</v>
      </c>
      <c r="B318" s="7" t="s">
        <v>2003</v>
      </c>
      <c r="C318" s="7" t="n">
        <v>2021</v>
      </c>
      <c r="D318" s="7" t="s">
        <v>2004</v>
      </c>
      <c r="E318" s="7" t="s">
        <v>143</v>
      </c>
      <c r="F318" s="7" t="s">
        <v>364</v>
      </c>
      <c r="G318" s="7" t="s">
        <v>145</v>
      </c>
      <c r="H318" s="7" t="s">
        <v>387</v>
      </c>
      <c r="I318" s="7" t="s">
        <v>2005</v>
      </c>
      <c r="J318" s="7"/>
      <c r="K318" s="7" t="s">
        <v>2006</v>
      </c>
    </row>
    <row r="319" customFormat="false" ht="23.85" hidden="false" customHeight="false" outlineLevel="0" collapsed="false">
      <c r="A319" s="7" t="n">
        <v>318</v>
      </c>
      <c r="B319" s="7" t="s">
        <v>2007</v>
      </c>
      <c r="C319" s="7" t="n">
        <v>2020</v>
      </c>
      <c r="D319" s="7" t="s">
        <v>2008</v>
      </c>
      <c r="E319" s="7" t="s">
        <v>151</v>
      </c>
      <c r="F319" s="7" t="s">
        <v>152</v>
      </c>
      <c r="G319" s="7" t="s">
        <v>145</v>
      </c>
      <c r="H319" s="7" t="s">
        <v>387</v>
      </c>
      <c r="I319" s="7" t="s">
        <v>2009</v>
      </c>
      <c r="J319" s="7"/>
      <c r="K319" s="7" t="s">
        <v>2010</v>
      </c>
    </row>
    <row r="320" customFormat="false" ht="35.05" hidden="false" customHeight="false" outlineLevel="0" collapsed="false">
      <c r="A320" s="7" t="n">
        <v>319</v>
      </c>
      <c r="B320" s="7" t="s">
        <v>2011</v>
      </c>
      <c r="C320" s="7" t="n">
        <v>2024</v>
      </c>
      <c r="D320" s="7" t="s">
        <v>2012</v>
      </c>
      <c r="E320" s="7" t="s">
        <v>143</v>
      </c>
      <c r="F320" s="7" t="s">
        <v>2013</v>
      </c>
      <c r="G320" s="7" t="s">
        <v>145</v>
      </c>
      <c r="H320" s="7" t="s">
        <v>522</v>
      </c>
      <c r="I320" s="7" t="s">
        <v>2014</v>
      </c>
      <c r="J320" s="7" t="s">
        <v>114</v>
      </c>
      <c r="K320" s="7" t="s">
        <v>2015</v>
      </c>
    </row>
    <row r="321" customFormat="false" ht="23.85" hidden="false" customHeight="false" outlineLevel="0" collapsed="false">
      <c r="A321" s="7" t="n">
        <v>320</v>
      </c>
      <c r="B321" s="7" t="s">
        <v>2016</v>
      </c>
      <c r="C321" s="7" t="n">
        <v>2020</v>
      </c>
      <c r="D321" s="7" t="s">
        <v>2017</v>
      </c>
      <c r="E321" s="7" t="s">
        <v>151</v>
      </c>
      <c r="F321" s="7" t="s">
        <v>152</v>
      </c>
      <c r="G321" s="7" t="s">
        <v>145</v>
      </c>
      <c r="H321" s="7" t="s">
        <v>146</v>
      </c>
      <c r="I321" s="7" t="s">
        <v>1969</v>
      </c>
      <c r="J321" s="7"/>
      <c r="K321" s="7" t="s">
        <v>2018</v>
      </c>
    </row>
    <row r="322" customFormat="false" ht="35.05" hidden="false" customHeight="false" outlineLevel="0" collapsed="false">
      <c r="A322" s="7" t="n">
        <v>321</v>
      </c>
      <c r="B322" s="7" t="s">
        <v>2019</v>
      </c>
      <c r="C322" s="7" t="n">
        <v>2009</v>
      </c>
      <c r="D322" s="7" t="s">
        <v>2020</v>
      </c>
      <c r="E322" s="7" t="s">
        <v>143</v>
      </c>
      <c r="F322" s="7" t="s">
        <v>1973</v>
      </c>
      <c r="G322" s="7" t="s">
        <v>1960</v>
      </c>
      <c r="H322" s="7" t="s">
        <v>522</v>
      </c>
      <c r="I322" s="7" t="s">
        <v>2021</v>
      </c>
      <c r="J322" s="7" t="s">
        <v>112</v>
      </c>
      <c r="K322" s="7" t="s">
        <v>2022</v>
      </c>
    </row>
    <row r="323" customFormat="false" ht="23.85" hidden="false" customHeight="false" outlineLevel="0" collapsed="false">
      <c r="A323" s="7" t="n">
        <v>322</v>
      </c>
      <c r="B323" s="7" t="s">
        <v>2023</v>
      </c>
      <c r="C323" s="7" t="n">
        <v>2005</v>
      </c>
      <c r="D323" s="7" t="s">
        <v>2024</v>
      </c>
      <c r="E323" s="7" t="s">
        <v>151</v>
      </c>
      <c r="F323" s="7" t="s">
        <v>152</v>
      </c>
      <c r="G323" s="7" t="s">
        <v>2025</v>
      </c>
      <c r="H323" s="7" t="s">
        <v>146</v>
      </c>
      <c r="I323" s="7" t="s">
        <v>2026</v>
      </c>
      <c r="J323" s="7"/>
      <c r="K323" s="7" t="s">
        <v>2027</v>
      </c>
    </row>
    <row r="324" customFormat="false" ht="68.65" hidden="false" customHeight="false" outlineLevel="0" collapsed="false">
      <c r="A324" s="7" t="n">
        <v>323</v>
      </c>
      <c r="B324" s="7" t="s">
        <v>15348</v>
      </c>
      <c r="C324" s="7" t="n">
        <v>2021</v>
      </c>
      <c r="D324" s="7" t="s">
        <v>2029</v>
      </c>
      <c r="E324" s="7" t="s">
        <v>143</v>
      </c>
      <c r="F324" s="7" t="s">
        <v>15349</v>
      </c>
      <c r="G324" s="7" t="s">
        <v>15350</v>
      </c>
      <c r="H324" s="7" t="s">
        <v>146</v>
      </c>
      <c r="I324" s="7" t="s">
        <v>15351</v>
      </c>
      <c r="J324" s="7" t="s">
        <v>15306</v>
      </c>
      <c r="K324" s="7" t="s">
        <v>15352</v>
      </c>
    </row>
    <row r="325" customFormat="false" ht="169.4" hidden="false" customHeight="false" outlineLevel="0" collapsed="false">
      <c r="A325" s="7" t="n">
        <v>324</v>
      </c>
      <c r="B325" s="7" t="s">
        <v>15353</v>
      </c>
      <c r="C325" s="7" t="n">
        <v>2020</v>
      </c>
      <c r="D325" s="7" t="s">
        <v>2035</v>
      </c>
      <c r="E325" s="7" t="s">
        <v>15248</v>
      </c>
      <c r="F325" s="7" t="s">
        <v>15354</v>
      </c>
      <c r="G325" s="7" t="s">
        <v>15355</v>
      </c>
      <c r="H325" s="7" t="s">
        <v>146</v>
      </c>
      <c r="I325" s="7" t="s">
        <v>15356</v>
      </c>
      <c r="J325" s="7" t="s">
        <v>15357</v>
      </c>
      <c r="K325" s="7" t="s">
        <v>15358</v>
      </c>
    </row>
    <row r="326" customFormat="false" ht="23.85" hidden="false" customHeight="false" outlineLevel="0" collapsed="false">
      <c r="A326" s="7" t="n">
        <v>325</v>
      </c>
      <c r="B326" s="7" t="s">
        <v>2051</v>
      </c>
      <c r="C326" s="7" t="n">
        <v>2023</v>
      </c>
      <c r="D326" s="7" t="s">
        <v>2052</v>
      </c>
      <c r="E326" s="7" t="s">
        <v>151</v>
      </c>
      <c r="F326" s="7" t="s">
        <v>2053</v>
      </c>
      <c r="G326" s="7" t="s">
        <v>145</v>
      </c>
      <c r="H326" s="7" t="s">
        <v>387</v>
      </c>
      <c r="I326" s="7" t="s">
        <v>2054</v>
      </c>
      <c r="J326" s="7"/>
      <c r="K326" s="7" t="s">
        <v>2055</v>
      </c>
    </row>
    <row r="327" customFormat="false" ht="35.05" hidden="false" customHeight="false" outlineLevel="0" collapsed="false">
      <c r="A327" s="7" t="n">
        <v>326</v>
      </c>
      <c r="B327" s="7" t="s">
        <v>2051</v>
      </c>
      <c r="C327" s="7" t="n">
        <v>2024</v>
      </c>
      <c r="D327" s="7" t="s">
        <v>2056</v>
      </c>
      <c r="E327" s="7" t="s">
        <v>151</v>
      </c>
      <c r="F327" s="7" t="s">
        <v>2053</v>
      </c>
      <c r="G327" s="7" t="s">
        <v>145</v>
      </c>
      <c r="H327" s="7" t="s">
        <v>387</v>
      </c>
      <c r="I327" s="7" t="s">
        <v>2054</v>
      </c>
      <c r="J327" s="7"/>
      <c r="K327" s="7" t="s">
        <v>2057</v>
      </c>
    </row>
    <row r="328" customFormat="false" ht="35.05" hidden="false" customHeight="false" outlineLevel="0" collapsed="false">
      <c r="A328" s="7" t="n">
        <v>327</v>
      </c>
      <c r="B328" s="7" t="s">
        <v>2058</v>
      </c>
      <c r="C328" s="7" t="n">
        <v>2021</v>
      </c>
      <c r="D328" s="7" t="s">
        <v>2059</v>
      </c>
      <c r="E328" s="7" t="s">
        <v>151</v>
      </c>
      <c r="F328" s="7" t="s">
        <v>152</v>
      </c>
      <c r="G328" s="7" t="s">
        <v>2060</v>
      </c>
      <c r="H328" s="7" t="s">
        <v>146</v>
      </c>
      <c r="I328" s="7" t="s">
        <v>2061</v>
      </c>
      <c r="J328" s="7"/>
      <c r="K328" s="7" t="s">
        <v>2062</v>
      </c>
    </row>
    <row r="329" customFormat="false" ht="46.25" hidden="false" customHeight="false" outlineLevel="0" collapsed="false">
      <c r="A329" s="7" t="n">
        <v>328</v>
      </c>
      <c r="B329" s="7" t="s">
        <v>2063</v>
      </c>
      <c r="C329" s="7" t="n">
        <v>2025</v>
      </c>
      <c r="D329" s="7" t="s">
        <v>2064</v>
      </c>
      <c r="E329" s="7" t="s">
        <v>143</v>
      </c>
      <c r="F329" s="7" t="s">
        <v>2065</v>
      </c>
      <c r="G329" s="7" t="s">
        <v>2066</v>
      </c>
      <c r="H329" s="7" t="s">
        <v>146</v>
      </c>
      <c r="I329" s="7" t="s">
        <v>2067</v>
      </c>
      <c r="J329" s="7" t="s">
        <v>112</v>
      </c>
      <c r="K329" s="7" t="s">
        <v>2068</v>
      </c>
    </row>
    <row r="330" customFormat="false" ht="35.05" hidden="false" customHeight="false" outlineLevel="0" collapsed="false">
      <c r="A330" s="7" t="n">
        <v>329</v>
      </c>
      <c r="B330" s="7" t="s">
        <v>2069</v>
      </c>
      <c r="C330" s="7" t="n">
        <v>2023</v>
      </c>
      <c r="D330" s="7" t="s">
        <v>2070</v>
      </c>
      <c r="E330" s="7" t="s">
        <v>143</v>
      </c>
      <c r="F330" s="7" t="s">
        <v>364</v>
      </c>
      <c r="G330" s="7" t="s">
        <v>145</v>
      </c>
      <c r="H330" s="7" t="s">
        <v>153</v>
      </c>
      <c r="I330" s="7" t="s">
        <v>2071</v>
      </c>
      <c r="J330" s="7"/>
      <c r="K330" s="7" t="s">
        <v>2072</v>
      </c>
    </row>
    <row r="331" customFormat="false" ht="35.05" hidden="false" customHeight="false" outlineLevel="0" collapsed="false">
      <c r="A331" s="7" t="n">
        <v>330</v>
      </c>
      <c r="B331" s="7" t="s">
        <v>2069</v>
      </c>
      <c r="C331" s="7" t="n">
        <v>2022</v>
      </c>
      <c r="D331" s="7" t="s">
        <v>2073</v>
      </c>
      <c r="E331" s="7" t="s">
        <v>153</v>
      </c>
      <c r="F331" s="7" t="s">
        <v>364</v>
      </c>
      <c r="G331" s="7" t="s">
        <v>145</v>
      </c>
      <c r="H331" s="7" t="s">
        <v>153</v>
      </c>
      <c r="I331" s="7" t="s">
        <v>2074</v>
      </c>
      <c r="J331" s="7"/>
      <c r="K331" s="7" t="s">
        <v>2075</v>
      </c>
    </row>
    <row r="332" customFormat="false" ht="23.85" hidden="false" customHeight="false" outlineLevel="0" collapsed="false">
      <c r="A332" s="7" t="n">
        <v>331</v>
      </c>
      <c r="B332" s="7" t="s">
        <v>2076</v>
      </c>
      <c r="C332" s="7" t="n">
        <v>2021</v>
      </c>
      <c r="D332" s="7" t="s">
        <v>2077</v>
      </c>
      <c r="E332" s="7" t="s">
        <v>151</v>
      </c>
      <c r="F332" s="7" t="s">
        <v>1163</v>
      </c>
      <c r="G332" s="7" t="s">
        <v>145</v>
      </c>
      <c r="H332" s="7" t="s">
        <v>146</v>
      </c>
      <c r="I332" s="7" t="s">
        <v>2078</v>
      </c>
      <c r="J332" s="7" t="s">
        <v>112</v>
      </c>
      <c r="K332" s="7" t="s">
        <v>2079</v>
      </c>
    </row>
    <row r="333" customFormat="false" ht="57.45" hidden="false" customHeight="false" outlineLevel="0" collapsed="false">
      <c r="A333" s="7" t="n">
        <v>332</v>
      </c>
      <c r="B333" s="7" t="s">
        <v>15359</v>
      </c>
      <c r="C333" s="7" t="n">
        <v>2019</v>
      </c>
      <c r="D333" s="7" t="s">
        <v>2081</v>
      </c>
      <c r="E333" s="7" t="s">
        <v>143</v>
      </c>
      <c r="F333" s="7" t="s">
        <v>15360</v>
      </c>
      <c r="G333" s="7" t="s">
        <v>15361</v>
      </c>
      <c r="H333" s="7" t="s">
        <v>153</v>
      </c>
      <c r="I333" s="7" t="s">
        <v>15362</v>
      </c>
      <c r="J333" s="7" t="s">
        <v>112</v>
      </c>
      <c r="K333" s="7" t="s">
        <v>15363</v>
      </c>
    </row>
    <row r="334" customFormat="false" ht="35.05" hidden="false" customHeight="false" outlineLevel="0" collapsed="false">
      <c r="A334" s="7" t="n">
        <v>333</v>
      </c>
      <c r="B334" s="7" t="s">
        <v>2090</v>
      </c>
      <c r="C334" s="7" t="n">
        <v>2024</v>
      </c>
      <c r="D334" s="7" t="s">
        <v>2091</v>
      </c>
      <c r="E334" s="7" t="s">
        <v>143</v>
      </c>
      <c r="F334" s="7" t="s">
        <v>2013</v>
      </c>
      <c r="G334" s="7" t="s">
        <v>145</v>
      </c>
      <c r="H334" s="7" t="s">
        <v>146</v>
      </c>
      <c r="I334" s="7" t="s">
        <v>2092</v>
      </c>
      <c r="J334" s="7" t="s">
        <v>114</v>
      </c>
      <c r="K334" s="7" t="s">
        <v>2093</v>
      </c>
    </row>
    <row r="335" customFormat="false" ht="35.05" hidden="false" customHeight="false" outlineLevel="0" collapsed="false">
      <c r="A335" s="7" t="n">
        <v>334</v>
      </c>
      <c r="B335" s="7" t="s">
        <v>2094</v>
      </c>
      <c r="C335" s="7" t="n">
        <v>2023</v>
      </c>
      <c r="D335" s="7" t="s">
        <v>2095</v>
      </c>
      <c r="E335" s="7" t="s">
        <v>143</v>
      </c>
      <c r="F335" s="7" t="s">
        <v>2096</v>
      </c>
      <c r="G335" s="7" t="s">
        <v>145</v>
      </c>
      <c r="H335" s="7" t="s">
        <v>153</v>
      </c>
      <c r="I335" s="7" t="s">
        <v>2097</v>
      </c>
      <c r="J335" s="7" t="s">
        <v>114</v>
      </c>
      <c r="K335" s="7" t="s">
        <v>2098</v>
      </c>
    </row>
    <row r="336" customFormat="false" ht="35.05" hidden="false" customHeight="false" outlineLevel="0" collapsed="false">
      <c r="A336" s="7" t="n">
        <v>335</v>
      </c>
      <c r="B336" s="7" t="s">
        <v>2099</v>
      </c>
      <c r="C336" s="7" t="n">
        <v>2023</v>
      </c>
      <c r="D336" s="7" t="s">
        <v>2100</v>
      </c>
      <c r="E336" s="7" t="s">
        <v>143</v>
      </c>
      <c r="F336" s="7" t="s">
        <v>2101</v>
      </c>
      <c r="G336" s="7" t="s">
        <v>145</v>
      </c>
      <c r="H336" s="7" t="s">
        <v>146</v>
      </c>
      <c r="I336" s="7" t="s">
        <v>2102</v>
      </c>
      <c r="J336" s="7" t="s">
        <v>112</v>
      </c>
      <c r="K336" s="7" t="s">
        <v>2103</v>
      </c>
    </row>
    <row r="337" customFormat="false" ht="35.05" hidden="false" customHeight="false" outlineLevel="0" collapsed="false">
      <c r="A337" s="7" t="n">
        <v>336</v>
      </c>
      <c r="B337" s="7" t="s">
        <v>2104</v>
      </c>
      <c r="C337" s="7" t="n">
        <v>2022</v>
      </c>
      <c r="D337" s="7" t="s">
        <v>2105</v>
      </c>
      <c r="E337" s="7" t="s">
        <v>143</v>
      </c>
      <c r="F337" s="7" t="s">
        <v>2106</v>
      </c>
      <c r="G337" s="7" t="s">
        <v>145</v>
      </c>
      <c r="H337" s="7" t="s">
        <v>146</v>
      </c>
      <c r="I337" s="7" t="s">
        <v>2107</v>
      </c>
      <c r="J337" s="7" t="s">
        <v>112</v>
      </c>
      <c r="K337" s="7" t="s">
        <v>2108</v>
      </c>
    </row>
    <row r="338" customFormat="false" ht="35.05" hidden="false" customHeight="false" outlineLevel="0" collapsed="false">
      <c r="A338" s="7" t="n">
        <v>337</v>
      </c>
      <c r="B338" s="7" t="s">
        <v>2109</v>
      </c>
      <c r="C338" s="7" t="n">
        <v>2023</v>
      </c>
      <c r="D338" s="7" t="s">
        <v>2110</v>
      </c>
      <c r="E338" s="7" t="s">
        <v>143</v>
      </c>
      <c r="F338" s="7" t="s">
        <v>2111</v>
      </c>
      <c r="G338" s="7" t="s">
        <v>1960</v>
      </c>
      <c r="H338" s="7" t="s">
        <v>146</v>
      </c>
      <c r="I338" s="7" t="s">
        <v>2112</v>
      </c>
      <c r="J338" s="7" t="s">
        <v>116</v>
      </c>
      <c r="K338" s="7" t="s">
        <v>2113</v>
      </c>
    </row>
    <row r="339" customFormat="false" ht="35.05" hidden="false" customHeight="false" outlineLevel="0" collapsed="false">
      <c r="A339" s="7" t="n">
        <v>338</v>
      </c>
      <c r="B339" s="7" t="s">
        <v>2114</v>
      </c>
      <c r="C339" s="7" t="n">
        <v>2024</v>
      </c>
      <c r="D339" s="7" t="s">
        <v>2115</v>
      </c>
      <c r="E339" s="7" t="s">
        <v>143</v>
      </c>
      <c r="F339" s="7" t="s">
        <v>2116</v>
      </c>
      <c r="G339" s="7" t="s">
        <v>2117</v>
      </c>
      <c r="H339" s="7" t="s">
        <v>146</v>
      </c>
      <c r="I339" s="7" t="s">
        <v>2118</v>
      </c>
      <c r="J339" s="7" t="s">
        <v>112</v>
      </c>
      <c r="K339" s="7" t="s">
        <v>2119</v>
      </c>
    </row>
    <row r="340" customFormat="false" ht="35.05" hidden="false" customHeight="false" outlineLevel="0" collapsed="false">
      <c r="A340" s="7" t="n">
        <v>339</v>
      </c>
      <c r="B340" s="7" t="s">
        <v>2120</v>
      </c>
      <c r="C340" s="7" t="n">
        <v>2024</v>
      </c>
      <c r="D340" s="7" t="s">
        <v>2121</v>
      </c>
      <c r="E340" s="7" t="s">
        <v>143</v>
      </c>
      <c r="F340" s="7" t="s">
        <v>2122</v>
      </c>
      <c r="G340" s="7" t="s">
        <v>145</v>
      </c>
      <c r="H340" s="7" t="s">
        <v>153</v>
      </c>
      <c r="I340" s="7" t="s">
        <v>2123</v>
      </c>
      <c r="J340" s="7" t="s">
        <v>112</v>
      </c>
      <c r="K340" s="7" t="s">
        <v>2124</v>
      </c>
    </row>
    <row r="341" customFormat="false" ht="23.85" hidden="false" customHeight="false" outlineLevel="0" collapsed="false">
      <c r="A341" s="7" t="n">
        <v>340</v>
      </c>
      <c r="B341" s="7" t="s">
        <v>2125</v>
      </c>
      <c r="C341" s="7" t="n">
        <v>2024</v>
      </c>
      <c r="D341" s="7" t="s">
        <v>2126</v>
      </c>
      <c r="E341" s="7" t="s">
        <v>143</v>
      </c>
      <c r="F341" s="7" t="s">
        <v>2127</v>
      </c>
      <c r="G341" s="7" t="s">
        <v>145</v>
      </c>
      <c r="H341" s="7" t="s">
        <v>153</v>
      </c>
      <c r="I341" s="7" t="s">
        <v>2128</v>
      </c>
      <c r="J341" s="7"/>
      <c r="K341" s="7" t="s">
        <v>2129</v>
      </c>
    </row>
    <row r="342" customFormat="false" ht="35.05" hidden="false" customHeight="false" outlineLevel="0" collapsed="false">
      <c r="A342" s="7" t="n">
        <v>341</v>
      </c>
      <c r="B342" s="7" t="s">
        <v>2130</v>
      </c>
      <c r="C342" s="7" t="n">
        <v>2024</v>
      </c>
      <c r="D342" s="7" t="s">
        <v>2131</v>
      </c>
      <c r="E342" s="7" t="s">
        <v>151</v>
      </c>
      <c r="F342" s="7" t="s">
        <v>2132</v>
      </c>
      <c r="G342" s="7" t="s">
        <v>2133</v>
      </c>
      <c r="H342" s="7" t="s">
        <v>153</v>
      </c>
      <c r="I342" s="7" t="s">
        <v>2134</v>
      </c>
      <c r="J342" s="7" t="s">
        <v>114</v>
      </c>
      <c r="K342" s="7" t="s">
        <v>2135</v>
      </c>
    </row>
    <row r="343" customFormat="false" ht="23.85" hidden="false" customHeight="false" outlineLevel="0" collapsed="false">
      <c r="A343" s="7" t="n">
        <v>342</v>
      </c>
      <c r="B343" s="7" t="s">
        <v>2136</v>
      </c>
      <c r="C343" s="7" t="n">
        <v>2024</v>
      </c>
      <c r="D343" s="7" t="s">
        <v>2137</v>
      </c>
      <c r="E343" s="7" t="s">
        <v>143</v>
      </c>
      <c r="F343" s="7" t="s">
        <v>2138</v>
      </c>
      <c r="G343" s="7" t="s">
        <v>2139</v>
      </c>
      <c r="H343" s="7" t="s">
        <v>146</v>
      </c>
      <c r="I343" s="7" t="s">
        <v>2140</v>
      </c>
      <c r="J343" s="7" t="s">
        <v>112</v>
      </c>
      <c r="K343" s="7" t="s">
        <v>2141</v>
      </c>
    </row>
    <row r="344" customFormat="false" ht="35.05" hidden="false" customHeight="false" outlineLevel="0" collapsed="false">
      <c r="A344" s="7" t="n">
        <v>343</v>
      </c>
      <c r="B344" s="7" t="s">
        <v>2142</v>
      </c>
      <c r="C344" s="7" t="n">
        <v>2024</v>
      </c>
      <c r="D344" s="7" t="s">
        <v>2143</v>
      </c>
      <c r="E344" s="7" t="s">
        <v>143</v>
      </c>
      <c r="F344" s="7" t="s">
        <v>2144</v>
      </c>
      <c r="G344" s="7" t="s">
        <v>1319</v>
      </c>
      <c r="H344" s="7" t="s">
        <v>146</v>
      </c>
      <c r="I344" s="7" t="s">
        <v>2145</v>
      </c>
      <c r="J344" s="7" t="s">
        <v>112</v>
      </c>
      <c r="K344" s="7" t="s">
        <v>2146</v>
      </c>
    </row>
    <row r="345" customFormat="false" ht="35.05" hidden="false" customHeight="false" outlineLevel="0" collapsed="false">
      <c r="A345" s="7" t="n">
        <v>344</v>
      </c>
      <c r="B345" s="7" t="s">
        <v>2147</v>
      </c>
      <c r="C345" s="7" t="n">
        <v>2021</v>
      </c>
      <c r="D345" s="7" t="s">
        <v>2148</v>
      </c>
      <c r="E345" s="7" t="s">
        <v>151</v>
      </c>
      <c r="F345" s="7" t="s">
        <v>1441</v>
      </c>
      <c r="G345" s="7" t="s">
        <v>145</v>
      </c>
      <c r="H345" s="7" t="s">
        <v>522</v>
      </c>
      <c r="I345" s="7" t="s">
        <v>2149</v>
      </c>
      <c r="J345" s="7"/>
      <c r="K345" s="7" t="s">
        <v>2150</v>
      </c>
    </row>
    <row r="346" customFormat="false" ht="79.85" hidden="false" customHeight="false" outlineLevel="0" collapsed="false">
      <c r="A346" s="7" t="n">
        <v>345</v>
      </c>
      <c r="B346" s="7" t="s">
        <v>15364</v>
      </c>
      <c r="C346" s="7" t="n">
        <v>2021</v>
      </c>
      <c r="D346" s="7" t="s">
        <v>2152</v>
      </c>
      <c r="E346" s="7" t="s">
        <v>15365</v>
      </c>
      <c r="F346" s="7" t="s">
        <v>15366</v>
      </c>
      <c r="G346" s="7" t="s">
        <v>145</v>
      </c>
      <c r="H346" s="7" t="s">
        <v>15283</v>
      </c>
      <c r="I346" s="7" t="s">
        <v>15367</v>
      </c>
      <c r="J346" s="7" t="s">
        <v>15368</v>
      </c>
      <c r="K346" s="7" t="s">
        <v>15369</v>
      </c>
    </row>
    <row r="347" customFormat="false" ht="35.05" hidden="false" customHeight="false" outlineLevel="0" collapsed="false">
      <c r="A347" s="7" t="n">
        <v>346</v>
      </c>
      <c r="B347" s="7" t="s">
        <v>2165</v>
      </c>
      <c r="C347" s="7" t="n">
        <v>2016</v>
      </c>
      <c r="D347" s="7" t="s">
        <v>2166</v>
      </c>
      <c r="E347" s="7" t="s">
        <v>143</v>
      </c>
      <c r="F347" s="7" t="s">
        <v>2167</v>
      </c>
      <c r="G347" s="7" t="s">
        <v>2168</v>
      </c>
      <c r="H347" s="7" t="s">
        <v>208</v>
      </c>
      <c r="I347" s="7" t="s">
        <v>2169</v>
      </c>
      <c r="J347" s="7"/>
      <c r="K347" s="7" t="s">
        <v>2170</v>
      </c>
    </row>
    <row r="348" customFormat="false" ht="35.05" hidden="false" customHeight="false" outlineLevel="0" collapsed="false">
      <c r="A348" s="7" t="n">
        <v>347</v>
      </c>
      <c r="B348" s="7" t="s">
        <v>2171</v>
      </c>
      <c r="C348" s="7" t="n">
        <v>2016</v>
      </c>
      <c r="D348" s="7" t="s">
        <v>2172</v>
      </c>
      <c r="E348" s="7" t="s">
        <v>143</v>
      </c>
      <c r="F348" s="7" t="s">
        <v>588</v>
      </c>
      <c r="G348" s="7" t="s">
        <v>145</v>
      </c>
      <c r="H348" s="7" t="s">
        <v>153</v>
      </c>
      <c r="I348" s="7" t="s">
        <v>2173</v>
      </c>
      <c r="J348" s="7" t="s">
        <v>114</v>
      </c>
      <c r="K348" s="7" t="s">
        <v>2174</v>
      </c>
    </row>
    <row r="349" customFormat="false" ht="35.05" hidden="false" customHeight="false" outlineLevel="0" collapsed="false">
      <c r="A349" s="7" t="n">
        <v>348</v>
      </c>
      <c r="B349" s="7" t="s">
        <v>2175</v>
      </c>
      <c r="C349" s="7" t="n">
        <v>2009</v>
      </c>
      <c r="D349" s="7" t="s">
        <v>2176</v>
      </c>
      <c r="E349" s="7" t="s">
        <v>151</v>
      </c>
      <c r="F349" s="7" t="s">
        <v>2177</v>
      </c>
      <c r="G349" s="7" t="s">
        <v>145</v>
      </c>
      <c r="H349" s="7" t="s">
        <v>208</v>
      </c>
      <c r="I349" s="7" t="s">
        <v>2178</v>
      </c>
      <c r="J349" s="7"/>
      <c r="K349" s="7" t="s">
        <v>2179</v>
      </c>
    </row>
    <row r="350" customFormat="false" ht="35.05" hidden="false" customHeight="false" outlineLevel="0" collapsed="false">
      <c r="A350" s="7" t="n">
        <v>349</v>
      </c>
      <c r="B350" s="7" t="s">
        <v>2180</v>
      </c>
      <c r="C350" s="7" t="n">
        <v>2014</v>
      </c>
      <c r="D350" s="7" t="s">
        <v>2181</v>
      </c>
      <c r="E350" s="7" t="s">
        <v>143</v>
      </c>
      <c r="F350" s="7" t="s">
        <v>1636</v>
      </c>
      <c r="G350" s="7" t="s">
        <v>145</v>
      </c>
      <c r="H350" s="7" t="s">
        <v>153</v>
      </c>
      <c r="I350" s="7" t="s">
        <v>2182</v>
      </c>
      <c r="J350" s="7" t="s">
        <v>114</v>
      </c>
      <c r="K350" s="7" t="s">
        <v>2183</v>
      </c>
    </row>
    <row r="351" customFormat="false" ht="35.05" hidden="false" customHeight="false" outlineLevel="0" collapsed="false">
      <c r="A351" s="7" t="n">
        <v>350</v>
      </c>
      <c r="B351" s="7" t="s">
        <v>2184</v>
      </c>
      <c r="C351" s="7" t="n">
        <v>2014</v>
      </c>
      <c r="D351" s="7" t="s">
        <v>2185</v>
      </c>
      <c r="E351" s="7" t="s">
        <v>143</v>
      </c>
      <c r="F351" s="7" t="s">
        <v>2186</v>
      </c>
      <c r="G351" s="7" t="s">
        <v>2187</v>
      </c>
      <c r="H351" s="7" t="s">
        <v>208</v>
      </c>
      <c r="I351" s="7" t="s">
        <v>2188</v>
      </c>
      <c r="J351" s="7"/>
      <c r="K351" s="7" t="s">
        <v>2189</v>
      </c>
    </row>
    <row r="352" customFormat="false" ht="35.05" hidden="false" customHeight="false" outlineLevel="0" collapsed="false">
      <c r="A352" s="7" t="n">
        <v>351</v>
      </c>
      <c r="B352" s="7" t="s">
        <v>2190</v>
      </c>
      <c r="C352" s="7" t="n">
        <v>2015</v>
      </c>
      <c r="D352" s="7" t="s">
        <v>2191</v>
      </c>
      <c r="E352" s="7" t="s">
        <v>143</v>
      </c>
      <c r="F352" s="7" t="s">
        <v>2192</v>
      </c>
      <c r="G352" s="7" t="s">
        <v>901</v>
      </c>
      <c r="H352" s="7" t="s">
        <v>153</v>
      </c>
      <c r="I352" s="7" t="s">
        <v>2193</v>
      </c>
      <c r="J352" s="7" t="s">
        <v>110</v>
      </c>
      <c r="K352" s="7" t="s">
        <v>2194</v>
      </c>
    </row>
    <row r="353" customFormat="false" ht="35.05" hidden="false" customHeight="false" outlineLevel="0" collapsed="false">
      <c r="A353" s="7" t="n">
        <v>352</v>
      </c>
      <c r="B353" s="7" t="s">
        <v>2195</v>
      </c>
      <c r="C353" s="7" t="n">
        <v>2016</v>
      </c>
      <c r="D353" s="7" t="s">
        <v>2196</v>
      </c>
      <c r="E353" s="7" t="s">
        <v>143</v>
      </c>
      <c r="F353" s="7" t="s">
        <v>2197</v>
      </c>
      <c r="G353" s="7" t="s">
        <v>2187</v>
      </c>
      <c r="H353" s="7" t="s">
        <v>208</v>
      </c>
      <c r="I353" s="7" t="s">
        <v>2198</v>
      </c>
      <c r="J353" s="7"/>
      <c r="K353" s="7" t="s">
        <v>2199</v>
      </c>
    </row>
    <row r="354" customFormat="false" ht="35.05" hidden="false" customHeight="false" outlineLevel="0" collapsed="false">
      <c r="A354" s="7" t="n">
        <v>353</v>
      </c>
      <c r="B354" s="7" t="s">
        <v>2200</v>
      </c>
      <c r="C354" s="7" t="n">
        <v>2012</v>
      </c>
      <c r="D354" s="7" t="s">
        <v>2201</v>
      </c>
      <c r="E354" s="7" t="s">
        <v>143</v>
      </c>
      <c r="F354" s="7" t="s">
        <v>364</v>
      </c>
      <c r="G354" s="7" t="s">
        <v>145</v>
      </c>
      <c r="H354" s="7" t="s">
        <v>208</v>
      </c>
      <c r="I354" s="7" t="s">
        <v>2202</v>
      </c>
      <c r="J354" s="7"/>
      <c r="K354" s="7" t="s">
        <v>2203</v>
      </c>
    </row>
    <row r="355" customFormat="false" ht="35.05" hidden="false" customHeight="false" outlineLevel="0" collapsed="false">
      <c r="A355" s="7" t="n">
        <v>354</v>
      </c>
      <c r="B355" s="7" t="s">
        <v>2204</v>
      </c>
      <c r="C355" s="7" t="n">
        <v>2015</v>
      </c>
      <c r="D355" s="7" t="s">
        <v>2205</v>
      </c>
      <c r="E355" s="7" t="s">
        <v>143</v>
      </c>
      <c r="F355" s="7" t="s">
        <v>2206</v>
      </c>
      <c r="G355" s="7" t="s">
        <v>2207</v>
      </c>
      <c r="H355" s="7" t="s">
        <v>208</v>
      </c>
      <c r="I355" s="7" t="s">
        <v>2208</v>
      </c>
      <c r="J355" s="7" t="s">
        <v>116</v>
      </c>
      <c r="K355" s="7" t="s">
        <v>2209</v>
      </c>
    </row>
    <row r="356" customFormat="false" ht="35.05" hidden="false" customHeight="false" outlineLevel="0" collapsed="false">
      <c r="A356" s="7" t="n">
        <v>355</v>
      </c>
      <c r="B356" s="7" t="s">
        <v>2210</v>
      </c>
      <c r="C356" s="7" t="n">
        <v>2016</v>
      </c>
      <c r="D356" s="7" t="s">
        <v>2211</v>
      </c>
      <c r="E356" s="7" t="s">
        <v>151</v>
      </c>
      <c r="F356" s="7" t="s">
        <v>2212</v>
      </c>
      <c r="G356" s="7" t="s">
        <v>2213</v>
      </c>
      <c r="H356" s="7" t="s">
        <v>208</v>
      </c>
      <c r="I356" s="7" t="s">
        <v>2214</v>
      </c>
      <c r="J356" s="7" t="s">
        <v>116</v>
      </c>
      <c r="K356" s="7" t="s">
        <v>2215</v>
      </c>
    </row>
    <row r="357" customFormat="false" ht="35.05" hidden="false" customHeight="false" outlineLevel="0" collapsed="false">
      <c r="A357" s="7" t="n">
        <v>356</v>
      </c>
      <c r="B357" s="7" t="s">
        <v>2216</v>
      </c>
      <c r="C357" s="7" t="n">
        <v>2015</v>
      </c>
      <c r="D357" s="7" t="s">
        <v>2217</v>
      </c>
      <c r="E357" s="7" t="s">
        <v>143</v>
      </c>
      <c r="F357" s="7" t="s">
        <v>2218</v>
      </c>
      <c r="G357" s="7" t="s">
        <v>145</v>
      </c>
      <c r="H357" s="7" t="s">
        <v>153</v>
      </c>
      <c r="I357" s="7" t="s">
        <v>2219</v>
      </c>
      <c r="J357" s="7"/>
      <c r="K357" s="7" t="s">
        <v>2220</v>
      </c>
    </row>
    <row r="358" customFormat="false" ht="113.4" hidden="false" customHeight="false" outlineLevel="0" collapsed="false">
      <c r="A358" s="7" t="n">
        <v>357</v>
      </c>
      <c r="B358" s="7" t="s">
        <v>15370</v>
      </c>
      <c r="C358" s="7" t="n">
        <v>2015</v>
      </c>
      <c r="D358" s="7" t="s">
        <v>2222</v>
      </c>
      <c r="E358" s="7" t="s">
        <v>143</v>
      </c>
      <c r="F358" s="7" t="s">
        <v>15371</v>
      </c>
      <c r="G358" s="7" t="s">
        <v>145</v>
      </c>
      <c r="H358" s="7" t="s">
        <v>208</v>
      </c>
      <c r="I358" s="7" t="s">
        <v>15372</v>
      </c>
      <c r="J358" s="7" t="s">
        <v>110</v>
      </c>
      <c r="K358" s="7" t="s">
        <v>15373</v>
      </c>
    </row>
    <row r="359" customFormat="false" ht="35.05" hidden="false" customHeight="false" outlineLevel="0" collapsed="false">
      <c r="A359" s="7" t="n">
        <v>358</v>
      </c>
      <c r="B359" s="7" t="s">
        <v>2231</v>
      </c>
      <c r="C359" s="7" t="n">
        <v>2013</v>
      </c>
      <c r="D359" s="7" t="s">
        <v>2232</v>
      </c>
      <c r="E359" s="7" t="s">
        <v>143</v>
      </c>
      <c r="F359" s="7" t="s">
        <v>2233</v>
      </c>
      <c r="G359" s="7" t="s">
        <v>145</v>
      </c>
      <c r="H359" s="7" t="s">
        <v>153</v>
      </c>
      <c r="I359" s="7" t="s">
        <v>2234</v>
      </c>
      <c r="J359" s="7" t="s">
        <v>114</v>
      </c>
      <c r="K359" s="7" t="s">
        <v>2235</v>
      </c>
    </row>
    <row r="360" customFormat="false" ht="35.05" hidden="false" customHeight="false" outlineLevel="0" collapsed="false">
      <c r="A360" s="7" t="n">
        <v>359</v>
      </c>
      <c r="B360" s="7" t="s">
        <v>2236</v>
      </c>
      <c r="C360" s="7" t="n">
        <v>2011</v>
      </c>
      <c r="D360" s="7" t="s">
        <v>2237</v>
      </c>
      <c r="E360" s="7" t="s">
        <v>151</v>
      </c>
      <c r="F360" s="7" t="s">
        <v>1665</v>
      </c>
      <c r="G360" s="7" t="s">
        <v>145</v>
      </c>
      <c r="H360" s="7" t="s">
        <v>153</v>
      </c>
      <c r="I360" s="7" t="s">
        <v>2238</v>
      </c>
      <c r="J360" s="7"/>
      <c r="K360" s="7" t="s">
        <v>2239</v>
      </c>
    </row>
    <row r="361" customFormat="false" ht="35.05" hidden="false" customHeight="false" outlineLevel="0" collapsed="false">
      <c r="A361" s="7" t="n">
        <v>360</v>
      </c>
      <c r="B361" s="7" t="s">
        <v>2240</v>
      </c>
      <c r="C361" s="7" t="n">
        <v>2015</v>
      </c>
      <c r="D361" s="7" t="s">
        <v>2241</v>
      </c>
      <c r="E361" s="7" t="s">
        <v>151</v>
      </c>
      <c r="F361" s="7" t="s">
        <v>2242</v>
      </c>
      <c r="G361" s="7" t="s">
        <v>145</v>
      </c>
      <c r="H361" s="7" t="s">
        <v>153</v>
      </c>
      <c r="I361" s="7" t="s">
        <v>2243</v>
      </c>
      <c r="J361" s="7"/>
      <c r="K361" s="7" t="s">
        <v>2244</v>
      </c>
    </row>
    <row r="362" customFormat="false" ht="35.05" hidden="false" customHeight="false" outlineLevel="0" collapsed="false">
      <c r="A362" s="7" t="n">
        <v>361</v>
      </c>
      <c r="B362" s="7" t="s">
        <v>2245</v>
      </c>
      <c r="C362" s="7" t="n">
        <v>2015</v>
      </c>
      <c r="D362" s="7" t="s">
        <v>2246</v>
      </c>
      <c r="E362" s="7" t="s">
        <v>143</v>
      </c>
      <c r="F362" s="7" t="s">
        <v>2247</v>
      </c>
      <c r="G362" s="7" t="s">
        <v>2248</v>
      </c>
      <c r="H362" s="7" t="s">
        <v>522</v>
      </c>
      <c r="I362" s="7" t="s">
        <v>2249</v>
      </c>
      <c r="J362" s="7" t="s">
        <v>116</v>
      </c>
      <c r="K362" s="7" t="s">
        <v>2250</v>
      </c>
    </row>
    <row r="363" customFormat="false" ht="35.05" hidden="false" customHeight="false" outlineLevel="0" collapsed="false">
      <c r="A363" s="7" t="n">
        <v>362</v>
      </c>
      <c r="B363" s="7" t="s">
        <v>2251</v>
      </c>
      <c r="C363" s="7" t="n">
        <v>2016</v>
      </c>
      <c r="D363" s="7" t="s">
        <v>2252</v>
      </c>
      <c r="E363" s="7" t="s">
        <v>143</v>
      </c>
      <c r="F363" s="7" t="s">
        <v>2253</v>
      </c>
      <c r="G363" s="7" t="s">
        <v>145</v>
      </c>
      <c r="H363" s="7" t="s">
        <v>153</v>
      </c>
      <c r="I363" s="7" t="s">
        <v>2254</v>
      </c>
      <c r="J363" s="7" t="s">
        <v>114</v>
      </c>
      <c r="K363" s="7" t="s">
        <v>2255</v>
      </c>
    </row>
    <row r="364" customFormat="false" ht="35.05" hidden="false" customHeight="false" outlineLevel="0" collapsed="false">
      <c r="A364" s="7" t="n">
        <v>363</v>
      </c>
      <c r="B364" s="7" t="s">
        <v>2256</v>
      </c>
      <c r="C364" s="7" t="n">
        <v>2016</v>
      </c>
      <c r="D364" s="7" t="s">
        <v>2257</v>
      </c>
      <c r="E364" s="7" t="s">
        <v>143</v>
      </c>
      <c r="F364" s="7" t="s">
        <v>364</v>
      </c>
      <c r="G364" s="7" t="s">
        <v>2187</v>
      </c>
      <c r="H364" s="7" t="s">
        <v>208</v>
      </c>
      <c r="I364" s="7" t="s">
        <v>2258</v>
      </c>
      <c r="J364" s="7"/>
      <c r="K364" s="7" t="s">
        <v>2259</v>
      </c>
    </row>
    <row r="365" customFormat="false" ht="35.05" hidden="false" customHeight="false" outlineLevel="0" collapsed="false">
      <c r="A365" s="7" t="n">
        <v>364</v>
      </c>
      <c r="B365" s="7" t="s">
        <v>2260</v>
      </c>
      <c r="C365" s="7" t="n">
        <v>2016</v>
      </c>
      <c r="D365" s="7" t="s">
        <v>2261</v>
      </c>
      <c r="E365" s="7" t="s">
        <v>143</v>
      </c>
      <c r="F365" s="7" t="s">
        <v>2053</v>
      </c>
      <c r="G365" s="7" t="s">
        <v>2262</v>
      </c>
      <c r="H365" s="7" t="s">
        <v>208</v>
      </c>
      <c r="I365" s="7" t="s">
        <v>2263</v>
      </c>
      <c r="J365" s="7"/>
      <c r="K365" s="7" t="s">
        <v>2264</v>
      </c>
    </row>
    <row r="366" customFormat="false" ht="35.05" hidden="false" customHeight="false" outlineLevel="0" collapsed="false">
      <c r="A366" s="7" t="n">
        <v>365</v>
      </c>
      <c r="B366" s="7" t="s">
        <v>2265</v>
      </c>
      <c r="C366" s="7" t="n">
        <v>2016</v>
      </c>
      <c r="D366" s="7" t="s">
        <v>2266</v>
      </c>
      <c r="E366" s="7" t="s">
        <v>143</v>
      </c>
      <c r="F366" s="7" t="s">
        <v>2267</v>
      </c>
      <c r="G366" s="7" t="s">
        <v>145</v>
      </c>
      <c r="H366" s="7" t="s">
        <v>208</v>
      </c>
      <c r="I366" s="7" t="s">
        <v>2268</v>
      </c>
      <c r="J366" s="7"/>
      <c r="K366" s="7" t="s">
        <v>2269</v>
      </c>
    </row>
    <row r="367" customFormat="false" ht="35.05" hidden="false" customHeight="false" outlineLevel="0" collapsed="false">
      <c r="A367" s="7" t="n">
        <v>366</v>
      </c>
      <c r="B367" s="7" t="s">
        <v>2270</v>
      </c>
      <c r="C367" s="7" t="n">
        <v>2013</v>
      </c>
      <c r="D367" s="7" t="s">
        <v>2271</v>
      </c>
      <c r="E367" s="7" t="s">
        <v>151</v>
      </c>
      <c r="F367" s="7" t="s">
        <v>2272</v>
      </c>
      <c r="G367" s="7" t="s">
        <v>145</v>
      </c>
      <c r="H367" s="7" t="s">
        <v>208</v>
      </c>
      <c r="I367" s="7" t="s">
        <v>2273</v>
      </c>
      <c r="J367" s="7"/>
      <c r="K367" s="7" t="s">
        <v>2274</v>
      </c>
    </row>
    <row r="368" customFormat="false" ht="35.05" hidden="false" customHeight="false" outlineLevel="0" collapsed="false">
      <c r="A368" s="7" t="n">
        <v>367</v>
      </c>
      <c r="B368" s="7" t="s">
        <v>2275</v>
      </c>
      <c r="C368" s="7" t="n">
        <v>2016</v>
      </c>
      <c r="D368" s="7" t="s">
        <v>2276</v>
      </c>
      <c r="E368" s="7" t="s">
        <v>151</v>
      </c>
      <c r="F368" s="7" t="s">
        <v>2277</v>
      </c>
      <c r="G368" s="7" t="s">
        <v>145</v>
      </c>
      <c r="H368" s="7" t="s">
        <v>153</v>
      </c>
      <c r="I368" s="7" t="s">
        <v>2278</v>
      </c>
      <c r="J368" s="7" t="s">
        <v>114</v>
      </c>
      <c r="K368" s="7" t="s">
        <v>2279</v>
      </c>
    </row>
    <row r="369" customFormat="false" ht="35.05" hidden="false" customHeight="false" outlineLevel="0" collapsed="false">
      <c r="A369" s="7" t="n">
        <v>368</v>
      </c>
      <c r="B369" s="7" t="s">
        <v>2275</v>
      </c>
      <c r="C369" s="7" t="n">
        <v>2016</v>
      </c>
      <c r="D369" s="7" t="s">
        <v>2280</v>
      </c>
      <c r="E369" s="7" t="s">
        <v>143</v>
      </c>
      <c r="F369" s="7" t="s">
        <v>2281</v>
      </c>
      <c r="G369" s="7" t="s">
        <v>145</v>
      </c>
      <c r="H369" s="7" t="s">
        <v>208</v>
      </c>
      <c r="I369" s="7" t="s">
        <v>2282</v>
      </c>
      <c r="J369" s="7" t="s">
        <v>114</v>
      </c>
      <c r="K369" s="7" t="s">
        <v>2283</v>
      </c>
    </row>
    <row r="370" customFormat="false" ht="35.05" hidden="false" customHeight="false" outlineLevel="0" collapsed="false">
      <c r="A370" s="7" t="n">
        <v>369</v>
      </c>
      <c r="B370" s="7" t="s">
        <v>2284</v>
      </c>
      <c r="C370" s="7" t="n">
        <v>2015</v>
      </c>
      <c r="D370" s="7" t="s">
        <v>2285</v>
      </c>
      <c r="E370" s="7" t="s">
        <v>143</v>
      </c>
      <c r="F370" s="7" t="s">
        <v>2013</v>
      </c>
      <c r="G370" s="7" t="s">
        <v>145</v>
      </c>
      <c r="H370" s="7" t="s">
        <v>153</v>
      </c>
      <c r="I370" s="7" t="s">
        <v>2286</v>
      </c>
      <c r="J370" s="7" t="s">
        <v>114</v>
      </c>
      <c r="K370" s="7" t="s">
        <v>2287</v>
      </c>
    </row>
    <row r="371" customFormat="false" ht="35.05" hidden="false" customHeight="false" outlineLevel="0" collapsed="false">
      <c r="A371" s="7" t="n">
        <v>370</v>
      </c>
      <c r="B371" s="7" t="s">
        <v>2288</v>
      </c>
      <c r="C371" s="7" t="n">
        <v>2015</v>
      </c>
      <c r="D371" s="7" t="s">
        <v>2289</v>
      </c>
      <c r="E371" s="7" t="s">
        <v>151</v>
      </c>
      <c r="F371" s="7" t="s">
        <v>1665</v>
      </c>
      <c r="G371" s="7" t="s">
        <v>145</v>
      </c>
      <c r="H371" s="7" t="s">
        <v>153</v>
      </c>
      <c r="I371" s="7" t="s">
        <v>2290</v>
      </c>
      <c r="J371" s="7"/>
      <c r="K371" s="7" t="s">
        <v>2291</v>
      </c>
    </row>
    <row r="372" customFormat="false" ht="35.05" hidden="false" customHeight="false" outlineLevel="0" collapsed="false">
      <c r="A372" s="7" t="n">
        <v>371</v>
      </c>
      <c r="B372" s="7" t="s">
        <v>2292</v>
      </c>
      <c r="C372" s="7" t="n">
        <v>2016</v>
      </c>
      <c r="D372" s="7" t="s">
        <v>2293</v>
      </c>
      <c r="E372" s="7" t="s">
        <v>143</v>
      </c>
      <c r="F372" s="7" t="s">
        <v>2294</v>
      </c>
      <c r="G372" s="7" t="s">
        <v>145</v>
      </c>
      <c r="H372" s="7" t="s">
        <v>153</v>
      </c>
      <c r="I372" s="7" t="s">
        <v>2295</v>
      </c>
      <c r="J372" s="7" t="s">
        <v>114</v>
      </c>
      <c r="K372" s="7" t="s">
        <v>2296</v>
      </c>
    </row>
    <row r="373" customFormat="false" ht="35.05" hidden="false" customHeight="false" outlineLevel="0" collapsed="false">
      <c r="A373" s="7" t="n">
        <v>372</v>
      </c>
      <c r="B373" s="7" t="s">
        <v>2297</v>
      </c>
      <c r="C373" s="7" t="n">
        <v>2014</v>
      </c>
      <c r="D373" s="7" t="s">
        <v>2298</v>
      </c>
      <c r="E373" s="7" t="s">
        <v>143</v>
      </c>
      <c r="F373" s="7" t="s">
        <v>2299</v>
      </c>
      <c r="G373" s="7" t="s">
        <v>145</v>
      </c>
      <c r="H373" s="7" t="s">
        <v>153</v>
      </c>
      <c r="I373" s="7" t="s">
        <v>2300</v>
      </c>
      <c r="J373" s="7"/>
      <c r="K373" s="7" t="s">
        <v>2301</v>
      </c>
    </row>
    <row r="374" customFormat="false" ht="113.4" hidden="false" customHeight="false" outlineLevel="0" collapsed="false">
      <c r="A374" s="7" t="n">
        <v>373</v>
      </c>
      <c r="B374" s="7" t="s">
        <v>15374</v>
      </c>
      <c r="C374" s="7" t="n">
        <v>2014</v>
      </c>
      <c r="D374" s="7" t="s">
        <v>2303</v>
      </c>
      <c r="E374" s="7" t="s">
        <v>15375</v>
      </c>
      <c r="F374" s="7" t="s">
        <v>15376</v>
      </c>
      <c r="G374" s="7" t="s">
        <v>145</v>
      </c>
      <c r="H374" s="7" t="s">
        <v>153</v>
      </c>
      <c r="I374" s="7" t="s">
        <v>15377</v>
      </c>
      <c r="J374" s="7" t="s">
        <v>114</v>
      </c>
      <c r="K374" s="7" t="s">
        <v>15378</v>
      </c>
    </row>
    <row r="375" customFormat="false" ht="35.05" hidden="false" customHeight="false" outlineLevel="0" collapsed="false">
      <c r="A375" s="7" t="n">
        <v>374</v>
      </c>
      <c r="B375" s="7" t="s">
        <v>2316</v>
      </c>
      <c r="C375" s="7" t="n">
        <v>2014</v>
      </c>
      <c r="D375" s="7" t="s">
        <v>2317</v>
      </c>
      <c r="E375" s="7" t="s">
        <v>143</v>
      </c>
      <c r="F375" s="7" t="s">
        <v>364</v>
      </c>
      <c r="G375" s="7" t="s">
        <v>2187</v>
      </c>
      <c r="H375" s="7" t="s">
        <v>208</v>
      </c>
      <c r="I375" s="7" t="s">
        <v>2318</v>
      </c>
      <c r="J375" s="7"/>
      <c r="K375" s="7" t="s">
        <v>2319</v>
      </c>
    </row>
    <row r="376" customFormat="false" ht="35.05" hidden="false" customHeight="false" outlineLevel="0" collapsed="false">
      <c r="A376" s="7" t="n">
        <v>375</v>
      </c>
      <c r="B376" s="7" t="s">
        <v>2320</v>
      </c>
      <c r="C376" s="7" t="n">
        <v>2015</v>
      </c>
      <c r="D376" s="7" t="s">
        <v>2321</v>
      </c>
      <c r="E376" s="7" t="s">
        <v>143</v>
      </c>
      <c r="F376" s="7" t="s">
        <v>2322</v>
      </c>
      <c r="G376" s="7" t="s">
        <v>145</v>
      </c>
      <c r="H376" s="7" t="s">
        <v>208</v>
      </c>
      <c r="I376" s="7" t="s">
        <v>2323</v>
      </c>
      <c r="J376" s="7"/>
      <c r="K376" s="7" t="s">
        <v>2324</v>
      </c>
    </row>
    <row r="377" customFormat="false" ht="35.05" hidden="false" customHeight="false" outlineLevel="0" collapsed="false">
      <c r="A377" s="7" t="n">
        <v>376</v>
      </c>
      <c r="B377" s="7" t="s">
        <v>2325</v>
      </c>
      <c r="C377" s="7" t="n">
        <v>2016</v>
      </c>
      <c r="D377" s="7" t="s">
        <v>2326</v>
      </c>
      <c r="E377" s="7" t="s">
        <v>143</v>
      </c>
      <c r="F377" s="7" t="s">
        <v>2327</v>
      </c>
      <c r="G377" s="7" t="s">
        <v>145</v>
      </c>
      <c r="H377" s="7" t="s">
        <v>208</v>
      </c>
      <c r="I377" s="7" t="s">
        <v>2328</v>
      </c>
      <c r="J377" s="7" t="s">
        <v>116</v>
      </c>
      <c r="K377" s="7" t="s">
        <v>2329</v>
      </c>
    </row>
    <row r="378" customFormat="false" ht="35.05" hidden="false" customHeight="false" outlineLevel="0" collapsed="false">
      <c r="A378" s="7" t="n">
        <v>377</v>
      </c>
      <c r="B378" s="7" t="s">
        <v>2330</v>
      </c>
      <c r="C378" s="7" t="n">
        <v>2006</v>
      </c>
      <c r="D378" s="7" t="s">
        <v>2331</v>
      </c>
      <c r="E378" s="7" t="s">
        <v>151</v>
      </c>
      <c r="F378" s="7" t="s">
        <v>2332</v>
      </c>
      <c r="G378" s="7" t="s">
        <v>145</v>
      </c>
      <c r="H378" s="7" t="s">
        <v>153</v>
      </c>
      <c r="I378" s="7" t="s">
        <v>2333</v>
      </c>
      <c r="J378" s="7" t="s">
        <v>116</v>
      </c>
      <c r="K378" s="7" t="s">
        <v>2334</v>
      </c>
    </row>
    <row r="379" customFormat="false" ht="35.05" hidden="false" customHeight="false" outlineLevel="0" collapsed="false">
      <c r="A379" s="7" t="n">
        <v>378</v>
      </c>
      <c r="B379" s="7" t="s">
        <v>2335</v>
      </c>
      <c r="C379" s="7" t="n">
        <v>2014</v>
      </c>
      <c r="D379" s="7" t="s">
        <v>2336</v>
      </c>
      <c r="E379" s="7" t="s">
        <v>143</v>
      </c>
      <c r="F379" s="7" t="s">
        <v>2337</v>
      </c>
      <c r="G379" s="7" t="s">
        <v>2338</v>
      </c>
      <c r="H379" s="7" t="s">
        <v>153</v>
      </c>
      <c r="I379" s="7" t="s">
        <v>2339</v>
      </c>
      <c r="J379" s="7" t="s">
        <v>116</v>
      </c>
      <c r="K379" s="7" t="s">
        <v>2340</v>
      </c>
    </row>
    <row r="380" customFormat="false" ht="35.05" hidden="false" customHeight="false" outlineLevel="0" collapsed="false">
      <c r="A380" s="7" t="n">
        <v>379</v>
      </c>
      <c r="B380" s="7" t="s">
        <v>2341</v>
      </c>
      <c r="C380" s="7" t="n">
        <v>2015</v>
      </c>
      <c r="D380" s="7" t="s">
        <v>2342</v>
      </c>
      <c r="E380" s="7" t="s">
        <v>143</v>
      </c>
      <c r="F380" s="7" t="s">
        <v>2192</v>
      </c>
      <c r="G380" s="7" t="s">
        <v>2343</v>
      </c>
      <c r="H380" s="7" t="s">
        <v>153</v>
      </c>
      <c r="I380" s="7" t="s">
        <v>2344</v>
      </c>
      <c r="J380" s="7" t="s">
        <v>114</v>
      </c>
      <c r="K380" s="7" t="s">
        <v>2345</v>
      </c>
    </row>
    <row r="381" customFormat="false" ht="35.05" hidden="false" customHeight="false" outlineLevel="0" collapsed="false">
      <c r="A381" s="7" t="n">
        <v>380</v>
      </c>
      <c r="B381" s="7" t="s">
        <v>2346</v>
      </c>
      <c r="C381" s="7" t="n">
        <v>2014</v>
      </c>
      <c r="D381" s="7" t="s">
        <v>2347</v>
      </c>
      <c r="E381" s="7" t="s">
        <v>143</v>
      </c>
      <c r="F381" s="7" t="s">
        <v>364</v>
      </c>
      <c r="G381" s="7" t="s">
        <v>2348</v>
      </c>
      <c r="H381" s="7" t="s">
        <v>208</v>
      </c>
      <c r="I381" s="7" t="s">
        <v>2349</v>
      </c>
      <c r="J381" s="7"/>
      <c r="K381" s="7" t="s">
        <v>2350</v>
      </c>
    </row>
    <row r="382" customFormat="false" ht="35.05" hidden="false" customHeight="false" outlineLevel="0" collapsed="false">
      <c r="A382" s="7" t="n">
        <v>381</v>
      </c>
      <c r="B382" s="7" t="s">
        <v>2351</v>
      </c>
      <c r="C382" s="7" t="n">
        <v>2015</v>
      </c>
      <c r="D382" s="7" t="s">
        <v>2352</v>
      </c>
      <c r="E382" s="7" t="s">
        <v>143</v>
      </c>
      <c r="F382" s="7" t="s">
        <v>588</v>
      </c>
      <c r="G382" s="7" t="s">
        <v>145</v>
      </c>
      <c r="H382" s="7" t="s">
        <v>153</v>
      </c>
      <c r="I382" s="7" t="s">
        <v>2353</v>
      </c>
      <c r="J382" s="7"/>
      <c r="K382" s="7" t="s">
        <v>2354</v>
      </c>
    </row>
    <row r="383" customFormat="false" ht="35.05" hidden="false" customHeight="false" outlineLevel="0" collapsed="false">
      <c r="A383" s="7" t="n">
        <v>382</v>
      </c>
      <c r="B383" s="7" t="s">
        <v>2355</v>
      </c>
      <c r="C383" s="7" t="n">
        <v>2017</v>
      </c>
      <c r="D383" s="7" t="s">
        <v>2356</v>
      </c>
      <c r="E383" s="7" t="s">
        <v>151</v>
      </c>
      <c r="F383" s="7" t="s">
        <v>2357</v>
      </c>
      <c r="G383" s="7" t="s">
        <v>2358</v>
      </c>
      <c r="H383" s="7" t="s">
        <v>208</v>
      </c>
      <c r="I383" s="7" t="s">
        <v>2359</v>
      </c>
      <c r="J383" s="7"/>
      <c r="K383" s="7" t="s">
        <v>2360</v>
      </c>
    </row>
    <row r="384" customFormat="false" ht="35.05" hidden="false" customHeight="false" outlineLevel="0" collapsed="false">
      <c r="A384" s="7" t="n">
        <v>383</v>
      </c>
      <c r="B384" s="7" t="s">
        <v>2361</v>
      </c>
      <c r="C384" s="7" t="n">
        <v>2012</v>
      </c>
      <c r="D384" s="7" t="s">
        <v>2362</v>
      </c>
      <c r="E384" s="7" t="s">
        <v>151</v>
      </c>
      <c r="F384" s="7" t="s">
        <v>2363</v>
      </c>
      <c r="G384" s="7" t="s">
        <v>145</v>
      </c>
      <c r="H384" s="7" t="s">
        <v>153</v>
      </c>
      <c r="I384" s="7" t="s">
        <v>2364</v>
      </c>
      <c r="J384" s="7"/>
      <c r="K384" s="7" t="s">
        <v>2365</v>
      </c>
    </row>
    <row r="385" customFormat="false" ht="35.05" hidden="false" customHeight="false" outlineLevel="0" collapsed="false">
      <c r="A385" s="7" t="n">
        <v>384</v>
      </c>
      <c r="B385" s="7" t="s">
        <v>2366</v>
      </c>
      <c r="C385" s="7" t="n">
        <v>2013</v>
      </c>
      <c r="D385" s="7" t="s">
        <v>2367</v>
      </c>
      <c r="E385" s="7" t="s">
        <v>143</v>
      </c>
      <c r="F385" s="7" t="s">
        <v>2368</v>
      </c>
      <c r="G385" s="7" t="s">
        <v>145</v>
      </c>
      <c r="H385" s="7" t="s">
        <v>153</v>
      </c>
      <c r="I385" s="7" t="s">
        <v>2369</v>
      </c>
      <c r="J385" s="7" t="s">
        <v>114</v>
      </c>
      <c r="K385" s="7" t="s">
        <v>2370</v>
      </c>
    </row>
    <row r="386" customFormat="false" ht="35.05" hidden="false" customHeight="false" outlineLevel="0" collapsed="false">
      <c r="A386" s="7" t="n">
        <v>385</v>
      </c>
      <c r="B386" s="7" t="s">
        <v>2366</v>
      </c>
      <c r="C386" s="7" t="n">
        <v>2016</v>
      </c>
      <c r="D386" s="7" t="s">
        <v>2371</v>
      </c>
      <c r="E386" s="7" t="s">
        <v>143</v>
      </c>
      <c r="F386" s="7" t="s">
        <v>2372</v>
      </c>
      <c r="G386" s="7" t="s">
        <v>145</v>
      </c>
      <c r="H386" s="7" t="s">
        <v>2373</v>
      </c>
      <c r="I386" s="7" t="s">
        <v>2374</v>
      </c>
      <c r="J386" s="7" t="s">
        <v>114</v>
      </c>
      <c r="K386" s="7" t="s">
        <v>2375</v>
      </c>
    </row>
    <row r="387" customFormat="false" ht="35.05" hidden="false" customHeight="false" outlineLevel="0" collapsed="false">
      <c r="A387" s="7" t="n">
        <v>386</v>
      </c>
      <c r="B387" s="7" t="s">
        <v>2376</v>
      </c>
      <c r="C387" s="7" t="n">
        <v>2016</v>
      </c>
      <c r="D387" s="7" t="s">
        <v>2377</v>
      </c>
      <c r="E387" s="7" t="s">
        <v>143</v>
      </c>
      <c r="F387" s="7" t="s">
        <v>2378</v>
      </c>
      <c r="G387" s="7" t="s">
        <v>2187</v>
      </c>
      <c r="H387" s="7" t="s">
        <v>208</v>
      </c>
      <c r="I387" s="7" t="s">
        <v>2379</v>
      </c>
      <c r="J387" s="7"/>
      <c r="K387" s="7" t="s">
        <v>2380</v>
      </c>
    </row>
    <row r="388" customFormat="false" ht="35.05" hidden="false" customHeight="false" outlineLevel="0" collapsed="false">
      <c r="A388" s="7" t="n">
        <v>387</v>
      </c>
      <c r="B388" s="7" t="s">
        <v>2381</v>
      </c>
      <c r="C388" s="7" t="n">
        <v>2015</v>
      </c>
      <c r="D388" s="7" t="s">
        <v>2382</v>
      </c>
      <c r="E388" s="7" t="s">
        <v>143</v>
      </c>
      <c r="F388" s="7" t="s">
        <v>2383</v>
      </c>
      <c r="G388" s="7" t="s">
        <v>2168</v>
      </c>
      <c r="H388" s="7" t="s">
        <v>153</v>
      </c>
      <c r="I388" s="7" t="s">
        <v>2384</v>
      </c>
      <c r="J388" s="7"/>
      <c r="K388" s="7" t="s">
        <v>2385</v>
      </c>
    </row>
    <row r="389" customFormat="false" ht="35.05" hidden="false" customHeight="false" outlineLevel="0" collapsed="false">
      <c r="A389" s="7" t="n">
        <v>388</v>
      </c>
      <c r="B389" s="7" t="s">
        <v>2386</v>
      </c>
      <c r="C389" s="7" t="n">
        <v>2007</v>
      </c>
      <c r="D389" s="7" t="s">
        <v>2387</v>
      </c>
      <c r="E389" s="7" t="s">
        <v>143</v>
      </c>
      <c r="F389" s="7" t="s">
        <v>2388</v>
      </c>
      <c r="G389" s="7" t="s">
        <v>2248</v>
      </c>
      <c r="H389" s="7" t="s">
        <v>387</v>
      </c>
      <c r="I389" s="7" t="s">
        <v>2389</v>
      </c>
      <c r="J389" s="7" t="s">
        <v>116</v>
      </c>
      <c r="K389" s="7" t="s">
        <v>2390</v>
      </c>
    </row>
    <row r="390" customFormat="false" ht="35.05" hidden="false" customHeight="false" outlineLevel="0" collapsed="false">
      <c r="A390" s="7" t="n">
        <v>389</v>
      </c>
      <c r="B390" s="7" t="s">
        <v>2391</v>
      </c>
      <c r="C390" s="7" t="n">
        <v>2016</v>
      </c>
      <c r="D390" s="7" t="s">
        <v>2392</v>
      </c>
      <c r="E390" s="7" t="s">
        <v>143</v>
      </c>
      <c r="F390" s="7" t="s">
        <v>2393</v>
      </c>
      <c r="G390" s="7" t="s">
        <v>145</v>
      </c>
      <c r="H390" s="7" t="s">
        <v>153</v>
      </c>
      <c r="I390" s="7" t="s">
        <v>2394</v>
      </c>
      <c r="J390" s="7" t="s">
        <v>116</v>
      </c>
      <c r="K390" s="7" t="s">
        <v>2395</v>
      </c>
    </row>
    <row r="391" customFormat="false" ht="35.05" hidden="false" customHeight="false" outlineLevel="0" collapsed="false">
      <c r="A391" s="7" t="n">
        <v>390</v>
      </c>
      <c r="B391" s="7" t="s">
        <v>2396</v>
      </c>
      <c r="C391" s="7" t="n">
        <v>2014</v>
      </c>
      <c r="D391" s="7" t="s">
        <v>2397</v>
      </c>
      <c r="E391" s="7" t="s">
        <v>143</v>
      </c>
      <c r="F391" s="7" t="s">
        <v>2398</v>
      </c>
      <c r="G391" s="7" t="s">
        <v>2399</v>
      </c>
      <c r="H391" s="7" t="s">
        <v>208</v>
      </c>
      <c r="I391" s="7" t="s">
        <v>2400</v>
      </c>
      <c r="J391" s="7"/>
      <c r="K391" s="7" t="s">
        <v>2401</v>
      </c>
    </row>
    <row r="392" customFormat="false" ht="35.05" hidden="false" customHeight="false" outlineLevel="0" collapsed="false">
      <c r="A392" s="7" t="n">
        <v>391</v>
      </c>
      <c r="B392" s="7" t="s">
        <v>2402</v>
      </c>
      <c r="C392" s="7" t="n">
        <v>2015</v>
      </c>
      <c r="D392" s="7" t="s">
        <v>2403</v>
      </c>
      <c r="E392" s="7" t="s">
        <v>151</v>
      </c>
      <c r="F392" s="7" t="s">
        <v>2404</v>
      </c>
      <c r="G392" s="7" t="s">
        <v>145</v>
      </c>
      <c r="H392" s="7" t="s">
        <v>208</v>
      </c>
      <c r="I392" s="7" t="s">
        <v>2405</v>
      </c>
      <c r="J392" s="7" t="s">
        <v>116</v>
      </c>
      <c r="K392" s="7" t="s">
        <v>2406</v>
      </c>
    </row>
    <row r="393" customFormat="false" ht="35.05" hidden="false" customHeight="false" outlineLevel="0" collapsed="false">
      <c r="A393" s="7" t="n">
        <v>392</v>
      </c>
      <c r="B393" s="7" t="s">
        <v>2407</v>
      </c>
      <c r="C393" s="7" t="n">
        <v>2015</v>
      </c>
      <c r="D393" s="7" t="s">
        <v>2408</v>
      </c>
      <c r="E393" s="7" t="s">
        <v>143</v>
      </c>
      <c r="F393" s="7" t="s">
        <v>2409</v>
      </c>
      <c r="G393" s="7" t="s">
        <v>2410</v>
      </c>
      <c r="H393" s="7" t="s">
        <v>208</v>
      </c>
      <c r="I393" s="7" t="s">
        <v>2411</v>
      </c>
      <c r="J393" s="7"/>
      <c r="K393" s="7" t="s">
        <v>2412</v>
      </c>
    </row>
    <row r="394" customFormat="false" ht="35.05" hidden="false" customHeight="false" outlineLevel="0" collapsed="false">
      <c r="A394" s="7" t="n">
        <v>393</v>
      </c>
      <c r="B394" s="7" t="s">
        <v>2413</v>
      </c>
      <c r="C394" s="7" t="n">
        <v>2014</v>
      </c>
      <c r="D394" s="7" t="s">
        <v>2414</v>
      </c>
      <c r="E394" s="7" t="s">
        <v>143</v>
      </c>
      <c r="F394" s="7" t="s">
        <v>364</v>
      </c>
      <c r="G394" s="7" t="s">
        <v>2187</v>
      </c>
      <c r="H394" s="7" t="s">
        <v>208</v>
      </c>
      <c r="I394" s="7" t="s">
        <v>2415</v>
      </c>
      <c r="J394" s="7"/>
      <c r="K394" s="7" t="s">
        <v>2416</v>
      </c>
    </row>
    <row r="395" customFormat="false" ht="35.05" hidden="false" customHeight="false" outlineLevel="0" collapsed="false">
      <c r="A395" s="7" t="n">
        <v>394</v>
      </c>
      <c r="B395" s="7" t="s">
        <v>2417</v>
      </c>
      <c r="C395" s="7" t="n">
        <v>2015</v>
      </c>
      <c r="D395" s="7" t="s">
        <v>2418</v>
      </c>
      <c r="E395" s="7" t="s">
        <v>151</v>
      </c>
      <c r="F395" s="7" t="s">
        <v>2419</v>
      </c>
      <c r="G395" s="7" t="s">
        <v>145</v>
      </c>
      <c r="H395" s="7" t="s">
        <v>208</v>
      </c>
      <c r="I395" s="7" t="s">
        <v>2420</v>
      </c>
      <c r="J395" s="7"/>
      <c r="K395" s="7" t="s">
        <v>2421</v>
      </c>
    </row>
    <row r="396" customFormat="false" ht="35.05" hidden="false" customHeight="false" outlineLevel="0" collapsed="false">
      <c r="A396" s="7" t="n">
        <v>395</v>
      </c>
      <c r="B396" s="7" t="s">
        <v>2422</v>
      </c>
      <c r="C396" s="7" t="n">
        <v>2016</v>
      </c>
      <c r="D396" s="7" t="s">
        <v>2423</v>
      </c>
      <c r="E396" s="7" t="s">
        <v>143</v>
      </c>
      <c r="F396" s="7" t="s">
        <v>2247</v>
      </c>
      <c r="G396" s="7" t="s">
        <v>2424</v>
      </c>
      <c r="H396" s="7" t="s">
        <v>208</v>
      </c>
      <c r="I396" s="7" t="s">
        <v>2425</v>
      </c>
      <c r="J396" s="7"/>
      <c r="K396" s="7" t="s">
        <v>2426</v>
      </c>
    </row>
    <row r="397" customFormat="false" ht="35.05" hidden="false" customHeight="false" outlineLevel="0" collapsed="false">
      <c r="A397" s="7" t="n">
        <v>396</v>
      </c>
      <c r="B397" s="7" t="s">
        <v>2427</v>
      </c>
      <c r="C397" s="7" t="n">
        <v>2012</v>
      </c>
      <c r="D397" s="7" t="s">
        <v>2428</v>
      </c>
      <c r="E397" s="7" t="s">
        <v>151</v>
      </c>
      <c r="F397" s="7" t="s">
        <v>2429</v>
      </c>
      <c r="G397" s="7" t="s">
        <v>145</v>
      </c>
      <c r="H397" s="7" t="s">
        <v>208</v>
      </c>
      <c r="I397" s="7" t="s">
        <v>2430</v>
      </c>
      <c r="J397" s="7" t="s">
        <v>116</v>
      </c>
      <c r="K397" s="7" t="s">
        <v>2431</v>
      </c>
    </row>
    <row r="398" customFormat="false" ht="35.05" hidden="false" customHeight="false" outlineLevel="0" collapsed="false">
      <c r="A398" s="7" t="n">
        <v>397</v>
      </c>
      <c r="B398" s="7" t="s">
        <v>2306</v>
      </c>
      <c r="C398" s="7" t="n">
        <v>2014</v>
      </c>
      <c r="D398" s="7" t="s">
        <v>2432</v>
      </c>
      <c r="E398" s="7" t="s">
        <v>143</v>
      </c>
      <c r="F398" s="7" t="s">
        <v>2433</v>
      </c>
      <c r="G398" s="7" t="s">
        <v>145</v>
      </c>
      <c r="H398" s="7" t="s">
        <v>153</v>
      </c>
      <c r="I398" s="7" t="s">
        <v>2434</v>
      </c>
      <c r="J398" s="7" t="s">
        <v>114</v>
      </c>
      <c r="K398" s="7" t="s">
        <v>2435</v>
      </c>
    </row>
    <row r="399" customFormat="false" ht="35.05" hidden="false" customHeight="false" outlineLevel="0" collapsed="false">
      <c r="A399" s="7" t="n">
        <v>398</v>
      </c>
      <c r="B399" s="7" t="s">
        <v>2436</v>
      </c>
      <c r="C399" s="7" t="n">
        <v>2016</v>
      </c>
      <c r="D399" s="7" t="s">
        <v>2437</v>
      </c>
      <c r="E399" s="7" t="s">
        <v>143</v>
      </c>
      <c r="F399" s="7" t="s">
        <v>2267</v>
      </c>
      <c r="G399" s="7" t="s">
        <v>2187</v>
      </c>
      <c r="H399" s="7" t="s">
        <v>208</v>
      </c>
      <c r="I399" s="7" t="s">
        <v>2438</v>
      </c>
      <c r="J399" s="7"/>
      <c r="K399" s="7" t="s">
        <v>2439</v>
      </c>
    </row>
    <row r="400" customFormat="false" ht="35.05" hidden="false" customHeight="false" outlineLevel="0" collapsed="false">
      <c r="A400" s="7" t="n">
        <v>399</v>
      </c>
      <c r="B400" s="7" t="s">
        <v>2440</v>
      </c>
      <c r="C400" s="7" t="n">
        <v>2016</v>
      </c>
      <c r="D400" s="7" t="s">
        <v>2441</v>
      </c>
      <c r="E400" s="7" t="s">
        <v>143</v>
      </c>
      <c r="F400" s="7" t="s">
        <v>2299</v>
      </c>
      <c r="G400" s="7" t="s">
        <v>145</v>
      </c>
      <c r="H400" s="7" t="s">
        <v>153</v>
      </c>
      <c r="I400" s="7" t="s">
        <v>2442</v>
      </c>
      <c r="J400" s="7"/>
      <c r="K400" s="7" t="s">
        <v>2443</v>
      </c>
    </row>
    <row r="401" customFormat="false" ht="35.05" hidden="false" customHeight="false" outlineLevel="0" collapsed="false">
      <c r="A401" s="7" t="n">
        <v>400</v>
      </c>
      <c r="B401" s="7" t="s">
        <v>2444</v>
      </c>
      <c r="C401" s="7" t="n">
        <v>2016</v>
      </c>
      <c r="D401" s="7" t="s">
        <v>2445</v>
      </c>
      <c r="E401" s="7" t="s">
        <v>143</v>
      </c>
      <c r="F401" s="7" t="s">
        <v>2419</v>
      </c>
      <c r="G401" s="7" t="s">
        <v>145</v>
      </c>
      <c r="H401" s="7" t="s">
        <v>153</v>
      </c>
      <c r="I401" s="7" t="s">
        <v>2446</v>
      </c>
      <c r="J401" s="7"/>
      <c r="K401" s="7" t="s">
        <v>2447</v>
      </c>
    </row>
    <row r="402" customFormat="false" ht="35.05" hidden="false" customHeight="false" outlineLevel="0" collapsed="false">
      <c r="A402" s="7" t="n">
        <v>401</v>
      </c>
      <c r="B402" s="7" t="s">
        <v>2448</v>
      </c>
      <c r="C402" s="7" t="n">
        <v>2016</v>
      </c>
      <c r="D402" s="7" t="s">
        <v>2449</v>
      </c>
      <c r="E402" s="7" t="s">
        <v>143</v>
      </c>
      <c r="F402" s="7" t="s">
        <v>1665</v>
      </c>
      <c r="G402" s="7" t="s">
        <v>145</v>
      </c>
      <c r="H402" s="7" t="s">
        <v>153</v>
      </c>
      <c r="I402" s="7" t="s">
        <v>2450</v>
      </c>
      <c r="J402" s="7" t="s">
        <v>114</v>
      </c>
      <c r="K402" s="7" t="s">
        <v>2451</v>
      </c>
    </row>
    <row r="403" customFormat="false" ht="35.05" hidden="false" customHeight="false" outlineLevel="0" collapsed="false">
      <c r="A403" s="7" t="n">
        <v>402</v>
      </c>
      <c r="B403" s="7" t="s">
        <v>2452</v>
      </c>
      <c r="C403" s="7" t="n">
        <v>2015</v>
      </c>
      <c r="D403" s="7" t="s">
        <v>2453</v>
      </c>
      <c r="E403" s="7" t="s">
        <v>151</v>
      </c>
      <c r="F403" s="7" t="s">
        <v>2454</v>
      </c>
      <c r="G403" s="7" t="s">
        <v>145</v>
      </c>
      <c r="H403" s="7" t="s">
        <v>208</v>
      </c>
      <c r="I403" s="7" t="s">
        <v>2455</v>
      </c>
      <c r="J403" s="7"/>
      <c r="K403" s="7" t="s">
        <v>2456</v>
      </c>
    </row>
    <row r="404" customFormat="false" ht="35.05" hidden="false" customHeight="false" outlineLevel="0" collapsed="false">
      <c r="A404" s="7" t="n">
        <v>403</v>
      </c>
      <c r="B404" s="7" t="s">
        <v>2457</v>
      </c>
      <c r="C404" s="7" t="n">
        <v>2014</v>
      </c>
      <c r="D404" s="7" t="s">
        <v>2458</v>
      </c>
      <c r="E404" s="7" t="s">
        <v>151</v>
      </c>
      <c r="F404" s="7" t="s">
        <v>2459</v>
      </c>
      <c r="G404" s="7" t="s">
        <v>2460</v>
      </c>
      <c r="H404" s="7" t="s">
        <v>208</v>
      </c>
      <c r="I404" s="7" t="s">
        <v>2461</v>
      </c>
      <c r="J404" s="7" t="s">
        <v>116</v>
      </c>
      <c r="K404" s="7" t="s">
        <v>2462</v>
      </c>
    </row>
    <row r="405" customFormat="false" ht="35.05" hidden="false" customHeight="false" outlineLevel="0" collapsed="false">
      <c r="A405" s="7" t="n">
        <v>404</v>
      </c>
      <c r="B405" s="7" t="s">
        <v>2463</v>
      </c>
      <c r="C405" s="7" t="n">
        <v>2016</v>
      </c>
      <c r="D405" s="7" t="s">
        <v>2464</v>
      </c>
      <c r="E405" s="7" t="s">
        <v>143</v>
      </c>
      <c r="F405" s="7" t="s">
        <v>2247</v>
      </c>
      <c r="G405" s="7" t="s">
        <v>2465</v>
      </c>
      <c r="H405" s="7" t="s">
        <v>208</v>
      </c>
      <c r="I405" s="7" t="s">
        <v>2466</v>
      </c>
      <c r="J405" s="7"/>
      <c r="K405" s="7" t="s">
        <v>2467</v>
      </c>
    </row>
    <row r="406" customFormat="false" ht="35.05" hidden="false" customHeight="false" outlineLevel="0" collapsed="false">
      <c r="A406" s="7" t="n">
        <v>405</v>
      </c>
      <c r="B406" s="7" t="s">
        <v>2468</v>
      </c>
      <c r="C406" s="7" t="n">
        <v>2014</v>
      </c>
      <c r="D406" s="7" t="s">
        <v>2469</v>
      </c>
      <c r="E406" s="7" t="s">
        <v>151</v>
      </c>
      <c r="F406" s="7" t="s">
        <v>2470</v>
      </c>
      <c r="G406" s="7" t="s">
        <v>145</v>
      </c>
      <c r="H406" s="7" t="s">
        <v>208</v>
      </c>
      <c r="I406" s="7" t="s">
        <v>2471</v>
      </c>
      <c r="J406" s="7" t="s">
        <v>116</v>
      </c>
      <c r="K406" s="7" t="s">
        <v>2472</v>
      </c>
    </row>
    <row r="407" customFormat="false" ht="35.05" hidden="false" customHeight="false" outlineLevel="0" collapsed="false">
      <c r="A407" s="7" t="n">
        <v>406</v>
      </c>
      <c r="B407" s="7" t="s">
        <v>2473</v>
      </c>
      <c r="C407" s="7" t="n">
        <v>2016</v>
      </c>
      <c r="D407" s="7" t="s">
        <v>2474</v>
      </c>
      <c r="E407" s="7" t="s">
        <v>143</v>
      </c>
      <c r="F407" s="7" t="s">
        <v>2475</v>
      </c>
      <c r="G407" s="7" t="s">
        <v>145</v>
      </c>
      <c r="H407" s="7" t="s">
        <v>153</v>
      </c>
      <c r="I407" s="7" t="s">
        <v>2476</v>
      </c>
      <c r="J407" s="7"/>
      <c r="K407" s="7" t="s">
        <v>2477</v>
      </c>
    </row>
    <row r="408" customFormat="false" ht="35.05" hidden="false" customHeight="false" outlineLevel="0" collapsed="false">
      <c r="A408" s="7" t="n">
        <v>407</v>
      </c>
      <c r="B408" s="7" t="s">
        <v>2478</v>
      </c>
      <c r="C408" s="7" t="n">
        <v>2015</v>
      </c>
      <c r="D408" s="7" t="s">
        <v>2479</v>
      </c>
      <c r="E408" s="7" t="s">
        <v>143</v>
      </c>
      <c r="F408" s="7" t="s">
        <v>364</v>
      </c>
      <c r="G408" s="7" t="s">
        <v>2187</v>
      </c>
      <c r="H408" s="7" t="s">
        <v>208</v>
      </c>
      <c r="I408" s="7" t="s">
        <v>2480</v>
      </c>
      <c r="J408" s="7"/>
      <c r="K408" s="7" t="s">
        <v>2481</v>
      </c>
    </row>
    <row r="409" customFormat="false" ht="35.05" hidden="false" customHeight="false" outlineLevel="0" collapsed="false">
      <c r="A409" s="7" t="n">
        <v>408</v>
      </c>
      <c r="B409" s="7" t="s">
        <v>2482</v>
      </c>
      <c r="C409" s="7" t="n">
        <v>2014</v>
      </c>
      <c r="D409" s="7" t="s">
        <v>2483</v>
      </c>
      <c r="E409" s="7" t="s">
        <v>143</v>
      </c>
      <c r="F409" s="7" t="s">
        <v>2484</v>
      </c>
      <c r="G409" s="7" t="s">
        <v>2485</v>
      </c>
      <c r="H409" s="7" t="s">
        <v>208</v>
      </c>
      <c r="I409" s="7" t="s">
        <v>2486</v>
      </c>
      <c r="J409" s="7"/>
      <c r="K409" s="7" t="s">
        <v>2487</v>
      </c>
    </row>
    <row r="410" customFormat="false" ht="35.05" hidden="false" customHeight="false" outlineLevel="0" collapsed="false">
      <c r="A410" s="7" t="n">
        <v>409</v>
      </c>
      <c r="B410" s="7" t="s">
        <v>2488</v>
      </c>
      <c r="C410" s="7" t="n">
        <v>2016</v>
      </c>
      <c r="D410" s="7" t="s">
        <v>2489</v>
      </c>
      <c r="E410" s="7" t="s">
        <v>151</v>
      </c>
      <c r="F410" s="7" t="s">
        <v>2490</v>
      </c>
      <c r="G410" s="7" t="s">
        <v>2491</v>
      </c>
      <c r="H410" s="7" t="s">
        <v>208</v>
      </c>
      <c r="I410" s="7" t="s">
        <v>2492</v>
      </c>
      <c r="J410" s="7"/>
      <c r="K410" s="7" t="s">
        <v>2493</v>
      </c>
    </row>
    <row r="411" customFormat="false" ht="35.05" hidden="false" customHeight="false" outlineLevel="0" collapsed="false">
      <c r="A411" s="7" t="n">
        <v>410</v>
      </c>
      <c r="B411" s="7" t="s">
        <v>2494</v>
      </c>
      <c r="C411" s="7" t="n">
        <v>2011</v>
      </c>
      <c r="D411" s="7" t="s">
        <v>2495</v>
      </c>
      <c r="E411" s="7" t="s">
        <v>151</v>
      </c>
      <c r="F411" s="7" t="s">
        <v>2496</v>
      </c>
      <c r="G411" s="7" t="s">
        <v>145</v>
      </c>
      <c r="H411" s="7" t="s">
        <v>208</v>
      </c>
      <c r="I411" s="7" t="s">
        <v>2497</v>
      </c>
      <c r="J411" s="7"/>
      <c r="K411" s="7" t="s">
        <v>2498</v>
      </c>
    </row>
    <row r="412" customFormat="false" ht="35.05" hidden="false" customHeight="false" outlineLevel="0" collapsed="false">
      <c r="A412" s="7" t="n">
        <v>411</v>
      </c>
      <c r="B412" s="7" t="s">
        <v>2499</v>
      </c>
      <c r="C412" s="7" t="n">
        <v>2016</v>
      </c>
      <c r="D412" s="7" t="s">
        <v>2500</v>
      </c>
      <c r="E412" s="7" t="s">
        <v>151</v>
      </c>
      <c r="F412" s="7" t="s">
        <v>2501</v>
      </c>
      <c r="G412" s="7" t="s">
        <v>2502</v>
      </c>
      <c r="H412" s="7" t="s">
        <v>208</v>
      </c>
      <c r="I412" s="7" t="s">
        <v>2503</v>
      </c>
      <c r="J412" s="7"/>
      <c r="K412" s="7" t="s">
        <v>2504</v>
      </c>
    </row>
    <row r="413" customFormat="false" ht="35.05" hidden="false" customHeight="false" outlineLevel="0" collapsed="false">
      <c r="A413" s="7" t="n">
        <v>412</v>
      </c>
      <c r="B413" s="7" t="s">
        <v>2505</v>
      </c>
      <c r="C413" s="7" t="n">
        <v>2014</v>
      </c>
      <c r="D413" s="7" t="s">
        <v>2506</v>
      </c>
      <c r="E413" s="7" t="s">
        <v>143</v>
      </c>
      <c r="F413" s="7" t="s">
        <v>2507</v>
      </c>
      <c r="G413" s="7" t="s">
        <v>145</v>
      </c>
      <c r="H413" s="7" t="s">
        <v>208</v>
      </c>
      <c r="I413" s="7" t="s">
        <v>1240</v>
      </c>
      <c r="J413" s="7" t="s">
        <v>116</v>
      </c>
      <c r="K413" s="7" t="s">
        <v>2508</v>
      </c>
    </row>
    <row r="414" customFormat="false" ht="35.05" hidden="false" customHeight="false" outlineLevel="0" collapsed="false">
      <c r="A414" s="7" t="n">
        <v>413</v>
      </c>
      <c r="B414" s="7" t="s">
        <v>2509</v>
      </c>
      <c r="C414" s="7" t="n">
        <v>2010</v>
      </c>
      <c r="D414" s="7" t="s">
        <v>2510</v>
      </c>
      <c r="E414" s="7" t="s">
        <v>143</v>
      </c>
      <c r="F414" s="7" t="s">
        <v>2511</v>
      </c>
      <c r="G414" s="7" t="s">
        <v>145</v>
      </c>
      <c r="H414" s="7" t="s">
        <v>208</v>
      </c>
      <c r="I414" s="7" t="s">
        <v>2512</v>
      </c>
      <c r="J414" s="7"/>
      <c r="K414" s="7" t="s">
        <v>2513</v>
      </c>
    </row>
    <row r="415" customFormat="false" ht="35.05" hidden="false" customHeight="false" outlineLevel="0" collapsed="false">
      <c r="A415" s="7" t="n">
        <v>414</v>
      </c>
      <c r="B415" s="7" t="s">
        <v>2514</v>
      </c>
      <c r="C415" s="7" t="n">
        <v>2016</v>
      </c>
      <c r="D415" s="7" t="s">
        <v>2515</v>
      </c>
      <c r="E415" s="7" t="s">
        <v>151</v>
      </c>
      <c r="F415" s="7" t="s">
        <v>2516</v>
      </c>
      <c r="G415" s="7" t="s">
        <v>2517</v>
      </c>
      <c r="H415" s="7" t="s">
        <v>208</v>
      </c>
      <c r="I415" s="7" t="s">
        <v>2518</v>
      </c>
      <c r="J415" s="7"/>
      <c r="K415" s="7" t="s">
        <v>2519</v>
      </c>
    </row>
    <row r="416" customFormat="false" ht="35.05" hidden="false" customHeight="false" outlineLevel="0" collapsed="false">
      <c r="A416" s="7" t="n">
        <v>415</v>
      </c>
      <c r="B416" s="7" t="s">
        <v>2520</v>
      </c>
      <c r="C416" s="7" t="n">
        <v>2011</v>
      </c>
      <c r="D416" s="7" t="s">
        <v>2521</v>
      </c>
      <c r="E416" s="7" t="s">
        <v>151</v>
      </c>
      <c r="F416" s="7" t="s">
        <v>2522</v>
      </c>
      <c r="G416" s="7" t="s">
        <v>901</v>
      </c>
      <c r="H416" s="7" t="s">
        <v>208</v>
      </c>
      <c r="I416" s="7" t="s">
        <v>2523</v>
      </c>
      <c r="J416" s="7" t="s">
        <v>116</v>
      </c>
      <c r="K416" s="7" t="s">
        <v>2524</v>
      </c>
    </row>
    <row r="417" customFormat="false" ht="35.05" hidden="false" customHeight="false" outlineLevel="0" collapsed="false">
      <c r="A417" s="7" t="n">
        <v>416</v>
      </c>
      <c r="B417" s="7" t="s">
        <v>2525</v>
      </c>
      <c r="C417" s="7" t="n">
        <v>2014</v>
      </c>
      <c r="D417" s="7" t="s">
        <v>2526</v>
      </c>
      <c r="E417" s="7" t="s">
        <v>151</v>
      </c>
      <c r="F417" s="7" t="s">
        <v>2372</v>
      </c>
      <c r="G417" s="7" t="s">
        <v>145</v>
      </c>
      <c r="H417" s="7" t="s">
        <v>153</v>
      </c>
      <c r="I417" s="7" t="s">
        <v>2527</v>
      </c>
      <c r="J417" s="7" t="s">
        <v>114</v>
      </c>
      <c r="K417" s="7" t="s">
        <v>2528</v>
      </c>
    </row>
    <row r="418" customFormat="false" ht="35.05" hidden="false" customHeight="false" outlineLevel="0" collapsed="false">
      <c r="A418" s="7" t="n">
        <v>417</v>
      </c>
      <c r="B418" s="7" t="s">
        <v>2529</v>
      </c>
      <c r="C418" s="7" t="n">
        <v>2015</v>
      </c>
      <c r="D418" s="7" t="s">
        <v>2530</v>
      </c>
      <c r="E418" s="7" t="s">
        <v>143</v>
      </c>
      <c r="F418" s="7" t="s">
        <v>2531</v>
      </c>
      <c r="G418" s="7" t="s">
        <v>327</v>
      </c>
      <c r="H418" s="7" t="s">
        <v>208</v>
      </c>
      <c r="I418" s="7" t="s">
        <v>2532</v>
      </c>
      <c r="J418" s="7"/>
      <c r="K418" s="7" t="s">
        <v>2533</v>
      </c>
    </row>
    <row r="419" customFormat="false" ht="35.05" hidden="false" customHeight="false" outlineLevel="0" collapsed="false">
      <c r="A419" s="7" t="n">
        <v>418</v>
      </c>
      <c r="B419" s="7" t="s">
        <v>2534</v>
      </c>
      <c r="C419" s="7" t="n">
        <v>2016</v>
      </c>
      <c r="D419" s="7" t="s">
        <v>2535</v>
      </c>
      <c r="E419" s="7" t="s">
        <v>143</v>
      </c>
      <c r="F419" s="7" t="s">
        <v>2536</v>
      </c>
      <c r="G419" s="7" t="s">
        <v>145</v>
      </c>
      <c r="H419" s="7" t="s">
        <v>208</v>
      </c>
      <c r="I419" s="7" t="s">
        <v>2537</v>
      </c>
      <c r="J419" s="7" t="s">
        <v>116</v>
      </c>
      <c r="K419" s="7" t="s">
        <v>2538</v>
      </c>
    </row>
    <row r="420" customFormat="false" ht="35.05" hidden="false" customHeight="false" outlineLevel="0" collapsed="false">
      <c r="A420" s="7" t="n">
        <v>419</v>
      </c>
      <c r="B420" s="7" t="s">
        <v>2539</v>
      </c>
      <c r="C420" s="7" t="n">
        <v>2012</v>
      </c>
      <c r="D420" s="7" t="s">
        <v>2540</v>
      </c>
      <c r="E420" s="7" t="s">
        <v>143</v>
      </c>
      <c r="F420" s="7" t="s">
        <v>588</v>
      </c>
      <c r="G420" s="7" t="s">
        <v>145</v>
      </c>
      <c r="H420" s="7" t="s">
        <v>153</v>
      </c>
      <c r="I420" s="7" t="s">
        <v>2541</v>
      </c>
      <c r="J420" s="7" t="s">
        <v>116</v>
      </c>
      <c r="K420" s="7" t="s">
        <v>2542</v>
      </c>
    </row>
    <row r="421" customFormat="false" ht="35.05" hidden="false" customHeight="false" outlineLevel="0" collapsed="false">
      <c r="A421" s="7" t="n">
        <v>420</v>
      </c>
      <c r="B421" s="7" t="s">
        <v>2543</v>
      </c>
      <c r="C421" s="7" t="n">
        <v>2014</v>
      </c>
      <c r="D421" s="7" t="s">
        <v>2544</v>
      </c>
      <c r="E421" s="7" t="s">
        <v>143</v>
      </c>
      <c r="F421" s="7" t="s">
        <v>2545</v>
      </c>
      <c r="G421" s="7" t="s">
        <v>2546</v>
      </c>
      <c r="H421" s="7" t="s">
        <v>208</v>
      </c>
      <c r="I421" s="7" t="s">
        <v>2547</v>
      </c>
      <c r="J421" s="7"/>
      <c r="K421" s="7" t="s">
        <v>2548</v>
      </c>
    </row>
    <row r="422" customFormat="false" ht="35.05" hidden="false" customHeight="false" outlineLevel="0" collapsed="false">
      <c r="A422" s="7" t="n">
        <v>421</v>
      </c>
      <c r="B422" s="7" t="s">
        <v>2549</v>
      </c>
      <c r="C422" s="7" t="n">
        <v>2015</v>
      </c>
      <c r="D422" s="7" t="s">
        <v>2550</v>
      </c>
      <c r="E422" s="7" t="s">
        <v>143</v>
      </c>
      <c r="F422" s="7" t="s">
        <v>364</v>
      </c>
      <c r="G422" s="7" t="s">
        <v>2187</v>
      </c>
      <c r="H422" s="7" t="s">
        <v>208</v>
      </c>
      <c r="I422" s="7" t="s">
        <v>2551</v>
      </c>
      <c r="J422" s="7"/>
      <c r="K422" s="7" t="s">
        <v>2552</v>
      </c>
    </row>
    <row r="423" customFormat="false" ht="35.05" hidden="false" customHeight="false" outlineLevel="0" collapsed="false">
      <c r="A423" s="7" t="n">
        <v>422</v>
      </c>
      <c r="B423" s="7" t="s">
        <v>2553</v>
      </c>
      <c r="C423" s="7" t="n">
        <v>2016</v>
      </c>
      <c r="D423" s="7" t="s">
        <v>2554</v>
      </c>
      <c r="E423" s="7" t="s">
        <v>143</v>
      </c>
      <c r="F423" s="7" t="s">
        <v>2555</v>
      </c>
      <c r="G423" s="7" t="s">
        <v>187</v>
      </c>
      <c r="H423" s="7" t="s">
        <v>387</v>
      </c>
      <c r="I423" s="7" t="s">
        <v>2556</v>
      </c>
      <c r="J423" s="7" t="s">
        <v>112</v>
      </c>
      <c r="K423" s="7" t="s">
        <v>2557</v>
      </c>
    </row>
    <row r="424" customFormat="false" ht="35.05" hidden="false" customHeight="false" outlineLevel="0" collapsed="false">
      <c r="A424" s="7" t="n">
        <v>423</v>
      </c>
      <c r="B424" s="7" t="s">
        <v>2558</v>
      </c>
      <c r="C424" s="7" t="n">
        <v>2014</v>
      </c>
      <c r="D424" s="7" t="s">
        <v>2559</v>
      </c>
      <c r="E424" s="7" t="s">
        <v>151</v>
      </c>
      <c r="F424" s="7" t="s">
        <v>197</v>
      </c>
      <c r="G424" s="7" t="s">
        <v>2187</v>
      </c>
      <c r="H424" s="7" t="s">
        <v>208</v>
      </c>
      <c r="I424" s="7" t="s">
        <v>2560</v>
      </c>
      <c r="J424" s="7"/>
      <c r="K424" s="7" t="s">
        <v>2561</v>
      </c>
    </row>
    <row r="425" customFormat="false" ht="35.05" hidden="false" customHeight="false" outlineLevel="0" collapsed="false">
      <c r="A425" s="7" t="n">
        <v>424</v>
      </c>
      <c r="B425" s="7" t="s">
        <v>2562</v>
      </c>
      <c r="C425" s="7" t="n">
        <v>2015</v>
      </c>
      <c r="D425" s="7" t="s">
        <v>2563</v>
      </c>
      <c r="E425" s="7" t="s">
        <v>143</v>
      </c>
      <c r="F425" s="7" t="s">
        <v>2564</v>
      </c>
      <c r="G425" s="7" t="s">
        <v>145</v>
      </c>
      <c r="H425" s="7" t="s">
        <v>522</v>
      </c>
      <c r="I425" s="7" t="s">
        <v>2565</v>
      </c>
      <c r="J425" s="7" t="s">
        <v>116</v>
      </c>
      <c r="K425" s="7" t="s">
        <v>2566</v>
      </c>
    </row>
    <row r="426" customFormat="false" ht="35.05" hidden="false" customHeight="false" outlineLevel="0" collapsed="false">
      <c r="A426" s="7" t="n">
        <v>425</v>
      </c>
      <c r="B426" s="7" t="s">
        <v>2567</v>
      </c>
      <c r="C426" s="7" t="n">
        <v>2017</v>
      </c>
      <c r="D426" s="7" t="s">
        <v>2568</v>
      </c>
      <c r="E426" s="7" t="s">
        <v>143</v>
      </c>
      <c r="F426" s="7" t="s">
        <v>2569</v>
      </c>
      <c r="G426" s="7" t="s">
        <v>2248</v>
      </c>
      <c r="H426" s="7" t="s">
        <v>153</v>
      </c>
      <c r="I426" s="7" t="s">
        <v>2570</v>
      </c>
      <c r="J426" s="7"/>
      <c r="K426" s="7" t="s">
        <v>2571</v>
      </c>
    </row>
    <row r="427" customFormat="false" ht="35.05" hidden="false" customHeight="false" outlineLevel="0" collapsed="false">
      <c r="A427" s="7" t="n">
        <v>426</v>
      </c>
      <c r="B427" s="7" t="s">
        <v>2572</v>
      </c>
      <c r="C427" s="7" t="n">
        <v>2016</v>
      </c>
      <c r="D427" s="7" t="s">
        <v>2573</v>
      </c>
      <c r="E427" s="7" t="s">
        <v>151</v>
      </c>
      <c r="F427" s="7" t="s">
        <v>2574</v>
      </c>
      <c r="G427" s="7" t="s">
        <v>145</v>
      </c>
      <c r="H427" s="7" t="s">
        <v>208</v>
      </c>
      <c r="I427" s="7" t="s">
        <v>2575</v>
      </c>
      <c r="J427" s="7"/>
      <c r="K427" s="7" t="s">
        <v>2576</v>
      </c>
    </row>
    <row r="428" customFormat="false" ht="35.05" hidden="false" customHeight="false" outlineLevel="0" collapsed="false">
      <c r="A428" s="7" t="n">
        <v>427</v>
      </c>
      <c r="B428" s="7" t="s">
        <v>2577</v>
      </c>
      <c r="C428" s="7" t="n">
        <v>2014</v>
      </c>
      <c r="D428" s="7" t="s">
        <v>2578</v>
      </c>
      <c r="E428" s="7" t="s">
        <v>143</v>
      </c>
      <c r="F428" s="7" t="s">
        <v>1665</v>
      </c>
      <c r="G428" s="7" t="s">
        <v>327</v>
      </c>
      <c r="H428" s="7" t="s">
        <v>153</v>
      </c>
      <c r="I428" s="7" t="s">
        <v>2579</v>
      </c>
      <c r="J428" s="7"/>
      <c r="K428" s="7" t="s">
        <v>2580</v>
      </c>
    </row>
    <row r="429" customFormat="false" ht="35.05" hidden="false" customHeight="false" outlineLevel="0" collapsed="false">
      <c r="A429" s="7" t="n">
        <v>428</v>
      </c>
      <c r="B429" s="7" t="s">
        <v>2581</v>
      </c>
      <c r="C429" s="7" t="n">
        <v>2015</v>
      </c>
      <c r="D429" s="7" t="s">
        <v>2582</v>
      </c>
      <c r="E429" s="7" t="s">
        <v>143</v>
      </c>
      <c r="F429" s="7" t="s">
        <v>2192</v>
      </c>
      <c r="G429" s="7" t="s">
        <v>145</v>
      </c>
      <c r="H429" s="7" t="s">
        <v>208</v>
      </c>
      <c r="I429" s="7" t="s">
        <v>2583</v>
      </c>
      <c r="J429" s="7" t="s">
        <v>114</v>
      </c>
      <c r="K429" s="7" t="s">
        <v>2584</v>
      </c>
    </row>
    <row r="430" customFormat="false" ht="35.05" hidden="false" customHeight="false" outlineLevel="0" collapsed="false">
      <c r="A430" s="7" t="n">
        <v>429</v>
      </c>
      <c r="B430" s="7" t="s">
        <v>2581</v>
      </c>
      <c r="C430" s="7" t="n">
        <v>2015</v>
      </c>
      <c r="D430" s="7" t="s">
        <v>2585</v>
      </c>
      <c r="E430" s="7" t="s">
        <v>143</v>
      </c>
      <c r="F430" s="7" t="s">
        <v>2267</v>
      </c>
      <c r="G430" s="7" t="s">
        <v>2187</v>
      </c>
      <c r="H430" s="7" t="s">
        <v>208</v>
      </c>
      <c r="I430" s="7" t="s">
        <v>2586</v>
      </c>
      <c r="J430" s="7"/>
      <c r="K430" s="7" t="s">
        <v>2587</v>
      </c>
    </row>
    <row r="431" customFormat="false" ht="35.05" hidden="false" customHeight="false" outlineLevel="0" collapsed="false">
      <c r="A431" s="7" t="n">
        <v>430</v>
      </c>
      <c r="B431" s="7" t="s">
        <v>2588</v>
      </c>
      <c r="C431" s="7" t="n">
        <v>2016</v>
      </c>
      <c r="D431" s="7" t="s">
        <v>2589</v>
      </c>
      <c r="E431" s="7" t="s">
        <v>151</v>
      </c>
      <c r="F431" s="7" t="s">
        <v>2590</v>
      </c>
      <c r="G431" s="7" t="s">
        <v>145</v>
      </c>
      <c r="H431" s="7" t="s">
        <v>387</v>
      </c>
      <c r="I431" s="7" t="s">
        <v>2591</v>
      </c>
      <c r="J431" s="7"/>
      <c r="K431" s="7" t="s">
        <v>2592</v>
      </c>
    </row>
    <row r="432" customFormat="false" ht="35.05" hidden="false" customHeight="false" outlineLevel="0" collapsed="false">
      <c r="A432" s="7" t="n">
        <v>431</v>
      </c>
      <c r="B432" s="7" t="s">
        <v>2593</v>
      </c>
      <c r="C432" s="7" t="n">
        <v>2009</v>
      </c>
      <c r="D432" s="7" t="s">
        <v>2594</v>
      </c>
      <c r="E432" s="7" t="s">
        <v>143</v>
      </c>
      <c r="F432" s="7" t="s">
        <v>2595</v>
      </c>
      <c r="G432" s="7" t="s">
        <v>145</v>
      </c>
      <c r="H432" s="7" t="s">
        <v>153</v>
      </c>
      <c r="I432" s="7" t="s">
        <v>2596</v>
      </c>
      <c r="J432" s="7"/>
      <c r="K432" s="7" t="s">
        <v>2597</v>
      </c>
    </row>
    <row r="433" customFormat="false" ht="35.05" hidden="false" customHeight="false" outlineLevel="0" collapsed="false">
      <c r="A433" s="7" t="n">
        <v>432</v>
      </c>
      <c r="B433" s="7" t="s">
        <v>2598</v>
      </c>
      <c r="C433" s="7" t="n">
        <v>1992</v>
      </c>
      <c r="D433" s="7" t="s">
        <v>2599</v>
      </c>
      <c r="E433" s="7" t="s">
        <v>143</v>
      </c>
      <c r="F433" s="7" t="s">
        <v>364</v>
      </c>
      <c r="G433" s="7" t="s">
        <v>2600</v>
      </c>
      <c r="H433" s="7" t="s">
        <v>208</v>
      </c>
      <c r="I433" s="7" t="s">
        <v>2601</v>
      </c>
      <c r="J433" s="7"/>
      <c r="K433" s="7" t="s">
        <v>2602</v>
      </c>
    </row>
    <row r="434" customFormat="false" ht="35.05" hidden="false" customHeight="false" outlineLevel="0" collapsed="false">
      <c r="A434" s="7" t="n">
        <v>433</v>
      </c>
      <c r="B434" s="7" t="s">
        <v>2603</v>
      </c>
      <c r="C434" s="7" t="n">
        <v>1992</v>
      </c>
      <c r="D434" s="7" t="s">
        <v>2604</v>
      </c>
      <c r="E434" s="7" t="s">
        <v>143</v>
      </c>
      <c r="F434" s="7" t="s">
        <v>364</v>
      </c>
      <c r="G434" s="7" t="s">
        <v>145</v>
      </c>
      <c r="H434" s="7" t="s">
        <v>153</v>
      </c>
      <c r="I434" s="7" t="s">
        <v>2605</v>
      </c>
      <c r="J434" s="7" t="s">
        <v>116</v>
      </c>
      <c r="K434" s="7" t="s">
        <v>2606</v>
      </c>
    </row>
    <row r="435" customFormat="false" ht="35.05" hidden="false" customHeight="false" outlineLevel="0" collapsed="false">
      <c r="A435" s="7" t="n">
        <v>434</v>
      </c>
      <c r="B435" s="7" t="s">
        <v>2603</v>
      </c>
      <c r="C435" s="7" t="n">
        <v>2015</v>
      </c>
      <c r="D435" s="7" t="s">
        <v>2607</v>
      </c>
      <c r="E435" s="7" t="s">
        <v>143</v>
      </c>
      <c r="F435" s="7" t="s">
        <v>1613</v>
      </c>
      <c r="G435" s="7" t="s">
        <v>145</v>
      </c>
      <c r="H435" s="7" t="s">
        <v>153</v>
      </c>
      <c r="I435" s="7" t="s">
        <v>2608</v>
      </c>
      <c r="J435" s="7" t="s">
        <v>114</v>
      </c>
      <c r="K435" s="7" t="s">
        <v>2609</v>
      </c>
    </row>
    <row r="436" customFormat="false" ht="35.05" hidden="false" customHeight="false" outlineLevel="0" collapsed="false">
      <c r="A436" s="7" t="n">
        <v>435</v>
      </c>
      <c r="B436" s="7" t="s">
        <v>2610</v>
      </c>
      <c r="C436" s="7" t="n">
        <v>2016</v>
      </c>
      <c r="D436" s="7" t="s">
        <v>2611</v>
      </c>
      <c r="E436" s="7" t="s">
        <v>151</v>
      </c>
      <c r="F436" s="7" t="s">
        <v>2612</v>
      </c>
      <c r="G436" s="7" t="s">
        <v>684</v>
      </c>
      <c r="H436" s="7" t="s">
        <v>208</v>
      </c>
      <c r="I436" s="7" t="s">
        <v>2613</v>
      </c>
      <c r="J436" s="7" t="s">
        <v>114</v>
      </c>
      <c r="K436" s="7" t="s">
        <v>2614</v>
      </c>
    </row>
    <row r="437" customFormat="false" ht="35.05" hidden="false" customHeight="false" outlineLevel="0" collapsed="false">
      <c r="A437" s="7" t="n">
        <v>436</v>
      </c>
      <c r="B437" s="7" t="s">
        <v>2615</v>
      </c>
      <c r="C437" s="7" t="n">
        <v>2015</v>
      </c>
      <c r="D437" s="7" t="s">
        <v>2616</v>
      </c>
      <c r="E437" s="7" t="s">
        <v>151</v>
      </c>
      <c r="F437" s="7" t="s">
        <v>2299</v>
      </c>
      <c r="G437" s="7" t="s">
        <v>145</v>
      </c>
      <c r="H437" s="7" t="s">
        <v>153</v>
      </c>
      <c r="I437" s="7" t="s">
        <v>2617</v>
      </c>
      <c r="J437" s="7"/>
      <c r="K437" s="7" t="s">
        <v>2618</v>
      </c>
    </row>
    <row r="438" customFormat="false" ht="35.05" hidden="false" customHeight="false" outlineLevel="0" collapsed="false">
      <c r="A438" s="7" t="n">
        <v>437</v>
      </c>
      <c r="B438" s="7" t="s">
        <v>2619</v>
      </c>
      <c r="C438" s="7" t="n">
        <v>2014</v>
      </c>
      <c r="D438" s="7" t="s">
        <v>2620</v>
      </c>
      <c r="E438" s="7" t="s">
        <v>151</v>
      </c>
      <c r="F438" s="7" t="s">
        <v>2470</v>
      </c>
      <c r="G438" s="7" t="s">
        <v>2187</v>
      </c>
      <c r="H438" s="7" t="s">
        <v>208</v>
      </c>
      <c r="I438" s="7" t="s">
        <v>2621</v>
      </c>
      <c r="J438" s="7"/>
      <c r="K438" s="7" t="s">
        <v>2622</v>
      </c>
    </row>
    <row r="439" customFormat="false" ht="35.05" hidden="false" customHeight="false" outlineLevel="0" collapsed="false">
      <c r="A439" s="7" t="n">
        <v>438</v>
      </c>
      <c r="B439" s="7" t="s">
        <v>2623</v>
      </c>
      <c r="C439" s="7" t="n">
        <v>2016</v>
      </c>
      <c r="D439" s="7" t="s">
        <v>2624</v>
      </c>
      <c r="E439" s="7" t="s">
        <v>143</v>
      </c>
      <c r="F439" s="7" t="s">
        <v>2625</v>
      </c>
      <c r="G439" s="7" t="s">
        <v>2626</v>
      </c>
      <c r="H439" s="7" t="s">
        <v>208</v>
      </c>
      <c r="I439" s="7" t="s">
        <v>2627</v>
      </c>
      <c r="J439" s="7"/>
      <c r="K439" s="7" t="s">
        <v>2628</v>
      </c>
    </row>
    <row r="440" customFormat="false" ht="35.05" hidden="false" customHeight="false" outlineLevel="0" collapsed="false">
      <c r="A440" s="7" t="n">
        <v>439</v>
      </c>
      <c r="B440" s="7" t="s">
        <v>1476</v>
      </c>
      <c r="C440" s="7" t="n">
        <v>2015</v>
      </c>
      <c r="D440" s="7" t="s">
        <v>2629</v>
      </c>
      <c r="E440" s="7" t="s">
        <v>143</v>
      </c>
      <c r="F440" s="7" t="s">
        <v>2630</v>
      </c>
      <c r="G440" s="7" t="s">
        <v>145</v>
      </c>
      <c r="H440" s="7" t="s">
        <v>153</v>
      </c>
      <c r="I440" s="7" t="s">
        <v>2631</v>
      </c>
      <c r="J440" s="7" t="s">
        <v>114</v>
      </c>
      <c r="K440" s="7" t="s">
        <v>2632</v>
      </c>
    </row>
    <row r="441" customFormat="false" ht="35.05" hidden="false" customHeight="false" outlineLevel="0" collapsed="false">
      <c r="A441" s="7" t="n">
        <v>440</v>
      </c>
      <c r="B441" s="7" t="s">
        <v>2633</v>
      </c>
      <c r="C441" s="7" t="n">
        <v>2015</v>
      </c>
      <c r="D441" s="7" t="s">
        <v>2634</v>
      </c>
      <c r="E441" s="7" t="s">
        <v>143</v>
      </c>
      <c r="F441" s="7" t="s">
        <v>2299</v>
      </c>
      <c r="G441" s="7" t="s">
        <v>145</v>
      </c>
      <c r="H441" s="7" t="s">
        <v>208</v>
      </c>
      <c r="I441" s="7" t="s">
        <v>2635</v>
      </c>
      <c r="J441" s="7" t="s">
        <v>114</v>
      </c>
      <c r="K441" s="7" t="s">
        <v>2636</v>
      </c>
    </row>
    <row r="442" customFormat="false" ht="35.05" hidden="false" customHeight="false" outlineLevel="0" collapsed="false">
      <c r="A442" s="7" t="n">
        <v>441</v>
      </c>
      <c r="B442" s="7" t="s">
        <v>2637</v>
      </c>
      <c r="C442" s="7" t="n">
        <v>2016</v>
      </c>
      <c r="D442" s="7" t="s">
        <v>2638</v>
      </c>
      <c r="E442" s="7" t="s">
        <v>143</v>
      </c>
      <c r="F442" s="7" t="s">
        <v>2639</v>
      </c>
      <c r="G442" s="7" t="s">
        <v>145</v>
      </c>
      <c r="H442" s="7" t="s">
        <v>208</v>
      </c>
      <c r="I442" s="7" t="s">
        <v>2640</v>
      </c>
      <c r="J442" s="7" t="s">
        <v>114</v>
      </c>
      <c r="K442" s="7" t="s">
        <v>2641</v>
      </c>
    </row>
    <row r="443" customFormat="false" ht="68.65" hidden="false" customHeight="false" outlineLevel="0" collapsed="false">
      <c r="A443" s="7" t="n">
        <v>442</v>
      </c>
      <c r="B443" s="7" t="s">
        <v>591</v>
      </c>
      <c r="C443" s="7" t="n">
        <v>2026</v>
      </c>
      <c r="D443" s="7" t="s">
        <v>2642</v>
      </c>
      <c r="E443" s="7" t="s">
        <v>143</v>
      </c>
      <c r="F443" s="7" t="s">
        <v>2643</v>
      </c>
      <c r="G443" s="7" t="s">
        <v>145</v>
      </c>
      <c r="H443" s="7" t="s">
        <v>153</v>
      </c>
      <c r="I443" s="7" t="s">
        <v>198</v>
      </c>
      <c r="J443" s="7" t="s">
        <v>114</v>
      </c>
      <c r="K443" s="7" t="s">
        <v>2644</v>
      </c>
    </row>
    <row r="444" customFormat="false" ht="46.25" hidden="false" customHeight="false" outlineLevel="0" collapsed="false">
      <c r="A444" s="7" t="n">
        <v>443</v>
      </c>
      <c r="B444" s="7" t="s">
        <v>591</v>
      </c>
      <c r="C444" s="7" t="n">
        <v>2019</v>
      </c>
      <c r="D444" s="7" t="s">
        <v>2645</v>
      </c>
      <c r="E444" s="7" t="s">
        <v>201</v>
      </c>
      <c r="F444" s="7" t="s">
        <v>364</v>
      </c>
      <c r="G444" s="7" t="s">
        <v>145</v>
      </c>
      <c r="H444" s="7" t="s">
        <v>153</v>
      </c>
      <c r="I444" s="7" t="s">
        <v>2646</v>
      </c>
      <c r="J444" s="7"/>
      <c r="K444" s="7" t="s">
        <v>2647</v>
      </c>
    </row>
    <row r="445" customFormat="false" ht="35.05" hidden="false" customHeight="false" outlineLevel="0" collapsed="false">
      <c r="A445" s="7" t="n">
        <v>444</v>
      </c>
      <c r="B445" s="7" t="s">
        <v>591</v>
      </c>
      <c r="C445" s="7" t="n">
        <v>2024</v>
      </c>
      <c r="D445" s="7" t="s">
        <v>2648</v>
      </c>
      <c r="E445" s="7" t="s">
        <v>201</v>
      </c>
      <c r="F445" s="7" t="s">
        <v>2649</v>
      </c>
      <c r="G445" s="7" t="s">
        <v>145</v>
      </c>
      <c r="H445" s="7" t="s">
        <v>153</v>
      </c>
      <c r="I445" s="7" t="s">
        <v>2650</v>
      </c>
      <c r="J445" s="7"/>
      <c r="K445" s="7" t="s">
        <v>2651</v>
      </c>
    </row>
    <row r="446" customFormat="false" ht="57.45" hidden="false" customHeight="false" outlineLevel="0" collapsed="false">
      <c r="A446" s="7" t="n">
        <v>445</v>
      </c>
      <c r="B446" s="7" t="s">
        <v>591</v>
      </c>
      <c r="C446" s="7" t="n">
        <v>2024</v>
      </c>
      <c r="D446" s="7" t="s">
        <v>2652</v>
      </c>
      <c r="E446" s="7" t="s">
        <v>143</v>
      </c>
      <c r="F446" s="7" t="s">
        <v>364</v>
      </c>
      <c r="G446" s="7" t="s">
        <v>145</v>
      </c>
      <c r="H446" s="7" t="s">
        <v>153</v>
      </c>
      <c r="I446" s="7" t="s">
        <v>2653</v>
      </c>
      <c r="J446" s="7"/>
      <c r="K446" s="7" t="s">
        <v>2654</v>
      </c>
    </row>
    <row r="447" customFormat="false" ht="35.05" hidden="false" customHeight="false" outlineLevel="0" collapsed="false">
      <c r="A447" s="7" t="n">
        <v>446</v>
      </c>
      <c r="B447" s="7" t="s">
        <v>1464</v>
      </c>
      <c r="C447" s="7" t="n">
        <v>2025</v>
      </c>
      <c r="D447" s="7" t="s">
        <v>2655</v>
      </c>
      <c r="E447" s="7" t="s">
        <v>151</v>
      </c>
      <c r="F447" s="7" t="s">
        <v>2013</v>
      </c>
      <c r="G447" s="7" t="s">
        <v>145</v>
      </c>
      <c r="H447" s="7" t="s">
        <v>153</v>
      </c>
      <c r="I447" s="7" t="s">
        <v>2656</v>
      </c>
      <c r="J447" s="7" t="s">
        <v>114</v>
      </c>
      <c r="K447" s="7" t="s">
        <v>2657</v>
      </c>
    </row>
    <row r="448" customFormat="false" ht="35.05" hidden="false" customHeight="false" outlineLevel="0" collapsed="false">
      <c r="A448" s="7" t="n">
        <v>447</v>
      </c>
      <c r="B448" s="7" t="s">
        <v>2658</v>
      </c>
      <c r="C448" s="7" t="n">
        <v>2026</v>
      </c>
      <c r="D448" s="7" t="s">
        <v>2659</v>
      </c>
      <c r="E448" s="7" t="s">
        <v>151</v>
      </c>
      <c r="F448" s="7" t="s">
        <v>2660</v>
      </c>
      <c r="G448" s="7" t="s">
        <v>145</v>
      </c>
      <c r="H448" s="7" t="s">
        <v>153</v>
      </c>
      <c r="I448" s="7" t="s">
        <v>2661</v>
      </c>
      <c r="J448" s="7" t="s">
        <v>116</v>
      </c>
      <c r="K448" s="7" t="s">
        <v>2662</v>
      </c>
    </row>
    <row r="449" customFormat="false" ht="46.25" hidden="false" customHeight="false" outlineLevel="0" collapsed="false">
      <c r="A449" s="7" t="n">
        <v>448</v>
      </c>
      <c r="B449" s="7" t="s">
        <v>591</v>
      </c>
      <c r="C449" s="7" t="n">
        <v>2016</v>
      </c>
      <c r="D449" s="7" t="s">
        <v>2663</v>
      </c>
      <c r="E449" s="7" t="s">
        <v>579</v>
      </c>
      <c r="F449" s="7" t="s">
        <v>2664</v>
      </c>
      <c r="G449" s="7" t="s">
        <v>145</v>
      </c>
      <c r="H449" s="7" t="s">
        <v>146</v>
      </c>
      <c r="I449" s="7" t="s">
        <v>2665</v>
      </c>
      <c r="J449" s="7"/>
      <c r="K449" s="7" t="s">
        <v>2666</v>
      </c>
    </row>
    <row r="450" customFormat="false" ht="35.05" hidden="false" customHeight="false" outlineLevel="0" collapsed="false">
      <c r="A450" s="7" t="n">
        <v>449</v>
      </c>
      <c r="B450" s="7" t="s">
        <v>591</v>
      </c>
      <c r="C450" s="7" t="n">
        <v>2018</v>
      </c>
      <c r="D450" s="7" t="s">
        <v>2667</v>
      </c>
      <c r="E450" s="7" t="s">
        <v>143</v>
      </c>
      <c r="F450" s="7" t="s">
        <v>152</v>
      </c>
      <c r="G450" s="7" t="s">
        <v>145</v>
      </c>
      <c r="H450" s="7" t="s">
        <v>153</v>
      </c>
      <c r="I450" s="7" t="s">
        <v>2668</v>
      </c>
      <c r="J450" s="7"/>
      <c r="K450" s="7" t="s">
        <v>2669</v>
      </c>
    </row>
    <row r="451" customFormat="false" ht="147" hidden="false" customHeight="false" outlineLevel="0" collapsed="false">
      <c r="A451" s="7" t="n">
        <v>450</v>
      </c>
      <c r="B451" s="7" t="s">
        <v>15379</v>
      </c>
      <c r="C451" s="7" t="n">
        <v>2022</v>
      </c>
      <c r="D451" s="7" t="s">
        <v>2670</v>
      </c>
      <c r="E451" s="7" t="s">
        <v>15380</v>
      </c>
      <c r="F451" s="7" t="s">
        <v>15381</v>
      </c>
      <c r="G451" s="7" t="s">
        <v>145</v>
      </c>
      <c r="H451" s="7" t="s">
        <v>153</v>
      </c>
      <c r="I451" s="7" t="s">
        <v>15382</v>
      </c>
      <c r="J451" s="7" t="s">
        <v>15383</v>
      </c>
      <c r="K451" s="7" t="s">
        <v>15384</v>
      </c>
    </row>
    <row r="452" customFormat="false" ht="46.25" hidden="false" customHeight="false" outlineLevel="0" collapsed="false">
      <c r="A452" s="7" t="n">
        <v>451</v>
      </c>
      <c r="B452" s="7" t="s">
        <v>2688</v>
      </c>
      <c r="C452" s="7" t="n">
        <v>2015</v>
      </c>
      <c r="D452" s="7" t="s">
        <v>2689</v>
      </c>
      <c r="E452" s="7" t="s">
        <v>143</v>
      </c>
      <c r="F452" s="7" t="s">
        <v>2690</v>
      </c>
      <c r="G452" s="7" t="s">
        <v>145</v>
      </c>
      <c r="H452" s="7" t="s">
        <v>153</v>
      </c>
      <c r="I452" s="7" t="s">
        <v>2691</v>
      </c>
      <c r="J452" s="7"/>
      <c r="K452" s="7" t="s">
        <v>2692</v>
      </c>
    </row>
    <row r="453" customFormat="false" ht="35.05" hidden="false" customHeight="false" outlineLevel="0" collapsed="false">
      <c r="A453" s="7" t="n">
        <v>452</v>
      </c>
      <c r="B453" s="7" t="s">
        <v>2693</v>
      </c>
      <c r="C453" s="7" t="n">
        <v>2015</v>
      </c>
      <c r="D453" s="7" t="s">
        <v>2694</v>
      </c>
      <c r="E453" s="7" t="s">
        <v>143</v>
      </c>
      <c r="F453" s="7" t="s">
        <v>2419</v>
      </c>
      <c r="G453" s="7" t="s">
        <v>145</v>
      </c>
      <c r="H453" s="7" t="s">
        <v>153</v>
      </c>
      <c r="I453" s="7" t="s">
        <v>2695</v>
      </c>
      <c r="J453" s="7"/>
      <c r="K453" s="7" t="s">
        <v>2696</v>
      </c>
    </row>
    <row r="454" customFormat="false" ht="46.25" hidden="false" customHeight="false" outlineLevel="0" collapsed="false">
      <c r="A454" s="7" t="n">
        <v>453</v>
      </c>
      <c r="B454" s="7" t="s">
        <v>2697</v>
      </c>
      <c r="C454" s="7" t="n">
        <v>2010</v>
      </c>
      <c r="D454" s="7" t="s">
        <v>2698</v>
      </c>
      <c r="E454" s="7" t="s">
        <v>143</v>
      </c>
      <c r="F454" s="7" t="s">
        <v>2699</v>
      </c>
      <c r="G454" s="7" t="s">
        <v>145</v>
      </c>
      <c r="H454" s="7" t="s">
        <v>153</v>
      </c>
      <c r="I454" s="7" t="s">
        <v>2700</v>
      </c>
      <c r="J454" s="7" t="s">
        <v>116</v>
      </c>
      <c r="K454" s="7" t="s">
        <v>2701</v>
      </c>
    </row>
    <row r="455" customFormat="false" ht="113.4" hidden="false" customHeight="false" outlineLevel="0" collapsed="false">
      <c r="A455" s="7" t="n">
        <v>454</v>
      </c>
      <c r="B455" s="7" t="s">
        <v>15385</v>
      </c>
      <c r="C455" s="7" t="n">
        <v>2023</v>
      </c>
      <c r="D455" s="7" t="s">
        <v>2702</v>
      </c>
      <c r="E455" s="7" t="s">
        <v>143</v>
      </c>
      <c r="F455" s="7" t="s">
        <v>15386</v>
      </c>
      <c r="G455" s="7" t="s">
        <v>145</v>
      </c>
      <c r="H455" s="7" t="s">
        <v>15142</v>
      </c>
      <c r="I455" s="7" t="s">
        <v>15387</v>
      </c>
      <c r="J455" s="7" t="s">
        <v>110</v>
      </c>
      <c r="K455" s="7" t="s">
        <v>15388</v>
      </c>
    </row>
    <row r="456" customFormat="false" ht="68.65" hidden="false" customHeight="false" outlineLevel="0" collapsed="false">
      <c r="A456" s="7" t="n">
        <v>455</v>
      </c>
      <c r="B456" s="7" t="s">
        <v>1384</v>
      </c>
      <c r="C456" s="7" t="n">
        <v>2023</v>
      </c>
      <c r="D456" s="7" t="s">
        <v>2716</v>
      </c>
      <c r="E456" s="7" t="s">
        <v>143</v>
      </c>
      <c r="F456" s="7" t="s">
        <v>15389</v>
      </c>
      <c r="G456" s="7" t="s">
        <v>15390</v>
      </c>
      <c r="H456" s="7" t="s">
        <v>15165</v>
      </c>
      <c r="I456" s="7" t="s">
        <v>15391</v>
      </c>
      <c r="J456" s="7" t="s">
        <v>110</v>
      </c>
      <c r="K456" s="7" t="s">
        <v>15392</v>
      </c>
    </row>
    <row r="457" customFormat="false" ht="147" hidden="false" customHeight="false" outlineLevel="0" collapsed="false">
      <c r="A457" s="7" t="n">
        <v>456</v>
      </c>
      <c r="B457" s="7" t="s">
        <v>15393</v>
      </c>
      <c r="C457" s="7" t="n">
        <v>2022</v>
      </c>
      <c r="D457" s="7" t="s">
        <v>2724</v>
      </c>
      <c r="E457" s="7" t="s">
        <v>15394</v>
      </c>
      <c r="F457" s="7" t="s">
        <v>15395</v>
      </c>
      <c r="G457" s="7" t="s">
        <v>15396</v>
      </c>
      <c r="H457" s="7" t="s">
        <v>15397</v>
      </c>
      <c r="I457" s="7" t="s">
        <v>15398</v>
      </c>
      <c r="J457" s="7" t="s">
        <v>110</v>
      </c>
      <c r="K457" s="7" t="s">
        <v>15399</v>
      </c>
    </row>
    <row r="458" customFormat="false" ht="46.25" hidden="false" customHeight="false" outlineLevel="0" collapsed="false">
      <c r="A458" s="7" t="n">
        <v>457</v>
      </c>
      <c r="B458" s="7" t="s">
        <v>2436</v>
      </c>
      <c r="C458" s="7" t="n">
        <v>2020</v>
      </c>
      <c r="D458" s="7" t="s">
        <v>2744</v>
      </c>
      <c r="E458" s="7" t="s">
        <v>143</v>
      </c>
      <c r="F458" s="7" t="s">
        <v>2745</v>
      </c>
      <c r="G458" s="7" t="s">
        <v>145</v>
      </c>
      <c r="H458" s="7" t="s">
        <v>153</v>
      </c>
      <c r="I458" s="7" t="s">
        <v>2746</v>
      </c>
      <c r="J458" s="7"/>
      <c r="K458" s="7" t="s">
        <v>2747</v>
      </c>
    </row>
    <row r="459" customFormat="false" ht="102.2" hidden="false" customHeight="false" outlineLevel="0" collapsed="false">
      <c r="A459" s="7" t="n">
        <v>458</v>
      </c>
      <c r="B459" s="7" t="s">
        <v>15400</v>
      </c>
      <c r="C459" s="7" t="n">
        <v>2022</v>
      </c>
      <c r="D459" s="7" t="s">
        <v>2748</v>
      </c>
      <c r="E459" s="7" t="s">
        <v>15401</v>
      </c>
      <c r="F459" s="7" t="s">
        <v>15402</v>
      </c>
      <c r="G459" s="7" t="s">
        <v>145</v>
      </c>
      <c r="H459" s="7" t="s">
        <v>153</v>
      </c>
      <c r="I459" s="7" t="s">
        <v>15403</v>
      </c>
      <c r="J459" s="7" t="s">
        <v>110</v>
      </c>
      <c r="K459" s="7" t="s">
        <v>15404</v>
      </c>
    </row>
    <row r="460" customFormat="false" ht="35.05" hidden="false" customHeight="false" outlineLevel="0" collapsed="false">
      <c r="A460" s="7" t="n">
        <v>459</v>
      </c>
      <c r="B460" s="7" t="s">
        <v>2760</v>
      </c>
      <c r="C460" s="7" t="n">
        <v>2021</v>
      </c>
      <c r="D460" s="7" t="s">
        <v>2761</v>
      </c>
      <c r="E460" s="7" t="s">
        <v>143</v>
      </c>
      <c r="F460" s="7" t="s">
        <v>2013</v>
      </c>
      <c r="G460" s="7" t="s">
        <v>145</v>
      </c>
      <c r="H460" s="7" t="s">
        <v>153</v>
      </c>
      <c r="I460" s="7" t="s">
        <v>2762</v>
      </c>
      <c r="J460" s="7" t="s">
        <v>114</v>
      </c>
      <c r="K460" s="7" t="s">
        <v>2763</v>
      </c>
    </row>
    <row r="461" customFormat="false" ht="46.25" hidden="false" customHeight="false" outlineLevel="0" collapsed="false">
      <c r="A461" s="7" t="n">
        <v>460</v>
      </c>
      <c r="B461" s="7" t="s">
        <v>2764</v>
      </c>
      <c r="C461" s="7" t="n">
        <v>2018</v>
      </c>
      <c r="D461" s="7" t="s">
        <v>2765</v>
      </c>
      <c r="E461" s="7" t="s">
        <v>143</v>
      </c>
      <c r="F461" s="7" t="s">
        <v>2766</v>
      </c>
      <c r="G461" s="7" t="s">
        <v>145</v>
      </c>
      <c r="H461" s="7" t="s">
        <v>387</v>
      </c>
      <c r="I461" s="7" t="s">
        <v>2767</v>
      </c>
      <c r="J461" s="7" t="s">
        <v>112</v>
      </c>
      <c r="K461" s="7" t="s">
        <v>2768</v>
      </c>
    </row>
    <row r="462" customFormat="false" ht="35.05" hidden="false" customHeight="false" outlineLevel="0" collapsed="false">
      <c r="A462" s="7" t="n">
        <v>461</v>
      </c>
      <c r="B462" s="7" t="s">
        <v>2769</v>
      </c>
      <c r="C462" s="7" t="n">
        <v>2021</v>
      </c>
      <c r="D462" s="7" t="s">
        <v>2770</v>
      </c>
      <c r="E462" s="7" t="s">
        <v>201</v>
      </c>
      <c r="F462" s="7" t="s">
        <v>2639</v>
      </c>
      <c r="G462" s="7" t="s">
        <v>145</v>
      </c>
      <c r="H462" s="7" t="s">
        <v>153</v>
      </c>
      <c r="I462" s="7" t="s">
        <v>2771</v>
      </c>
      <c r="J462" s="7" t="s">
        <v>114</v>
      </c>
      <c r="K462" s="7" t="s">
        <v>2772</v>
      </c>
    </row>
    <row r="463" customFormat="false" ht="35.05" hidden="false" customHeight="false" outlineLevel="0" collapsed="false">
      <c r="A463" s="7" t="n">
        <v>462</v>
      </c>
      <c r="B463" s="7" t="s">
        <v>2710</v>
      </c>
      <c r="C463" s="7" t="n">
        <v>2022</v>
      </c>
      <c r="D463" s="7" t="s">
        <v>2773</v>
      </c>
      <c r="E463" s="7" t="s">
        <v>143</v>
      </c>
      <c r="F463" s="7" t="s">
        <v>2774</v>
      </c>
      <c r="G463" s="7" t="s">
        <v>145</v>
      </c>
      <c r="H463" s="7" t="s">
        <v>153</v>
      </c>
      <c r="I463" s="7" t="s">
        <v>2775</v>
      </c>
      <c r="J463" s="7" t="s">
        <v>114</v>
      </c>
      <c r="K463" s="7" t="s">
        <v>2776</v>
      </c>
    </row>
    <row r="464" customFormat="false" ht="35.05" hidden="false" customHeight="false" outlineLevel="0" collapsed="false">
      <c r="A464" s="7" t="n">
        <v>463</v>
      </c>
      <c r="B464" s="7" t="s">
        <v>2710</v>
      </c>
      <c r="C464" s="7" t="n">
        <v>2022</v>
      </c>
      <c r="D464" s="7" t="s">
        <v>2777</v>
      </c>
      <c r="E464" s="7" t="s">
        <v>151</v>
      </c>
      <c r="F464" s="7" t="s">
        <v>2778</v>
      </c>
      <c r="G464" s="7" t="s">
        <v>145</v>
      </c>
      <c r="H464" s="7" t="s">
        <v>153</v>
      </c>
      <c r="I464" s="7" t="s">
        <v>2779</v>
      </c>
      <c r="J464" s="7" t="s">
        <v>114</v>
      </c>
      <c r="K464" s="7" t="s">
        <v>2780</v>
      </c>
    </row>
    <row r="465" customFormat="false" ht="57.45" hidden="false" customHeight="false" outlineLevel="0" collapsed="false">
      <c r="A465" s="7" t="n">
        <v>464</v>
      </c>
      <c r="B465" s="7" t="s">
        <v>2633</v>
      </c>
      <c r="C465" s="7" t="n">
        <v>2022</v>
      </c>
      <c r="D465" s="7" t="s">
        <v>2781</v>
      </c>
      <c r="E465" s="7" t="s">
        <v>151</v>
      </c>
      <c r="F465" s="7" t="s">
        <v>15405</v>
      </c>
      <c r="G465" s="7" t="s">
        <v>145</v>
      </c>
      <c r="H465" s="7" t="s">
        <v>153</v>
      </c>
      <c r="I465" s="7" t="s">
        <v>15406</v>
      </c>
      <c r="J465" s="7"/>
      <c r="K465" s="7" t="s">
        <v>15407</v>
      </c>
    </row>
    <row r="466" customFormat="false" ht="35.05" hidden="false" customHeight="false" outlineLevel="0" collapsed="false">
      <c r="A466" s="7" t="n">
        <v>465</v>
      </c>
      <c r="B466" s="7" t="s">
        <v>2787</v>
      </c>
      <c r="C466" s="7" t="n">
        <v>2022</v>
      </c>
      <c r="D466" s="7" t="s">
        <v>2788</v>
      </c>
      <c r="E466" s="7" t="s">
        <v>151</v>
      </c>
      <c r="F466" s="7" t="s">
        <v>197</v>
      </c>
      <c r="G466" s="7" t="s">
        <v>145</v>
      </c>
      <c r="H466" s="7" t="s">
        <v>153</v>
      </c>
      <c r="I466" s="7" t="s">
        <v>2789</v>
      </c>
      <c r="J466" s="7"/>
      <c r="K466" s="7" t="s">
        <v>2790</v>
      </c>
    </row>
    <row r="467" customFormat="false" ht="35.05" hidden="false" customHeight="false" outlineLevel="0" collapsed="false">
      <c r="A467" s="7" t="n">
        <v>466</v>
      </c>
      <c r="B467" s="7" t="s">
        <v>2791</v>
      </c>
      <c r="C467" s="7" t="n">
        <v>2022</v>
      </c>
      <c r="D467" s="7" t="s">
        <v>2792</v>
      </c>
      <c r="E467" s="7" t="s">
        <v>143</v>
      </c>
      <c r="F467" s="7" t="s">
        <v>2793</v>
      </c>
      <c r="G467" s="7" t="s">
        <v>2794</v>
      </c>
      <c r="H467" s="7" t="s">
        <v>146</v>
      </c>
      <c r="I467" s="7" t="s">
        <v>2795</v>
      </c>
      <c r="J467" s="7" t="s">
        <v>116</v>
      </c>
      <c r="K467" s="7" t="s">
        <v>2796</v>
      </c>
    </row>
    <row r="468" customFormat="false" ht="35.05" hidden="false" customHeight="false" outlineLevel="0" collapsed="false">
      <c r="A468" s="7" t="n">
        <v>467</v>
      </c>
      <c r="B468" s="7" t="s">
        <v>2797</v>
      </c>
      <c r="C468" s="7" t="n">
        <v>2016</v>
      </c>
      <c r="D468" s="7" t="s">
        <v>2798</v>
      </c>
      <c r="E468" s="7" t="s">
        <v>143</v>
      </c>
      <c r="F468" s="7" t="s">
        <v>2799</v>
      </c>
      <c r="G468" s="7" t="s">
        <v>2800</v>
      </c>
      <c r="H468" s="7" t="s">
        <v>208</v>
      </c>
      <c r="I468" s="7" t="s">
        <v>2801</v>
      </c>
      <c r="J468" s="7"/>
      <c r="K468" s="7" t="s">
        <v>2802</v>
      </c>
    </row>
    <row r="469" customFormat="false" ht="35.05" hidden="false" customHeight="false" outlineLevel="0" collapsed="false">
      <c r="A469" s="7" t="n">
        <v>468</v>
      </c>
      <c r="B469" s="7" t="s">
        <v>2803</v>
      </c>
      <c r="C469" s="7" t="n">
        <v>2022</v>
      </c>
      <c r="D469" s="7" t="s">
        <v>2804</v>
      </c>
      <c r="E469" s="7" t="s">
        <v>579</v>
      </c>
      <c r="F469" s="7" t="s">
        <v>2805</v>
      </c>
      <c r="G469" s="7" t="s">
        <v>2806</v>
      </c>
      <c r="H469" s="7" t="s">
        <v>748</v>
      </c>
      <c r="I469" s="7" t="s">
        <v>2807</v>
      </c>
      <c r="J469" s="7" t="s">
        <v>116</v>
      </c>
      <c r="K469" s="7" t="s">
        <v>2808</v>
      </c>
    </row>
    <row r="470" customFormat="false" ht="35.05" hidden="false" customHeight="false" outlineLevel="0" collapsed="false">
      <c r="A470" s="7" t="n">
        <v>469</v>
      </c>
      <c r="B470" s="7" t="s">
        <v>2809</v>
      </c>
      <c r="C470" s="7" t="n">
        <v>2022</v>
      </c>
      <c r="D470" s="7" t="s">
        <v>2810</v>
      </c>
      <c r="E470" s="7" t="s">
        <v>143</v>
      </c>
      <c r="F470" s="7" t="s">
        <v>2811</v>
      </c>
      <c r="G470" s="7" t="s">
        <v>2812</v>
      </c>
      <c r="H470" s="7" t="s">
        <v>208</v>
      </c>
      <c r="I470" s="7" t="s">
        <v>2813</v>
      </c>
      <c r="J470" s="7" t="s">
        <v>116</v>
      </c>
      <c r="K470" s="7" t="s">
        <v>2814</v>
      </c>
    </row>
    <row r="471" customFormat="false" ht="35.05" hidden="false" customHeight="false" outlineLevel="0" collapsed="false">
      <c r="A471" s="7" t="n">
        <v>470</v>
      </c>
      <c r="B471" s="7" t="s">
        <v>2099</v>
      </c>
      <c r="C471" s="7" t="n">
        <v>2021</v>
      </c>
      <c r="D471" s="7" t="s">
        <v>2815</v>
      </c>
      <c r="E471" s="7" t="s">
        <v>151</v>
      </c>
      <c r="F471" s="7" t="s">
        <v>2816</v>
      </c>
      <c r="G471" s="7" t="s">
        <v>145</v>
      </c>
      <c r="H471" s="7" t="s">
        <v>153</v>
      </c>
      <c r="I471" s="7" t="s">
        <v>2817</v>
      </c>
      <c r="J471" s="7"/>
      <c r="K471" s="7" t="s">
        <v>2818</v>
      </c>
    </row>
    <row r="472" customFormat="false" ht="35.05" hidden="false" customHeight="false" outlineLevel="0" collapsed="false">
      <c r="A472" s="7" t="n">
        <v>471</v>
      </c>
      <c r="B472" s="7" t="s">
        <v>2819</v>
      </c>
      <c r="C472" s="7" t="n">
        <v>2022</v>
      </c>
      <c r="D472" s="7" t="s">
        <v>2820</v>
      </c>
      <c r="E472" s="7" t="s">
        <v>143</v>
      </c>
      <c r="F472" s="7" t="s">
        <v>2821</v>
      </c>
      <c r="G472" s="7" t="s">
        <v>145</v>
      </c>
      <c r="H472" s="7" t="s">
        <v>153</v>
      </c>
      <c r="I472" s="7" t="s">
        <v>2822</v>
      </c>
      <c r="J472" s="7"/>
      <c r="K472" s="7" t="s">
        <v>2823</v>
      </c>
    </row>
    <row r="473" customFormat="false" ht="35.05" hidden="false" customHeight="false" outlineLevel="0" collapsed="false">
      <c r="A473" s="7" t="n">
        <v>472</v>
      </c>
      <c r="B473" s="7" t="s">
        <v>2436</v>
      </c>
      <c r="C473" s="7" t="n">
        <v>2019</v>
      </c>
      <c r="D473" s="7" t="s">
        <v>2824</v>
      </c>
      <c r="E473" s="7" t="s">
        <v>151</v>
      </c>
      <c r="F473" s="7" t="s">
        <v>2825</v>
      </c>
      <c r="G473" s="7" t="s">
        <v>1159</v>
      </c>
      <c r="H473" s="7" t="s">
        <v>387</v>
      </c>
      <c r="I473" s="7" t="s">
        <v>2826</v>
      </c>
      <c r="J473" s="7" t="s">
        <v>112</v>
      </c>
      <c r="K473" s="7" t="s">
        <v>2827</v>
      </c>
    </row>
    <row r="474" customFormat="false" ht="35.05" hidden="false" customHeight="false" outlineLevel="0" collapsed="false">
      <c r="A474" s="7" t="n">
        <v>473</v>
      </c>
      <c r="B474" s="7" t="s">
        <v>1331</v>
      </c>
      <c r="C474" s="7" t="n">
        <v>2019</v>
      </c>
      <c r="D474" s="7" t="s">
        <v>2828</v>
      </c>
      <c r="E474" s="7" t="s">
        <v>151</v>
      </c>
      <c r="F474" s="7" t="s">
        <v>2829</v>
      </c>
      <c r="G474" s="7" t="s">
        <v>145</v>
      </c>
      <c r="H474" s="7" t="s">
        <v>387</v>
      </c>
      <c r="I474" s="7" t="s">
        <v>2830</v>
      </c>
      <c r="J474" s="7" t="s">
        <v>112</v>
      </c>
      <c r="K474" s="7" t="s">
        <v>2831</v>
      </c>
    </row>
    <row r="475" customFormat="false" ht="35.05" hidden="false" customHeight="false" outlineLevel="0" collapsed="false">
      <c r="A475" s="7" t="n">
        <v>474</v>
      </c>
      <c r="B475" s="7" t="s">
        <v>1314</v>
      </c>
      <c r="C475" s="7" t="n">
        <v>2019</v>
      </c>
      <c r="D475" s="7" t="s">
        <v>2832</v>
      </c>
      <c r="E475" s="7" t="s">
        <v>201</v>
      </c>
      <c r="F475" s="7" t="s">
        <v>626</v>
      </c>
      <c r="G475" s="7" t="s">
        <v>145</v>
      </c>
      <c r="H475" s="7" t="s">
        <v>153</v>
      </c>
      <c r="I475" s="7" t="s">
        <v>2833</v>
      </c>
      <c r="J475" s="7" t="s">
        <v>112</v>
      </c>
      <c r="K475" s="7" t="s">
        <v>2834</v>
      </c>
    </row>
    <row r="476" customFormat="false" ht="57.45" hidden="false" customHeight="false" outlineLevel="0" collapsed="false">
      <c r="A476" s="7" t="n">
        <v>475</v>
      </c>
      <c r="B476" s="7" t="s">
        <v>2835</v>
      </c>
      <c r="C476" s="7" t="n">
        <v>2019</v>
      </c>
      <c r="D476" s="7" t="s">
        <v>2836</v>
      </c>
      <c r="E476" s="7" t="s">
        <v>15408</v>
      </c>
      <c r="F476" s="7" t="s">
        <v>15409</v>
      </c>
      <c r="G476" s="7" t="s">
        <v>15410</v>
      </c>
      <c r="H476" s="7" t="s">
        <v>15231</v>
      </c>
      <c r="I476" s="7" t="s">
        <v>15411</v>
      </c>
      <c r="J476" s="7" t="s">
        <v>112</v>
      </c>
      <c r="K476" s="7" t="s">
        <v>15412</v>
      </c>
    </row>
    <row r="477" customFormat="false" ht="35.05" hidden="false" customHeight="false" outlineLevel="0" collapsed="false">
      <c r="A477" s="7" t="n">
        <v>476</v>
      </c>
      <c r="B477" s="7" t="s">
        <v>2844</v>
      </c>
      <c r="C477" s="7" t="n">
        <v>2020</v>
      </c>
      <c r="D477" s="7" t="s">
        <v>2845</v>
      </c>
      <c r="E477" s="7" t="s">
        <v>143</v>
      </c>
      <c r="F477" s="7" t="s">
        <v>1163</v>
      </c>
      <c r="G477" s="7" t="s">
        <v>2846</v>
      </c>
      <c r="H477" s="7" t="s">
        <v>387</v>
      </c>
      <c r="I477" s="7" t="s">
        <v>2847</v>
      </c>
      <c r="J477" s="7" t="s">
        <v>112</v>
      </c>
      <c r="K477" s="7" t="s">
        <v>2848</v>
      </c>
    </row>
    <row r="478" customFormat="false" ht="35.05" hidden="false" customHeight="false" outlineLevel="0" collapsed="false">
      <c r="A478" s="7" t="n">
        <v>477</v>
      </c>
      <c r="B478" s="7" t="s">
        <v>2849</v>
      </c>
      <c r="C478" s="7" t="n">
        <v>2010</v>
      </c>
      <c r="D478" s="7" t="s">
        <v>2850</v>
      </c>
      <c r="E478" s="7" t="s">
        <v>151</v>
      </c>
      <c r="F478" s="7" t="s">
        <v>2851</v>
      </c>
      <c r="G478" s="7" t="s">
        <v>145</v>
      </c>
      <c r="H478" s="7" t="s">
        <v>387</v>
      </c>
      <c r="I478" s="7" t="s">
        <v>2852</v>
      </c>
      <c r="J478" s="7" t="s">
        <v>112</v>
      </c>
      <c r="K478" s="7" t="s">
        <v>2853</v>
      </c>
    </row>
    <row r="479" customFormat="false" ht="68.65" hidden="false" customHeight="false" outlineLevel="0" collapsed="false">
      <c r="A479" s="7" t="n">
        <v>478</v>
      </c>
      <c r="B479" s="7" t="s">
        <v>15413</v>
      </c>
      <c r="C479" s="7" t="n">
        <v>2012</v>
      </c>
      <c r="D479" s="7" t="s">
        <v>2855</v>
      </c>
      <c r="E479" s="7" t="s">
        <v>143</v>
      </c>
      <c r="F479" s="7" t="s">
        <v>15414</v>
      </c>
      <c r="G479" s="7" t="s">
        <v>15390</v>
      </c>
      <c r="H479" s="7" t="s">
        <v>15165</v>
      </c>
      <c r="I479" s="7" t="s">
        <v>2857</v>
      </c>
      <c r="J479" s="7" t="s">
        <v>112</v>
      </c>
      <c r="K479" s="7" t="s">
        <v>15415</v>
      </c>
    </row>
    <row r="480" customFormat="false" ht="57.45" hidden="false" customHeight="false" outlineLevel="0" collapsed="false">
      <c r="A480" s="7" t="n">
        <v>479</v>
      </c>
      <c r="B480" s="7" t="s">
        <v>2862</v>
      </c>
      <c r="C480" s="7" t="n">
        <v>2018</v>
      </c>
      <c r="D480" s="7" t="s">
        <v>2863</v>
      </c>
      <c r="E480" s="7" t="s">
        <v>15416</v>
      </c>
      <c r="F480" s="7" t="s">
        <v>15417</v>
      </c>
      <c r="G480" s="7" t="s">
        <v>1198</v>
      </c>
      <c r="H480" s="7" t="s">
        <v>146</v>
      </c>
      <c r="I480" s="7" t="s">
        <v>15418</v>
      </c>
      <c r="J480" s="7" t="s">
        <v>112</v>
      </c>
      <c r="K480" s="7" t="s">
        <v>15419</v>
      </c>
    </row>
    <row r="481" customFormat="false" ht="35.05" hidden="false" customHeight="false" outlineLevel="0" collapsed="false">
      <c r="A481" s="7" t="n">
        <v>480</v>
      </c>
      <c r="B481" s="7" t="s">
        <v>2872</v>
      </c>
      <c r="C481" s="7" t="n">
        <v>2021</v>
      </c>
      <c r="D481" s="7" t="s">
        <v>2873</v>
      </c>
      <c r="E481" s="7" t="s">
        <v>143</v>
      </c>
      <c r="F481" s="7" t="s">
        <v>2874</v>
      </c>
      <c r="G481" s="7" t="s">
        <v>1213</v>
      </c>
      <c r="H481" s="7" t="s">
        <v>146</v>
      </c>
      <c r="I481" s="7" t="s">
        <v>2875</v>
      </c>
      <c r="J481" s="7" t="s">
        <v>112</v>
      </c>
      <c r="K481" s="7" t="s">
        <v>2876</v>
      </c>
    </row>
    <row r="482" customFormat="false" ht="35.05" hidden="false" customHeight="false" outlineLevel="0" collapsed="false">
      <c r="A482" s="7" t="n">
        <v>481</v>
      </c>
      <c r="B482" s="7" t="s">
        <v>2877</v>
      </c>
      <c r="C482" s="7" t="n">
        <v>2021</v>
      </c>
      <c r="D482" s="7" t="s">
        <v>2878</v>
      </c>
      <c r="E482" s="7" t="s">
        <v>143</v>
      </c>
      <c r="F482" s="7" t="s">
        <v>364</v>
      </c>
      <c r="G482" s="7" t="s">
        <v>244</v>
      </c>
      <c r="H482" s="7" t="s">
        <v>387</v>
      </c>
      <c r="I482" s="7" t="s">
        <v>2879</v>
      </c>
      <c r="J482" s="7" t="s">
        <v>112</v>
      </c>
      <c r="K482" s="7" t="s">
        <v>2880</v>
      </c>
    </row>
    <row r="483" customFormat="false" ht="91" hidden="false" customHeight="false" outlineLevel="0" collapsed="false">
      <c r="A483" s="7" t="n">
        <v>482</v>
      </c>
      <c r="B483" s="7" t="s">
        <v>1261</v>
      </c>
      <c r="C483" s="7" t="n">
        <v>2012</v>
      </c>
      <c r="D483" s="7" t="s">
        <v>2881</v>
      </c>
      <c r="E483" s="7" t="s">
        <v>201</v>
      </c>
      <c r="F483" s="7" t="s">
        <v>15420</v>
      </c>
      <c r="G483" s="7" t="s">
        <v>15421</v>
      </c>
      <c r="H483" s="7" t="s">
        <v>146</v>
      </c>
      <c r="I483" s="7" t="s">
        <v>15422</v>
      </c>
      <c r="J483" s="7" t="s">
        <v>112</v>
      </c>
      <c r="K483" s="7" t="s">
        <v>15423</v>
      </c>
    </row>
    <row r="484" customFormat="false" ht="35.05" hidden="false" customHeight="false" outlineLevel="0" collapsed="false">
      <c r="A484" s="7" t="n">
        <v>483</v>
      </c>
      <c r="B484" s="7" t="s">
        <v>2891</v>
      </c>
      <c r="C484" s="7" t="n">
        <v>2020</v>
      </c>
      <c r="D484" s="7" t="s">
        <v>2892</v>
      </c>
      <c r="E484" s="7" t="s">
        <v>143</v>
      </c>
      <c r="F484" s="7" t="s">
        <v>2893</v>
      </c>
      <c r="G484" s="7" t="s">
        <v>255</v>
      </c>
      <c r="H484" s="7" t="s">
        <v>387</v>
      </c>
      <c r="I484" s="7" t="s">
        <v>2894</v>
      </c>
      <c r="J484" s="7" t="s">
        <v>112</v>
      </c>
      <c r="K484" s="7" t="s">
        <v>2895</v>
      </c>
    </row>
    <row r="485" customFormat="false" ht="35.05" hidden="false" customHeight="false" outlineLevel="0" collapsed="false">
      <c r="A485" s="7" t="n">
        <v>484</v>
      </c>
      <c r="B485" s="7" t="s">
        <v>2896</v>
      </c>
      <c r="C485" s="7" t="n">
        <v>2020</v>
      </c>
      <c r="D485" s="7" t="s">
        <v>2897</v>
      </c>
      <c r="E485" s="7" t="s">
        <v>201</v>
      </c>
      <c r="F485" s="7" t="s">
        <v>2898</v>
      </c>
      <c r="G485" s="7" t="s">
        <v>2899</v>
      </c>
      <c r="H485" s="7" t="s">
        <v>146</v>
      </c>
      <c r="I485" s="7" t="s">
        <v>2900</v>
      </c>
      <c r="J485" s="7" t="s">
        <v>112</v>
      </c>
      <c r="K485" s="7" t="s">
        <v>2901</v>
      </c>
    </row>
    <row r="486" customFormat="false" ht="35.05" hidden="false" customHeight="false" outlineLevel="0" collapsed="false">
      <c r="A486" s="7" t="n">
        <v>485</v>
      </c>
      <c r="B486" s="7" t="s">
        <v>2902</v>
      </c>
      <c r="C486" s="7" t="n">
        <v>2022</v>
      </c>
      <c r="D486" s="7" t="s">
        <v>2903</v>
      </c>
      <c r="E486" s="7" t="s">
        <v>579</v>
      </c>
      <c r="F486" s="7" t="s">
        <v>2904</v>
      </c>
      <c r="G486" s="7" t="s">
        <v>1354</v>
      </c>
      <c r="H486" s="7" t="s">
        <v>146</v>
      </c>
      <c r="I486" s="7" t="s">
        <v>2905</v>
      </c>
      <c r="J486" s="7" t="s">
        <v>112</v>
      </c>
      <c r="K486" s="7" t="s">
        <v>2906</v>
      </c>
    </row>
    <row r="487" customFormat="false" ht="35.05" hidden="false" customHeight="false" outlineLevel="0" collapsed="false">
      <c r="A487" s="7" t="n">
        <v>486</v>
      </c>
      <c r="B487" s="7" t="s">
        <v>2907</v>
      </c>
      <c r="C487" s="7" t="n">
        <v>2022</v>
      </c>
      <c r="D487" s="7" t="s">
        <v>2908</v>
      </c>
      <c r="E487" s="7" t="s">
        <v>143</v>
      </c>
      <c r="F487" s="7" t="s">
        <v>2909</v>
      </c>
      <c r="G487" s="7" t="s">
        <v>2910</v>
      </c>
      <c r="H487" s="7" t="s">
        <v>208</v>
      </c>
      <c r="I487" s="7" t="s">
        <v>2911</v>
      </c>
      <c r="J487" s="7" t="s">
        <v>110</v>
      </c>
      <c r="K487" s="7" t="s">
        <v>2912</v>
      </c>
    </row>
    <row r="488" customFormat="false" ht="35.05" hidden="false" customHeight="false" outlineLevel="0" collapsed="false">
      <c r="A488" s="7" t="n">
        <v>487</v>
      </c>
      <c r="B488" s="7" t="s">
        <v>2913</v>
      </c>
      <c r="C488" s="7" t="n">
        <v>2022</v>
      </c>
      <c r="D488" s="7" t="s">
        <v>2914</v>
      </c>
      <c r="E488" s="7" t="s">
        <v>143</v>
      </c>
      <c r="F488" s="7" t="s">
        <v>2915</v>
      </c>
      <c r="G488" s="7" t="s">
        <v>255</v>
      </c>
      <c r="H488" s="7" t="s">
        <v>387</v>
      </c>
      <c r="I488" s="7" t="s">
        <v>2916</v>
      </c>
      <c r="J488" s="7" t="s">
        <v>110</v>
      </c>
      <c r="K488" s="7" t="s">
        <v>2917</v>
      </c>
    </row>
    <row r="489" customFormat="false" ht="35.05" hidden="false" customHeight="false" outlineLevel="0" collapsed="false">
      <c r="A489" s="7" t="n">
        <v>488</v>
      </c>
      <c r="B489" s="7" t="s">
        <v>2918</v>
      </c>
      <c r="C489" s="7" t="n">
        <v>2022</v>
      </c>
      <c r="D489" s="7" t="s">
        <v>2919</v>
      </c>
      <c r="E489" s="7" t="s">
        <v>143</v>
      </c>
      <c r="F489" s="7" t="s">
        <v>2920</v>
      </c>
      <c r="G489" s="7" t="s">
        <v>2921</v>
      </c>
      <c r="H489" s="7" t="s">
        <v>146</v>
      </c>
      <c r="I489" s="7" t="s">
        <v>2922</v>
      </c>
      <c r="J489" s="7" t="s">
        <v>110</v>
      </c>
      <c r="K489" s="7" t="s">
        <v>2923</v>
      </c>
    </row>
    <row r="490" customFormat="false" ht="35.05" hidden="false" customHeight="false" outlineLevel="0" collapsed="false">
      <c r="A490" s="7" t="n">
        <v>489</v>
      </c>
      <c r="B490" s="7" t="s">
        <v>2924</v>
      </c>
      <c r="C490" s="7" t="n">
        <v>2022</v>
      </c>
      <c r="D490" s="7" t="s">
        <v>2925</v>
      </c>
      <c r="E490" s="7" t="s">
        <v>143</v>
      </c>
      <c r="F490" s="7" t="s">
        <v>2926</v>
      </c>
      <c r="G490" s="7" t="s">
        <v>145</v>
      </c>
      <c r="H490" s="7" t="s">
        <v>153</v>
      </c>
      <c r="I490" s="7" t="s">
        <v>2927</v>
      </c>
      <c r="J490" s="7" t="s">
        <v>114</v>
      </c>
      <c r="K490" s="7" t="s">
        <v>2928</v>
      </c>
    </row>
    <row r="491" customFormat="false" ht="35.05" hidden="false" customHeight="false" outlineLevel="0" collapsed="false">
      <c r="A491" s="7" t="n">
        <v>490</v>
      </c>
      <c r="B491" s="7" t="s">
        <v>1793</v>
      </c>
      <c r="C491" s="7" t="n">
        <v>2022</v>
      </c>
      <c r="D491" s="7" t="s">
        <v>2929</v>
      </c>
      <c r="E491" s="7" t="s">
        <v>143</v>
      </c>
      <c r="F491" s="7" t="s">
        <v>2930</v>
      </c>
      <c r="G491" s="7" t="s">
        <v>145</v>
      </c>
      <c r="H491" s="7" t="s">
        <v>387</v>
      </c>
      <c r="I491" s="7" t="s">
        <v>2931</v>
      </c>
      <c r="J491" s="7" t="s">
        <v>110</v>
      </c>
      <c r="K491" s="7" t="s">
        <v>2932</v>
      </c>
    </row>
    <row r="492" customFormat="false" ht="35.05" hidden="false" customHeight="false" outlineLevel="0" collapsed="false">
      <c r="A492" s="7" t="n">
        <v>491</v>
      </c>
      <c r="B492" s="7" t="s">
        <v>2933</v>
      </c>
      <c r="C492" s="7" t="n">
        <v>2022</v>
      </c>
      <c r="D492" s="7" t="s">
        <v>2934</v>
      </c>
      <c r="E492" s="7" t="s">
        <v>143</v>
      </c>
      <c r="F492" s="7" t="s">
        <v>2935</v>
      </c>
      <c r="G492" s="7" t="s">
        <v>817</v>
      </c>
      <c r="H492" s="7" t="s">
        <v>153</v>
      </c>
      <c r="I492" s="7" t="s">
        <v>2936</v>
      </c>
      <c r="J492" s="7" t="s">
        <v>112</v>
      </c>
      <c r="K492" s="7" t="s">
        <v>2937</v>
      </c>
    </row>
    <row r="493" customFormat="false" ht="35.05" hidden="false" customHeight="false" outlineLevel="0" collapsed="false">
      <c r="A493" s="7" t="n">
        <v>492</v>
      </c>
      <c r="B493" s="7" t="s">
        <v>2938</v>
      </c>
      <c r="C493" s="7" t="n">
        <v>2022</v>
      </c>
      <c r="D493" s="7" t="s">
        <v>2939</v>
      </c>
      <c r="E493" s="7" t="s">
        <v>143</v>
      </c>
      <c r="F493" s="7" t="s">
        <v>2940</v>
      </c>
      <c r="G493" s="7" t="s">
        <v>2941</v>
      </c>
      <c r="H493" s="7" t="s">
        <v>153</v>
      </c>
      <c r="I493" s="7" t="s">
        <v>2942</v>
      </c>
      <c r="J493" s="7" t="s">
        <v>112</v>
      </c>
      <c r="K493" s="7" t="s">
        <v>2943</v>
      </c>
    </row>
    <row r="494" customFormat="false" ht="35.05" hidden="false" customHeight="false" outlineLevel="0" collapsed="false">
      <c r="A494" s="7" t="n">
        <v>493</v>
      </c>
      <c r="B494" s="7" t="s">
        <v>1622</v>
      </c>
      <c r="C494" s="7" t="n">
        <v>2021</v>
      </c>
      <c r="D494" s="7" t="s">
        <v>2944</v>
      </c>
      <c r="E494" s="7" t="s">
        <v>143</v>
      </c>
      <c r="F494" s="7" t="s">
        <v>2945</v>
      </c>
      <c r="G494" s="7" t="s">
        <v>327</v>
      </c>
      <c r="H494" s="7" t="s">
        <v>153</v>
      </c>
      <c r="I494" s="7" t="s">
        <v>2946</v>
      </c>
      <c r="J494" s="7"/>
      <c r="K494" s="7" t="s">
        <v>2947</v>
      </c>
    </row>
    <row r="495" customFormat="false" ht="35.05" hidden="false" customHeight="false" outlineLevel="0" collapsed="false">
      <c r="A495" s="7" t="n">
        <v>494</v>
      </c>
      <c r="B495" s="7" t="s">
        <v>2948</v>
      </c>
      <c r="C495" s="7" t="n">
        <v>2011</v>
      </c>
      <c r="D495" s="7" t="s">
        <v>2949</v>
      </c>
      <c r="E495" s="7" t="s">
        <v>201</v>
      </c>
      <c r="F495" s="7" t="s">
        <v>2950</v>
      </c>
      <c r="G495" s="7" t="s">
        <v>255</v>
      </c>
      <c r="H495" s="7" t="s">
        <v>146</v>
      </c>
      <c r="I495" s="7" t="s">
        <v>2951</v>
      </c>
      <c r="J495" s="7" t="s">
        <v>116</v>
      </c>
      <c r="K495" s="7" t="s">
        <v>2952</v>
      </c>
    </row>
    <row r="496" customFormat="false" ht="35.05" hidden="false" customHeight="false" outlineLevel="0" collapsed="false">
      <c r="A496" s="7" t="n">
        <v>495</v>
      </c>
      <c r="B496" s="7" t="s">
        <v>2953</v>
      </c>
      <c r="C496" s="7" t="n">
        <v>2022</v>
      </c>
      <c r="D496" s="7" t="s">
        <v>2954</v>
      </c>
      <c r="E496" s="7" t="s">
        <v>151</v>
      </c>
      <c r="F496" s="7" t="s">
        <v>2955</v>
      </c>
      <c r="G496" s="7" t="s">
        <v>2886</v>
      </c>
      <c r="H496" s="7" t="s">
        <v>387</v>
      </c>
      <c r="I496" s="7" t="s">
        <v>2956</v>
      </c>
      <c r="J496" s="7" t="s">
        <v>114</v>
      </c>
      <c r="K496" s="7" t="s">
        <v>2957</v>
      </c>
    </row>
    <row r="497" customFormat="false" ht="35.05" hidden="false" customHeight="false" outlineLevel="0" collapsed="false">
      <c r="A497" s="7" t="n">
        <v>496</v>
      </c>
      <c r="B497" s="7" t="s">
        <v>2958</v>
      </c>
      <c r="C497" s="7" t="n">
        <v>2022</v>
      </c>
      <c r="D497" s="7" t="s">
        <v>2959</v>
      </c>
      <c r="E497" s="7" t="s">
        <v>143</v>
      </c>
      <c r="F497" s="7" t="s">
        <v>2960</v>
      </c>
      <c r="G497" s="7" t="s">
        <v>145</v>
      </c>
      <c r="H497" s="7" t="s">
        <v>153</v>
      </c>
      <c r="I497" s="7" t="s">
        <v>2961</v>
      </c>
      <c r="J497" s="7" t="s">
        <v>114</v>
      </c>
      <c r="K497" s="7" t="s">
        <v>2962</v>
      </c>
    </row>
    <row r="498" customFormat="false" ht="35.05" hidden="false" customHeight="false" outlineLevel="0" collapsed="false">
      <c r="A498" s="7" t="n">
        <v>497</v>
      </c>
      <c r="B498" s="7" t="s">
        <v>2963</v>
      </c>
      <c r="C498" s="7" t="n">
        <v>2021</v>
      </c>
      <c r="D498" s="7" t="s">
        <v>2964</v>
      </c>
      <c r="E498" s="7" t="s">
        <v>201</v>
      </c>
      <c r="F498" s="7" t="s">
        <v>2965</v>
      </c>
      <c r="G498" s="7" t="s">
        <v>145</v>
      </c>
      <c r="H498" s="7" t="s">
        <v>153</v>
      </c>
      <c r="I498" s="7" t="s">
        <v>2966</v>
      </c>
      <c r="J498" s="7" t="s">
        <v>114</v>
      </c>
      <c r="K498" s="7" t="s">
        <v>2967</v>
      </c>
    </row>
    <row r="499" customFormat="false" ht="35.05" hidden="false" customHeight="false" outlineLevel="0" collapsed="false">
      <c r="A499" s="7" t="n">
        <v>498</v>
      </c>
      <c r="B499" s="7" t="s">
        <v>2968</v>
      </c>
      <c r="C499" s="7" t="n">
        <v>2022</v>
      </c>
      <c r="D499" s="7" t="s">
        <v>2969</v>
      </c>
      <c r="E499" s="7" t="s">
        <v>143</v>
      </c>
      <c r="F499" s="7" t="s">
        <v>2970</v>
      </c>
      <c r="G499" s="7" t="s">
        <v>145</v>
      </c>
      <c r="H499" s="7" t="s">
        <v>153</v>
      </c>
      <c r="I499" s="7" t="s">
        <v>2971</v>
      </c>
      <c r="J499" s="7" t="s">
        <v>114</v>
      </c>
      <c r="K499" s="7" t="s">
        <v>2972</v>
      </c>
    </row>
    <row r="500" customFormat="false" ht="23.85" hidden="false" customHeight="false" outlineLevel="0" collapsed="false">
      <c r="A500" s="7" t="n">
        <v>499</v>
      </c>
      <c r="B500" s="7" t="s">
        <v>2973</v>
      </c>
      <c r="C500" s="7" t="n">
        <v>2022</v>
      </c>
      <c r="D500" s="7" t="s">
        <v>2974</v>
      </c>
      <c r="E500" s="7" t="s">
        <v>143</v>
      </c>
      <c r="F500" s="7" t="s">
        <v>2975</v>
      </c>
      <c r="G500" s="7" t="s">
        <v>145</v>
      </c>
      <c r="H500" s="7" t="s">
        <v>153</v>
      </c>
      <c r="I500" s="7" t="s">
        <v>2976</v>
      </c>
      <c r="J500" s="7" t="s">
        <v>114</v>
      </c>
      <c r="K500" s="7" t="s">
        <v>2977</v>
      </c>
    </row>
    <row r="501" customFormat="false" ht="35.05" hidden="false" customHeight="false" outlineLevel="0" collapsed="false">
      <c r="A501" s="7" t="n">
        <v>500</v>
      </c>
      <c r="B501" s="7" t="s">
        <v>2978</v>
      </c>
      <c r="C501" s="7" t="n">
        <v>2021</v>
      </c>
      <c r="D501" s="7" t="s">
        <v>2979</v>
      </c>
      <c r="E501" s="7" t="s">
        <v>143</v>
      </c>
      <c r="F501" s="7" t="s">
        <v>2980</v>
      </c>
      <c r="G501" s="7" t="s">
        <v>871</v>
      </c>
      <c r="H501" s="7" t="s">
        <v>153</v>
      </c>
      <c r="I501" s="7" t="s">
        <v>2981</v>
      </c>
      <c r="J501" s="7" t="s">
        <v>114</v>
      </c>
      <c r="K501" s="7" t="s">
        <v>2982</v>
      </c>
    </row>
    <row r="502" customFormat="false" ht="35.05" hidden="false" customHeight="false" outlineLevel="0" collapsed="false">
      <c r="A502" s="7" t="n">
        <v>501</v>
      </c>
      <c r="B502" s="7" t="s">
        <v>2983</v>
      </c>
      <c r="C502" s="7" t="n">
        <v>2008</v>
      </c>
      <c r="D502" s="7" t="s">
        <v>2984</v>
      </c>
      <c r="E502" s="7" t="s">
        <v>143</v>
      </c>
      <c r="F502" s="7" t="s">
        <v>2985</v>
      </c>
      <c r="G502" s="7" t="s">
        <v>672</v>
      </c>
      <c r="H502" s="7" t="s">
        <v>153</v>
      </c>
      <c r="I502" s="7" t="s">
        <v>2986</v>
      </c>
      <c r="J502" s="7"/>
      <c r="K502" s="7" t="s">
        <v>2987</v>
      </c>
    </row>
    <row r="503" customFormat="false" ht="35.05" hidden="false" customHeight="false" outlineLevel="0" collapsed="false">
      <c r="A503" s="7" t="n">
        <v>502</v>
      </c>
      <c r="B503" s="7" t="s">
        <v>2988</v>
      </c>
      <c r="C503" s="7" t="n">
        <v>2016</v>
      </c>
      <c r="D503" s="7" t="s">
        <v>2989</v>
      </c>
      <c r="E503" s="7" t="s">
        <v>143</v>
      </c>
      <c r="F503" s="7" t="s">
        <v>2990</v>
      </c>
      <c r="G503" s="7" t="s">
        <v>2991</v>
      </c>
      <c r="H503" s="7" t="s">
        <v>387</v>
      </c>
      <c r="I503" s="7" t="s">
        <v>2992</v>
      </c>
      <c r="J503" s="7"/>
      <c r="K503" s="7" t="s">
        <v>2993</v>
      </c>
    </row>
    <row r="504" customFormat="false" ht="35.05" hidden="false" customHeight="false" outlineLevel="0" collapsed="false">
      <c r="A504" s="7" t="n">
        <v>503</v>
      </c>
      <c r="B504" s="7" t="s">
        <v>2994</v>
      </c>
      <c r="C504" s="7" t="n">
        <v>2014</v>
      </c>
      <c r="D504" s="7" t="s">
        <v>2995</v>
      </c>
      <c r="E504" s="7" t="s">
        <v>143</v>
      </c>
      <c r="F504" s="7" t="s">
        <v>2996</v>
      </c>
      <c r="G504" s="7" t="s">
        <v>285</v>
      </c>
      <c r="H504" s="7" t="s">
        <v>146</v>
      </c>
      <c r="I504" s="7" t="s">
        <v>2997</v>
      </c>
      <c r="J504" s="7"/>
      <c r="K504" s="7" t="s">
        <v>2998</v>
      </c>
    </row>
    <row r="505" customFormat="false" ht="23.85" hidden="false" customHeight="false" outlineLevel="0" collapsed="false">
      <c r="A505" s="7" t="n">
        <v>504</v>
      </c>
      <c r="B505" s="7" t="s">
        <v>2994</v>
      </c>
      <c r="C505" s="7" t="n">
        <v>2017</v>
      </c>
      <c r="D505" s="7" t="s">
        <v>2999</v>
      </c>
      <c r="E505" s="7" t="s">
        <v>143</v>
      </c>
      <c r="F505" s="7" t="s">
        <v>3000</v>
      </c>
      <c r="G505" s="7" t="s">
        <v>285</v>
      </c>
      <c r="H505" s="7" t="s">
        <v>208</v>
      </c>
      <c r="I505" s="7" t="s">
        <v>3001</v>
      </c>
      <c r="J505" s="7"/>
      <c r="K505" s="7" t="s">
        <v>3002</v>
      </c>
    </row>
    <row r="506" customFormat="false" ht="23.85" hidden="false" customHeight="false" outlineLevel="0" collapsed="false">
      <c r="A506" s="7" t="n">
        <v>505</v>
      </c>
      <c r="B506" s="7" t="s">
        <v>3003</v>
      </c>
      <c r="C506" s="7" t="n">
        <v>2022</v>
      </c>
      <c r="D506" s="7" t="s">
        <v>3004</v>
      </c>
      <c r="E506" s="7" t="s">
        <v>143</v>
      </c>
      <c r="F506" s="7" t="s">
        <v>3005</v>
      </c>
      <c r="G506" s="7" t="s">
        <v>255</v>
      </c>
      <c r="H506" s="7" t="s">
        <v>387</v>
      </c>
      <c r="I506" s="7" t="s">
        <v>3006</v>
      </c>
      <c r="J506" s="7" t="s">
        <v>110</v>
      </c>
      <c r="K506" s="7" t="s">
        <v>3007</v>
      </c>
    </row>
    <row r="507" customFormat="false" ht="41" hidden="false" customHeight="false" outlineLevel="0" collapsed="false">
      <c r="A507" s="7" t="n">
        <v>506</v>
      </c>
      <c r="B507" s="7" t="s">
        <v>3008</v>
      </c>
      <c r="C507" s="7" t="n">
        <v>2023</v>
      </c>
      <c r="D507" s="7" t="s">
        <v>3009</v>
      </c>
      <c r="E507" s="7" t="s">
        <v>143</v>
      </c>
      <c r="F507" s="7" t="s">
        <v>1703</v>
      </c>
      <c r="G507" s="7" t="s">
        <v>684</v>
      </c>
      <c r="H507" s="7" t="s">
        <v>153</v>
      </c>
      <c r="I507" s="7" t="s">
        <v>3010</v>
      </c>
      <c r="J507" s="7" t="s">
        <v>114</v>
      </c>
      <c r="K507" s="7" t="s">
        <v>3011</v>
      </c>
    </row>
    <row r="508" customFormat="false" ht="35.05" hidden="false" customHeight="false" outlineLevel="0" collapsed="false">
      <c r="A508" s="7" t="n">
        <v>507</v>
      </c>
      <c r="B508" s="7" t="s">
        <v>3012</v>
      </c>
      <c r="C508" s="7" t="n">
        <v>2022</v>
      </c>
      <c r="D508" s="7" t="s">
        <v>3013</v>
      </c>
      <c r="E508" s="7" t="s">
        <v>143</v>
      </c>
      <c r="F508" s="7" t="s">
        <v>3014</v>
      </c>
      <c r="G508" s="7" t="s">
        <v>3015</v>
      </c>
      <c r="H508" s="7" t="s">
        <v>146</v>
      </c>
      <c r="I508" s="7" t="s">
        <v>3016</v>
      </c>
      <c r="J508" s="7" t="s">
        <v>110</v>
      </c>
      <c r="K508" s="7" t="s">
        <v>3017</v>
      </c>
    </row>
    <row r="509" customFormat="false" ht="35.05" hidden="false" customHeight="false" outlineLevel="0" collapsed="false">
      <c r="A509" s="7" t="n">
        <v>508</v>
      </c>
      <c r="B509" s="7" t="s">
        <v>1617</v>
      </c>
      <c r="C509" s="7" t="n">
        <v>2022</v>
      </c>
      <c r="D509" s="7" t="s">
        <v>3018</v>
      </c>
      <c r="E509" s="7" t="s">
        <v>143</v>
      </c>
      <c r="F509" s="7" t="s">
        <v>3019</v>
      </c>
      <c r="G509" s="7" t="s">
        <v>145</v>
      </c>
      <c r="H509" s="7" t="s">
        <v>153</v>
      </c>
      <c r="I509" s="7" t="s">
        <v>2675</v>
      </c>
      <c r="J509" s="7" t="s">
        <v>110</v>
      </c>
      <c r="K509" s="7" t="s">
        <v>3020</v>
      </c>
    </row>
    <row r="510" customFormat="false" ht="41" hidden="false" customHeight="false" outlineLevel="0" collapsed="false">
      <c r="A510" s="7" t="n">
        <v>509</v>
      </c>
      <c r="B510" s="7" t="s">
        <v>3021</v>
      </c>
      <c r="C510" s="7" t="n">
        <v>2021</v>
      </c>
      <c r="D510" s="7" t="s">
        <v>3022</v>
      </c>
      <c r="E510" s="7" t="s">
        <v>143</v>
      </c>
      <c r="F510" s="7" t="s">
        <v>3023</v>
      </c>
      <c r="G510" s="7" t="s">
        <v>2262</v>
      </c>
      <c r="H510" s="7" t="s">
        <v>153</v>
      </c>
      <c r="I510" s="7" t="s">
        <v>3024</v>
      </c>
      <c r="J510" s="7" t="s">
        <v>114</v>
      </c>
      <c r="K510" s="7" t="s">
        <v>3025</v>
      </c>
    </row>
    <row r="511" customFormat="false" ht="41" hidden="false" customHeight="false" outlineLevel="0" collapsed="false">
      <c r="A511" s="7" t="n">
        <v>510</v>
      </c>
      <c r="B511" s="7" t="s">
        <v>3026</v>
      </c>
      <c r="C511" s="7" t="n">
        <v>2022</v>
      </c>
      <c r="D511" s="7" t="s">
        <v>3027</v>
      </c>
      <c r="E511" s="7" t="s">
        <v>143</v>
      </c>
      <c r="F511" s="7" t="s">
        <v>588</v>
      </c>
      <c r="G511" s="7" t="s">
        <v>3028</v>
      </c>
      <c r="H511" s="7" t="s">
        <v>153</v>
      </c>
      <c r="I511" s="7" t="s">
        <v>3029</v>
      </c>
      <c r="J511" s="7" t="s">
        <v>114</v>
      </c>
      <c r="K511" s="7" t="s">
        <v>3030</v>
      </c>
    </row>
    <row r="512" customFormat="false" ht="35.05" hidden="false" customHeight="false" outlineLevel="0" collapsed="false">
      <c r="A512" s="7" t="n">
        <v>511</v>
      </c>
      <c r="B512" s="7" t="s">
        <v>3031</v>
      </c>
      <c r="C512" s="7" t="n">
        <v>2023</v>
      </c>
      <c r="D512" s="7" t="s">
        <v>3032</v>
      </c>
      <c r="E512" s="7" t="s">
        <v>143</v>
      </c>
      <c r="F512" s="7" t="s">
        <v>3033</v>
      </c>
      <c r="G512" s="7" t="s">
        <v>145</v>
      </c>
      <c r="H512" s="7" t="s">
        <v>146</v>
      </c>
      <c r="I512" s="7" t="s">
        <v>3034</v>
      </c>
      <c r="J512" s="7" t="s">
        <v>110</v>
      </c>
      <c r="K512" s="7" t="s">
        <v>3035</v>
      </c>
    </row>
    <row r="513" customFormat="false" ht="35.05" hidden="false" customHeight="false" outlineLevel="0" collapsed="false">
      <c r="A513" s="7" t="n">
        <v>512</v>
      </c>
      <c r="B513" s="7" t="s">
        <v>3036</v>
      </c>
      <c r="C513" s="7" t="n">
        <v>2022</v>
      </c>
      <c r="D513" s="7" t="s">
        <v>3037</v>
      </c>
      <c r="E513" s="7" t="s">
        <v>143</v>
      </c>
      <c r="F513" s="7" t="s">
        <v>3038</v>
      </c>
      <c r="G513" s="7" t="s">
        <v>145</v>
      </c>
      <c r="H513" s="7" t="s">
        <v>153</v>
      </c>
      <c r="I513" s="7" t="s">
        <v>3039</v>
      </c>
      <c r="J513" s="7" t="s">
        <v>110</v>
      </c>
      <c r="K513" s="7" t="s">
        <v>3040</v>
      </c>
    </row>
    <row r="514" customFormat="false" ht="35.05" hidden="false" customHeight="false" outlineLevel="0" collapsed="false">
      <c r="A514" s="7" t="n">
        <v>513</v>
      </c>
      <c r="B514" s="7" t="s">
        <v>3041</v>
      </c>
      <c r="C514" s="7" t="n">
        <v>2023</v>
      </c>
      <c r="D514" s="7" t="s">
        <v>3042</v>
      </c>
      <c r="E514" s="7" t="s">
        <v>143</v>
      </c>
      <c r="F514" s="7" t="s">
        <v>3043</v>
      </c>
      <c r="G514" s="7" t="s">
        <v>145</v>
      </c>
      <c r="H514" s="7" t="s">
        <v>146</v>
      </c>
      <c r="I514" s="7" t="s">
        <v>3044</v>
      </c>
      <c r="J514" s="7"/>
      <c r="K514" s="7" t="s">
        <v>3045</v>
      </c>
    </row>
    <row r="515" customFormat="false" ht="35.05" hidden="false" customHeight="false" outlineLevel="0" collapsed="false">
      <c r="A515" s="7" t="n">
        <v>514</v>
      </c>
      <c r="B515" s="7" t="s">
        <v>3046</v>
      </c>
      <c r="C515" s="7" t="n">
        <v>2022</v>
      </c>
      <c r="D515" s="7" t="s">
        <v>3047</v>
      </c>
      <c r="E515" s="7" t="s">
        <v>143</v>
      </c>
      <c r="F515" s="7" t="s">
        <v>1359</v>
      </c>
      <c r="G515" s="7" t="s">
        <v>2262</v>
      </c>
      <c r="H515" s="7" t="s">
        <v>146</v>
      </c>
      <c r="I515" s="7" t="s">
        <v>3048</v>
      </c>
      <c r="J515" s="7" t="s">
        <v>112</v>
      </c>
      <c r="K515" s="7" t="s">
        <v>3049</v>
      </c>
    </row>
    <row r="516" customFormat="false" ht="35.05" hidden="false" customHeight="false" outlineLevel="0" collapsed="false">
      <c r="A516" s="7" t="n">
        <v>515</v>
      </c>
      <c r="B516" s="7" t="s">
        <v>3050</v>
      </c>
      <c r="C516" s="7" t="n">
        <v>2023</v>
      </c>
      <c r="D516" s="7" t="s">
        <v>3051</v>
      </c>
      <c r="E516" s="7" t="s">
        <v>143</v>
      </c>
      <c r="F516" s="7" t="s">
        <v>3052</v>
      </c>
      <c r="G516" s="7" t="s">
        <v>145</v>
      </c>
      <c r="H516" s="7" t="s">
        <v>153</v>
      </c>
      <c r="I516" s="7" t="s">
        <v>3053</v>
      </c>
      <c r="J516" s="7" t="s">
        <v>114</v>
      </c>
      <c r="K516" s="7" t="s">
        <v>3054</v>
      </c>
    </row>
    <row r="517" customFormat="false" ht="41" hidden="false" customHeight="false" outlineLevel="0" collapsed="false">
      <c r="A517" s="7" t="n">
        <v>516</v>
      </c>
      <c r="B517" s="7" t="s">
        <v>3055</v>
      </c>
      <c r="C517" s="7" t="n">
        <v>2023</v>
      </c>
      <c r="D517" s="7" t="s">
        <v>3056</v>
      </c>
      <c r="E517" s="7" t="s">
        <v>143</v>
      </c>
      <c r="F517" s="7" t="s">
        <v>3057</v>
      </c>
      <c r="G517" s="7" t="s">
        <v>684</v>
      </c>
      <c r="H517" s="7" t="s">
        <v>146</v>
      </c>
      <c r="I517" s="7" t="s">
        <v>3058</v>
      </c>
      <c r="J517" s="7" t="s">
        <v>112</v>
      </c>
      <c r="K517" s="7" t="s">
        <v>3059</v>
      </c>
    </row>
    <row r="518" customFormat="false" ht="35.05" hidden="false" customHeight="false" outlineLevel="0" collapsed="false">
      <c r="A518" s="7" t="n">
        <v>517</v>
      </c>
      <c r="B518" s="7" t="s">
        <v>3060</v>
      </c>
      <c r="C518" s="7" t="n">
        <v>2022</v>
      </c>
      <c r="D518" s="7" t="s">
        <v>3061</v>
      </c>
      <c r="E518" s="7" t="s">
        <v>143</v>
      </c>
      <c r="F518" s="7" t="s">
        <v>3062</v>
      </c>
      <c r="G518" s="7" t="s">
        <v>3063</v>
      </c>
      <c r="H518" s="7" t="s">
        <v>146</v>
      </c>
      <c r="I518" s="7" t="s">
        <v>3064</v>
      </c>
      <c r="J518" s="7" t="s">
        <v>110</v>
      </c>
      <c r="K518" s="7" t="s">
        <v>3065</v>
      </c>
    </row>
    <row r="519" customFormat="false" ht="113.4" hidden="false" customHeight="false" outlineLevel="0" collapsed="false">
      <c r="A519" s="7" t="n">
        <v>518</v>
      </c>
      <c r="B519" s="7" t="s">
        <v>15424</v>
      </c>
      <c r="C519" s="7" t="n">
        <v>2022</v>
      </c>
      <c r="D519" s="7" t="s">
        <v>3067</v>
      </c>
      <c r="E519" s="7" t="s">
        <v>143</v>
      </c>
      <c r="F519" s="7" t="s">
        <v>15425</v>
      </c>
      <c r="G519" s="7" t="s">
        <v>145</v>
      </c>
      <c r="H519" s="7" t="s">
        <v>153</v>
      </c>
      <c r="I519" s="7" t="s">
        <v>15426</v>
      </c>
      <c r="J519" s="7" t="s">
        <v>110</v>
      </c>
      <c r="K519" s="7" t="s">
        <v>15427</v>
      </c>
    </row>
    <row r="520" customFormat="false" ht="26.85" hidden="false" customHeight="false" outlineLevel="0" collapsed="false">
      <c r="A520" s="7" t="n">
        <v>519</v>
      </c>
      <c r="B520" s="7" t="s">
        <v>3082</v>
      </c>
      <c r="C520" s="7" t="n">
        <v>2021</v>
      </c>
      <c r="D520" s="7" t="s">
        <v>3083</v>
      </c>
      <c r="E520" s="7" t="s">
        <v>143</v>
      </c>
      <c r="F520" s="7" t="s">
        <v>3084</v>
      </c>
      <c r="G520" s="7" t="s">
        <v>684</v>
      </c>
      <c r="H520" s="7" t="s">
        <v>153</v>
      </c>
      <c r="I520" s="7" t="s">
        <v>3085</v>
      </c>
      <c r="J520" s="7" t="s">
        <v>116</v>
      </c>
      <c r="K520" s="7" t="s">
        <v>3086</v>
      </c>
    </row>
    <row r="521" customFormat="false" ht="52.2" hidden="false" customHeight="false" outlineLevel="0" collapsed="false">
      <c r="A521" s="7" t="n">
        <v>520</v>
      </c>
      <c r="B521" s="7" t="s">
        <v>3087</v>
      </c>
      <c r="C521" s="7" t="n">
        <v>2023</v>
      </c>
      <c r="D521" s="7" t="s">
        <v>3088</v>
      </c>
      <c r="E521" s="7" t="s">
        <v>143</v>
      </c>
      <c r="F521" s="7" t="s">
        <v>3089</v>
      </c>
      <c r="G521" s="7" t="s">
        <v>3090</v>
      </c>
      <c r="H521" s="7" t="s">
        <v>146</v>
      </c>
      <c r="I521" s="7" t="s">
        <v>3091</v>
      </c>
      <c r="J521" s="7" t="s">
        <v>112</v>
      </c>
      <c r="K521" s="7" t="s">
        <v>3092</v>
      </c>
    </row>
    <row r="522" customFormat="false" ht="41" hidden="false" customHeight="false" outlineLevel="0" collapsed="false">
      <c r="A522" s="7" t="n">
        <v>521</v>
      </c>
      <c r="B522" s="7" t="s">
        <v>3093</v>
      </c>
      <c r="C522" s="7" t="n">
        <v>2022</v>
      </c>
      <c r="D522" s="7" t="s">
        <v>3094</v>
      </c>
      <c r="E522" s="7" t="s">
        <v>151</v>
      </c>
      <c r="F522" s="7" t="s">
        <v>832</v>
      </c>
      <c r="G522" s="7" t="s">
        <v>684</v>
      </c>
      <c r="H522" s="7" t="s">
        <v>146</v>
      </c>
      <c r="I522" s="7" t="s">
        <v>3095</v>
      </c>
      <c r="J522" s="7"/>
      <c r="K522" s="7" t="s">
        <v>3096</v>
      </c>
    </row>
    <row r="523" customFormat="false" ht="35.05" hidden="false" customHeight="false" outlineLevel="0" collapsed="false">
      <c r="A523" s="7" t="n">
        <v>522</v>
      </c>
      <c r="B523" s="7" t="s">
        <v>3097</v>
      </c>
      <c r="C523" s="7" t="n">
        <v>2021</v>
      </c>
      <c r="D523" s="7" t="s">
        <v>3098</v>
      </c>
      <c r="E523" s="7" t="s">
        <v>151</v>
      </c>
      <c r="F523" s="7" t="s">
        <v>3099</v>
      </c>
      <c r="G523" s="7" t="s">
        <v>684</v>
      </c>
      <c r="H523" s="7" t="s">
        <v>153</v>
      </c>
      <c r="I523" s="7" t="s">
        <v>3100</v>
      </c>
      <c r="J523" s="7" t="s">
        <v>114</v>
      </c>
      <c r="K523" s="7" t="s">
        <v>3101</v>
      </c>
    </row>
    <row r="524" customFormat="false" ht="41" hidden="false" customHeight="false" outlineLevel="0" collapsed="false">
      <c r="A524" s="7" t="n">
        <v>523</v>
      </c>
      <c r="B524" s="7" t="s">
        <v>3102</v>
      </c>
      <c r="C524" s="7" t="n">
        <v>2022</v>
      </c>
      <c r="D524" s="7" t="s">
        <v>3103</v>
      </c>
      <c r="E524" s="7" t="s">
        <v>143</v>
      </c>
      <c r="F524" s="7" t="s">
        <v>1424</v>
      </c>
      <c r="G524" s="7" t="s">
        <v>684</v>
      </c>
      <c r="H524" s="7" t="s">
        <v>153</v>
      </c>
      <c r="I524" s="7" t="s">
        <v>3104</v>
      </c>
      <c r="J524" s="7" t="s">
        <v>116</v>
      </c>
      <c r="K524" s="7" t="s">
        <v>3105</v>
      </c>
    </row>
    <row r="525" customFormat="false" ht="35.05" hidden="false" customHeight="false" outlineLevel="0" collapsed="false">
      <c r="A525" s="7" t="n">
        <v>524</v>
      </c>
      <c r="B525" s="7" t="s">
        <v>3106</v>
      </c>
      <c r="C525" s="7" t="n">
        <v>2023</v>
      </c>
      <c r="D525" s="7" t="s">
        <v>3107</v>
      </c>
      <c r="E525" s="7" t="s">
        <v>143</v>
      </c>
      <c r="F525" s="7" t="s">
        <v>3108</v>
      </c>
      <c r="G525" s="7" t="s">
        <v>145</v>
      </c>
      <c r="H525" s="7" t="s">
        <v>146</v>
      </c>
      <c r="I525" s="7" t="s">
        <v>3109</v>
      </c>
      <c r="J525" s="7" t="s">
        <v>110</v>
      </c>
      <c r="K525" s="7" t="s">
        <v>3110</v>
      </c>
    </row>
    <row r="526" customFormat="false" ht="35.05" hidden="false" customHeight="false" outlineLevel="0" collapsed="false">
      <c r="A526" s="7" t="n">
        <v>525</v>
      </c>
      <c r="B526" s="7" t="s">
        <v>3111</v>
      </c>
      <c r="C526" s="7" t="n">
        <v>2022</v>
      </c>
      <c r="D526" s="7" t="s">
        <v>3112</v>
      </c>
      <c r="E526" s="7" t="s">
        <v>143</v>
      </c>
      <c r="F526" s="7" t="s">
        <v>152</v>
      </c>
      <c r="G526" s="7" t="s">
        <v>145</v>
      </c>
      <c r="H526" s="7" t="s">
        <v>153</v>
      </c>
      <c r="I526" s="7" t="s">
        <v>3113</v>
      </c>
      <c r="J526" s="7"/>
      <c r="K526" s="7" t="s">
        <v>3114</v>
      </c>
    </row>
    <row r="527" customFormat="false" ht="79.85" hidden="false" customHeight="false" outlineLevel="0" collapsed="false">
      <c r="A527" s="7" t="n">
        <v>526</v>
      </c>
      <c r="B527" s="7" t="s">
        <v>15428</v>
      </c>
      <c r="C527" s="7" t="n">
        <v>2021</v>
      </c>
      <c r="D527" s="7" t="s">
        <v>3116</v>
      </c>
      <c r="E527" s="7" t="s">
        <v>143</v>
      </c>
      <c r="F527" s="7" t="s">
        <v>15429</v>
      </c>
      <c r="G527" s="7" t="s">
        <v>145</v>
      </c>
      <c r="H527" s="7" t="s">
        <v>153</v>
      </c>
      <c r="I527" s="7" t="s">
        <v>15430</v>
      </c>
      <c r="J527" s="7" t="s">
        <v>15431</v>
      </c>
      <c r="K527" s="7" t="s">
        <v>15432</v>
      </c>
    </row>
    <row r="528" customFormat="false" ht="35.05" hidden="false" customHeight="false" outlineLevel="0" collapsed="false">
      <c r="A528" s="7" t="n">
        <v>527</v>
      </c>
      <c r="B528" s="7" t="s">
        <v>3126</v>
      </c>
      <c r="C528" s="7" t="n">
        <v>2021</v>
      </c>
      <c r="D528" s="7" t="s">
        <v>3127</v>
      </c>
      <c r="E528" s="7" t="s">
        <v>151</v>
      </c>
      <c r="F528" s="7" t="s">
        <v>3128</v>
      </c>
      <c r="G528" s="7" t="s">
        <v>145</v>
      </c>
      <c r="H528" s="7" t="s">
        <v>153</v>
      </c>
      <c r="I528" s="7" t="s">
        <v>3129</v>
      </c>
      <c r="J528" s="7" t="s">
        <v>114</v>
      </c>
      <c r="K528" s="7" t="s">
        <v>3130</v>
      </c>
    </row>
    <row r="529" customFormat="false" ht="35.05" hidden="false" customHeight="false" outlineLevel="0" collapsed="false">
      <c r="A529" s="7" t="n">
        <v>528</v>
      </c>
      <c r="B529" s="7" t="s">
        <v>3131</v>
      </c>
      <c r="C529" s="7" t="n">
        <v>2023</v>
      </c>
      <c r="D529" s="7" t="s">
        <v>3132</v>
      </c>
      <c r="E529" s="7" t="s">
        <v>143</v>
      </c>
      <c r="F529" s="7" t="s">
        <v>3133</v>
      </c>
      <c r="G529" s="7" t="s">
        <v>2899</v>
      </c>
      <c r="H529" s="7" t="s">
        <v>146</v>
      </c>
      <c r="I529" s="7" t="s">
        <v>3134</v>
      </c>
      <c r="J529" s="7" t="s">
        <v>112</v>
      </c>
      <c r="K529" s="7" t="s">
        <v>3135</v>
      </c>
    </row>
    <row r="530" customFormat="false" ht="79.85" hidden="false" customHeight="false" outlineLevel="0" collapsed="false">
      <c r="A530" s="7" t="n">
        <v>529</v>
      </c>
      <c r="B530" s="7" t="s">
        <v>1435</v>
      </c>
      <c r="C530" s="7" t="n">
        <v>2023</v>
      </c>
      <c r="D530" s="7" t="s">
        <v>3136</v>
      </c>
      <c r="E530" s="7" t="s">
        <v>201</v>
      </c>
      <c r="F530" s="7" t="s">
        <v>15433</v>
      </c>
      <c r="G530" s="7" t="s">
        <v>15434</v>
      </c>
      <c r="H530" s="7" t="s">
        <v>15142</v>
      </c>
      <c r="I530" s="7" t="s">
        <v>15435</v>
      </c>
      <c r="J530" s="7" t="s">
        <v>110</v>
      </c>
      <c r="K530" s="7" t="s">
        <v>15436</v>
      </c>
    </row>
    <row r="531" customFormat="false" ht="57.45" hidden="false" customHeight="false" outlineLevel="0" collapsed="false">
      <c r="A531" s="7" t="n">
        <v>530</v>
      </c>
      <c r="B531" s="7" t="s">
        <v>15437</v>
      </c>
      <c r="C531" s="7" t="n">
        <v>2020</v>
      </c>
      <c r="D531" s="7" t="s">
        <v>3150</v>
      </c>
      <c r="E531" s="7" t="s">
        <v>15438</v>
      </c>
      <c r="F531" s="7" t="s">
        <v>15439</v>
      </c>
      <c r="G531" s="7" t="s">
        <v>15440</v>
      </c>
      <c r="H531" s="7" t="s">
        <v>15231</v>
      </c>
      <c r="I531" s="7" t="s">
        <v>15441</v>
      </c>
      <c r="J531" s="7" t="s">
        <v>110</v>
      </c>
      <c r="K531" s="7" t="s">
        <v>15442</v>
      </c>
    </row>
    <row r="532" customFormat="false" ht="35.05" hidden="false" customHeight="false" outlineLevel="0" collapsed="false">
      <c r="A532" s="7" t="n">
        <v>531</v>
      </c>
      <c r="B532" s="7" t="s">
        <v>3160</v>
      </c>
      <c r="C532" s="7" t="n">
        <v>2023</v>
      </c>
      <c r="D532" s="7" t="s">
        <v>3161</v>
      </c>
      <c r="E532" s="7" t="s">
        <v>143</v>
      </c>
      <c r="F532" s="7" t="s">
        <v>3162</v>
      </c>
      <c r="G532" s="7" t="s">
        <v>3163</v>
      </c>
      <c r="H532" s="7" t="s">
        <v>146</v>
      </c>
      <c r="I532" s="7" t="s">
        <v>3164</v>
      </c>
      <c r="J532" s="7" t="s">
        <v>110</v>
      </c>
      <c r="K532" s="7" t="s">
        <v>3165</v>
      </c>
    </row>
    <row r="533" customFormat="false" ht="35.05" hidden="false" customHeight="false" outlineLevel="0" collapsed="false">
      <c r="A533" s="7" t="n">
        <v>532</v>
      </c>
      <c r="B533" s="7" t="s">
        <v>3166</v>
      </c>
      <c r="C533" s="7" t="n">
        <v>2023</v>
      </c>
      <c r="D533" s="7" t="s">
        <v>3167</v>
      </c>
      <c r="E533" s="7" t="s">
        <v>143</v>
      </c>
      <c r="F533" s="7" t="s">
        <v>3168</v>
      </c>
      <c r="G533" s="7" t="s">
        <v>3169</v>
      </c>
      <c r="H533" s="7" t="s">
        <v>146</v>
      </c>
      <c r="I533" s="7" t="s">
        <v>3170</v>
      </c>
      <c r="J533" s="7" t="s">
        <v>110</v>
      </c>
      <c r="K533" s="7" t="s">
        <v>3171</v>
      </c>
    </row>
    <row r="534" customFormat="false" ht="35.05" hidden="false" customHeight="false" outlineLevel="0" collapsed="false">
      <c r="A534" s="7" t="n">
        <v>533</v>
      </c>
      <c r="B534" s="7" t="s">
        <v>3172</v>
      </c>
      <c r="C534" s="7" t="n">
        <v>2024</v>
      </c>
      <c r="D534" s="7" t="s">
        <v>3173</v>
      </c>
      <c r="E534" s="7" t="s">
        <v>201</v>
      </c>
      <c r="F534" s="7" t="s">
        <v>3174</v>
      </c>
      <c r="G534" s="7" t="s">
        <v>2846</v>
      </c>
      <c r="H534" s="7" t="s">
        <v>146</v>
      </c>
      <c r="I534" s="7" t="s">
        <v>3175</v>
      </c>
      <c r="J534" s="7" t="s">
        <v>110</v>
      </c>
      <c r="K534" s="7" t="s">
        <v>3176</v>
      </c>
    </row>
    <row r="535" customFormat="false" ht="41" hidden="false" customHeight="false" outlineLevel="0" collapsed="false">
      <c r="A535" s="7" t="n">
        <v>534</v>
      </c>
      <c r="B535" s="7" t="s">
        <v>3177</v>
      </c>
      <c r="C535" s="7" t="n">
        <v>2023</v>
      </c>
      <c r="D535" s="7" t="s">
        <v>3178</v>
      </c>
      <c r="E535" s="7" t="s">
        <v>143</v>
      </c>
      <c r="F535" s="7" t="s">
        <v>3052</v>
      </c>
      <c r="G535" s="7" t="s">
        <v>3028</v>
      </c>
      <c r="H535" s="7" t="s">
        <v>146</v>
      </c>
      <c r="I535" s="7" t="s">
        <v>3179</v>
      </c>
      <c r="J535" s="7"/>
      <c r="K535" s="7" t="s">
        <v>3180</v>
      </c>
    </row>
    <row r="536" customFormat="false" ht="35.05" hidden="false" customHeight="false" outlineLevel="0" collapsed="false">
      <c r="A536" s="7" t="n">
        <v>535</v>
      </c>
      <c r="B536" s="7" t="s">
        <v>3181</v>
      </c>
      <c r="C536" s="7" t="n">
        <v>2023</v>
      </c>
      <c r="D536" s="7" t="s">
        <v>3182</v>
      </c>
      <c r="E536" s="7" t="s">
        <v>151</v>
      </c>
      <c r="F536" s="7" t="s">
        <v>3183</v>
      </c>
      <c r="G536" s="7" t="s">
        <v>3184</v>
      </c>
      <c r="H536" s="7" t="s">
        <v>153</v>
      </c>
      <c r="I536" s="7" t="s">
        <v>3185</v>
      </c>
      <c r="J536" s="7" t="s">
        <v>110</v>
      </c>
      <c r="K536" s="7" t="s">
        <v>3186</v>
      </c>
    </row>
    <row r="537" customFormat="false" ht="35.05" hidden="false" customHeight="false" outlineLevel="0" collapsed="false">
      <c r="A537" s="7" t="n">
        <v>536</v>
      </c>
      <c r="B537" s="7" t="s">
        <v>3187</v>
      </c>
      <c r="C537" s="7" t="n">
        <v>2021</v>
      </c>
      <c r="D537" s="7" t="s">
        <v>3188</v>
      </c>
      <c r="E537" s="7" t="s">
        <v>143</v>
      </c>
      <c r="F537" s="7" t="s">
        <v>3189</v>
      </c>
      <c r="G537" s="7" t="s">
        <v>3190</v>
      </c>
      <c r="H537" s="7" t="s">
        <v>146</v>
      </c>
      <c r="I537" s="7" t="s">
        <v>3191</v>
      </c>
      <c r="J537" s="7"/>
      <c r="K537" s="7" t="s">
        <v>3192</v>
      </c>
    </row>
    <row r="538" customFormat="false" ht="46.25" hidden="false" customHeight="false" outlineLevel="0" collapsed="false">
      <c r="A538" s="7" t="n">
        <v>537</v>
      </c>
      <c r="B538" s="7" t="s">
        <v>3193</v>
      </c>
      <c r="C538" s="7" t="n">
        <v>2022</v>
      </c>
      <c r="D538" s="7" t="s">
        <v>3194</v>
      </c>
      <c r="E538" s="7" t="s">
        <v>143</v>
      </c>
      <c r="F538" s="7" t="s">
        <v>3195</v>
      </c>
      <c r="G538" s="7" t="s">
        <v>145</v>
      </c>
      <c r="H538" s="7" t="s">
        <v>153</v>
      </c>
      <c r="I538" s="7" t="s">
        <v>3196</v>
      </c>
      <c r="J538" s="7" t="s">
        <v>114</v>
      </c>
      <c r="K538" s="7" t="s">
        <v>3197</v>
      </c>
    </row>
    <row r="539" customFormat="false" ht="57.45" hidden="false" customHeight="false" outlineLevel="0" collapsed="false">
      <c r="A539" s="7" t="n">
        <v>538</v>
      </c>
      <c r="B539" s="7" t="s">
        <v>15443</v>
      </c>
      <c r="C539" s="7" t="n">
        <v>2003</v>
      </c>
      <c r="D539" s="7" t="s">
        <v>3199</v>
      </c>
      <c r="E539" s="7" t="s">
        <v>143</v>
      </c>
      <c r="F539" s="7" t="s">
        <v>15444</v>
      </c>
      <c r="G539" s="7" t="s">
        <v>187</v>
      </c>
      <c r="H539" s="7" t="s">
        <v>146</v>
      </c>
      <c r="I539" s="7" t="s">
        <v>15445</v>
      </c>
      <c r="J539" s="7" t="s">
        <v>112</v>
      </c>
      <c r="K539" s="7" t="s">
        <v>15446</v>
      </c>
    </row>
    <row r="540" customFormat="false" ht="35.05" hidden="false" customHeight="false" outlineLevel="0" collapsed="false">
      <c r="A540" s="7" t="n">
        <v>539</v>
      </c>
      <c r="B540" s="7" t="s">
        <v>2099</v>
      </c>
      <c r="C540" s="7" t="n">
        <v>2022</v>
      </c>
      <c r="D540" s="7" t="s">
        <v>3208</v>
      </c>
      <c r="E540" s="7" t="s">
        <v>143</v>
      </c>
      <c r="F540" s="7" t="s">
        <v>3209</v>
      </c>
      <c r="G540" s="7" t="s">
        <v>145</v>
      </c>
      <c r="H540" s="7" t="s">
        <v>153</v>
      </c>
      <c r="I540" s="7" t="s">
        <v>1421</v>
      </c>
      <c r="J540" s="7" t="s">
        <v>110</v>
      </c>
      <c r="K540" s="7" t="s">
        <v>3210</v>
      </c>
    </row>
    <row r="541" customFormat="false" ht="35.05" hidden="false" customHeight="false" outlineLevel="0" collapsed="false">
      <c r="A541" s="7" t="n">
        <v>540</v>
      </c>
      <c r="B541" s="7" t="s">
        <v>2099</v>
      </c>
      <c r="C541" s="7" t="n">
        <v>2023</v>
      </c>
      <c r="D541" s="7" t="s">
        <v>3211</v>
      </c>
      <c r="E541" s="7" t="s">
        <v>151</v>
      </c>
      <c r="F541" s="7" t="s">
        <v>3212</v>
      </c>
      <c r="G541" s="7" t="s">
        <v>145</v>
      </c>
      <c r="H541" s="7" t="s">
        <v>153</v>
      </c>
      <c r="I541" s="7" t="s">
        <v>3213</v>
      </c>
      <c r="J541" s="7" t="s">
        <v>110</v>
      </c>
      <c r="K541" s="7" t="s">
        <v>3214</v>
      </c>
    </row>
    <row r="542" customFormat="false" ht="35.05" hidden="false" customHeight="false" outlineLevel="0" collapsed="false">
      <c r="A542" s="7" t="n">
        <v>541</v>
      </c>
      <c r="B542" s="7" t="s">
        <v>3215</v>
      </c>
      <c r="C542" s="7" t="n">
        <v>2014</v>
      </c>
      <c r="D542" s="7" t="s">
        <v>3216</v>
      </c>
      <c r="E542" s="7" t="s">
        <v>143</v>
      </c>
      <c r="F542" s="7" t="s">
        <v>3217</v>
      </c>
      <c r="G542" s="7" t="s">
        <v>145</v>
      </c>
      <c r="H542" s="7" t="s">
        <v>153</v>
      </c>
      <c r="I542" s="7" t="s">
        <v>3104</v>
      </c>
      <c r="J542" s="7" t="s">
        <v>110</v>
      </c>
      <c r="K542" s="7" t="s">
        <v>3218</v>
      </c>
    </row>
    <row r="543" customFormat="false" ht="35.05" hidden="false" customHeight="false" outlineLevel="0" collapsed="false">
      <c r="A543" s="7" t="n">
        <v>542</v>
      </c>
      <c r="B543" s="7" t="s">
        <v>3219</v>
      </c>
      <c r="C543" s="7" t="n">
        <v>2024</v>
      </c>
      <c r="D543" s="7" t="s">
        <v>3220</v>
      </c>
      <c r="E543" s="7" t="s">
        <v>151</v>
      </c>
      <c r="F543" s="7" t="s">
        <v>3221</v>
      </c>
      <c r="G543" s="7" t="s">
        <v>1319</v>
      </c>
      <c r="H543" s="7" t="s">
        <v>146</v>
      </c>
      <c r="I543" s="7" t="s">
        <v>3222</v>
      </c>
      <c r="J543" s="7" t="s">
        <v>112</v>
      </c>
      <c r="K543" s="7" t="s">
        <v>3223</v>
      </c>
    </row>
    <row r="544" customFormat="false" ht="46.25" hidden="false" customHeight="false" outlineLevel="0" collapsed="false">
      <c r="A544" s="7" t="n">
        <v>543</v>
      </c>
      <c r="B544" s="7" t="s">
        <v>3224</v>
      </c>
      <c r="C544" s="7" t="n">
        <v>2012</v>
      </c>
      <c r="D544" s="7" t="s">
        <v>3225</v>
      </c>
      <c r="E544" s="7" t="s">
        <v>143</v>
      </c>
      <c r="F544" s="7" t="s">
        <v>3226</v>
      </c>
      <c r="G544" s="7" t="s">
        <v>1960</v>
      </c>
      <c r="H544" s="7" t="s">
        <v>146</v>
      </c>
      <c r="I544" s="7" t="s">
        <v>3227</v>
      </c>
      <c r="J544" s="7" t="s">
        <v>116</v>
      </c>
      <c r="K544" s="7" t="s">
        <v>3228</v>
      </c>
    </row>
    <row r="545" customFormat="false" ht="57.45" hidden="false" customHeight="false" outlineLevel="0" collapsed="false">
      <c r="A545" s="7" t="n">
        <v>544</v>
      </c>
      <c r="B545" s="7" t="s">
        <v>15447</v>
      </c>
      <c r="C545" s="7" t="n">
        <v>2022</v>
      </c>
      <c r="D545" s="7" t="s">
        <v>3229</v>
      </c>
      <c r="E545" s="7" t="s">
        <v>15448</v>
      </c>
      <c r="F545" s="7" t="s">
        <v>15449</v>
      </c>
      <c r="G545" s="7" t="s">
        <v>338</v>
      </c>
      <c r="H545" s="7" t="s">
        <v>146</v>
      </c>
      <c r="I545" s="7" t="s">
        <v>15450</v>
      </c>
      <c r="J545" s="7" t="s">
        <v>112</v>
      </c>
      <c r="K545" s="7" t="s">
        <v>15451</v>
      </c>
    </row>
    <row r="546" customFormat="false" ht="23.85" hidden="false" customHeight="false" outlineLevel="0" collapsed="false">
      <c r="A546" s="7" t="n">
        <v>545</v>
      </c>
      <c r="B546" s="7" t="s">
        <v>504</v>
      </c>
      <c r="C546" s="7" t="n">
        <v>2023</v>
      </c>
      <c r="D546" s="7" t="s">
        <v>3231</v>
      </c>
      <c r="E546" s="7" t="s">
        <v>143</v>
      </c>
      <c r="F546" s="7" t="s">
        <v>1754</v>
      </c>
      <c r="G546" s="7" t="s">
        <v>145</v>
      </c>
      <c r="H546" s="7" t="s">
        <v>146</v>
      </c>
      <c r="I546" s="7" t="s">
        <v>3232</v>
      </c>
      <c r="J546" s="7" t="s">
        <v>112</v>
      </c>
      <c r="K546" s="7" t="s">
        <v>3233</v>
      </c>
    </row>
    <row r="547" customFormat="false" ht="35.05" hidden="false" customHeight="false" outlineLevel="0" collapsed="false">
      <c r="A547" s="7" t="n">
        <v>546</v>
      </c>
      <c r="B547" s="7" t="s">
        <v>3234</v>
      </c>
      <c r="C547" s="7" t="n">
        <v>2022</v>
      </c>
      <c r="D547" s="7" t="s">
        <v>3235</v>
      </c>
      <c r="E547" s="7" t="s">
        <v>151</v>
      </c>
      <c r="F547" s="7" t="s">
        <v>3226</v>
      </c>
      <c r="G547" s="7" t="s">
        <v>3236</v>
      </c>
      <c r="H547" s="7" t="s">
        <v>146</v>
      </c>
      <c r="I547" s="7" t="s">
        <v>3237</v>
      </c>
      <c r="J547" s="7"/>
      <c r="K547" s="7" t="s">
        <v>3238</v>
      </c>
    </row>
    <row r="548" customFormat="false" ht="35.05" hidden="false" customHeight="false" outlineLevel="0" collapsed="false">
      <c r="A548" s="7" t="n">
        <v>547</v>
      </c>
      <c r="B548" s="7" t="s">
        <v>3239</v>
      </c>
      <c r="C548" s="7" t="n">
        <v>2017</v>
      </c>
      <c r="D548" s="7" t="s">
        <v>3240</v>
      </c>
      <c r="E548" s="7" t="s">
        <v>143</v>
      </c>
      <c r="F548" s="7" t="s">
        <v>3241</v>
      </c>
      <c r="G548" s="7" t="s">
        <v>1198</v>
      </c>
      <c r="H548" s="7" t="s">
        <v>146</v>
      </c>
      <c r="I548" s="7" t="s">
        <v>1199</v>
      </c>
      <c r="J548" s="7" t="s">
        <v>112</v>
      </c>
      <c r="K548" s="7" t="s">
        <v>3242</v>
      </c>
    </row>
    <row r="549" customFormat="false" ht="35.05" hidden="false" customHeight="false" outlineLevel="0" collapsed="false">
      <c r="A549" s="7" t="n">
        <v>548</v>
      </c>
      <c r="B549" s="7" t="s">
        <v>3243</v>
      </c>
      <c r="C549" s="7" t="n">
        <v>2023</v>
      </c>
      <c r="D549" s="7" t="s">
        <v>3244</v>
      </c>
      <c r="E549" s="7" t="s">
        <v>151</v>
      </c>
      <c r="F549" s="7" t="s">
        <v>1665</v>
      </c>
      <c r="G549" s="7" t="s">
        <v>145</v>
      </c>
      <c r="H549" s="7" t="s">
        <v>153</v>
      </c>
      <c r="I549" s="7" t="s">
        <v>3245</v>
      </c>
      <c r="J549" s="7" t="s">
        <v>114</v>
      </c>
      <c r="K549" s="7" t="s">
        <v>3246</v>
      </c>
    </row>
    <row r="550" customFormat="false" ht="23.85" hidden="false" customHeight="false" outlineLevel="0" collapsed="false">
      <c r="A550" s="7" t="n">
        <v>549</v>
      </c>
      <c r="B550" s="7" t="s">
        <v>3247</v>
      </c>
      <c r="C550" s="7" t="n">
        <v>2020</v>
      </c>
      <c r="D550" s="7" t="s">
        <v>3248</v>
      </c>
      <c r="E550" s="7" t="s">
        <v>143</v>
      </c>
      <c r="F550" s="7" t="s">
        <v>832</v>
      </c>
      <c r="G550" s="7" t="s">
        <v>145</v>
      </c>
      <c r="H550" s="7" t="s">
        <v>146</v>
      </c>
      <c r="I550" s="7" t="s">
        <v>3249</v>
      </c>
      <c r="J550" s="7" t="s">
        <v>116</v>
      </c>
      <c r="K550" s="7" t="s">
        <v>3250</v>
      </c>
    </row>
    <row r="551" customFormat="false" ht="35.05" hidden="false" customHeight="false" outlineLevel="0" collapsed="false">
      <c r="A551" s="7" t="n">
        <v>550</v>
      </c>
      <c r="B551" s="7" t="s">
        <v>3251</v>
      </c>
      <c r="C551" s="7" t="n">
        <v>2018</v>
      </c>
      <c r="D551" s="7" t="s">
        <v>3252</v>
      </c>
      <c r="E551" s="7" t="s">
        <v>143</v>
      </c>
      <c r="F551" s="7" t="s">
        <v>3253</v>
      </c>
      <c r="G551" s="7" t="s">
        <v>3254</v>
      </c>
      <c r="H551" s="7" t="s">
        <v>146</v>
      </c>
      <c r="I551" s="7" t="s">
        <v>3255</v>
      </c>
      <c r="J551" s="7" t="s">
        <v>116</v>
      </c>
      <c r="K551" s="7" t="s">
        <v>3256</v>
      </c>
    </row>
    <row r="552" customFormat="false" ht="158.2" hidden="false" customHeight="false" outlineLevel="0" collapsed="false">
      <c r="A552" s="7" t="n">
        <v>551</v>
      </c>
      <c r="B552" s="7" t="s">
        <v>15452</v>
      </c>
      <c r="C552" s="7" t="n">
        <v>2012</v>
      </c>
      <c r="D552" s="7" t="s">
        <v>3257</v>
      </c>
      <c r="E552" s="7" t="s">
        <v>143</v>
      </c>
      <c r="F552" s="7" t="s">
        <v>15453</v>
      </c>
      <c r="G552" s="7" t="s">
        <v>145</v>
      </c>
      <c r="H552" s="7" t="s">
        <v>15165</v>
      </c>
      <c r="I552" s="7" t="s">
        <v>15454</v>
      </c>
      <c r="J552" s="7" t="s">
        <v>112</v>
      </c>
      <c r="K552" s="7" t="s">
        <v>15455</v>
      </c>
    </row>
    <row r="553" customFormat="false" ht="23.85" hidden="false" customHeight="false" outlineLevel="0" collapsed="false">
      <c r="A553" s="7" t="n">
        <v>552</v>
      </c>
      <c r="B553" s="7" t="s">
        <v>1166</v>
      </c>
      <c r="C553" s="7" t="n">
        <v>2022</v>
      </c>
      <c r="D553" s="7" t="s">
        <v>3268</v>
      </c>
      <c r="E553" s="7" t="s">
        <v>151</v>
      </c>
      <c r="F553" s="7" t="s">
        <v>3269</v>
      </c>
      <c r="G553" s="7" t="s">
        <v>721</v>
      </c>
      <c r="H553" s="7" t="s">
        <v>153</v>
      </c>
      <c r="I553" s="7" t="s">
        <v>3270</v>
      </c>
      <c r="J553" s="7" t="s">
        <v>114</v>
      </c>
      <c r="K553" s="7" t="s">
        <v>3271</v>
      </c>
    </row>
    <row r="554" customFormat="false" ht="23.85" hidden="false" customHeight="false" outlineLevel="0" collapsed="false">
      <c r="A554" s="7" t="n">
        <v>553</v>
      </c>
      <c r="B554" s="7" t="s">
        <v>3276</v>
      </c>
      <c r="C554" s="7" t="n">
        <v>2023</v>
      </c>
      <c r="D554" s="7" t="s">
        <v>3277</v>
      </c>
      <c r="E554" s="7" t="s">
        <v>143</v>
      </c>
      <c r="F554" s="7" t="s">
        <v>3278</v>
      </c>
      <c r="G554" s="7" t="s">
        <v>3279</v>
      </c>
      <c r="H554" s="7" t="s">
        <v>146</v>
      </c>
      <c r="I554" s="7" t="s">
        <v>3280</v>
      </c>
      <c r="J554" s="7" t="s">
        <v>112</v>
      </c>
      <c r="K554" s="7" t="s">
        <v>3281</v>
      </c>
    </row>
    <row r="555" customFormat="false" ht="23.85" hidden="false" customHeight="false" outlineLevel="0" collapsed="false">
      <c r="A555" s="7" t="n">
        <v>554</v>
      </c>
      <c r="B555" s="7" t="s">
        <v>1926</v>
      </c>
      <c r="C555" s="7" t="n">
        <v>2023</v>
      </c>
      <c r="D555" s="7" t="s">
        <v>3282</v>
      </c>
      <c r="E555" s="7" t="s">
        <v>143</v>
      </c>
      <c r="F555" s="7" t="s">
        <v>3283</v>
      </c>
      <c r="G555" s="7" t="s">
        <v>145</v>
      </c>
      <c r="H555" s="7" t="s">
        <v>153</v>
      </c>
      <c r="I555" s="7" t="s">
        <v>2758</v>
      </c>
      <c r="J555" s="7" t="s">
        <v>110</v>
      </c>
      <c r="K555" s="7" t="s">
        <v>3284</v>
      </c>
    </row>
    <row r="556" customFormat="false" ht="23.85" hidden="false" customHeight="false" outlineLevel="0" collapsed="false">
      <c r="A556" s="7" t="n">
        <v>555</v>
      </c>
      <c r="B556" s="7" t="s">
        <v>1926</v>
      </c>
      <c r="C556" s="7" t="n">
        <v>2023</v>
      </c>
      <c r="D556" s="7" t="s">
        <v>3285</v>
      </c>
      <c r="E556" s="7" t="s">
        <v>143</v>
      </c>
      <c r="F556" s="7" t="s">
        <v>3286</v>
      </c>
      <c r="G556" s="7" t="s">
        <v>285</v>
      </c>
      <c r="H556" s="7" t="s">
        <v>146</v>
      </c>
      <c r="I556" s="7" t="s">
        <v>3287</v>
      </c>
      <c r="J556" s="7" t="s">
        <v>110</v>
      </c>
      <c r="K556" s="7" t="s">
        <v>3288</v>
      </c>
    </row>
    <row r="557" customFormat="false" ht="35.05" hidden="false" customHeight="false" outlineLevel="0" collapsed="false">
      <c r="A557" s="7" t="n">
        <v>556</v>
      </c>
      <c r="B557" s="7" t="s">
        <v>1926</v>
      </c>
      <c r="C557" s="7" t="n">
        <v>2023</v>
      </c>
      <c r="D557" s="7" t="s">
        <v>3289</v>
      </c>
      <c r="E557" s="7" t="s">
        <v>143</v>
      </c>
      <c r="F557" s="7" t="s">
        <v>1477</v>
      </c>
      <c r="G557" s="7" t="s">
        <v>145</v>
      </c>
      <c r="H557" s="7" t="s">
        <v>153</v>
      </c>
      <c r="I557" s="7" t="s">
        <v>3290</v>
      </c>
      <c r="J557" s="7" t="s">
        <v>110</v>
      </c>
      <c r="K557" s="7" t="s">
        <v>3291</v>
      </c>
    </row>
    <row r="558" customFormat="false" ht="23.85" hidden="false" customHeight="false" outlineLevel="0" collapsed="false">
      <c r="A558" s="7" t="n">
        <v>557</v>
      </c>
      <c r="B558" s="7" t="s">
        <v>3292</v>
      </c>
      <c r="C558" s="7" t="n">
        <v>2022</v>
      </c>
      <c r="D558" s="7" t="s">
        <v>3293</v>
      </c>
      <c r="E558" s="7" t="s">
        <v>143</v>
      </c>
      <c r="F558" s="7" t="s">
        <v>3294</v>
      </c>
      <c r="G558" s="7" t="s">
        <v>3295</v>
      </c>
      <c r="H558" s="7" t="s">
        <v>387</v>
      </c>
      <c r="I558" s="7" t="s">
        <v>3296</v>
      </c>
      <c r="J558" s="7" t="s">
        <v>110</v>
      </c>
      <c r="K558" s="7" t="s">
        <v>3297</v>
      </c>
    </row>
    <row r="559" customFormat="false" ht="91" hidden="false" customHeight="false" outlineLevel="0" collapsed="false">
      <c r="A559" s="7" t="n">
        <v>558</v>
      </c>
      <c r="B559" s="7" t="s">
        <v>15456</v>
      </c>
      <c r="C559" s="7" t="n">
        <v>2023</v>
      </c>
      <c r="D559" s="7" t="s">
        <v>3299</v>
      </c>
      <c r="E559" s="7" t="s">
        <v>143</v>
      </c>
      <c r="F559" s="7" t="s">
        <v>15457</v>
      </c>
      <c r="G559" s="7" t="s">
        <v>145</v>
      </c>
      <c r="H559" s="7" t="s">
        <v>153</v>
      </c>
      <c r="I559" s="7" t="s">
        <v>15458</v>
      </c>
      <c r="J559" s="7" t="s">
        <v>110</v>
      </c>
      <c r="K559" s="7" t="s">
        <v>15459</v>
      </c>
    </row>
    <row r="560" customFormat="false" ht="35.05" hidden="false" customHeight="false" outlineLevel="0" collapsed="false">
      <c r="A560" s="7" t="n">
        <v>559</v>
      </c>
      <c r="B560" s="7" t="s">
        <v>3311</v>
      </c>
      <c r="C560" s="7" t="n">
        <v>2012</v>
      </c>
      <c r="D560" s="7" t="s">
        <v>3312</v>
      </c>
      <c r="E560" s="7" t="s">
        <v>143</v>
      </c>
      <c r="F560" s="7" t="s">
        <v>3313</v>
      </c>
      <c r="G560" s="7" t="s">
        <v>3314</v>
      </c>
      <c r="H560" s="7" t="s">
        <v>387</v>
      </c>
      <c r="I560" s="7" t="s">
        <v>3315</v>
      </c>
      <c r="J560" s="7" t="s">
        <v>112</v>
      </c>
      <c r="K560" s="7" t="s">
        <v>3316</v>
      </c>
    </row>
    <row r="561" customFormat="false" ht="35.05" hidden="false" customHeight="false" outlineLevel="0" collapsed="false">
      <c r="A561" s="7" t="n">
        <v>560</v>
      </c>
      <c r="B561" s="7" t="s">
        <v>1672</v>
      </c>
      <c r="C561" s="7" t="n">
        <v>2022</v>
      </c>
      <c r="D561" s="7" t="s">
        <v>3317</v>
      </c>
      <c r="E561" s="7" t="s">
        <v>143</v>
      </c>
      <c r="F561" s="7" t="s">
        <v>3318</v>
      </c>
      <c r="G561" s="7" t="s">
        <v>145</v>
      </c>
      <c r="H561" s="7" t="s">
        <v>153</v>
      </c>
      <c r="I561" s="7" t="s">
        <v>3319</v>
      </c>
      <c r="J561" s="7" t="s">
        <v>110</v>
      </c>
      <c r="K561" s="7" t="s">
        <v>3320</v>
      </c>
    </row>
    <row r="562" customFormat="false" ht="23.85" hidden="false" customHeight="false" outlineLevel="0" collapsed="false">
      <c r="A562" s="7" t="n">
        <v>561</v>
      </c>
      <c r="B562" s="7" t="s">
        <v>3321</v>
      </c>
      <c r="C562" s="7" t="n">
        <v>2021</v>
      </c>
      <c r="D562" s="7" t="s">
        <v>3322</v>
      </c>
      <c r="E562" s="7" t="s">
        <v>151</v>
      </c>
      <c r="F562" s="7" t="s">
        <v>3323</v>
      </c>
      <c r="G562" s="7" t="s">
        <v>145</v>
      </c>
      <c r="H562" s="7" t="s">
        <v>153</v>
      </c>
      <c r="I562" s="7" t="s">
        <v>3324</v>
      </c>
      <c r="J562" s="7" t="s">
        <v>114</v>
      </c>
      <c r="K562" s="7" t="s">
        <v>3325</v>
      </c>
    </row>
    <row r="563" customFormat="false" ht="35.05" hidden="false" customHeight="false" outlineLevel="0" collapsed="false">
      <c r="A563" s="7" t="n">
        <v>562</v>
      </c>
      <c r="B563" s="7" t="s">
        <v>3326</v>
      </c>
      <c r="C563" s="7" t="n">
        <v>2020</v>
      </c>
      <c r="D563" s="7" t="s">
        <v>3327</v>
      </c>
      <c r="E563" s="7" t="s">
        <v>143</v>
      </c>
      <c r="F563" s="7" t="s">
        <v>3328</v>
      </c>
      <c r="G563" s="7" t="s">
        <v>145</v>
      </c>
      <c r="H563" s="7" t="s">
        <v>146</v>
      </c>
      <c r="I563" s="7" t="s">
        <v>3329</v>
      </c>
      <c r="J563" s="7"/>
      <c r="K563" s="7" t="s">
        <v>3330</v>
      </c>
    </row>
    <row r="564" customFormat="false" ht="57.45" hidden="false" customHeight="false" outlineLevel="0" collapsed="false">
      <c r="A564" s="7" t="n">
        <v>563</v>
      </c>
      <c r="B564" s="7" t="s">
        <v>3331</v>
      </c>
      <c r="C564" s="7" t="n">
        <v>2021</v>
      </c>
      <c r="D564" s="7" t="s">
        <v>3332</v>
      </c>
      <c r="E564" s="7" t="s">
        <v>143</v>
      </c>
      <c r="F564" s="7" t="s">
        <v>15460</v>
      </c>
      <c r="G564" s="7" t="s">
        <v>15461</v>
      </c>
      <c r="H564" s="7" t="s">
        <v>15231</v>
      </c>
      <c r="I564" s="7" t="s">
        <v>15462</v>
      </c>
      <c r="J564" s="7" t="s">
        <v>112</v>
      </c>
      <c r="K564" s="7" t="s">
        <v>15463</v>
      </c>
    </row>
    <row r="565" customFormat="false" ht="35.05" hidden="false" customHeight="false" outlineLevel="0" collapsed="false">
      <c r="A565" s="7" t="n">
        <v>564</v>
      </c>
      <c r="B565" s="7" t="s">
        <v>3340</v>
      </c>
      <c r="C565" s="7" t="n">
        <v>2024</v>
      </c>
      <c r="D565" s="7" t="s">
        <v>3341</v>
      </c>
      <c r="E565" s="7" t="s">
        <v>143</v>
      </c>
      <c r="F565" s="7" t="s">
        <v>3342</v>
      </c>
      <c r="G565" s="7" t="s">
        <v>145</v>
      </c>
      <c r="H565" s="7" t="s">
        <v>522</v>
      </c>
      <c r="I565" s="7" t="s">
        <v>3343</v>
      </c>
      <c r="J565" s="7" t="s">
        <v>114</v>
      </c>
      <c r="K565" s="7" t="s">
        <v>3344</v>
      </c>
    </row>
    <row r="566" customFormat="false" ht="35.05" hidden="false" customHeight="false" outlineLevel="0" collapsed="false">
      <c r="A566" s="7" t="n">
        <v>565</v>
      </c>
      <c r="B566" s="7" t="s">
        <v>3345</v>
      </c>
      <c r="C566" s="7" t="n">
        <v>2022</v>
      </c>
      <c r="D566" s="7" t="s">
        <v>3346</v>
      </c>
      <c r="E566" s="7" t="s">
        <v>143</v>
      </c>
      <c r="F566" s="7" t="s">
        <v>3347</v>
      </c>
      <c r="G566" s="7" t="s">
        <v>2741</v>
      </c>
      <c r="H566" s="7" t="s">
        <v>153</v>
      </c>
      <c r="I566" s="7" t="s">
        <v>3348</v>
      </c>
      <c r="J566" s="7"/>
      <c r="K566" s="7" t="s">
        <v>3349</v>
      </c>
    </row>
    <row r="567" customFormat="false" ht="23.85" hidden="false" customHeight="false" outlineLevel="0" collapsed="false">
      <c r="A567" s="7" t="n">
        <v>566</v>
      </c>
      <c r="B567" s="7" t="s">
        <v>3350</v>
      </c>
      <c r="C567" s="7" t="n">
        <v>2022</v>
      </c>
      <c r="D567" s="7" t="s">
        <v>3351</v>
      </c>
      <c r="E567" s="7" t="s">
        <v>143</v>
      </c>
      <c r="F567" s="7" t="s">
        <v>152</v>
      </c>
      <c r="G567" s="7" t="s">
        <v>145</v>
      </c>
      <c r="H567" s="7" t="s">
        <v>153</v>
      </c>
      <c r="I567" s="7" t="s">
        <v>3352</v>
      </c>
      <c r="J567" s="7"/>
      <c r="K567" s="7" t="s">
        <v>3353</v>
      </c>
    </row>
    <row r="568" customFormat="false" ht="79.85" hidden="false" customHeight="false" outlineLevel="0" collapsed="false">
      <c r="A568" s="7" t="n">
        <v>567</v>
      </c>
      <c r="B568" s="7" t="s">
        <v>15464</v>
      </c>
      <c r="C568" s="7" t="n">
        <v>2019</v>
      </c>
      <c r="D568" s="7" t="s">
        <v>3355</v>
      </c>
      <c r="E568" s="7" t="s">
        <v>15465</v>
      </c>
      <c r="F568" s="7" t="s">
        <v>15466</v>
      </c>
      <c r="G568" s="7" t="s">
        <v>145</v>
      </c>
      <c r="H568" s="7" t="s">
        <v>153</v>
      </c>
      <c r="I568" s="7" t="s">
        <v>15467</v>
      </c>
      <c r="J568" s="7"/>
      <c r="K568" s="7" t="s">
        <v>15468</v>
      </c>
    </row>
    <row r="569" customFormat="false" ht="35.05" hidden="false" customHeight="false" outlineLevel="0" collapsed="false">
      <c r="A569" s="7" t="n">
        <v>568</v>
      </c>
      <c r="B569" s="7" t="s">
        <v>3365</v>
      </c>
      <c r="C569" s="7" t="n">
        <v>2021</v>
      </c>
      <c r="D569" s="7" t="s">
        <v>3366</v>
      </c>
      <c r="E569" s="7" t="s">
        <v>151</v>
      </c>
      <c r="F569" s="7" t="s">
        <v>3367</v>
      </c>
      <c r="G569" s="7" t="s">
        <v>327</v>
      </c>
      <c r="H569" s="7" t="s">
        <v>153</v>
      </c>
      <c r="I569" s="7" t="s">
        <v>3368</v>
      </c>
      <c r="J569" s="7" t="s">
        <v>114</v>
      </c>
      <c r="K569" s="7" t="s">
        <v>3369</v>
      </c>
    </row>
    <row r="570" customFormat="false" ht="35.05" hidden="false" customHeight="false" outlineLevel="0" collapsed="false">
      <c r="A570" s="7" t="n">
        <v>569</v>
      </c>
      <c r="B570" s="7" t="s">
        <v>3370</v>
      </c>
      <c r="C570" s="7" t="n">
        <v>2023</v>
      </c>
      <c r="D570" s="7" t="s">
        <v>3371</v>
      </c>
      <c r="E570" s="7" t="s">
        <v>143</v>
      </c>
      <c r="F570" s="7" t="s">
        <v>1278</v>
      </c>
      <c r="G570" s="7" t="s">
        <v>255</v>
      </c>
      <c r="H570" s="7" t="s">
        <v>146</v>
      </c>
      <c r="I570" s="7" t="s">
        <v>1174</v>
      </c>
      <c r="J570" s="7" t="s">
        <v>112</v>
      </c>
      <c r="K570" s="7" t="s">
        <v>3372</v>
      </c>
    </row>
    <row r="571" customFormat="false" ht="35.05" hidden="false" customHeight="false" outlineLevel="0" collapsed="false">
      <c r="A571" s="7" t="n">
        <v>570</v>
      </c>
      <c r="B571" s="7" t="s">
        <v>3373</v>
      </c>
      <c r="C571" s="7" t="n">
        <v>1999</v>
      </c>
      <c r="D571" s="7" t="s">
        <v>3374</v>
      </c>
      <c r="E571" s="7" t="s">
        <v>143</v>
      </c>
      <c r="F571" s="7" t="s">
        <v>3375</v>
      </c>
      <c r="G571" s="7" t="s">
        <v>187</v>
      </c>
      <c r="H571" s="7" t="s">
        <v>153</v>
      </c>
      <c r="I571" s="7" t="s">
        <v>3376</v>
      </c>
      <c r="J571" s="7"/>
      <c r="K571" s="7" t="s">
        <v>3377</v>
      </c>
    </row>
    <row r="572" customFormat="false" ht="46.25" hidden="false" customHeight="false" outlineLevel="0" collapsed="false">
      <c r="A572" s="7" t="n">
        <v>571</v>
      </c>
      <c r="B572" s="7" t="s">
        <v>3378</v>
      </c>
      <c r="C572" s="7" t="n">
        <v>2023</v>
      </c>
      <c r="D572" s="7" t="s">
        <v>3379</v>
      </c>
      <c r="E572" s="7" t="s">
        <v>15469</v>
      </c>
      <c r="F572" s="7" t="s">
        <v>15470</v>
      </c>
      <c r="G572" s="7" t="s">
        <v>145</v>
      </c>
      <c r="H572" s="7" t="s">
        <v>146</v>
      </c>
      <c r="I572" s="7" t="s">
        <v>15471</v>
      </c>
      <c r="J572" s="7" t="s">
        <v>112</v>
      </c>
      <c r="K572" s="7" t="s">
        <v>15472</v>
      </c>
    </row>
    <row r="573" customFormat="false" ht="35.05" hidden="false" customHeight="false" outlineLevel="0" collapsed="false">
      <c r="A573" s="7" t="n">
        <v>572</v>
      </c>
      <c r="B573" s="7" t="s">
        <v>3386</v>
      </c>
      <c r="C573" s="7" t="n">
        <v>2007</v>
      </c>
      <c r="D573" s="7" t="s">
        <v>3387</v>
      </c>
      <c r="E573" s="7" t="s">
        <v>151</v>
      </c>
      <c r="F573" s="7" t="s">
        <v>832</v>
      </c>
      <c r="G573" s="7" t="s">
        <v>3388</v>
      </c>
      <c r="H573" s="7" t="s">
        <v>146</v>
      </c>
      <c r="I573" s="7" t="s">
        <v>3389</v>
      </c>
      <c r="J573" s="7"/>
      <c r="K573" s="7" t="s">
        <v>3390</v>
      </c>
    </row>
    <row r="574" customFormat="false" ht="35.05" hidden="false" customHeight="false" outlineLevel="0" collapsed="false">
      <c r="A574" s="7" t="n">
        <v>573</v>
      </c>
      <c r="B574" s="7" t="s">
        <v>3391</v>
      </c>
      <c r="C574" s="7" t="n">
        <v>2023</v>
      </c>
      <c r="D574" s="7" t="s">
        <v>3392</v>
      </c>
      <c r="E574" s="7" t="s">
        <v>143</v>
      </c>
      <c r="F574" s="7" t="s">
        <v>3393</v>
      </c>
      <c r="G574" s="7" t="s">
        <v>1373</v>
      </c>
      <c r="H574" s="7" t="s">
        <v>153</v>
      </c>
      <c r="I574" s="7" t="s">
        <v>3394</v>
      </c>
      <c r="J574" s="7" t="s">
        <v>110</v>
      </c>
      <c r="K574" s="7" t="s">
        <v>3395</v>
      </c>
    </row>
    <row r="575" customFormat="false" ht="23.85" hidden="false" customHeight="false" outlineLevel="0" collapsed="false">
      <c r="A575" s="7" t="n">
        <v>574</v>
      </c>
      <c r="B575" s="7" t="s">
        <v>3396</v>
      </c>
      <c r="C575" s="7" t="n">
        <v>2023</v>
      </c>
      <c r="D575" s="7" t="s">
        <v>3397</v>
      </c>
      <c r="E575" s="7" t="s">
        <v>143</v>
      </c>
      <c r="F575" s="7" t="s">
        <v>3398</v>
      </c>
      <c r="G575" s="7" t="s">
        <v>145</v>
      </c>
      <c r="H575" s="7" t="s">
        <v>153</v>
      </c>
      <c r="I575" s="7" t="s">
        <v>3142</v>
      </c>
      <c r="J575" s="7" t="s">
        <v>110</v>
      </c>
      <c r="K575" s="7" t="s">
        <v>3399</v>
      </c>
    </row>
    <row r="576" customFormat="false" ht="35.05" hidden="false" customHeight="false" outlineLevel="0" collapsed="false">
      <c r="A576" s="7" t="n">
        <v>575</v>
      </c>
      <c r="B576" s="7" t="s">
        <v>3400</v>
      </c>
      <c r="C576" s="7" t="n">
        <v>2024</v>
      </c>
      <c r="D576" s="7" t="s">
        <v>3401</v>
      </c>
      <c r="E576" s="7" t="s">
        <v>143</v>
      </c>
      <c r="F576" s="7" t="s">
        <v>3402</v>
      </c>
      <c r="G576" s="7" t="s">
        <v>145</v>
      </c>
      <c r="H576" s="7" t="s">
        <v>153</v>
      </c>
      <c r="I576" s="7" t="s">
        <v>1462</v>
      </c>
      <c r="J576" s="7" t="s">
        <v>110</v>
      </c>
      <c r="K576" s="7" t="s">
        <v>3403</v>
      </c>
    </row>
    <row r="577" customFormat="false" ht="35.05" hidden="false" customHeight="false" outlineLevel="0" collapsed="false">
      <c r="A577" s="7" t="n">
        <v>576</v>
      </c>
      <c r="B577" s="7" t="s">
        <v>3404</v>
      </c>
      <c r="C577" s="7" t="n">
        <v>2023</v>
      </c>
      <c r="D577" s="7" t="s">
        <v>3405</v>
      </c>
      <c r="E577" s="7" t="s">
        <v>143</v>
      </c>
      <c r="F577" s="7" t="s">
        <v>3406</v>
      </c>
      <c r="G577" s="7" t="s">
        <v>3407</v>
      </c>
      <c r="H577" s="7" t="s">
        <v>146</v>
      </c>
      <c r="I577" s="7" t="s">
        <v>3280</v>
      </c>
      <c r="J577" s="7" t="s">
        <v>112</v>
      </c>
      <c r="K577" s="7" t="s">
        <v>3408</v>
      </c>
    </row>
    <row r="578" customFormat="false" ht="57.45" hidden="false" customHeight="false" outlineLevel="0" collapsed="false">
      <c r="A578" s="7" t="n">
        <v>577</v>
      </c>
      <c r="B578" s="7" t="s">
        <v>3409</v>
      </c>
      <c r="C578" s="7" t="n">
        <v>2019</v>
      </c>
      <c r="D578" s="7" t="s">
        <v>3410</v>
      </c>
      <c r="E578" s="7" t="s">
        <v>15123</v>
      </c>
      <c r="F578" s="7" t="s">
        <v>15473</v>
      </c>
      <c r="G578" s="7" t="s">
        <v>15474</v>
      </c>
      <c r="H578" s="7" t="s">
        <v>387</v>
      </c>
      <c r="I578" s="7" t="s">
        <v>15475</v>
      </c>
      <c r="J578" s="7" t="s">
        <v>112</v>
      </c>
      <c r="K578" s="7" t="s">
        <v>15476</v>
      </c>
    </row>
    <row r="579" customFormat="false" ht="35.05" hidden="false" customHeight="false" outlineLevel="0" collapsed="false">
      <c r="A579" s="7" t="n">
        <v>578</v>
      </c>
      <c r="B579" s="7" t="s">
        <v>1971</v>
      </c>
      <c r="C579" s="7" t="n">
        <v>2023</v>
      </c>
      <c r="D579" s="7" t="s">
        <v>3418</v>
      </c>
      <c r="E579" s="7" t="s">
        <v>151</v>
      </c>
      <c r="F579" s="7" t="s">
        <v>3419</v>
      </c>
      <c r="G579" s="7" t="s">
        <v>3279</v>
      </c>
      <c r="H579" s="7" t="s">
        <v>146</v>
      </c>
      <c r="I579" s="7" t="s">
        <v>3420</v>
      </c>
      <c r="J579" s="7" t="s">
        <v>112</v>
      </c>
      <c r="K579" s="7" t="s">
        <v>3421</v>
      </c>
    </row>
    <row r="580" customFormat="false" ht="35.05" hidden="false" customHeight="false" outlineLevel="0" collapsed="false">
      <c r="A580" s="7" t="n">
        <v>579</v>
      </c>
      <c r="B580" s="7" t="s">
        <v>3422</v>
      </c>
      <c r="C580" s="7" t="n">
        <v>2022</v>
      </c>
      <c r="D580" s="7" t="s">
        <v>3423</v>
      </c>
      <c r="E580" s="7" t="s">
        <v>151</v>
      </c>
      <c r="F580" s="7" t="s">
        <v>3424</v>
      </c>
      <c r="G580" s="7" t="s">
        <v>187</v>
      </c>
      <c r="H580" s="7" t="s">
        <v>208</v>
      </c>
      <c r="I580" s="7" t="s">
        <v>3425</v>
      </c>
      <c r="J580" s="7" t="s">
        <v>112</v>
      </c>
      <c r="K580" s="7" t="s">
        <v>3426</v>
      </c>
    </row>
    <row r="581" customFormat="false" ht="35.05" hidden="false" customHeight="false" outlineLevel="0" collapsed="false">
      <c r="A581" s="7" t="n">
        <v>580</v>
      </c>
      <c r="B581" s="7" t="s">
        <v>3427</v>
      </c>
      <c r="C581" s="7" t="n">
        <v>2022</v>
      </c>
      <c r="D581" s="7" t="s">
        <v>3428</v>
      </c>
      <c r="E581" s="7" t="s">
        <v>151</v>
      </c>
      <c r="F581" s="7" t="s">
        <v>152</v>
      </c>
      <c r="G581" s="7" t="s">
        <v>145</v>
      </c>
      <c r="H581" s="7" t="s">
        <v>153</v>
      </c>
      <c r="I581" s="7" t="s">
        <v>2675</v>
      </c>
      <c r="J581" s="7"/>
      <c r="K581" s="7" t="s">
        <v>3429</v>
      </c>
    </row>
    <row r="582" customFormat="false" ht="35.05" hidden="false" customHeight="false" outlineLevel="0" collapsed="false">
      <c r="A582" s="7" t="n">
        <v>581</v>
      </c>
      <c r="B582" s="7" t="s">
        <v>3430</v>
      </c>
      <c r="C582" s="7" t="n">
        <v>2019</v>
      </c>
      <c r="D582" s="7" t="s">
        <v>3431</v>
      </c>
      <c r="E582" s="7" t="s">
        <v>143</v>
      </c>
      <c r="F582" s="7" t="s">
        <v>1168</v>
      </c>
      <c r="G582" s="7" t="s">
        <v>145</v>
      </c>
      <c r="H582" s="7" t="s">
        <v>387</v>
      </c>
      <c r="I582" s="7" t="s">
        <v>3432</v>
      </c>
      <c r="J582" s="7" t="s">
        <v>112</v>
      </c>
      <c r="K582" s="7" t="s">
        <v>3433</v>
      </c>
    </row>
    <row r="583" customFormat="false" ht="57.45" hidden="false" customHeight="false" outlineLevel="0" collapsed="false">
      <c r="A583" s="7" t="n">
        <v>582</v>
      </c>
      <c r="B583" s="7" t="s">
        <v>3434</v>
      </c>
      <c r="C583" s="7" t="n">
        <v>2023</v>
      </c>
      <c r="D583" s="7" t="s">
        <v>3435</v>
      </c>
      <c r="E583" s="7" t="s">
        <v>143</v>
      </c>
      <c r="F583" s="7" t="s">
        <v>15477</v>
      </c>
      <c r="G583" s="7" t="s">
        <v>145</v>
      </c>
      <c r="H583" s="7" t="s">
        <v>153</v>
      </c>
      <c r="I583" s="7" t="s">
        <v>15478</v>
      </c>
      <c r="J583" s="7" t="s">
        <v>114</v>
      </c>
      <c r="K583" s="7" t="s">
        <v>15479</v>
      </c>
    </row>
    <row r="584" customFormat="false" ht="23.85" hidden="false" customHeight="false" outlineLevel="0" collapsed="false">
      <c r="A584" s="7" t="n">
        <v>583</v>
      </c>
      <c r="B584" s="7" t="s">
        <v>3442</v>
      </c>
      <c r="C584" s="7" t="n">
        <v>2020</v>
      </c>
      <c r="D584" s="7" t="s">
        <v>3443</v>
      </c>
      <c r="E584" s="7" t="s">
        <v>143</v>
      </c>
      <c r="F584" s="7" t="s">
        <v>3444</v>
      </c>
      <c r="G584" s="7" t="s">
        <v>145</v>
      </c>
      <c r="H584" s="7" t="s">
        <v>146</v>
      </c>
      <c r="I584" s="7" t="s">
        <v>3445</v>
      </c>
      <c r="J584" s="7" t="s">
        <v>114</v>
      </c>
      <c r="K584" s="7" t="s">
        <v>3446</v>
      </c>
    </row>
    <row r="585" customFormat="false" ht="35.05" hidden="false" customHeight="false" outlineLevel="0" collapsed="false">
      <c r="A585" s="7" t="n">
        <v>584</v>
      </c>
      <c r="B585" s="7" t="s">
        <v>2452</v>
      </c>
      <c r="C585" s="7" t="n">
        <v>2015</v>
      </c>
      <c r="D585" s="7" t="s">
        <v>3447</v>
      </c>
      <c r="E585" s="7" t="s">
        <v>151</v>
      </c>
      <c r="F585" s="7" t="s">
        <v>3448</v>
      </c>
      <c r="G585" s="7" t="s">
        <v>145</v>
      </c>
      <c r="H585" s="7" t="s">
        <v>153</v>
      </c>
      <c r="I585" s="7" t="s">
        <v>3449</v>
      </c>
      <c r="J585" s="7"/>
      <c r="K585" s="7" t="s">
        <v>3450</v>
      </c>
    </row>
    <row r="586" customFormat="false" ht="79.85" hidden="false" customHeight="false" outlineLevel="0" collapsed="false">
      <c r="A586" s="7" t="n">
        <v>585</v>
      </c>
      <c r="B586" s="7" t="s">
        <v>15480</v>
      </c>
      <c r="C586" s="7" t="n">
        <v>2019</v>
      </c>
      <c r="D586" s="7" t="s">
        <v>3452</v>
      </c>
      <c r="E586" s="7" t="s">
        <v>143</v>
      </c>
      <c r="F586" s="7" t="s">
        <v>15481</v>
      </c>
      <c r="G586" s="7" t="s">
        <v>15482</v>
      </c>
      <c r="H586" s="7" t="s">
        <v>15165</v>
      </c>
      <c r="I586" s="7" t="s">
        <v>15483</v>
      </c>
      <c r="J586" s="7" t="s">
        <v>112</v>
      </c>
      <c r="K586" s="7" t="s">
        <v>15484</v>
      </c>
    </row>
    <row r="587" customFormat="false" ht="57.45" hidden="false" customHeight="false" outlineLevel="0" collapsed="false">
      <c r="A587" s="7" t="n">
        <v>586</v>
      </c>
      <c r="B587" s="7" t="s">
        <v>15485</v>
      </c>
      <c r="C587" s="7" t="n">
        <v>2021</v>
      </c>
      <c r="D587" s="7" t="s">
        <v>3462</v>
      </c>
      <c r="E587" s="7" t="s">
        <v>151</v>
      </c>
      <c r="F587" s="7" t="s">
        <v>15486</v>
      </c>
      <c r="G587" s="7" t="s">
        <v>3464</v>
      </c>
      <c r="H587" s="7" t="s">
        <v>15487</v>
      </c>
      <c r="I587" s="7" t="s">
        <v>15488</v>
      </c>
      <c r="J587" s="7" t="s">
        <v>114</v>
      </c>
      <c r="K587" s="7" t="s">
        <v>15489</v>
      </c>
    </row>
    <row r="588" customFormat="false" ht="35.05" hidden="false" customHeight="false" outlineLevel="0" collapsed="false">
      <c r="A588" s="7" t="n">
        <v>587</v>
      </c>
      <c r="B588" s="7" t="s">
        <v>3471</v>
      </c>
      <c r="C588" s="7" t="n">
        <v>2023</v>
      </c>
      <c r="D588" s="7" t="s">
        <v>3472</v>
      </c>
      <c r="E588" s="7" t="s">
        <v>143</v>
      </c>
      <c r="F588" s="7" t="s">
        <v>3473</v>
      </c>
      <c r="G588" s="7" t="s">
        <v>632</v>
      </c>
      <c r="H588" s="7" t="s">
        <v>146</v>
      </c>
      <c r="I588" s="7" t="s">
        <v>3474</v>
      </c>
      <c r="J588" s="7"/>
      <c r="K588" s="7" t="s">
        <v>3475</v>
      </c>
    </row>
    <row r="589" customFormat="false" ht="35.05" hidden="false" customHeight="false" outlineLevel="0" collapsed="false">
      <c r="A589" s="7" t="n">
        <v>588</v>
      </c>
      <c r="B589" s="7" t="s">
        <v>3476</v>
      </c>
      <c r="C589" s="7" t="n">
        <v>2016</v>
      </c>
      <c r="D589" s="7" t="s">
        <v>3477</v>
      </c>
      <c r="E589" s="7" t="s">
        <v>143</v>
      </c>
      <c r="F589" s="7" t="s">
        <v>152</v>
      </c>
      <c r="G589" s="7" t="s">
        <v>145</v>
      </c>
      <c r="H589" s="7" t="s">
        <v>153</v>
      </c>
      <c r="I589" s="7" t="s">
        <v>3478</v>
      </c>
      <c r="J589" s="7"/>
      <c r="K589" s="7" t="s">
        <v>3479</v>
      </c>
    </row>
    <row r="590" customFormat="false" ht="79.85" hidden="false" customHeight="false" outlineLevel="0" collapsed="false">
      <c r="A590" s="7" t="n">
        <v>589</v>
      </c>
      <c r="B590" s="7" t="s">
        <v>15490</v>
      </c>
      <c r="C590" s="7" t="n">
        <v>2020</v>
      </c>
      <c r="D590" s="7" t="s">
        <v>3481</v>
      </c>
      <c r="E590" s="7" t="s">
        <v>151</v>
      </c>
      <c r="F590" s="7" t="s">
        <v>152</v>
      </c>
      <c r="G590" s="7" t="s">
        <v>145</v>
      </c>
      <c r="H590" s="7" t="s">
        <v>387</v>
      </c>
      <c r="I590" s="7" t="s">
        <v>15491</v>
      </c>
      <c r="J590" s="7"/>
      <c r="K590" s="7" t="s">
        <v>15492</v>
      </c>
    </row>
    <row r="591" customFormat="false" ht="35.05" hidden="false" customHeight="false" outlineLevel="0" collapsed="false">
      <c r="A591" s="7" t="n">
        <v>590</v>
      </c>
      <c r="B591" s="7" t="s">
        <v>3490</v>
      </c>
      <c r="C591" s="7" t="n">
        <v>2023</v>
      </c>
      <c r="D591" s="7" t="s">
        <v>3491</v>
      </c>
      <c r="E591" s="7" t="s">
        <v>143</v>
      </c>
      <c r="F591" s="7" t="s">
        <v>3492</v>
      </c>
      <c r="G591" s="7" t="s">
        <v>145</v>
      </c>
      <c r="H591" s="7" t="s">
        <v>146</v>
      </c>
      <c r="I591" s="7" t="s">
        <v>3493</v>
      </c>
      <c r="J591" s="7"/>
      <c r="K591" s="7" t="s">
        <v>3494</v>
      </c>
    </row>
    <row r="592" customFormat="false" ht="57.45" hidden="false" customHeight="false" outlineLevel="0" collapsed="false">
      <c r="A592" s="7" t="n">
        <v>591</v>
      </c>
      <c r="B592" s="7" t="s">
        <v>15493</v>
      </c>
      <c r="C592" s="7" t="n">
        <v>2023</v>
      </c>
      <c r="D592" s="7" t="s">
        <v>3496</v>
      </c>
      <c r="E592" s="7" t="s">
        <v>143</v>
      </c>
      <c r="F592" s="7" t="s">
        <v>15494</v>
      </c>
      <c r="G592" s="7" t="s">
        <v>145</v>
      </c>
      <c r="H592" s="7" t="s">
        <v>146</v>
      </c>
      <c r="I592" s="7" t="s">
        <v>15495</v>
      </c>
      <c r="J592" s="7" t="s">
        <v>114</v>
      </c>
      <c r="K592" s="7" t="s">
        <v>15496</v>
      </c>
    </row>
    <row r="593" customFormat="false" ht="23.85" hidden="false" customHeight="false" outlineLevel="0" collapsed="false">
      <c r="A593" s="7" t="n">
        <v>592</v>
      </c>
      <c r="B593" s="7" t="s">
        <v>3503</v>
      </c>
      <c r="C593" s="7" t="n">
        <v>2019</v>
      </c>
      <c r="D593" s="7" t="s">
        <v>3504</v>
      </c>
      <c r="E593" s="7" t="s">
        <v>143</v>
      </c>
      <c r="F593" s="7" t="s">
        <v>3505</v>
      </c>
      <c r="G593" s="7" t="s">
        <v>145</v>
      </c>
      <c r="H593" s="7" t="s">
        <v>146</v>
      </c>
      <c r="I593" s="7" t="s">
        <v>3506</v>
      </c>
      <c r="J593" s="7"/>
      <c r="K593" s="7" t="s">
        <v>3507</v>
      </c>
    </row>
    <row r="594" customFormat="false" ht="23.85" hidden="false" customHeight="false" outlineLevel="0" collapsed="false">
      <c r="A594" s="7" t="n">
        <v>593</v>
      </c>
      <c r="B594" s="7" t="s">
        <v>3508</v>
      </c>
      <c r="C594" s="7" t="n">
        <v>2013</v>
      </c>
      <c r="D594" s="7" t="s">
        <v>3509</v>
      </c>
      <c r="E594" s="7" t="s">
        <v>143</v>
      </c>
      <c r="F594" s="7" t="s">
        <v>3510</v>
      </c>
      <c r="G594" s="7" t="s">
        <v>3511</v>
      </c>
      <c r="H594" s="7" t="s">
        <v>146</v>
      </c>
      <c r="I594" s="7" t="s">
        <v>3512</v>
      </c>
      <c r="J594" s="7" t="s">
        <v>116</v>
      </c>
      <c r="K594" s="7" t="s">
        <v>3513</v>
      </c>
    </row>
    <row r="595" customFormat="false" ht="46.25" hidden="false" customHeight="false" outlineLevel="0" collapsed="false">
      <c r="A595" s="7" t="n">
        <v>594</v>
      </c>
      <c r="B595" s="7" t="s">
        <v>3514</v>
      </c>
      <c r="C595" s="7" t="n">
        <v>2024</v>
      </c>
      <c r="D595" s="7" t="s">
        <v>3515</v>
      </c>
      <c r="E595" s="7" t="s">
        <v>151</v>
      </c>
      <c r="F595" s="7" t="s">
        <v>626</v>
      </c>
      <c r="G595" s="7" t="s">
        <v>255</v>
      </c>
      <c r="H595" s="7" t="s">
        <v>146</v>
      </c>
      <c r="I595" s="7" t="s">
        <v>3516</v>
      </c>
      <c r="J595" s="7" t="s">
        <v>112</v>
      </c>
      <c r="K595" s="7" t="s">
        <v>3517</v>
      </c>
    </row>
    <row r="596" customFormat="false" ht="79.85" hidden="false" customHeight="false" outlineLevel="0" collapsed="false">
      <c r="A596" s="7" t="n">
        <v>595</v>
      </c>
      <c r="B596" s="7" t="s">
        <v>1261</v>
      </c>
      <c r="C596" s="7" t="n">
        <v>2015</v>
      </c>
      <c r="D596" s="7" t="s">
        <v>3518</v>
      </c>
      <c r="E596" s="7" t="s">
        <v>15497</v>
      </c>
      <c r="F596" s="7" t="s">
        <v>15498</v>
      </c>
      <c r="G596" s="7" t="s">
        <v>255</v>
      </c>
      <c r="H596" s="7" t="s">
        <v>146</v>
      </c>
      <c r="I596" s="7" t="s">
        <v>15499</v>
      </c>
      <c r="J596" s="7" t="s">
        <v>112</v>
      </c>
      <c r="K596" s="7" t="s">
        <v>15500</v>
      </c>
    </row>
    <row r="597" customFormat="false" ht="79.85" hidden="false" customHeight="false" outlineLevel="0" collapsed="false">
      <c r="A597" s="7" t="n">
        <v>596</v>
      </c>
      <c r="B597" s="7" t="s">
        <v>1261</v>
      </c>
      <c r="C597" s="7" t="n">
        <v>2024</v>
      </c>
      <c r="D597" s="7" t="s">
        <v>3529</v>
      </c>
      <c r="E597" s="7" t="s">
        <v>143</v>
      </c>
      <c r="F597" s="7" t="s">
        <v>15501</v>
      </c>
      <c r="G597" s="7" t="s">
        <v>145</v>
      </c>
      <c r="H597" s="7" t="s">
        <v>153</v>
      </c>
      <c r="I597" s="7" t="s">
        <v>15502</v>
      </c>
      <c r="J597" s="7" t="s">
        <v>15330</v>
      </c>
      <c r="K597" s="7" t="s">
        <v>15503</v>
      </c>
    </row>
    <row r="598" customFormat="false" ht="35.05" hidden="false" customHeight="false" outlineLevel="0" collapsed="false">
      <c r="A598" s="7" t="n">
        <v>597</v>
      </c>
      <c r="B598" s="7" t="s">
        <v>3538</v>
      </c>
      <c r="C598" s="7" t="n">
        <v>2013</v>
      </c>
      <c r="D598" s="7" t="s">
        <v>3539</v>
      </c>
      <c r="E598" s="7" t="s">
        <v>151</v>
      </c>
      <c r="F598" s="7" t="s">
        <v>152</v>
      </c>
      <c r="G598" s="7" t="s">
        <v>145</v>
      </c>
      <c r="H598" s="7" t="s">
        <v>387</v>
      </c>
      <c r="I598" s="7" t="s">
        <v>3540</v>
      </c>
      <c r="J598" s="7" t="s">
        <v>112</v>
      </c>
      <c r="K598" s="7" t="s">
        <v>3541</v>
      </c>
    </row>
    <row r="599" customFormat="false" ht="57.45" hidden="false" customHeight="false" outlineLevel="0" collapsed="false">
      <c r="A599" s="7" t="n">
        <v>598</v>
      </c>
      <c r="B599" s="7" t="s">
        <v>15504</v>
      </c>
      <c r="C599" s="7" t="n">
        <v>2020</v>
      </c>
      <c r="D599" s="7" t="s">
        <v>3542</v>
      </c>
      <c r="E599" s="7" t="s">
        <v>201</v>
      </c>
      <c r="F599" s="7" t="s">
        <v>15505</v>
      </c>
      <c r="G599" s="7" t="s">
        <v>145</v>
      </c>
      <c r="H599" s="7" t="s">
        <v>387</v>
      </c>
      <c r="I599" s="7" t="s">
        <v>15506</v>
      </c>
      <c r="J599" s="7" t="s">
        <v>112</v>
      </c>
      <c r="K599" s="7" t="s">
        <v>15507</v>
      </c>
    </row>
    <row r="600" customFormat="false" ht="23.85" hidden="false" customHeight="false" outlineLevel="0" collapsed="false">
      <c r="A600" s="7" t="n">
        <v>599</v>
      </c>
      <c r="B600" s="7" t="s">
        <v>3550</v>
      </c>
      <c r="C600" s="7" t="n">
        <v>2018</v>
      </c>
      <c r="D600" s="7" t="s">
        <v>3551</v>
      </c>
      <c r="E600" s="7" t="s">
        <v>143</v>
      </c>
      <c r="F600" s="7" t="s">
        <v>3552</v>
      </c>
      <c r="G600" s="7" t="s">
        <v>3511</v>
      </c>
      <c r="H600" s="7" t="s">
        <v>146</v>
      </c>
      <c r="I600" s="7" t="s">
        <v>3553</v>
      </c>
      <c r="J600" s="7" t="s">
        <v>116</v>
      </c>
      <c r="K600" s="7" t="s">
        <v>3554</v>
      </c>
    </row>
    <row r="601" customFormat="false" ht="57.45" hidden="false" customHeight="false" outlineLevel="0" collapsed="false">
      <c r="A601" s="7" t="n">
        <v>600</v>
      </c>
      <c r="B601" s="7" t="s">
        <v>3555</v>
      </c>
      <c r="C601" s="7" t="n">
        <v>2023</v>
      </c>
      <c r="D601" s="7" t="s">
        <v>3556</v>
      </c>
      <c r="E601" s="7" t="s">
        <v>143</v>
      </c>
      <c r="F601" s="7" t="s">
        <v>15508</v>
      </c>
      <c r="G601" s="7" t="s">
        <v>15509</v>
      </c>
      <c r="H601" s="7" t="s">
        <v>146</v>
      </c>
      <c r="I601" s="7" t="s">
        <v>15510</v>
      </c>
      <c r="J601" s="7" t="s">
        <v>110</v>
      </c>
      <c r="K601" s="7" t="s">
        <v>15511</v>
      </c>
    </row>
    <row r="602" customFormat="false" ht="35.05" hidden="false" customHeight="false" outlineLevel="0" collapsed="false">
      <c r="A602" s="7" t="n">
        <v>601</v>
      </c>
      <c r="B602" s="7" t="s">
        <v>3561</v>
      </c>
      <c r="C602" s="7" t="n">
        <v>2020</v>
      </c>
      <c r="D602" s="7" t="s">
        <v>3562</v>
      </c>
      <c r="E602" s="7" t="s">
        <v>143</v>
      </c>
      <c r="F602" s="7" t="s">
        <v>152</v>
      </c>
      <c r="G602" s="7" t="s">
        <v>145</v>
      </c>
      <c r="H602" s="7" t="s">
        <v>146</v>
      </c>
      <c r="I602" s="7" t="s">
        <v>3563</v>
      </c>
      <c r="J602" s="7"/>
      <c r="K602" s="7" t="s">
        <v>3564</v>
      </c>
    </row>
    <row r="603" customFormat="false" ht="23.85" hidden="false" customHeight="false" outlineLevel="0" collapsed="false">
      <c r="A603" s="7" t="n">
        <v>602</v>
      </c>
      <c r="B603" s="7" t="s">
        <v>3565</v>
      </c>
      <c r="C603" s="7" t="n">
        <v>1998</v>
      </c>
      <c r="D603" s="7" t="s">
        <v>3566</v>
      </c>
      <c r="E603" s="7" t="s">
        <v>143</v>
      </c>
      <c r="F603" s="7" t="s">
        <v>1264</v>
      </c>
      <c r="G603" s="7" t="s">
        <v>145</v>
      </c>
      <c r="H603" s="7" t="s">
        <v>153</v>
      </c>
      <c r="I603" s="7" t="s">
        <v>3567</v>
      </c>
      <c r="J603" s="7" t="s">
        <v>112</v>
      </c>
      <c r="K603" s="7" t="s">
        <v>3568</v>
      </c>
    </row>
    <row r="604" customFormat="false" ht="23.85" hidden="false" customHeight="false" outlineLevel="0" collapsed="false">
      <c r="A604" s="7" t="n">
        <v>603</v>
      </c>
      <c r="B604" s="7" t="s">
        <v>3569</v>
      </c>
      <c r="C604" s="7" t="n">
        <v>2019</v>
      </c>
      <c r="D604" s="7" t="s">
        <v>3570</v>
      </c>
      <c r="E604" s="7" t="s">
        <v>143</v>
      </c>
      <c r="F604" s="7" t="s">
        <v>3571</v>
      </c>
      <c r="G604" s="7" t="s">
        <v>145</v>
      </c>
      <c r="H604" s="7" t="s">
        <v>153</v>
      </c>
      <c r="I604" s="7" t="s">
        <v>3572</v>
      </c>
      <c r="J604" s="7" t="s">
        <v>112</v>
      </c>
      <c r="K604" s="7" t="s">
        <v>3573</v>
      </c>
    </row>
    <row r="605" customFormat="false" ht="35.05" hidden="false" customHeight="false" outlineLevel="0" collapsed="false">
      <c r="A605" s="7" t="n">
        <v>604</v>
      </c>
      <c r="B605" s="7" t="s">
        <v>3574</v>
      </c>
      <c r="C605" s="7" t="n">
        <v>2024</v>
      </c>
      <c r="D605" s="7" t="s">
        <v>3575</v>
      </c>
      <c r="E605" s="7" t="s">
        <v>143</v>
      </c>
      <c r="F605" s="7" t="s">
        <v>3576</v>
      </c>
      <c r="G605" s="7" t="s">
        <v>145</v>
      </c>
      <c r="H605" s="7" t="s">
        <v>387</v>
      </c>
      <c r="I605" s="7" t="s">
        <v>3577</v>
      </c>
      <c r="J605" s="7"/>
      <c r="K605" s="7" t="s">
        <v>3578</v>
      </c>
    </row>
    <row r="606" customFormat="false" ht="35.05" hidden="false" customHeight="false" outlineLevel="0" collapsed="false">
      <c r="A606" s="7" t="n">
        <v>605</v>
      </c>
      <c r="B606" s="7" t="s">
        <v>3579</v>
      </c>
      <c r="C606" s="7" t="n">
        <v>2009</v>
      </c>
      <c r="D606" s="7" t="s">
        <v>3580</v>
      </c>
      <c r="E606" s="7" t="s">
        <v>143</v>
      </c>
      <c r="F606" s="7" t="s">
        <v>3581</v>
      </c>
      <c r="G606" s="7" t="s">
        <v>3582</v>
      </c>
      <c r="H606" s="7" t="s">
        <v>146</v>
      </c>
      <c r="I606" s="7" t="s">
        <v>3583</v>
      </c>
      <c r="J606" s="7" t="s">
        <v>116</v>
      </c>
      <c r="K606" s="7" t="s">
        <v>3584</v>
      </c>
    </row>
    <row r="607" customFormat="false" ht="35.05" hidden="false" customHeight="false" outlineLevel="0" collapsed="false">
      <c r="A607" s="7" t="n">
        <v>606</v>
      </c>
      <c r="B607" s="7" t="s">
        <v>3585</v>
      </c>
      <c r="C607" s="7" t="n">
        <v>2023</v>
      </c>
      <c r="D607" s="7" t="s">
        <v>3586</v>
      </c>
      <c r="E607" s="7" t="s">
        <v>143</v>
      </c>
      <c r="F607" s="7" t="s">
        <v>3587</v>
      </c>
      <c r="G607" s="7" t="s">
        <v>285</v>
      </c>
      <c r="H607" s="7" t="s">
        <v>387</v>
      </c>
      <c r="I607" s="7" t="s">
        <v>3588</v>
      </c>
      <c r="J607" s="7" t="s">
        <v>110</v>
      </c>
      <c r="K607" s="7" t="s">
        <v>3589</v>
      </c>
    </row>
    <row r="608" customFormat="false" ht="35.05" hidden="false" customHeight="false" outlineLevel="0" collapsed="false">
      <c r="A608" s="7" t="n">
        <v>607</v>
      </c>
      <c r="B608" s="7" t="s">
        <v>3590</v>
      </c>
      <c r="C608" s="7" t="n">
        <v>2022</v>
      </c>
      <c r="D608" s="7" t="s">
        <v>3591</v>
      </c>
      <c r="E608" s="7" t="s">
        <v>143</v>
      </c>
      <c r="F608" s="7" t="s">
        <v>3510</v>
      </c>
      <c r="G608" s="7" t="s">
        <v>3592</v>
      </c>
      <c r="H608" s="7" t="s">
        <v>146</v>
      </c>
      <c r="I608" s="7" t="s">
        <v>3593</v>
      </c>
      <c r="J608" s="7" t="s">
        <v>116</v>
      </c>
      <c r="K608" s="7" t="s">
        <v>3594</v>
      </c>
    </row>
    <row r="609" customFormat="false" ht="35.05" hidden="false" customHeight="false" outlineLevel="0" collapsed="false">
      <c r="A609" s="7" t="n">
        <v>608</v>
      </c>
      <c r="B609" s="7" t="s">
        <v>3595</v>
      </c>
      <c r="C609" s="7" t="n">
        <v>2008</v>
      </c>
      <c r="D609" s="7" t="s">
        <v>3596</v>
      </c>
      <c r="E609" s="7" t="s">
        <v>201</v>
      </c>
      <c r="F609" s="7" t="s">
        <v>1619</v>
      </c>
      <c r="G609" s="7" t="s">
        <v>145</v>
      </c>
      <c r="H609" s="7" t="s">
        <v>146</v>
      </c>
      <c r="I609" s="7" t="s">
        <v>3597</v>
      </c>
      <c r="J609" s="7" t="s">
        <v>116</v>
      </c>
      <c r="K609" s="7" t="s">
        <v>3598</v>
      </c>
    </row>
    <row r="610" customFormat="false" ht="35.05" hidden="false" customHeight="false" outlineLevel="0" collapsed="false">
      <c r="A610" s="7" t="n">
        <v>609</v>
      </c>
      <c r="B610" s="7" t="s">
        <v>3599</v>
      </c>
      <c r="C610" s="7" t="n">
        <v>2023</v>
      </c>
      <c r="D610" s="7" t="s">
        <v>3600</v>
      </c>
      <c r="E610" s="7" t="s">
        <v>143</v>
      </c>
      <c r="F610" s="7" t="s">
        <v>2751</v>
      </c>
      <c r="G610" s="7" t="s">
        <v>145</v>
      </c>
      <c r="H610" s="7" t="s">
        <v>153</v>
      </c>
      <c r="I610" s="7" t="s">
        <v>3601</v>
      </c>
      <c r="J610" s="7" t="s">
        <v>110</v>
      </c>
      <c r="K610" s="7" t="s">
        <v>3602</v>
      </c>
    </row>
    <row r="611" customFormat="false" ht="35.05" hidden="false" customHeight="false" outlineLevel="0" collapsed="false">
      <c r="A611" s="7" t="n">
        <v>610</v>
      </c>
      <c r="B611" s="7" t="s">
        <v>3603</v>
      </c>
      <c r="C611" s="7" t="n">
        <v>2004</v>
      </c>
      <c r="D611" s="7" t="s">
        <v>3604</v>
      </c>
      <c r="E611" s="7" t="s">
        <v>143</v>
      </c>
      <c r="F611" s="7" t="s">
        <v>3605</v>
      </c>
      <c r="G611" s="7" t="s">
        <v>3606</v>
      </c>
      <c r="H611" s="7" t="s">
        <v>146</v>
      </c>
      <c r="I611" s="7" t="s">
        <v>3607</v>
      </c>
      <c r="J611" s="7" t="s">
        <v>116</v>
      </c>
      <c r="K611" s="7" t="s">
        <v>3608</v>
      </c>
    </row>
    <row r="612" customFormat="false" ht="35.05" hidden="false" customHeight="false" outlineLevel="0" collapsed="false">
      <c r="A612" s="7" t="n">
        <v>611</v>
      </c>
      <c r="B612" s="7" t="s">
        <v>3609</v>
      </c>
      <c r="C612" s="7" t="n">
        <v>2023</v>
      </c>
      <c r="D612" s="7" t="s">
        <v>3610</v>
      </c>
      <c r="E612" s="7" t="s">
        <v>143</v>
      </c>
      <c r="F612" s="7" t="s">
        <v>3611</v>
      </c>
      <c r="G612" s="7" t="s">
        <v>145</v>
      </c>
      <c r="H612" s="7" t="s">
        <v>146</v>
      </c>
      <c r="I612" s="7" t="s">
        <v>3612</v>
      </c>
      <c r="J612" s="7" t="s">
        <v>116</v>
      </c>
      <c r="K612" s="7" t="s">
        <v>3613</v>
      </c>
    </row>
    <row r="613" customFormat="false" ht="23.85" hidden="false" customHeight="false" outlineLevel="0" collapsed="false">
      <c r="A613" s="7" t="n">
        <v>612</v>
      </c>
      <c r="B613" s="7" t="s">
        <v>3614</v>
      </c>
      <c r="C613" s="7" t="n">
        <v>2002</v>
      </c>
      <c r="D613" s="7" t="s">
        <v>3615</v>
      </c>
      <c r="E613" s="7" t="s">
        <v>151</v>
      </c>
      <c r="F613" s="7" t="s">
        <v>3616</v>
      </c>
      <c r="G613" s="7" t="s">
        <v>3617</v>
      </c>
      <c r="H613" s="7" t="s">
        <v>146</v>
      </c>
      <c r="I613" s="7" t="s">
        <v>3618</v>
      </c>
      <c r="J613" s="7"/>
      <c r="K613" s="7" t="s">
        <v>3619</v>
      </c>
    </row>
    <row r="614" customFormat="false" ht="35.05" hidden="false" customHeight="false" outlineLevel="0" collapsed="false">
      <c r="A614" s="7" t="n">
        <v>613</v>
      </c>
      <c r="B614" s="7" t="s">
        <v>3620</v>
      </c>
      <c r="C614" s="7" t="n">
        <v>2023</v>
      </c>
      <c r="D614" s="7" t="s">
        <v>3621</v>
      </c>
      <c r="E614" s="7" t="s">
        <v>143</v>
      </c>
      <c r="F614" s="7" t="s">
        <v>1513</v>
      </c>
      <c r="G614" s="7" t="s">
        <v>145</v>
      </c>
      <c r="H614" s="7" t="s">
        <v>153</v>
      </c>
      <c r="I614" s="7" t="s">
        <v>3622</v>
      </c>
      <c r="J614" s="7" t="s">
        <v>114</v>
      </c>
      <c r="K614" s="7" t="s">
        <v>3623</v>
      </c>
    </row>
    <row r="615" customFormat="false" ht="35.05" hidden="false" customHeight="false" outlineLevel="0" collapsed="false">
      <c r="A615" s="7" t="n">
        <v>614</v>
      </c>
      <c r="B615" s="7" t="s">
        <v>3624</v>
      </c>
      <c r="C615" s="7" t="n">
        <v>2014</v>
      </c>
      <c r="D615" s="7" t="s">
        <v>3625</v>
      </c>
      <c r="E615" s="7" t="s">
        <v>143</v>
      </c>
      <c r="F615" s="7" t="s">
        <v>3581</v>
      </c>
      <c r="G615" s="7" t="s">
        <v>1373</v>
      </c>
      <c r="H615" s="7" t="s">
        <v>387</v>
      </c>
      <c r="I615" s="7" t="s">
        <v>3626</v>
      </c>
      <c r="J615" s="7" t="s">
        <v>116</v>
      </c>
      <c r="K615" s="7" t="s">
        <v>3627</v>
      </c>
    </row>
    <row r="616" customFormat="false" ht="35.05" hidden="false" customHeight="false" outlineLevel="0" collapsed="false">
      <c r="A616" s="7" t="n">
        <v>615</v>
      </c>
      <c r="B616" s="7" t="s">
        <v>3628</v>
      </c>
      <c r="C616" s="7" t="n">
        <v>2017</v>
      </c>
      <c r="D616" s="7" t="s">
        <v>3629</v>
      </c>
      <c r="E616" s="7" t="s">
        <v>201</v>
      </c>
      <c r="F616" s="7" t="s">
        <v>152</v>
      </c>
      <c r="G616" s="7" t="s">
        <v>3630</v>
      </c>
      <c r="H616" s="7" t="s">
        <v>146</v>
      </c>
      <c r="I616" s="7" t="s">
        <v>3631</v>
      </c>
      <c r="J616" s="7" t="s">
        <v>116</v>
      </c>
      <c r="K616" s="7" t="s">
        <v>3632</v>
      </c>
    </row>
    <row r="617" customFormat="false" ht="57.45" hidden="false" customHeight="false" outlineLevel="0" collapsed="false">
      <c r="A617" s="7" t="n">
        <v>616</v>
      </c>
      <c r="B617" s="7" t="s">
        <v>15512</v>
      </c>
      <c r="C617" s="7" t="n">
        <v>2023</v>
      </c>
      <c r="D617" s="7" t="s">
        <v>3633</v>
      </c>
      <c r="E617" s="7" t="s">
        <v>143</v>
      </c>
      <c r="F617" s="7" t="s">
        <v>15513</v>
      </c>
      <c r="G617" s="7" t="s">
        <v>145</v>
      </c>
      <c r="H617" s="7" t="s">
        <v>153</v>
      </c>
      <c r="I617" s="7" t="s">
        <v>15514</v>
      </c>
      <c r="J617" s="7" t="s">
        <v>110</v>
      </c>
      <c r="K617" s="7" t="s">
        <v>15515</v>
      </c>
    </row>
    <row r="618" customFormat="false" ht="23.85" hidden="false" customHeight="false" outlineLevel="0" collapsed="false">
      <c r="A618" s="7" t="n">
        <v>617</v>
      </c>
      <c r="B618" s="7" t="s">
        <v>3641</v>
      </c>
      <c r="C618" s="7" t="n">
        <v>2018</v>
      </c>
      <c r="D618" s="7" t="s">
        <v>3642</v>
      </c>
      <c r="E618" s="7" t="s">
        <v>143</v>
      </c>
      <c r="F618" s="7" t="s">
        <v>3552</v>
      </c>
      <c r="G618" s="7" t="s">
        <v>145</v>
      </c>
      <c r="H618" s="7" t="s">
        <v>153</v>
      </c>
      <c r="I618" s="7" t="s">
        <v>3643</v>
      </c>
      <c r="J618" s="7"/>
      <c r="K618" s="7" t="s">
        <v>3644</v>
      </c>
    </row>
    <row r="619" customFormat="false" ht="68.65" hidden="false" customHeight="false" outlineLevel="0" collapsed="false">
      <c r="A619" s="7" t="n">
        <v>618</v>
      </c>
      <c r="B619" s="7" t="s">
        <v>1303</v>
      </c>
      <c r="C619" s="7" t="n">
        <v>2023</v>
      </c>
      <c r="D619" s="7" t="s">
        <v>3645</v>
      </c>
      <c r="E619" s="7" t="s">
        <v>143</v>
      </c>
      <c r="F619" s="7" t="s">
        <v>15516</v>
      </c>
      <c r="G619" s="7" t="s">
        <v>15517</v>
      </c>
      <c r="H619" s="7" t="s">
        <v>146</v>
      </c>
      <c r="I619" s="7" t="s">
        <v>15518</v>
      </c>
      <c r="J619" s="7" t="s">
        <v>112</v>
      </c>
      <c r="K619" s="7" t="s">
        <v>15519</v>
      </c>
    </row>
    <row r="620" customFormat="false" ht="35.05" hidden="false" customHeight="false" outlineLevel="0" collapsed="false">
      <c r="A620" s="7" t="n">
        <v>619</v>
      </c>
      <c r="B620" s="7" t="s">
        <v>3650</v>
      </c>
      <c r="C620" s="7" t="n">
        <v>2013</v>
      </c>
      <c r="D620" s="7" t="s">
        <v>3651</v>
      </c>
      <c r="E620" s="7" t="s">
        <v>143</v>
      </c>
      <c r="F620" s="7" t="s">
        <v>197</v>
      </c>
      <c r="G620" s="7" t="s">
        <v>145</v>
      </c>
      <c r="H620" s="7" t="s">
        <v>153</v>
      </c>
      <c r="I620" s="7" t="s">
        <v>3652</v>
      </c>
      <c r="J620" s="7"/>
      <c r="K620" s="7" t="s">
        <v>3653</v>
      </c>
    </row>
    <row r="621" customFormat="false" ht="35.05" hidden="false" customHeight="false" outlineLevel="0" collapsed="false">
      <c r="A621" s="7" t="n">
        <v>620</v>
      </c>
      <c r="B621" s="7" t="s">
        <v>3654</v>
      </c>
      <c r="C621" s="7" t="n">
        <v>2004</v>
      </c>
      <c r="D621" s="7" t="s">
        <v>3655</v>
      </c>
      <c r="E621" s="7" t="s">
        <v>143</v>
      </c>
      <c r="F621" s="7" t="s">
        <v>3656</v>
      </c>
      <c r="G621" s="7" t="s">
        <v>187</v>
      </c>
      <c r="H621" s="7" t="s">
        <v>208</v>
      </c>
      <c r="I621" s="7" t="s">
        <v>3657</v>
      </c>
      <c r="J621" s="7" t="s">
        <v>112</v>
      </c>
      <c r="K621" s="7" t="s">
        <v>3658</v>
      </c>
    </row>
    <row r="622" customFormat="false" ht="23.85" hidden="false" customHeight="false" outlineLevel="0" collapsed="false">
      <c r="A622" s="7" t="n">
        <v>621</v>
      </c>
      <c r="B622" s="7" t="s">
        <v>3659</v>
      </c>
      <c r="C622" s="7" t="n">
        <v>2018</v>
      </c>
      <c r="D622" s="7" t="s">
        <v>3660</v>
      </c>
      <c r="E622" s="7" t="s">
        <v>143</v>
      </c>
      <c r="F622" s="7" t="s">
        <v>3510</v>
      </c>
      <c r="G622" s="7" t="s">
        <v>1373</v>
      </c>
      <c r="H622" s="7" t="s">
        <v>146</v>
      </c>
      <c r="I622" s="7" t="s">
        <v>3661</v>
      </c>
      <c r="J622" s="7"/>
      <c r="K622" s="7" t="s">
        <v>3662</v>
      </c>
    </row>
    <row r="623" customFormat="false" ht="35.05" hidden="false" customHeight="false" outlineLevel="0" collapsed="false">
      <c r="A623" s="7" t="n">
        <v>622</v>
      </c>
      <c r="B623" s="7" t="s">
        <v>3663</v>
      </c>
      <c r="C623" s="7" t="n">
        <v>2018</v>
      </c>
      <c r="D623" s="7" t="s">
        <v>3664</v>
      </c>
      <c r="E623" s="7" t="s">
        <v>143</v>
      </c>
      <c r="F623" s="7" t="s">
        <v>3665</v>
      </c>
      <c r="G623" s="7" t="s">
        <v>914</v>
      </c>
      <c r="H623" s="7" t="s">
        <v>146</v>
      </c>
      <c r="I623" s="7" t="s">
        <v>3666</v>
      </c>
      <c r="J623" s="7"/>
      <c r="K623" s="7" t="s">
        <v>3667</v>
      </c>
    </row>
    <row r="624" customFormat="false" ht="23.85" hidden="false" customHeight="false" outlineLevel="0" collapsed="false">
      <c r="A624" s="7" t="n">
        <v>623</v>
      </c>
      <c r="B624" s="7" t="s">
        <v>3668</v>
      </c>
      <c r="C624" s="7" t="n">
        <v>2011</v>
      </c>
      <c r="D624" s="7" t="s">
        <v>3669</v>
      </c>
      <c r="E624" s="7" t="s">
        <v>143</v>
      </c>
      <c r="F624" s="7" t="s">
        <v>3375</v>
      </c>
      <c r="G624" s="7" t="s">
        <v>187</v>
      </c>
      <c r="H624" s="7" t="s">
        <v>153</v>
      </c>
      <c r="I624" s="7" t="s">
        <v>3670</v>
      </c>
      <c r="J624" s="7" t="s">
        <v>112</v>
      </c>
      <c r="K624" s="7" t="s">
        <v>3671</v>
      </c>
    </row>
    <row r="625" customFormat="false" ht="79.85" hidden="false" customHeight="false" outlineLevel="0" collapsed="false">
      <c r="A625" s="7" t="n">
        <v>624</v>
      </c>
      <c r="B625" s="7" t="s">
        <v>3672</v>
      </c>
      <c r="C625" s="7" t="n">
        <v>2000</v>
      </c>
      <c r="D625" s="7" t="s">
        <v>3673</v>
      </c>
      <c r="E625" s="7" t="s">
        <v>15520</v>
      </c>
      <c r="F625" s="7" t="s">
        <v>15409</v>
      </c>
      <c r="G625" s="7" t="s">
        <v>15521</v>
      </c>
      <c r="H625" s="7" t="s">
        <v>15522</v>
      </c>
      <c r="I625" s="7" t="s">
        <v>15523</v>
      </c>
      <c r="J625" s="7" t="s">
        <v>112</v>
      </c>
      <c r="K625" s="7" t="s">
        <v>15524</v>
      </c>
    </row>
    <row r="626" customFormat="false" ht="23.85" hidden="false" customHeight="false" outlineLevel="0" collapsed="false">
      <c r="A626" s="7" t="n">
        <v>625</v>
      </c>
      <c r="B626" s="7" t="s">
        <v>3682</v>
      </c>
      <c r="C626" s="7" t="n">
        <v>2023</v>
      </c>
      <c r="D626" s="7" t="s">
        <v>3683</v>
      </c>
      <c r="E626" s="7" t="s">
        <v>143</v>
      </c>
      <c r="F626" s="7" t="s">
        <v>3684</v>
      </c>
      <c r="G626" s="7" t="s">
        <v>145</v>
      </c>
      <c r="H626" s="7" t="s">
        <v>153</v>
      </c>
      <c r="I626" s="7" t="s">
        <v>3685</v>
      </c>
      <c r="J626" s="7" t="s">
        <v>114</v>
      </c>
      <c r="K626" s="7" t="s">
        <v>3686</v>
      </c>
    </row>
    <row r="627" customFormat="false" ht="35.05" hidden="false" customHeight="false" outlineLevel="0" collapsed="false">
      <c r="A627" s="7" t="n">
        <v>626</v>
      </c>
      <c r="B627" s="7" t="s">
        <v>3687</v>
      </c>
      <c r="C627" s="7" t="n">
        <v>2020</v>
      </c>
      <c r="D627" s="7" t="s">
        <v>3688</v>
      </c>
      <c r="E627" s="7" t="s">
        <v>151</v>
      </c>
      <c r="F627" s="7" t="s">
        <v>152</v>
      </c>
      <c r="G627" s="7" t="s">
        <v>145</v>
      </c>
      <c r="H627" s="7" t="s">
        <v>387</v>
      </c>
      <c r="I627" s="7" t="s">
        <v>3689</v>
      </c>
      <c r="J627" s="7"/>
      <c r="K627" s="7" t="s">
        <v>3690</v>
      </c>
    </row>
    <row r="628" customFormat="false" ht="35.05" hidden="false" customHeight="false" outlineLevel="0" collapsed="false">
      <c r="A628" s="7" t="n">
        <v>627</v>
      </c>
      <c r="B628" s="7" t="s">
        <v>3691</v>
      </c>
      <c r="C628" s="7" t="n">
        <v>2002</v>
      </c>
      <c r="D628" s="7" t="s">
        <v>3692</v>
      </c>
      <c r="E628" s="7" t="s">
        <v>201</v>
      </c>
      <c r="F628" s="7" t="s">
        <v>3693</v>
      </c>
      <c r="G628" s="7" t="s">
        <v>3694</v>
      </c>
      <c r="H628" s="7" t="s">
        <v>146</v>
      </c>
      <c r="I628" s="7" t="s">
        <v>3695</v>
      </c>
      <c r="J628" s="7"/>
      <c r="K628" s="7" t="s">
        <v>3696</v>
      </c>
    </row>
    <row r="629" customFormat="false" ht="23.85" hidden="false" customHeight="false" outlineLevel="0" collapsed="false">
      <c r="A629" s="7" t="n">
        <v>628</v>
      </c>
      <c r="B629" s="7" t="s">
        <v>3697</v>
      </c>
      <c r="C629" s="7" t="n">
        <v>2023</v>
      </c>
      <c r="D629" s="7" t="s">
        <v>3698</v>
      </c>
      <c r="E629" s="7" t="s">
        <v>151</v>
      </c>
      <c r="F629" s="7" t="s">
        <v>3699</v>
      </c>
      <c r="G629" s="7" t="s">
        <v>145</v>
      </c>
      <c r="H629" s="7" t="s">
        <v>153</v>
      </c>
      <c r="I629" s="7" t="s">
        <v>3700</v>
      </c>
      <c r="J629" s="7" t="s">
        <v>112</v>
      </c>
      <c r="K629" s="7" t="s">
        <v>3701</v>
      </c>
    </row>
    <row r="630" customFormat="false" ht="35.05" hidden="false" customHeight="false" outlineLevel="0" collapsed="false">
      <c r="A630" s="7" t="n">
        <v>629</v>
      </c>
      <c r="B630" s="7" t="s">
        <v>3702</v>
      </c>
      <c r="C630" s="7" t="n">
        <v>2023</v>
      </c>
      <c r="D630" s="7" t="s">
        <v>3703</v>
      </c>
      <c r="E630" s="7" t="s">
        <v>151</v>
      </c>
      <c r="F630" s="7" t="s">
        <v>1080</v>
      </c>
      <c r="G630" s="7" t="s">
        <v>338</v>
      </c>
      <c r="H630" s="7" t="s">
        <v>146</v>
      </c>
      <c r="I630" s="7" t="s">
        <v>3704</v>
      </c>
      <c r="J630" s="7" t="s">
        <v>112</v>
      </c>
      <c r="K630" s="7" t="s">
        <v>3705</v>
      </c>
    </row>
    <row r="631" customFormat="false" ht="35.05" hidden="false" customHeight="false" outlineLevel="0" collapsed="false">
      <c r="A631" s="7" t="n">
        <v>630</v>
      </c>
      <c r="B631" s="7" t="s">
        <v>3706</v>
      </c>
      <c r="C631" s="7" t="n">
        <v>2012</v>
      </c>
      <c r="D631" s="7" t="s">
        <v>3707</v>
      </c>
      <c r="E631" s="7" t="s">
        <v>143</v>
      </c>
      <c r="F631" s="7" t="s">
        <v>348</v>
      </c>
      <c r="G631" s="7" t="s">
        <v>145</v>
      </c>
      <c r="H631" s="7" t="s">
        <v>153</v>
      </c>
      <c r="I631" s="7" t="s">
        <v>3708</v>
      </c>
      <c r="J631" s="7"/>
      <c r="K631" s="7" t="s">
        <v>3709</v>
      </c>
    </row>
    <row r="632" customFormat="false" ht="23.85" hidden="false" customHeight="false" outlineLevel="0" collapsed="false">
      <c r="A632" s="7" t="n">
        <v>631</v>
      </c>
      <c r="B632" s="7" t="s">
        <v>3710</v>
      </c>
      <c r="C632" s="7" t="n">
        <v>2023</v>
      </c>
      <c r="D632" s="7" t="s">
        <v>3711</v>
      </c>
      <c r="E632" s="7" t="s">
        <v>151</v>
      </c>
      <c r="F632" s="7" t="s">
        <v>3712</v>
      </c>
      <c r="G632" s="7" t="s">
        <v>145</v>
      </c>
      <c r="H632" s="7" t="s">
        <v>146</v>
      </c>
      <c r="I632" s="7" t="s">
        <v>3713</v>
      </c>
      <c r="J632" s="7" t="s">
        <v>112</v>
      </c>
      <c r="K632" s="7" t="s">
        <v>3714</v>
      </c>
    </row>
    <row r="633" customFormat="false" ht="102.2" hidden="false" customHeight="false" outlineLevel="0" collapsed="false">
      <c r="A633" s="7" t="n">
        <v>632</v>
      </c>
      <c r="B633" s="7" t="s">
        <v>3715</v>
      </c>
      <c r="C633" s="7" t="n">
        <v>2024</v>
      </c>
      <c r="D633" s="7" t="s">
        <v>3716</v>
      </c>
      <c r="E633" s="7" t="s">
        <v>143</v>
      </c>
      <c r="F633" s="7" t="s">
        <v>15525</v>
      </c>
      <c r="G633" s="7" t="s">
        <v>145</v>
      </c>
      <c r="H633" s="7" t="s">
        <v>15142</v>
      </c>
      <c r="I633" s="7" t="s">
        <v>15526</v>
      </c>
      <c r="J633" s="7" t="s">
        <v>110</v>
      </c>
      <c r="K633" s="7" t="s">
        <v>15527</v>
      </c>
    </row>
    <row r="634" customFormat="false" ht="35.05" hidden="false" customHeight="false" outlineLevel="0" collapsed="false">
      <c r="A634" s="7" t="n">
        <v>633</v>
      </c>
      <c r="B634" s="7" t="s">
        <v>3726</v>
      </c>
      <c r="C634" s="7" t="n">
        <v>2025</v>
      </c>
      <c r="D634" s="7" t="s">
        <v>3727</v>
      </c>
      <c r="E634" s="7" t="s">
        <v>143</v>
      </c>
      <c r="F634" s="7" t="s">
        <v>1513</v>
      </c>
      <c r="G634" s="7" t="s">
        <v>145</v>
      </c>
      <c r="H634" s="7" t="s">
        <v>153</v>
      </c>
      <c r="I634" s="7" t="s">
        <v>3728</v>
      </c>
      <c r="J634" s="7" t="s">
        <v>114</v>
      </c>
      <c r="K634" s="7" t="s">
        <v>3729</v>
      </c>
    </row>
    <row r="635" customFormat="false" ht="23.85" hidden="false" customHeight="false" outlineLevel="0" collapsed="false">
      <c r="A635" s="7" t="n">
        <v>634</v>
      </c>
      <c r="B635" s="7" t="s">
        <v>3730</v>
      </c>
      <c r="C635" s="7" t="n">
        <v>2019</v>
      </c>
      <c r="D635" s="7" t="s">
        <v>3731</v>
      </c>
      <c r="E635" s="7" t="s">
        <v>143</v>
      </c>
      <c r="F635" s="7" t="s">
        <v>626</v>
      </c>
      <c r="G635" s="7" t="s">
        <v>145</v>
      </c>
      <c r="H635" s="7" t="s">
        <v>153</v>
      </c>
      <c r="I635" s="7" t="s">
        <v>3732</v>
      </c>
      <c r="J635" s="7"/>
      <c r="K635" s="7" t="s">
        <v>3733</v>
      </c>
    </row>
    <row r="636" customFormat="false" ht="35.05" hidden="false" customHeight="false" outlineLevel="0" collapsed="false">
      <c r="A636" s="7" t="n">
        <v>635</v>
      </c>
      <c r="B636" s="7" t="s">
        <v>2958</v>
      </c>
      <c r="C636" s="7" t="n">
        <v>2023</v>
      </c>
      <c r="D636" s="7" t="s">
        <v>3734</v>
      </c>
      <c r="E636" s="7" t="s">
        <v>143</v>
      </c>
      <c r="F636" s="7" t="s">
        <v>3735</v>
      </c>
      <c r="G636" s="7" t="s">
        <v>145</v>
      </c>
      <c r="H636" s="7" t="s">
        <v>153</v>
      </c>
      <c r="I636" s="7" t="s">
        <v>3736</v>
      </c>
      <c r="J636" s="7" t="s">
        <v>114</v>
      </c>
      <c r="K636" s="7" t="s">
        <v>3737</v>
      </c>
    </row>
    <row r="637" customFormat="false" ht="57.45" hidden="false" customHeight="false" outlineLevel="0" collapsed="false">
      <c r="A637" s="7" t="n">
        <v>636</v>
      </c>
      <c r="B637" s="7" t="s">
        <v>3738</v>
      </c>
      <c r="C637" s="7" t="n">
        <v>2015</v>
      </c>
      <c r="D637" s="7" t="s">
        <v>3739</v>
      </c>
      <c r="E637" s="7" t="s">
        <v>15528</v>
      </c>
      <c r="F637" s="7" t="s">
        <v>15529</v>
      </c>
      <c r="G637" s="7" t="s">
        <v>255</v>
      </c>
      <c r="H637" s="7" t="s">
        <v>146</v>
      </c>
      <c r="I637" s="7" t="s">
        <v>15530</v>
      </c>
      <c r="J637" s="7" t="s">
        <v>116</v>
      </c>
      <c r="K637" s="7" t="s">
        <v>15531</v>
      </c>
    </row>
    <row r="638" customFormat="false" ht="35.05" hidden="false" customHeight="false" outlineLevel="0" collapsed="false">
      <c r="A638" s="7" t="n">
        <v>637</v>
      </c>
      <c r="B638" s="7" t="s">
        <v>3746</v>
      </c>
      <c r="C638" s="7" t="n">
        <v>2015</v>
      </c>
      <c r="D638" s="7" t="s">
        <v>3747</v>
      </c>
      <c r="E638" s="7" t="s">
        <v>143</v>
      </c>
      <c r="F638" s="7" t="s">
        <v>3748</v>
      </c>
      <c r="G638" s="7" t="s">
        <v>3749</v>
      </c>
      <c r="H638" s="7" t="s">
        <v>146</v>
      </c>
      <c r="I638" s="7" t="s">
        <v>3750</v>
      </c>
      <c r="J638" s="7"/>
      <c r="K638" s="7" t="s">
        <v>3751</v>
      </c>
    </row>
    <row r="639" customFormat="false" ht="35.05" hidden="false" customHeight="false" outlineLevel="0" collapsed="false">
      <c r="A639" s="7" t="n">
        <v>638</v>
      </c>
      <c r="B639" s="7" t="s">
        <v>3752</v>
      </c>
      <c r="C639" s="7" t="n">
        <v>2022</v>
      </c>
      <c r="D639" s="7" t="s">
        <v>3753</v>
      </c>
      <c r="E639" s="7" t="s">
        <v>143</v>
      </c>
      <c r="F639" s="7" t="s">
        <v>3754</v>
      </c>
      <c r="G639" s="7" t="s">
        <v>145</v>
      </c>
      <c r="H639" s="7" t="s">
        <v>387</v>
      </c>
      <c r="I639" s="7" t="s">
        <v>3755</v>
      </c>
      <c r="J639" s="7" t="s">
        <v>112</v>
      </c>
      <c r="K639" s="7" t="s">
        <v>3756</v>
      </c>
    </row>
    <row r="640" customFormat="false" ht="35.05" hidden="false" customHeight="false" outlineLevel="0" collapsed="false">
      <c r="A640" s="7" t="n">
        <v>639</v>
      </c>
      <c r="B640" s="7" t="s">
        <v>3757</v>
      </c>
      <c r="C640" s="7" t="n">
        <v>2023</v>
      </c>
      <c r="D640" s="7" t="s">
        <v>3758</v>
      </c>
      <c r="E640" s="7" t="s">
        <v>143</v>
      </c>
      <c r="F640" s="7" t="s">
        <v>2122</v>
      </c>
      <c r="G640" s="7" t="s">
        <v>145</v>
      </c>
      <c r="H640" s="7" t="s">
        <v>153</v>
      </c>
      <c r="I640" s="7" t="s">
        <v>3700</v>
      </c>
      <c r="J640" s="7" t="s">
        <v>112</v>
      </c>
      <c r="K640" s="7" t="s">
        <v>3759</v>
      </c>
    </row>
    <row r="641" customFormat="false" ht="35.05" hidden="false" customHeight="false" outlineLevel="0" collapsed="false">
      <c r="A641" s="7" t="n">
        <v>640</v>
      </c>
      <c r="B641" s="7" t="s">
        <v>2658</v>
      </c>
      <c r="C641" s="7" t="n">
        <v>2023</v>
      </c>
      <c r="D641" s="7" t="s">
        <v>3760</v>
      </c>
      <c r="E641" s="7" t="s">
        <v>151</v>
      </c>
      <c r="F641" s="7" t="s">
        <v>2299</v>
      </c>
      <c r="G641" s="7" t="s">
        <v>145</v>
      </c>
      <c r="H641" s="7" t="s">
        <v>153</v>
      </c>
      <c r="I641" s="7" t="s">
        <v>3761</v>
      </c>
      <c r="J641" s="7" t="s">
        <v>114</v>
      </c>
      <c r="K641" s="7" t="s">
        <v>3762</v>
      </c>
    </row>
    <row r="642" customFormat="false" ht="57.45" hidden="false" customHeight="false" outlineLevel="0" collapsed="false">
      <c r="A642" s="7" t="n">
        <v>641</v>
      </c>
      <c r="B642" s="7" t="s">
        <v>3763</v>
      </c>
      <c r="C642" s="7" t="n">
        <v>2018</v>
      </c>
      <c r="D642" s="7" t="s">
        <v>3764</v>
      </c>
      <c r="E642" s="7" t="s">
        <v>151</v>
      </c>
      <c r="F642" s="7" t="s">
        <v>15532</v>
      </c>
      <c r="G642" s="7" t="s">
        <v>871</v>
      </c>
      <c r="H642" s="7" t="s">
        <v>146</v>
      </c>
      <c r="I642" s="7" t="s">
        <v>15533</v>
      </c>
      <c r="J642" s="7" t="s">
        <v>112</v>
      </c>
      <c r="K642" s="7" t="s">
        <v>15534</v>
      </c>
    </row>
    <row r="643" customFormat="false" ht="35.05" hidden="false" customHeight="false" outlineLevel="0" collapsed="false">
      <c r="A643" s="7" t="n">
        <v>642</v>
      </c>
      <c r="B643" s="7" t="s">
        <v>1595</v>
      </c>
      <c r="C643" s="7" t="n">
        <v>2018</v>
      </c>
      <c r="D643" s="7" t="s">
        <v>3772</v>
      </c>
      <c r="E643" s="7" t="s">
        <v>143</v>
      </c>
      <c r="F643" s="7" t="s">
        <v>3773</v>
      </c>
      <c r="G643" s="7" t="s">
        <v>3774</v>
      </c>
      <c r="H643" s="7" t="s">
        <v>153</v>
      </c>
      <c r="I643" s="7" t="s">
        <v>3775</v>
      </c>
      <c r="J643" s="7" t="s">
        <v>116</v>
      </c>
      <c r="K643" s="7" t="s">
        <v>3776</v>
      </c>
    </row>
    <row r="644" customFormat="false" ht="79.85" hidden="false" customHeight="false" outlineLevel="0" collapsed="false">
      <c r="A644" s="7" t="n">
        <v>643</v>
      </c>
      <c r="B644" s="7" t="s">
        <v>3777</v>
      </c>
      <c r="C644" s="7" t="n">
        <v>2009</v>
      </c>
      <c r="D644" s="7" t="s">
        <v>3778</v>
      </c>
      <c r="E644" s="7" t="s">
        <v>15535</v>
      </c>
      <c r="F644" s="7" t="s">
        <v>15409</v>
      </c>
      <c r="G644" s="7" t="s">
        <v>15536</v>
      </c>
      <c r="H644" s="7" t="s">
        <v>146</v>
      </c>
      <c r="I644" s="7" t="s">
        <v>15537</v>
      </c>
      <c r="J644" s="7" t="s">
        <v>112</v>
      </c>
      <c r="K644" s="7" t="s">
        <v>15538</v>
      </c>
    </row>
    <row r="645" customFormat="false" ht="35.05" hidden="false" customHeight="false" outlineLevel="0" collapsed="false">
      <c r="A645" s="7" t="n">
        <v>644</v>
      </c>
      <c r="B645" s="7" t="s">
        <v>3787</v>
      </c>
      <c r="C645" s="7" t="n">
        <v>2023</v>
      </c>
      <c r="D645" s="7" t="s">
        <v>3788</v>
      </c>
      <c r="E645" s="7" t="s">
        <v>151</v>
      </c>
      <c r="F645" s="7" t="s">
        <v>3789</v>
      </c>
      <c r="G645" s="7" t="s">
        <v>3790</v>
      </c>
      <c r="H645" s="7" t="s">
        <v>153</v>
      </c>
      <c r="I645" s="7" t="s">
        <v>3791</v>
      </c>
      <c r="J645" s="7" t="s">
        <v>110</v>
      </c>
      <c r="K645" s="7" t="s">
        <v>3792</v>
      </c>
    </row>
    <row r="646" customFormat="false" ht="35.05" hidden="false" customHeight="false" outlineLevel="0" collapsed="false">
      <c r="A646" s="7" t="n">
        <v>645</v>
      </c>
      <c r="B646" s="7" t="s">
        <v>3793</v>
      </c>
      <c r="C646" s="7" t="n">
        <v>2023</v>
      </c>
      <c r="D646" s="7" t="s">
        <v>3794</v>
      </c>
      <c r="E646" s="7" t="s">
        <v>151</v>
      </c>
      <c r="F646" s="7" t="s">
        <v>3795</v>
      </c>
      <c r="G646" s="7" t="s">
        <v>145</v>
      </c>
      <c r="H646" s="7" t="s">
        <v>146</v>
      </c>
      <c r="I646" s="7" t="s">
        <v>3796</v>
      </c>
      <c r="J646" s="7"/>
      <c r="K646" s="7" t="s">
        <v>3797</v>
      </c>
    </row>
    <row r="647" customFormat="false" ht="35.05" hidden="false" customHeight="false" outlineLevel="0" collapsed="false">
      <c r="A647" s="7" t="n">
        <v>646</v>
      </c>
      <c r="B647" s="7" t="s">
        <v>1454</v>
      </c>
      <c r="C647" s="7" t="n">
        <v>2021</v>
      </c>
      <c r="D647" s="7" t="s">
        <v>3798</v>
      </c>
      <c r="E647" s="7" t="s">
        <v>151</v>
      </c>
      <c r="F647" s="7" t="s">
        <v>152</v>
      </c>
      <c r="G647" s="7" t="s">
        <v>145</v>
      </c>
      <c r="H647" s="7" t="s">
        <v>153</v>
      </c>
      <c r="I647" s="7" t="s">
        <v>3799</v>
      </c>
      <c r="J647" s="7"/>
      <c r="K647" s="7" t="s">
        <v>3800</v>
      </c>
    </row>
    <row r="648" customFormat="false" ht="23.85" hidden="false" customHeight="false" outlineLevel="0" collapsed="false">
      <c r="A648" s="7" t="n">
        <v>647</v>
      </c>
      <c r="B648" s="7" t="s">
        <v>1454</v>
      </c>
      <c r="C648" s="7" t="n">
        <v>2022</v>
      </c>
      <c r="D648" s="7" t="s">
        <v>3801</v>
      </c>
      <c r="E648" s="7" t="s">
        <v>151</v>
      </c>
      <c r="F648" s="7" t="s">
        <v>152</v>
      </c>
      <c r="G648" s="7" t="s">
        <v>3802</v>
      </c>
      <c r="H648" s="7" t="s">
        <v>748</v>
      </c>
      <c r="I648" s="7" t="s">
        <v>3803</v>
      </c>
      <c r="J648" s="7"/>
      <c r="K648" s="7" t="s">
        <v>3804</v>
      </c>
    </row>
    <row r="649" customFormat="false" ht="180.55" hidden="false" customHeight="false" outlineLevel="0" collapsed="false">
      <c r="A649" s="7" t="n">
        <v>648</v>
      </c>
      <c r="B649" s="7" t="s">
        <v>15539</v>
      </c>
      <c r="C649" s="7" t="n">
        <v>2023</v>
      </c>
      <c r="D649" s="7" t="s">
        <v>3805</v>
      </c>
      <c r="E649" s="7" t="s">
        <v>15540</v>
      </c>
      <c r="F649" s="7" t="s">
        <v>15541</v>
      </c>
      <c r="G649" s="7" t="s">
        <v>15542</v>
      </c>
      <c r="H649" s="7" t="s">
        <v>15142</v>
      </c>
      <c r="I649" s="7" t="s">
        <v>15543</v>
      </c>
      <c r="J649" s="7" t="s">
        <v>110</v>
      </c>
      <c r="K649" s="7" t="s">
        <v>15544</v>
      </c>
    </row>
    <row r="650" customFormat="false" ht="79.85" hidden="false" customHeight="false" outlineLevel="0" collapsed="false">
      <c r="A650" s="7" t="n">
        <v>649</v>
      </c>
      <c r="B650" s="7" t="s">
        <v>2034</v>
      </c>
      <c r="C650" s="7" t="n">
        <v>2023</v>
      </c>
      <c r="D650" s="7" t="s">
        <v>3831</v>
      </c>
      <c r="E650" s="7" t="s">
        <v>15248</v>
      </c>
      <c r="F650" s="7" t="s">
        <v>15545</v>
      </c>
      <c r="G650" s="7" t="s">
        <v>15546</v>
      </c>
      <c r="H650" s="7" t="s">
        <v>146</v>
      </c>
      <c r="I650" s="7" t="s">
        <v>15547</v>
      </c>
      <c r="J650" s="7" t="s">
        <v>15357</v>
      </c>
      <c r="K650" s="7" t="s">
        <v>15548</v>
      </c>
    </row>
    <row r="651" customFormat="false" ht="35.05" hidden="false" customHeight="false" outlineLevel="0" collapsed="false">
      <c r="A651" s="7" t="n">
        <v>650</v>
      </c>
      <c r="B651" s="7" t="s">
        <v>1511</v>
      </c>
      <c r="C651" s="7" t="n">
        <v>2024</v>
      </c>
      <c r="D651" s="7" t="s">
        <v>3839</v>
      </c>
      <c r="E651" s="7" t="s">
        <v>143</v>
      </c>
      <c r="F651" s="7" t="s">
        <v>1513</v>
      </c>
      <c r="G651" s="7" t="s">
        <v>145</v>
      </c>
      <c r="H651" s="7" t="s">
        <v>153</v>
      </c>
      <c r="I651" s="7" t="s">
        <v>3840</v>
      </c>
      <c r="J651" s="7" t="s">
        <v>114</v>
      </c>
      <c r="K651" s="7" t="s">
        <v>3841</v>
      </c>
    </row>
    <row r="652" customFormat="false" ht="35.05" hidden="false" customHeight="false" outlineLevel="0" collapsed="false">
      <c r="A652" s="7" t="n">
        <v>651</v>
      </c>
      <c r="B652" s="7" t="s">
        <v>3842</v>
      </c>
      <c r="C652" s="7" t="n">
        <v>2021</v>
      </c>
      <c r="D652" s="7" t="s">
        <v>3843</v>
      </c>
      <c r="E652" s="7" t="s">
        <v>143</v>
      </c>
      <c r="F652" s="7" t="s">
        <v>1177</v>
      </c>
      <c r="G652" s="7" t="s">
        <v>187</v>
      </c>
      <c r="H652" s="7" t="s">
        <v>146</v>
      </c>
      <c r="I652" s="7" t="s">
        <v>1174</v>
      </c>
      <c r="J652" s="7" t="s">
        <v>112</v>
      </c>
      <c r="K652" s="7" t="s">
        <v>3844</v>
      </c>
    </row>
    <row r="653" customFormat="false" ht="23.85" hidden="false" customHeight="false" outlineLevel="0" collapsed="false">
      <c r="A653" s="7" t="n">
        <v>652</v>
      </c>
      <c r="B653" s="7" t="s">
        <v>3845</v>
      </c>
      <c r="C653" s="7" t="n">
        <v>2021</v>
      </c>
      <c r="D653" s="7" t="s">
        <v>3846</v>
      </c>
      <c r="E653" s="7" t="s">
        <v>143</v>
      </c>
      <c r="F653" s="7" t="s">
        <v>3847</v>
      </c>
      <c r="G653" s="7" t="s">
        <v>145</v>
      </c>
      <c r="H653" s="7" t="s">
        <v>153</v>
      </c>
      <c r="I653" s="7" t="s">
        <v>3848</v>
      </c>
      <c r="J653" s="7"/>
      <c r="K653" s="7" t="s">
        <v>3849</v>
      </c>
    </row>
    <row r="654" customFormat="false" ht="23.85" hidden="false" customHeight="false" outlineLevel="0" collapsed="false">
      <c r="A654" s="7" t="n">
        <v>653</v>
      </c>
      <c r="B654" s="7" t="s">
        <v>3850</v>
      </c>
      <c r="C654" s="7" t="n">
        <v>2008</v>
      </c>
      <c r="D654" s="7" t="s">
        <v>3851</v>
      </c>
      <c r="E654" s="7" t="s">
        <v>143</v>
      </c>
      <c r="F654" s="7" t="s">
        <v>832</v>
      </c>
      <c r="G654" s="7" t="s">
        <v>145</v>
      </c>
      <c r="H654" s="7" t="s">
        <v>146</v>
      </c>
      <c r="I654" s="7" t="s">
        <v>3852</v>
      </c>
      <c r="J654" s="7" t="s">
        <v>116</v>
      </c>
      <c r="K654" s="7" t="s">
        <v>3853</v>
      </c>
    </row>
    <row r="655" customFormat="false" ht="35.05" hidden="false" customHeight="false" outlineLevel="0" collapsed="false">
      <c r="A655" s="7" t="n">
        <v>654</v>
      </c>
      <c r="B655" s="7" t="s">
        <v>3850</v>
      </c>
      <c r="C655" s="7" t="n">
        <v>2013</v>
      </c>
      <c r="D655" s="7" t="s">
        <v>3854</v>
      </c>
      <c r="E655" s="7" t="s">
        <v>143</v>
      </c>
      <c r="F655" s="7" t="s">
        <v>3855</v>
      </c>
      <c r="G655" s="7" t="s">
        <v>1373</v>
      </c>
      <c r="H655" s="7" t="s">
        <v>387</v>
      </c>
      <c r="I655" s="7" t="s">
        <v>3856</v>
      </c>
      <c r="J655" s="7" t="s">
        <v>116</v>
      </c>
      <c r="K655" s="7" t="s">
        <v>3857</v>
      </c>
    </row>
    <row r="656" customFormat="false" ht="35.05" hidden="false" customHeight="false" outlineLevel="0" collapsed="false">
      <c r="A656" s="7" t="n">
        <v>655</v>
      </c>
      <c r="B656" s="7" t="s">
        <v>828</v>
      </c>
      <c r="C656" s="7" t="n">
        <v>2008</v>
      </c>
      <c r="D656" s="7" t="s">
        <v>3858</v>
      </c>
      <c r="E656" s="7" t="s">
        <v>143</v>
      </c>
      <c r="F656" s="7" t="s">
        <v>3859</v>
      </c>
      <c r="G656" s="7" t="s">
        <v>3860</v>
      </c>
      <c r="H656" s="7" t="s">
        <v>146</v>
      </c>
      <c r="I656" s="7" t="s">
        <v>3512</v>
      </c>
      <c r="J656" s="7" t="s">
        <v>116</v>
      </c>
      <c r="K656" s="7" t="s">
        <v>3861</v>
      </c>
    </row>
    <row r="657" customFormat="false" ht="35.05" hidden="false" customHeight="false" outlineLevel="0" collapsed="false">
      <c r="A657" s="7" t="n">
        <v>656</v>
      </c>
      <c r="B657" s="7" t="s">
        <v>828</v>
      </c>
      <c r="C657" s="7" t="n">
        <v>2020</v>
      </c>
      <c r="D657" s="7" t="s">
        <v>3862</v>
      </c>
      <c r="E657" s="7" t="s">
        <v>143</v>
      </c>
      <c r="F657" s="7" t="s">
        <v>3863</v>
      </c>
      <c r="G657" s="7" t="s">
        <v>3864</v>
      </c>
      <c r="H657" s="7" t="s">
        <v>146</v>
      </c>
      <c r="I657" s="7" t="s">
        <v>3553</v>
      </c>
      <c r="J657" s="7" t="s">
        <v>116</v>
      </c>
      <c r="K657" s="7" t="s">
        <v>3865</v>
      </c>
    </row>
    <row r="658" customFormat="false" ht="35.05" hidden="false" customHeight="false" outlineLevel="0" collapsed="false">
      <c r="A658" s="7" t="n">
        <v>657</v>
      </c>
      <c r="B658" s="7" t="s">
        <v>828</v>
      </c>
      <c r="C658" s="7" t="n">
        <v>2024</v>
      </c>
      <c r="D658" s="7" t="s">
        <v>3866</v>
      </c>
      <c r="E658" s="7" t="s">
        <v>151</v>
      </c>
      <c r="F658" s="7" t="s">
        <v>3552</v>
      </c>
      <c r="G658" s="7" t="s">
        <v>3867</v>
      </c>
      <c r="H658" s="7" t="s">
        <v>146</v>
      </c>
      <c r="I658" s="7" t="s">
        <v>3868</v>
      </c>
      <c r="J658" s="7" t="s">
        <v>116</v>
      </c>
      <c r="K658" s="7" t="s">
        <v>3869</v>
      </c>
    </row>
    <row r="659" customFormat="false" ht="23.85" hidden="false" customHeight="false" outlineLevel="0" collapsed="false">
      <c r="A659" s="7" t="n">
        <v>658</v>
      </c>
      <c r="B659" s="7" t="s">
        <v>3870</v>
      </c>
      <c r="C659" s="7" t="n">
        <v>2009</v>
      </c>
      <c r="D659" s="7" t="s">
        <v>3871</v>
      </c>
      <c r="E659" s="7" t="s">
        <v>143</v>
      </c>
      <c r="F659" s="7" t="s">
        <v>1823</v>
      </c>
      <c r="G659" s="7" t="s">
        <v>145</v>
      </c>
      <c r="H659" s="7" t="s">
        <v>146</v>
      </c>
      <c r="I659" s="7" t="s">
        <v>3872</v>
      </c>
      <c r="J659" s="7" t="s">
        <v>116</v>
      </c>
      <c r="K659" s="7" t="s">
        <v>3873</v>
      </c>
    </row>
    <row r="660" customFormat="false" ht="102.2" hidden="false" customHeight="false" outlineLevel="0" collapsed="false">
      <c r="A660" s="7" t="n">
        <v>659</v>
      </c>
      <c r="B660" s="7" t="s">
        <v>1331</v>
      </c>
      <c r="C660" s="7" t="n">
        <v>2020</v>
      </c>
      <c r="D660" s="7" t="s">
        <v>3874</v>
      </c>
      <c r="E660" s="7" t="s">
        <v>15549</v>
      </c>
      <c r="F660" s="7" t="s">
        <v>15550</v>
      </c>
      <c r="G660" s="7" t="s">
        <v>15551</v>
      </c>
      <c r="H660" s="7" t="s">
        <v>15552</v>
      </c>
      <c r="I660" s="7" t="s">
        <v>15553</v>
      </c>
      <c r="J660" s="7" t="s">
        <v>112</v>
      </c>
      <c r="K660" s="7" t="s">
        <v>15554</v>
      </c>
    </row>
    <row r="661" customFormat="false" ht="23.85" hidden="false" customHeight="false" outlineLevel="0" collapsed="false">
      <c r="A661" s="7" t="n">
        <v>660</v>
      </c>
      <c r="B661" s="7" t="s">
        <v>3884</v>
      </c>
      <c r="C661" s="7" t="n">
        <v>2015</v>
      </c>
      <c r="D661" s="7" t="s">
        <v>3885</v>
      </c>
      <c r="E661" s="7" t="s">
        <v>143</v>
      </c>
      <c r="F661" s="7" t="s">
        <v>348</v>
      </c>
      <c r="G661" s="7" t="s">
        <v>145</v>
      </c>
      <c r="H661" s="7" t="s">
        <v>153</v>
      </c>
      <c r="I661" s="7" t="s">
        <v>3886</v>
      </c>
      <c r="J661" s="7"/>
      <c r="K661" s="7" t="s">
        <v>3887</v>
      </c>
    </row>
    <row r="662" customFormat="false" ht="23.85" hidden="false" customHeight="false" outlineLevel="0" collapsed="false">
      <c r="A662" s="7" t="n">
        <v>661</v>
      </c>
      <c r="B662" s="7" t="s">
        <v>3888</v>
      </c>
      <c r="C662" s="7" t="n">
        <v>2020</v>
      </c>
      <c r="D662" s="7" t="s">
        <v>3889</v>
      </c>
      <c r="E662" s="7" t="s">
        <v>143</v>
      </c>
      <c r="F662" s="7" t="s">
        <v>348</v>
      </c>
      <c r="G662" s="7" t="s">
        <v>145</v>
      </c>
      <c r="H662" s="7" t="s">
        <v>153</v>
      </c>
      <c r="I662" s="7" t="s">
        <v>3890</v>
      </c>
      <c r="J662" s="7"/>
      <c r="K662" s="7" t="s">
        <v>3891</v>
      </c>
    </row>
    <row r="663" customFormat="false" ht="35.05" hidden="false" customHeight="false" outlineLevel="0" collapsed="false">
      <c r="A663" s="7" t="n">
        <v>662</v>
      </c>
      <c r="B663" s="7" t="s">
        <v>3892</v>
      </c>
      <c r="C663" s="7" t="n">
        <v>2024</v>
      </c>
      <c r="D663" s="7" t="s">
        <v>3893</v>
      </c>
      <c r="E663" s="7" t="s">
        <v>151</v>
      </c>
      <c r="F663" s="7" t="s">
        <v>3894</v>
      </c>
      <c r="G663" s="7" t="s">
        <v>145</v>
      </c>
      <c r="H663" s="7" t="s">
        <v>153</v>
      </c>
      <c r="I663" s="7" t="s">
        <v>3895</v>
      </c>
      <c r="J663" s="7" t="s">
        <v>114</v>
      </c>
      <c r="K663" s="7" t="s">
        <v>3896</v>
      </c>
    </row>
    <row r="664" customFormat="false" ht="23.85" hidden="false" customHeight="false" outlineLevel="0" collapsed="false">
      <c r="A664" s="7" t="n">
        <v>663</v>
      </c>
      <c r="B664" s="7" t="s">
        <v>3897</v>
      </c>
      <c r="C664" s="7" t="n">
        <v>2017</v>
      </c>
      <c r="D664" s="7" t="s">
        <v>3898</v>
      </c>
      <c r="E664" s="7" t="s">
        <v>143</v>
      </c>
      <c r="F664" s="7" t="s">
        <v>348</v>
      </c>
      <c r="G664" s="7" t="s">
        <v>145</v>
      </c>
      <c r="H664" s="7" t="s">
        <v>153</v>
      </c>
      <c r="I664" s="7" t="s">
        <v>3899</v>
      </c>
      <c r="J664" s="7"/>
      <c r="K664" s="7" t="s">
        <v>3900</v>
      </c>
    </row>
    <row r="665" customFormat="false" ht="57.45" hidden="false" customHeight="false" outlineLevel="0" collapsed="false">
      <c r="A665" s="7" t="n">
        <v>664</v>
      </c>
      <c r="B665" s="7" t="s">
        <v>3901</v>
      </c>
      <c r="C665" s="7" t="n">
        <v>2024</v>
      </c>
      <c r="D665" s="7" t="s">
        <v>3902</v>
      </c>
      <c r="E665" s="7" t="s">
        <v>143</v>
      </c>
      <c r="F665" s="7" t="s">
        <v>15555</v>
      </c>
      <c r="G665" s="7" t="s">
        <v>145</v>
      </c>
      <c r="H665" s="7" t="s">
        <v>15165</v>
      </c>
      <c r="I665" s="7" t="s">
        <v>15556</v>
      </c>
      <c r="J665" s="7" t="s">
        <v>110</v>
      </c>
      <c r="K665" s="7" t="s">
        <v>15557</v>
      </c>
    </row>
    <row r="666" customFormat="false" ht="35.05" hidden="false" customHeight="false" outlineLevel="0" collapsed="false">
      <c r="A666" s="7" t="n">
        <v>665</v>
      </c>
      <c r="B666" s="7" t="s">
        <v>3909</v>
      </c>
      <c r="C666" s="7" t="n">
        <v>2023</v>
      </c>
      <c r="D666" s="7" t="s">
        <v>3910</v>
      </c>
      <c r="E666" s="7" t="s">
        <v>143</v>
      </c>
      <c r="F666" s="7" t="s">
        <v>3911</v>
      </c>
      <c r="G666" s="7" t="s">
        <v>721</v>
      </c>
      <c r="H666" s="7" t="s">
        <v>522</v>
      </c>
      <c r="I666" s="7" t="s">
        <v>3912</v>
      </c>
      <c r="J666" s="7" t="s">
        <v>114</v>
      </c>
      <c r="K666" s="7" t="s">
        <v>3913</v>
      </c>
    </row>
    <row r="667" customFormat="false" ht="35.05" hidden="false" customHeight="false" outlineLevel="0" collapsed="false">
      <c r="A667" s="7" t="n">
        <v>666</v>
      </c>
      <c r="B667" s="7" t="s">
        <v>3914</v>
      </c>
      <c r="C667" s="7" t="n">
        <v>2025</v>
      </c>
      <c r="D667" s="7" t="s">
        <v>3915</v>
      </c>
      <c r="E667" s="7" t="s">
        <v>151</v>
      </c>
      <c r="F667" s="7" t="s">
        <v>2132</v>
      </c>
      <c r="G667" s="7" t="s">
        <v>187</v>
      </c>
      <c r="H667" s="7" t="s">
        <v>522</v>
      </c>
      <c r="I667" s="7" t="s">
        <v>3916</v>
      </c>
      <c r="J667" s="7" t="s">
        <v>114</v>
      </c>
      <c r="K667" s="7" t="s">
        <v>3917</v>
      </c>
    </row>
    <row r="668" customFormat="false" ht="35.05" hidden="false" customHeight="false" outlineLevel="0" collapsed="false">
      <c r="A668" s="7" t="n">
        <v>667</v>
      </c>
      <c r="B668" s="7" t="s">
        <v>504</v>
      </c>
      <c r="C668" s="7" t="n">
        <v>2023</v>
      </c>
      <c r="D668" s="7" t="s">
        <v>3918</v>
      </c>
      <c r="E668" s="7" t="s">
        <v>143</v>
      </c>
      <c r="F668" s="7" t="s">
        <v>3919</v>
      </c>
      <c r="G668" s="7" t="s">
        <v>145</v>
      </c>
      <c r="H668" s="7" t="s">
        <v>146</v>
      </c>
      <c r="I668" s="7" t="s">
        <v>491</v>
      </c>
      <c r="J668" s="7" t="s">
        <v>112</v>
      </c>
      <c r="K668" s="7" t="s">
        <v>3920</v>
      </c>
    </row>
    <row r="669" customFormat="false" ht="35.05" hidden="false" customHeight="false" outlineLevel="0" collapsed="false">
      <c r="A669" s="7" t="n">
        <v>668</v>
      </c>
      <c r="B669" s="7" t="s">
        <v>3921</v>
      </c>
      <c r="C669" s="7" t="n">
        <v>2025</v>
      </c>
      <c r="D669" s="7" t="s">
        <v>3922</v>
      </c>
      <c r="E669" s="7" t="s">
        <v>143</v>
      </c>
      <c r="F669" s="7" t="s">
        <v>1517</v>
      </c>
      <c r="G669" s="7" t="s">
        <v>145</v>
      </c>
      <c r="H669" s="7" t="s">
        <v>153</v>
      </c>
      <c r="I669" s="7" t="s">
        <v>3923</v>
      </c>
      <c r="J669" s="7" t="s">
        <v>114</v>
      </c>
      <c r="K669" s="7" t="s">
        <v>3924</v>
      </c>
    </row>
    <row r="670" customFormat="false" ht="35.05" hidden="false" customHeight="false" outlineLevel="0" collapsed="false">
      <c r="A670" s="7" t="n">
        <v>669</v>
      </c>
      <c r="B670" s="7" t="s">
        <v>3925</v>
      </c>
      <c r="C670" s="7" t="n">
        <v>2024</v>
      </c>
      <c r="D670" s="7" t="s">
        <v>3926</v>
      </c>
      <c r="E670" s="7" t="s">
        <v>151</v>
      </c>
      <c r="F670" s="7" t="s">
        <v>3927</v>
      </c>
      <c r="G670" s="7" t="s">
        <v>145</v>
      </c>
      <c r="H670" s="7" t="s">
        <v>153</v>
      </c>
      <c r="I670" s="7" t="s">
        <v>3928</v>
      </c>
      <c r="J670" s="7" t="s">
        <v>114</v>
      </c>
      <c r="K670" s="7" t="s">
        <v>3929</v>
      </c>
    </row>
    <row r="671" customFormat="false" ht="35.05" hidden="false" customHeight="false" outlineLevel="0" collapsed="false">
      <c r="A671" s="7" t="n">
        <v>670</v>
      </c>
      <c r="B671" s="7" t="s">
        <v>3930</v>
      </c>
      <c r="C671" s="7" t="n">
        <v>2024</v>
      </c>
      <c r="D671" s="7" t="s">
        <v>3931</v>
      </c>
      <c r="E671" s="7" t="s">
        <v>143</v>
      </c>
      <c r="F671" s="7" t="s">
        <v>3932</v>
      </c>
      <c r="G671" s="7" t="s">
        <v>145</v>
      </c>
      <c r="H671" s="7" t="s">
        <v>153</v>
      </c>
      <c r="I671" s="7" t="s">
        <v>3933</v>
      </c>
      <c r="J671" s="7" t="s">
        <v>114</v>
      </c>
      <c r="K671" s="7" t="s">
        <v>3934</v>
      </c>
    </row>
    <row r="672" customFormat="false" ht="79.85" hidden="false" customHeight="false" outlineLevel="0" collapsed="false">
      <c r="A672" s="7" t="n">
        <v>671</v>
      </c>
      <c r="B672" s="7" t="s">
        <v>1793</v>
      </c>
      <c r="C672" s="7" t="n">
        <v>2023</v>
      </c>
      <c r="D672" s="7" t="s">
        <v>3935</v>
      </c>
      <c r="E672" s="7" t="s">
        <v>15123</v>
      </c>
      <c r="F672" s="7" t="s">
        <v>15558</v>
      </c>
      <c r="G672" s="7" t="s">
        <v>145</v>
      </c>
      <c r="H672" s="7" t="s">
        <v>15165</v>
      </c>
      <c r="I672" s="7" t="s">
        <v>15559</v>
      </c>
      <c r="J672" s="7" t="s">
        <v>110</v>
      </c>
      <c r="K672" s="7" t="s">
        <v>15560</v>
      </c>
    </row>
    <row r="673" customFormat="false" ht="79.85" hidden="false" customHeight="false" outlineLevel="0" collapsed="false">
      <c r="A673" s="7" t="n">
        <v>672</v>
      </c>
      <c r="B673" s="7" t="s">
        <v>1793</v>
      </c>
      <c r="C673" s="7" t="n">
        <v>2024</v>
      </c>
      <c r="D673" s="7" t="s">
        <v>3945</v>
      </c>
      <c r="E673" s="7" t="s">
        <v>143</v>
      </c>
      <c r="F673" s="7" t="s">
        <v>15561</v>
      </c>
      <c r="G673" s="7" t="s">
        <v>145</v>
      </c>
      <c r="H673" s="7" t="s">
        <v>15165</v>
      </c>
      <c r="I673" s="7" t="s">
        <v>15562</v>
      </c>
      <c r="J673" s="7" t="s">
        <v>110</v>
      </c>
      <c r="K673" s="7" t="s">
        <v>15563</v>
      </c>
    </row>
    <row r="674" customFormat="false" ht="35.05" hidden="false" customHeight="false" outlineLevel="0" collapsed="false">
      <c r="A674" s="7" t="n">
        <v>673</v>
      </c>
      <c r="B674" s="7" t="s">
        <v>1793</v>
      </c>
      <c r="C674" s="7" t="n">
        <v>2024</v>
      </c>
      <c r="D674" s="7" t="s">
        <v>3956</v>
      </c>
      <c r="E674" s="7" t="s">
        <v>143</v>
      </c>
      <c r="F674" s="7" t="s">
        <v>3957</v>
      </c>
      <c r="G674" s="7" t="s">
        <v>145</v>
      </c>
      <c r="H674" s="7" t="s">
        <v>387</v>
      </c>
      <c r="I674" s="7" t="s">
        <v>3958</v>
      </c>
      <c r="J674" s="7" t="s">
        <v>110</v>
      </c>
      <c r="K674" s="7" t="s">
        <v>3959</v>
      </c>
    </row>
    <row r="675" customFormat="false" ht="57.45" hidden="false" customHeight="false" outlineLevel="0" collapsed="false">
      <c r="A675" s="7" t="n">
        <v>674</v>
      </c>
      <c r="B675" s="7" t="s">
        <v>15564</v>
      </c>
      <c r="C675" s="7" t="n">
        <v>2024</v>
      </c>
      <c r="D675" s="7" t="s">
        <v>3960</v>
      </c>
      <c r="E675" s="7" t="s">
        <v>143</v>
      </c>
      <c r="F675" s="7" t="s">
        <v>15565</v>
      </c>
      <c r="G675" s="7" t="s">
        <v>145</v>
      </c>
      <c r="H675" s="7" t="s">
        <v>15165</v>
      </c>
      <c r="I675" s="7" t="s">
        <v>15566</v>
      </c>
      <c r="J675" s="7" t="s">
        <v>110</v>
      </c>
      <c r="K675" s="7" t="s">
        <v>15567</v>
      </c>
    </row>
    <row r="676" customFormat="false" ht="35.05" hidden="false" customHeight="false" outlineLevel="0" collapsed="false">
      <c r="A676" s="7" t="n">
        <v>675</v>
      </c>
      <c r="B676" s="7" t="s">
        <v>3967</v>
      </c>
      <c r="C676" s="7" t="n">
        <v>2025</v>
      </c>
      <c r="D676" s="7" t="s">
        <v>3968</v>
      </c>
      <c r="E676" s="7" t="s">
        <v>579</v>
      </c>
      <c r="F676" s="7" t="s">
        <v>3969</v>
      </c>
      <c r="G676" s="7" t="s">
        <v>145</v>
      </c>
      <c r="H676" s="7" t="s">
        <v>387</v>
      </c>
      <c r="I676" s="7" t="s">
        <v>3970</v>
      </c>
      <c r="J676" s="7" t="s">
        <v>110</v>
      </c>
      <c r="K676" s="7" t="s">
        <v>3971</v>
      </c>
    </row>
    <row r="677" customFormat="false" ht="35.05" hidden="false" customHeight="false" outlineLevel="0" collapsed="false">
      <c r="A677" s="7" t="n">
        <v>676</v>
      </c>
      <c r="B677" s="7" t="s">
        <v>880</v>
      </c>
      <c r="C677" s="7" t="n">
        <v>2024</v>
      </c>
      <c r="D677" s="7" t="s">
        <v>3972</v>
      </c>
      <c r="E677" s="7" t="s">
        <v>143</v>
      </c>
      <c r="F677" s="7" t="s">
        <v>3973</v>
      </c>
      <c r="G677" s="7" t="s">
        <v>145</v>
      </c>
      <c r="H677" s="7" t="s">
        <v>153</v>
      </c>
      <c r="I677" s="7" t="s">
        <v>3974</v>
      </c>
      <c r="J677" s="7" t="s">
        <v>114</v>
      </c>
      <c r="K677" s="7" t="s">
        <v>3975</v>
      </c>
    </row>
    <row r="678" customFormat="false" ht="23.85" hidden="false" customHeight="false" outlineLevel="0" collapsed="false">
      <c r="A678" s="7" t="n">
        <v>677</v>
      </c>
      <c r="B678" s="7" t="s">
        <v>3976</v>
      </c>
      <c r="C678" s="7" t="n">
        <v>2012</v>
      </c>
      <c r="D678" s="7" t="s">
        <v>3977</v>
      </c>
      <c r="E678" s="7" t="s">
        <v>143</v>
      </c>
      <c r="F678" s="7" t="s">
        <v>348</v>
      </c>
      <c r="G678" s="7" t="s">
        <v>145</v>
      </c>
      <c r="H678" s="7" t="s">
        <v>153</v>
      </c>
      <c r="I678" s="7" t="s">
        <v>3978</v>
      </c>
      <c r="J678" s="7"/>
      <c r="K678" s="7" t="s">
        <v>3979</v>
      </c>
    </row>
    <row r="679" customFormat="false" ht="23.85" hidden="false" customHeight="false" outlineLevel="0" collapsed="false">
      <c r="A679" s="7" t="n">
        <v>678</v>
      </c>
      <c r="B679" s="7" t="s">
        <v>3980</v>
      </c>
      <c r="C679" s="7" t="n">
        <v>2024</v>
      </c>
      <c r="D679" s="7" t="s">
        <v>3981</v>
      </c>
      <c r="E679" s="7" t="s">
        <v>143</v>
      </c>
      <c r="F679" s="7" t="s">
        <v>3982</v>
      </c>
      <c r="G679" s="7" t="s">
        <v>244</v>
      </c>
      <c r="H679" s="7" t="s">
        <v>387</v>
      </c>
      <c r="I679" s="7" t="s">
        <v>3983</v>
      </c>
      <c r="J679" s="7" t="s">
        <v>110</v>
      </c>
      <c r="K679" s="7" t="s">
        <v>3984</v>
      </c>
    </row>
    <row r="680" customFormat="false" ht="79.85" hidden="false" customHeight="false" outlineLevel="0" collapsed="false">
      <c r="A680" s="7" t="n">
        <v>679</v>
      </c>
      <c r="B680" s="7" t="s">
        <v>15568</v>
      </c>
      <c r="C680" s="7" t="n">
        <v>2024</v>
      </c>
      <c r="D680" s="7" t="s">
        <v>3986</v>
      </c>
      <c r="E680" s="7" t="s">
        <v>151</v>
      </c>
      <c r="F680" s="7" t="s">
        <v>15569</v>
      </c>
      <c r="G680" s="7" t="s">
        <v>145</v>
      </c>
      <c r="H680" s="7" t="s">
        <v>153</v>
      </c>
      <c r="I680" s="7" t="s">
        <v>15570</v>
      </c>
      <c r="J680" s="7" t="s">
        <v>114</v>
      </c>
      <c r="K680" s="7" t="s">
        <v>15571</v>
      </c>
    </row>
    <row r="681" customFormat="false" ht="35.05" hidden="false" customHeight="false" outlineLevel="0" collapsed="false">
      <c r="A681" s="7" t="n">
        <v>680</v>
      </c>
      <c r="B681" s="7" t="s">
        <v>3993</v>
      </c>
      <c r="C681" s="7" t="n">
        <v>2022</v>
      </c>
      <c r="D681" s="7" t="s">
        <v>3994</v>
      </c>
      <c r="E681" s="7" t="s">
        <v>143</v>
      </c>
      <c r="F681" s="7" t="s">
        <v>348</v>
      </c>
      <c r="G681" s="7" t="s">
        <v>145</v>
      </c>
      <c r="H681" s="7" t="s">
        <v>153</v>
      </c>
      <c r="I681" s="7" t="s">
        <v>3886</v>
      </c>
      <c r="J681" s="7"/>
      <c r="K681" s="7" t="s">
        <v>3995</v>
      </c>
    </row>
    <row r="682" customFormat="false" ht="23.85" hidden="false" customHeight="false" outlineLevel="0" collapsed="false">
      <c r="A682" s="7" t="n">
        <v>681</v>
      </c>
      <c r="B682" s="7" t="s">
        <v>3996</v>
      </c>
      <c r="C682" s="7" t="n">
        <v>2022</v>
      </c>
      <c r="D682" s="7" t="s">
        <v>3997</v>
      </c>
      <c r="E682" s="7" t="s">
        <v>143</v>
      </c>
      <c r="F682" s="7" t="s">
        <v>348</v>
      </c>
      <c r="G682" s="7" t="s">
        <v>145</v>
      </c>
      <c r="H682" s="7" t="s">
        <v>153</v>
      </c>
      <c r="I682" s="7" t="s">
        <v>3998</v>
      </c>
      <c r="J682" s="7"/>
      <c r="K682" s="7" t="s">
        <v>3999</v>
      </c>
    </row>
    <row r="683" customFormat="false" ht="35.05" hidden="false" customHeight="false" outlineLevel="0" collapsed="false">
      <c r="A683" s="7" t="n">
        <v>682</v>
      </c>
      <c r="B683" s="7" t="s">
        <v>4000</v>
      </c>
      <c r="C683" s="7" t="n">
        <v>2023</v>
      </c>
      <c r="D683" s="7" t="s">
        <v>4001</v>
      </c>
      <c r="E683" s="7" t="s">
        <v>151</v>
      </c>
      <c r="F683" s="7" t="s">
        <v>4002</v>
      </c>
      <c r="G683" s="7" t="s">
        <v>145</v>
      </c>
      <c r="H683" s="7" t="s">
        <v>153</v>
      </c>
      <c r="I683" s="7" t="s">
        <v>4003</v>
      </c>
      <c r="J683" s="7" t="s">
        <v>114</v>
      </c>
      <c r="K683" s="7" t="s">
        <v>4004</v>
      </c>
    </row>
    <row r="684" customFormat="false" ht="35.05" hidden="false" customHeight="false" outlineLevel="0" collapsed="false">
      <c r="A684" s="7" t="n">
        <v>683</v>
      </c>
      <c r="B684" s="7" t="s">
        <v>4005</v>
      </c>
      <c r="C684" s="7" t="n">
        <v>2022</v>
      </c>
      <c r="D684" s="7" t="s">
        <v>4006</v>
      </c>
      <c r="E684" s="7" t="s">
        <v>151</v>
      </c>
      <c r="F684" s="7" t="s">
        <v>4007</v>
      </c>
      <c r="G684" s="7" t="s">
        <v>145</v>
      </c>
      <c r="H684" s="7" t="s">
        <v>153</v>
      </c>
      <c r="I684" s="7" t="s">
        <v>4008</v>
      </c>
      <c r="J684" s="7" t="s">
        <v>114</v>
      </c>
      <c r="K684" s="7" t="s">
        <v>4009</v>
      </c>
    </row>
    <row r="685" customFormat="false" ht="35.05" hidden="false" customHeight="false" outlineLevel="0" collapsed="false">
      <c r="A685" s="7" t="n">
        <v>684</v>
      </c>
      <c r="B685" s="7" t="s">
        <v>2604</v>
      </c>
      <c r="C685" s="7" t="n">
        <v>2024</v>
      </c>
      <c r="D685" s="7" t="s">
        <v>4010</v>
      </c>
      <c r="E685" s="7" t="s">
        <v>143</v>
      </c>
      <c r="F685" s="7" t="s">
        <v>4011</v>
      </c>
      <c r="G685" s="7" t="s">
        <v>145</v>
      </c>
      <c r="H685" s="7" t="s">
        <v>153</v>
      </c>
      <c r="I685" s="7" t="s">
        <v>4012</v>
      </c>
      <c r="J685" s="7" t="s">
        <v>110</v>
      </c>
      <c r="K685" s="7" t="s">
        <v>4013</v>
      </c>
    </row>
    <row r="686" customFormat="false" ht="35.05" hidden="false" customHeight="false" outlineLevel="0" collapsed="false">
      <c r="A686" s="7" t="n">
        <v>685</v>
      </c>
      <c r="B686" s="7" t="s">
        <v>4014</v>
      </c>
      <c r="C686" s="7" t="n">
        <v>2019</v>
      </c>
      <c r="D686" s="7" t="s">
        <v>4015</v>
      </c>
      <c r="E686" s="7" t="s">
        <v>201</v>
      </c>
      <c r="F686" s="7" t="s">
        <v>4016</v>
      </c>
      <c r="G686" s="7" t="s">
        <v>145</v>
      </c>
      <c r="H686" s="7" t="s">
        <v>387</v>
      </c>
      <c r="I686" s="7" t="s">
        <v>4017</v>
      </c>
      <c r="J686" s="7" t="s">
        <v>112</v>
      </c>
      <c r="K686" s="7" t="s">
        <v>4018</v>
      </c>
    </row>
    <row r="687" customFormat="false" ht="35.05" hidden="false" customHeight="false" outlineLevel="0" collapsed="false">
      <c r="A687" s="7" t="n">
        <v>686</v>
      </c>
      <c r="B687" s="7" t="s">
        <v>4019</v>
      </c>
      <c r="C687" s="7" t="n">
        <v>2023</v>
      </c>
      <c r="D687" s="7" t="s">
        <v>4020</v>
      </c>
      <c r="E687" s="7" t="s">
        <v>143</v>
      </c>
      <c r="F687" s="7" t="s">
        <v>3740</v>
      </c>
      <c r="G687" s="7" t="s">
        <v>1213</v>
      </c>
      <c r="H687" s="7" t="s">
        <v>146</v>
      </c>
      <c r="I687" s="7" t="s">
        <v>4021</v>
      </c>
      <c r="J687" s="7" t="s">
        <v>112</v>
      </c>
      <c r="K687" s="7" t="s">
        <v>4022</v>
      </c>
    </row>
    <row r="688" customFormat="false" ht="23.85" hidden="false" customHeight="false" outlineLevel="0" collapsed="false">
      <c r="A688" s="7" t="n">
        <v>687</v>
      </c>
      <c r="B688" s="7" t="s">
        <v>4023</v>
      </c>
      <c r="C688" s="7" t="n">
        <v>2021</v>
      </c>
      <c r="D688" s="7" t="s">
        <v>4024</v>
      </c>
      <c r="E688" s="7" t="s">
        <v>143</v>
      </c>
      <c r="F688" s="7" t="s">
        <v>1763</v>
      </c>
      <c r="G688" s="7" t="s">
        <v>1213</v>
      </c>
      <c r="H688" s="7" t="s">
        <v>146</v>
      </c>
      <c r="I688" s="7" t="s">
        <v>4025</v>
      </c>
      <c r="J688" s="7" t="s">
        <v>112</v>
      </c>
      <c r="K688" s="7" t="s">
        <v>4026</v>
      </c>
    </row>
    <row r="689" customFormat="false" ht="23.85" hidden="false" customHeight="false" outlineLevel="0" collapsed="false">
      <c r="A689" s="7" t="n">
        <v>688</v>
      </c>
      <c r="B689" s="7" t="s">
        <v>4027</v>
      </c>
      <c r="C689" s="7" t="n">
        <v>2005</v>
      </c>
      <c r="D689" s="7" t="s">
        <v>4028</v>
      </c>
      <c r="E689" s="7" t="s">
        <v>143</v>
      </c>
      <c r="F689" s="7" t="s">
        <v>348</v>
      </c>
      <c r="G689" s="7" t="s">
        <v>145</v>
      </c>
      <c r="H689" s="7" t="s">
        <v>153</v>
      </c>
      <c r="I689" s="7" t="s">
        <v>4029</v>
      </c>
      <c r="J689" s="7"/>
      <c r="K689" s="7" t="s">
        <v>4030</v>
      </c>
    </row>
    <row r="690" customFormat="false" ht="79.85" hidden="false" customHeight="false" outlineLevel="0" collapsed="false">
      <c r="A690" s="7" t="n">
        <v>689</v>
      </c>
      <c r="B690" s="7" t="s">
        <v>4031</v>
      </c>
      <c r="C690" s="7" t="n">
        <v>2024</v>
      </c>
      <c r="D690" s="7" t="s">
        <v>4032</v>
      </c>
      <c r="E690" s="7" t="s">
        <v>15572</v>
      </c>
      <c r="F690" s="7" t="s">
        <v>15573</v>
      </c>
      <c r="G690" s="7" t="s">
        <v>145</v>
      </c>
      <c r="H690" s="7" t="s">
        <v>387</v>
      </c>
      <c r="I690" s="7" t="s">
        <v>15574</v>
      </c>
      <c r="J690" s="7" t="s">
        <v>110</v>
      </c>
      <c r="K690" s="7" t="s">
        <v>15575</v>
      </c>
    </row>
    <row r="691" customFormat="false" ht="35.05" hidden="false" customHeight="false" outlineLevel="0" collapsed="false">
      <c r="A691" s="7" t="n">
        <v>690</v>
      </c>
      <c r="B691" s="7" t="s">
        <v>4043</v>
      </c>
      <c r="C691" s="7" t="n">
        <v>2013</v>
      </c>
      <c r="D691" s="7" t="s">
        <v>4044</v>
      </c>
      <c r="E691" s="7" t="s">
        <v>143</v>
      </c>
      <c r="F691" s="7" t="s">
        <v>348</v>
      </c>
      <c r="G691" s="7" t="s">
        <v>145</v>
      </c>
      <c r="H691" s="7" t="s">
        <v>153</v>
      </c>
      <c r="I691" s="7" t="s">
        <v>4045</v>
      </c>
      <c r="J691" s="7"/>
      <c r="K691" s="7" t="s">
        <v>4046</v>
      </c>
    </row>
    <row r="692" customFormat="false" ht="23.85" hidden="false" customHeight="false" outlineLevel="0" collapsed="false">
      <c r="A692" s="7" t="n">
        <v>691</v>
      </c>
      <c r="B692" s="7" t="s">
        <v>4047</v>
      </c>
      <c r="C692" s="7" t="n">
        <v>2019</v>
      </c>
      <c r="D692" s="7" t="s">
        <v>4048</v>
      </c>
      <c r="E692" s="7" t="s">
        <v>143</v>
      </c>
      <c r="F692" s="7" t="s">
        <v>348</v>
      </c>
      <c r="G692" s="7" t="s">
        <v>145</v>
      </c>
      <c r="H692" s="7" t="s">
        <v>153</v>
      </c>
      <c r="I692" s="7" t="s">
        <v>4049</v>
      </c>
      <c r="J692" s="7"/>
      <c r="K692" s="7" t="s">
        <v>4050</v>
      </c>
    </row>
    <row r="693" customFormat="false" ht="35.05" hidden="false" customHeight="false" outlineLevel="0" collapsed="false">
      <c r="A693" s="7" t="n">
        <v>692</v>
      </c>
      <c r="B693" s="7" t="s">
        <v>1399</v>
      </c>
      <c r="C693" s="7" t="n">
        <v>2024</v>
      </c>
      <c r="D693" s="7" t="s">
        <v>4051</v>
      </c>
      <c r="E693" s="7" t="s">
        <v>143</v>
      </c>
      <c r="F693" s="7" t="s">
        <v>4052</v>
      </c>
      <c r="G693" s="7" t="s">
        <v>145</v>
      </c>
      <c r="H693" s="7" t="s">
        <v>387</v>
      </c>
      <c r="I693" s="7" t="s">
        <v>4053</v>
      </c>
      <c r="J693" s="7" t="s">
        <v>110</v>
      </c>
      <c r="K693" s="7" t="s">
        <v>4054</v>
      </c>
    </row>
    <row r="694" customFormat="false" ht="35.05" hidden="false" customHeight="false" outlineLevel="0" collapsed="false">
      <c r="A694" s="7" t="n">
        <v>693</v>
      </c>
      <c r="B694" s="7" t="s">
        <v>1399</v>
      </c>
      <c r="C694" s="7" t="n">
        <v>2024</v>
      </c>
      <c r="D694" s="7" t="s">
        <v>4055</v>
      </c>
      <c r="E694" s="7" t="s">
        <v>201</v>
      </c>
      <c r="F694" s="7" t="s">
        <v>4056</v>
      </c>
      <c r="G694" s="7" t="s">
        <v>145</v>
      </c>
      <c r="H694" s="7" t="s">
        <v>387</v>
      </c>
      <c r="I694" s="7" t="s">
        <v>4057</v>
      </c>
      <c r="J694" s="7" t="s">
        <v>110</v>
      </c>
      <c r="K694" s="7" t="s">
        <v>4058</v>
      </c>
    </row>
    <row r="695" customFormat="false" ht="35.05" hidden="false" customHeight="false" outlineLevel="0" collapsed="false">
      <c r="A695" s="7" t="n">
        <v>694</v>
      </c>
      <c r="B695" s="7" t="s">
        <v>4059</v>
      </c>
      <c r="C695" s="7" t="n">
        <v>2024</v>
      </c>
      <c r="D695" s="7" t="s">
        <v>4060</v>
      </c>
      <c r="E695" s="7" t="s">
        <v>151</v>
      </c>
      <c r="F695" s="7" t="s">
        <v>4061</v>
      </c>
      <c r="G695" s="7" t="s">
        <v>145</v>
      </c>
      <c r="H695" s="7" t="s">
        <v>153</v>
      </c>
      <c r="I695" s="7" t="s">
        <v>4062</v>
      </c>
      <c r="J695" s="7" t="s">
        <v>114</v>
      </c>
      <c r="K695" s="7" t="s">
        <v>4063</v>
      </c>
    </row>
    <row r="696" customFormat="false" ht="35.05" hidden="false" customHeight="false" outlineLevel="0" collapsed="false">
      <c r="A696" s="7" t="n">
        <v>695</v>
      </c>
      <c r="B696" s="7" t="s">
        <v>4064</v>
      </c>
      <c r="C696" s="7" t="n">
        <v>2010</v>
      </c>
      <c r="D696" s="7" t="s">
        <v>4065</v>
      </c>
      <c r="E696" s="7" t="s">
        <v>151</v>
      </c>
      <c r="F696" s="7" t="s">
        <v>4066</v>
      </c>
      <c r="G696" s="7" t="s">
        <v>4067</v>
      </c>
      <c r="H696" s="7" t="s">
        <v>146</v>
      </c>
      <c r="I696" s="7" t="s">
        <v>4068</v>
      </c>
      <c r="J696" s="7" t="s">
        <v>116</v>
      </c>
      <c r="K696" s="7" t="s">
        <v>4069</v>
      </c>
    </row>
    <row r="697" customFormat="false" ht="35.05" hidden="false" customHeight="false" outlineLevel="0" collapsed="false">
      <c r="A697" s="7" t="n">
        <v>696</v>
      </c>
      <c r="B697" s="7" t="s">
        <v>4070</v>
      </c>
      <c r="C697" s="7" t="n">
        <v>2019</v>
      </c>
      <c r="D697" s="7" t="s">
        <v>4071</v>
      </c>
      <c r="E697" s="7" t="s">
        <v>151</v>
      </c>
      <c r="F697" s="7" t="s">
        <v>4072</v>
      </c>
      <c r="G697" s="7" t="s">
        <v>423</v>
      </c>
      <c r="H697" s="7" t="s">
        <v>146</v>
      </c>
      <c r="I697" s="7" t="s">
        <v>4073</v>
      </c>
      <c r="J697" s="7" t="s">
        <v>116</v>
      </c>
      <c r="K697" s="7" t="s">
        <v>4074</v>
      </c>
    </row>
    <row r="698" customFormat="false" ht="23.85" hidden="false" customHeight="false" outlineLevel="0" collapsed="false">
      <c r="A698" s="7" t="n">
        <v>697</v>
      </c>
      <c r="B698" s="7" t="s">
        <v>4075</v>
      </c>
      <c r="C698" s="7" t="n">
        <v>2019</v>
      </c>
      <c r="D698" s="7" t="s">
        <v>4076</v>
      </c>
      <c r="E698" s="7" t="s">
        <v>143</v>
      </c>
      <c r="F698" s="7" t="s">
        <v>4077</v>
      </c>
      <c r="G698" s="7" t="s">
        <v>145</v>
      </c>
      <c r="H698" s="7" t="s">
        <v>153</v>
      </c>
      <c r="I698" s="7" t="s">
        <v>4078</v>
      </c>
      <c r="J698" s="7"/>
      <c r="K698" s="7" t="s">
        <v>4079</v>
      </c>
    </row>
    <row r="699" customFormat="false" ht="23.85" hidden="false" customHeight="false" outlineLevel="0" collapsed="false">
      <c r="A699" s="7" t="n">
        <v>698</v>
      </c>
      <c r="B699" s="7" t="s">
        <v>4080</v>
      </c>
      <c r="C699" s="7" t="n">
        <v>2001</v>
      </c>
      <c r="D699" s="7" t="s">
        <v>4081</v>
      </c>
      <c r="E699" s="7" t="s">
        <v>143</v>
      </c>
      <c r="F699" s="7" t="s">
        <v>4082</v>
      </c>
      <c r="G699" s="7" t="s">
        <v>145</v>
      </c>
      <c r="H699" s="7" t="s">
        <v>153</v>
      </c>
      <c r="I699" s="7" t="s">
        <v>4083</v>
      </c>
      <c r="J699" s="7"/>
      <c r="K699" s="7" t="s">
        <v>4084</v>
      </c>
    </row>
    <row r="700" customFormat="false" ht="23.85" hidden="false" customHeight="false" outlineLevel="0" collapsed="false">
      <c r="A700" s="7" t="n">
        <v>699</v>
      </c>
      <c r="B700" s="7" t="s">
        <v>4085</v>
      </c>
      <c r="C700" s="7" t="n">
        <v>2023</v>
      </c>
      <c r="D700" s="7" t="s">
        <v>4086</v>
      </c>
      <c r="E700" s="7" t="s">
        <v>143</v>
      </c>
      <c r="F700" s="7" t="s">
        <v>348</v>
      </c>
      <c r="G700" s="7" t="s">
        <v>145</v>
      </c>
      <c r="H700" s="7" t="s">
        <v>153</v>
      </c>
      <c r="I700" s="7" t="s">
        <v>4087</v>
      </c>
      <c r="J700" s="7"/>
      <c r="K700" s="7" t="s">
        <v>4088</v>
      </c>
    </row>
    <row r="701" customFormat="false" ht="23.85" hidden="false" customHeight="false" outlineLevel="0" collapsed="false">
      <c r="A701" s="7" t="n">
        <v>700</v>
      </c>
      <c r="B701" s="7" t="s">
        <v>4089</v>
      </c>
      <c r="C701" s="7" t="n">
        <v>2024</v>
      </c>
      <c r="D701" s="7" t="s">
        <v>4090</v>
      </c>
      <c r="E701" s="7" t="s">
        <v>151</v>
      </c>
      <c r="F701" s="7" t="s">
        <v>4091</v>
      </c>
      <c r="G701" s="7" t="s">
        <v>145</v>
      </c>
      <c r="H701" s="7" t="s">
        <v>387</v>
      </c>
      <c r="I701" s="7" t="s">
        <v>4092</v>
      </c>
      <c r="J701" s="7" t="s">
        <v>110</v>
      </c>
      <c r="K701" s="7" t="s">
        <v>4093</v>
      </c>
    </row>
    <row r="702" customFormat="false" ht="35.05" hidden="false" customHeight="false" outlineLevel="0" collapsed="false">
      <c r="A702" s="7" t="n">
        <v>701</v>
      </c>
      <c r="B702" s="7" t="s">
        <v>4094</v>
      </c>
      <c r="C702" s="7" t="n">
        <v>2024</v>
      </c>
      <c r="D702" s="7" t="s">
        <v>4095</v>
      </c>
      <c r="E702" s="7" t="s">
        <v>201</v>
      </c>
      <c r="F702" s="7" t="s">
        <v>4096</v>
      </c>
      <c r="G702" s="7" t="s">
        <v>244</v>
      </c>
      <c r="H702" s="7" t="s">
        <v>153</v>
      </c>
      <c r="I702" s="7" t="s">
        <v>4097</v>
      </c>
      <c r="J702" s="7" t="s">
        <v>114</v>
      </c>
      <c r="K702" s="7" t="s">
        <v>4098</v>
      </c>
    </row>
    <row r="703" customFormat="false" ht="23.85" hidden="false" customHeight="false" outlineLevel="0" collapsed="false">
      <c r="A703" s="7" t="n">
        <v>702</v>
      </c>
      <c r="B703" s="7" t="s">
        <v>2151</v>
      </c>
      <c r="C703" s="7" t="n">
        <v>2022</v>
      </c>
      <c r="D703" s="7" t="s">
        <v>4099</v>
      </c>
      <c r="E703" s="7" t="s">
        <v>201</v>
      </c>
      <c r="F703" s="7" t="s">
        <v>2132</v>
      </c>
      <c r="G703" s="7" t="s">
        <v>145</v>
      </c>
      <c r="H703" s="7" t="s">
        <v>153</v>
      </c>
      <c r="I703" s="7" t="s">
        <v>4100</v>
      </c>
      <c r="J703" s="7" t="s">
        <v>114</v>
      </c>
      <c r="K703" s="7" t="s">
        <v>4101</v>
      </c>
    </row>
    <row r="704" customFormat="false" ht="35.05" hidden="false" customHeight="false" outlineLevel="0" collapsed="false">
      <c r="A704" s="7" t="n">
        <v>703</v>
      </c>
      <c r="B704" s="7" t="s">
        <v>4106</v>
      </c>
      <c r="C704" s="7" t="n">
        <v>2024</v>
      </c>
      <c r="D704" s="7" t="s">
        <v>4107</v>
      </c>
      <c r="E704" s="7" t="s">
        <v>143</v>
      </c>
      <c r="F704" s="7" t="s">
        <v>4108</v>
      </c>
      <c r="G704" s="7" t="s">
        <v>2846</v>
      </c>
      <c r="H704" s="7" t="s">
        <v>387</v>
      </c>
      <c r="I704" s="7" t="s">
        <v>4109</v>
      </c>
      <c r="J704" s="7" t="s">
        <v>110</v>
      </c>
      <c r="K704" s="7" t="s">
        <v>4110</v>
      </c>
    </row>
    <row r="705" customFormat="false" ht="35.05" hidden="false" customHeight="false" outlineLevel="0" collapsed="false">
      <c r="A705" s="7" t="n">
        <v>704</v>
      </c>
      <c r="B705" s="7" t="s">
        <v>4111</v>
      </c>
      <c r="C705" s="7" t="n">
        <v>2024</v>
      </c>
      <c r="D705" s="7" t="s">
        <v>4112</v>
      </c>
      <c r="E705" s="7" t="s">
        <v>143</v>
      </c>
      <c r="F705" s="7" t="s">
        <v>4113</v>
      </c>
      <c r="G705" s="7" t="s">
        <v>145</v>
      </c>
      <c r="H705" s="7" t="s">
        <v>153</v>
      </c>
      <c r="I705" s="7" t="s">
        <v>4114</v>
      </c>
      <c r="J705" s="7" t="s">
        <v>114</v>
      </c>
      <c r="K705" s="7" t="s">
        <v>4115</v>
      </c>
    </row>
    <row r="706" customFormat="false" ht="23.85" hidden="false" customHeight="false" outlineLevel="0" collapsed="false">
      <c r="A706" s="7" t="n">
        <v>705</v>
      </c>
      <c r="B706" s="7" t="s">
        <v>4116</v>
      </c>
      <c r="C706" s="7" t="n">
        <v>2023</v>
      </c>
      <c r="D706" s="7" t="s">
        <v>4117</v>
      </c>
      <c r="E706" s="7" t="s">
        <v>143</v>
      </c>
      <c r="F706" s="7" t="s">
        <v>4118</v>
      </c>
      <c r="G706" s="7" t="s">
        <v>145</v>
      </c>
      <c r="H706" s="7" t="s">
        <v>153</v>
      </c>
      <c r="I706" s="7" t="s">
        <v>4119</v>
      </c>
      <c r="J706" s="7" t="s">
        <v>114</v>
      </c>
      <c r="K706" s="7" t="s">
        <v>4120</v>
      </c>
    </row>
    <row r="707" customFormat="false" ht="23.85" hidden="false" customHeight="false" outlineLevel="0" collapsed="false">
      <c r="A707" s="7" t="n">
        <v>706</v>
      </c>
      <c r="B707" s="7" t="s">
        <v>4121</v>
      </c>
      <c r="C707" s="7" t="n">
        <v>2023</v>
      </c>
      <c r="D707" s="7" t="s">
        <v>4122</v>
      </c>
      <c r="E707" s="7" t="s">
        <v>143</v>
      </c>
      <c r="F707" s="7" t="s">
        <v>1517</v>
      </c>
      <c r="G707" s="7" t="s">
        <v>145</v>
      </c>
      <c r="H707" s="7" t="s">
        <v>153</v>
      </c>
      <c r="I707" s="7" t="s">
        <v>3622</v>
      </c>
      <c r="J707" s="7" t="s">
        <v>114</v>
      </c>
      <c r="K707" s="7" t="s">
        <v>4123</v>
      </c>
    </row>
    <row r="708" customFormat="false" ht="57.45" hidden="false" customHeight="false" outlineLevel="0" collapsed="false">
      <c r="A708" s="7" t="n">
        <v>707</v>
      </c>
      <c r="B708" s="7" t="s">
        <v>15576</v>
      </c>
      <c r="C708" s="7" t="n">
        <v>1961</v>
      </c>
      <c r="D708" s="7" t="s">
        <v>4125</v>
      </c>
      <c r="E708" s="7" t="s">
        <v>15152</v>
      </c>
      <c r="F708" s="7" t="s">
        <v>348</v>
      </c>
      <c r="G708" s="7" t="s">
        <v>15577</v>
      </c>
      <c r="H708" s="7" t="s">
        <v>153</v>
      </c>
      <c r="I708" s="7" t="s">
        <v>15578</v>
      </c>
      <c r="J708" s="7"/>
      <c r="K708" s="7" t="s">
        <v>15579</v>
      </c>
    </row>
    <row r="709" customFormat="false" ht="23.85" hidden="false" customHeight="false" outlineLevel="0" collapsed="false">
      <c r="A709" s="7" t="n">
        <v>708</v>
      </c>
      <c r="B709" s="7" t="s">
        <v>4128</v>
      </c>
      <c r="C709" s="7" t="n">
        <v>2014</v>
      </c>
      <c r="D709" s="7" t="s">
        <v>4129</v>
      </c>
      <c r="E709" s="7" t="s">
        <v>143</v>
      </c>
      <c r="F709" s="7" t="s">
        <v>348</v>
      </c>
      <c r="G709" s="7" t="s">
        <v>145</v>
      </c>
      <c r="H709" s="7" t="s">
        <v>153</v>
      </c>
      <c r="I709" s="7" t="s">
        <v>4130</v>
      </c>
      <c r="J709" s="7"/>
      <c r="K709" s="7" t="s">
        <v>4131</v>
      </c>
    </row>
    <row r="710" customFormat="false" ht="23.85" hidden="false" customHeight="false" outlineLevel="0" collapsed="false">
      <c r="A710" s="7" t="n">
        <v>709</v>
      </c>
      <c r="B710" s="7" t="s">
        <v>4132</v>
      </c>
      <c r="C710" s="7" t="n">
        <v>2023</v>
      </c>
      <c r="D710" s="7" t="s">
        <v>4133</v>
      </c>
      <c r="E710" s="7" t="s">
        <v>201</v>
      </c>
      <c r="F710" s="7" t="s">
        <v>4134</v>
      </c>
      <c r="G710" s="7" t="s">
        <v>1373</v>
      </c>
      <c r="H710" s="7" t="s">
        <v>146</v>
      </c>
      <c r="I710" s="7" t="s">
        <v>4135</v>
      </c>
      <c r="J710" s="7" t="s">
        <v>116</v>
      </c>
      <c r="K710" s="7" t="s">
        <v>4136</v>
      </c>
    </row>
    <row r="711" customFormat="false" ht="23.85" hidden="false" customHeight="false" outlineLevel="0" collapsed="false">
      <c r="A711" s="7" t="n">
        <v>710</v>
      </c>
      <c r="B711" s="7" t="s">
        <v>4137</v>
      </c>
      <c r="C711" s="7" t="n">
        <v>2020</v>
      </c>
      <c r="D711" s="7" t="s">
        <v>4138</v>
      </c>
      <c r="E711" s="7" t="s">
        <v>143</v>
      </c>
      <c r="F711" s="7" t="s">
        <v>4139</v>
      </c>
      <c r="G711" s="7" t="s">
        <v>145</v>
      </c>
      <c r="H711" s="7" t="s">
        <v>153</v>
      </c>
      <c r="I711" s="7" t="s">
        <v>4140</v>
      </c>
      <c r="J711" s="7"/>
      <c r="K711" s="7" t="s">
        <v>4141</v>
      </c>
    </row>
    <row r="712" customFormat="false" ht="57.45" hidden="false" customHeight="false" outlineLevel="0" collapsed="false">
      <c r="A712" s="7" t="n">
        <v>711</v>
      </c>
      <c r="B712" s="7" t="s">
        <v>4142</v>
      </c>
      <c r="C712" s="7" t="n">
        <v>2023</v>
      </c>
      <c r="D712" s="7" t="s">
        <v>4143</v>
      </c>
      <c r="E712" s="7" t="s">
        <v>151</v>
      </c>
      <c r="F712" s="7" t="s">
        <v>15580</v>
      </c>
      <c r="G712" s="7" t="s">
        <v>145</v>
      </c>
      <c r="H712" s="7" t="s">
        <v>15283</v>
      </c>
      <c r="I712" s="7" t="s">
        <v>15581</v>
      </c>
      <c r="J712" s="7" t="s">
        <v>112</v>
      </c>
      <c r="K712" s="7" t="s">
        <v>15582</v>
      </c>
    </row>
    <row r="713" customFormat="false" ht="79.85" hidden="false" customHeight="false" outlineLevel="0" collapsed="false">
      <c r="A713" s="7" t="n">
        <v>712</v>
      </c>
      <c r="B713" s="7" t="s">
        <v>15583</v>
      </c>
      <c r="C713" s="7" t="n">
        <v>2023</v>
      </c>
      <c r="D713" s="7" t="s">
        <v>4155</v>
      </c>
      <c r="E713" s="7" t="s">
        <v>15584</v>
      </c>
      <c r="F713" s="7" t="s">
        <v>15585</v>
      </c>
      <c r="G713" s="7" t="s">
        <v>145</v>
      </c>
      <c r="H713" s="7" t="s">
        <v>153</v>
      </c>
      <c r="I713" s="7" t="s">
        <v>15586</v>
      </c>
      <c r="J713" s="7"/>
      <c r="K713" s="7" t="s">
        <v>15587</v>
      </c>
    </row>
    <row r="714" customFormat="false" ht="23.85" hidden="false" customHeight="false" outlineLevel="0" collapsed="false">
      <c r="A714" s="7" t="n">
        <v>713</v>
      </c>
      <c r="B714" s="7" t="s">
        <v>4163</v>
      </c>
      <c r="C714" s="7" t="n">
        <v>1999</v>
      </c>
      <c r="D714" s="7" t="s">
        <v>4164</v>
      </c>
      <c r="E714" s="7" t="s">
        <v>143</v>
      </c>
      <c r="F714" s="7" t="s">
        <v>4165</v>
      </c>
      <c r="G714" s="7" t="s">
        <v>145</v>
      </c>
      <c r="H714" s="7" t="s">
        <v>153</v>
      </c>
      <c r="I714" s="7" t="s">
        <v>4166</v>
      </c>
      <c r="J714" s="7"/>
      <c r="K714" s="7" t="s">
        <v>4167</v>
      </c>
    </row>
    <row r="715" customFormat="false" ht="23.85" hidden="false" customHeight="false" outlineLevel="0" collapsed="false">
      <c r="A715" s="7" t="n">
        <v>714</v>
      </c>
      <c r="B715" s="7" t="s">
        <v>4168</v>
      </c>
      <c r="C715" s="7" t="n">
        <v>2018</v>
      </c>
      <c r="D715" s="7" t="s">
        <v>4169</v>
      </c>
      <c r="E715" s="7" t="s">
        <v>143</v>
      </c>
      <c r="F715" s="7" t="s">
        <v>4170</v>
      </c>
      <c r="G715" s="7" t="s">
        <v>145</v>
      </c>
      <c r="H715" s="7" t="s">
        <v>153</v>
      </c>
      <c r="I715" s="7" t="s">
        <v>4171</v>
      </c>
      <c r="J715" s="7"/>
      <c r="K715" s="7" t="s">
        <v>4172</v>
      </c>
    </row>
    <row r="716" customFormat="false" ht="23.85" hidden="false" customHeight="false" outlineLevel="0" collapsed="false">
      <c r="A716" s="7" t="n">
        <v>715</v>
      </c>
      <c r="B716" s="7" t="s">
        <v>2003</v>
      </c>
      <c r="C716" s="7" t="n">
        <v>2023</v>
      </c>
      <c r="D716" s="7" t="s">
        <v>4173</v>
      </c>
      <c r="E716" s="7" t="s">
        <v>151</v>
      </c>
      <c r="F716" s="7" t="s">
        <v>3359</v>
      </c>
      <c r="G716" s="7" t="s">
        <v>145</v>
      </c>
      <c r="H716" s="7" t="s">
        <v>153</v>
      </c>
      <c r="I716" s="7" t="s">
        <v>4174</v>
      </c>
      <c r="J716" s="7"/>
      <c r="K716" s="7" t="s">
        <v>4175</v>
      </c>
    </row>
    <row r="717" customFormat="false" ht="23.85" hidden="false" customHeight="false" outlineLevel="0" collapsed="false">
      <c r="A717" s="7" t="n">
        <v>716</v>
      </c>
      <c r="B717" s="7" t="s">
        <v>4176</v>
      </c>
      <c r="C717" s="7" t="n">
        <v>2023</v>
      </c>
      <c r="D717" s="7" t="s">
        <v>4177</v>
      </c>
      <c r="E717" s="7" t="s">
        <v>143</v>
      </c>
      <c r="F717" s="7" t="s">
        <v>1513</v>
      </c>
      <c r="G717" s="7" t="s">
        <v>145</v>
      </c>
      <c r="H717" s="7" t="s">
        <v>153</v>
      </c>
      <c r="I717" s="7" t="s">
        <v>4178</v>
      </c>
      <c r="J717" s="7" t="s">
        <v>114</v>
      </c>
      <c r="K717" s="7" t="s">
        <v>4179</v>
      </c>
    </row>
    <row r="718" customFormat="false" ht="35.05" hidden="false" customHeight="false" outlineLevel="0" collapsed="false">
      <c r="A718" s="7" t="n">
        <v>717</v>
      </c>
      <c r="B718" s="7" t="s">
        <v>4180</v>
      </c>
      <c r="C718" s="7" t="n">
        <v>2024</v>
      </c>
      <c r="D718" s="7" t="s">
        <v>4181</v>
      </c>
      <c r="E718" s="7" t="s">
        <v>201</v>
      </c>
      <c r="F718" s="7" t="s">
        <v>4182</v>
      </c>
      <c r="G718" s="7" t="s">
        <v>145</v>
      </c>
      <c r="H718" s="7" t="s">
        <v>153</v>
      </c>
      <c r="I718" s="7" t="s">
        <v>4183</v>
      </c>
      <c r="J718" s="7" t="s">
        <v>114</v>
      </c>
      <c r="K718" s="7" t="s">
        <v>4184</v>
      </c>
    </row>
    <row r="719" customFormat="false" ht="35.05" hidden="false" customHeight="false" outlineLevel="0" collapsed="false">
      <c r="A719" s="7" t="n">
        <v>718</v>
      </c>
      <c r="B719" s="7" t="s">
        <v>1591</v>
      </c>
      <c r="C719" s="7" t="n">
        <v>2024</v>
      </c>
      <c r="D719" s="7" t="s">
        <v>4185</v>
      </c>
      <c r="E719" s="7" t="s">
        <v>201</v>
      </c>
      <c r="F719" s="7" t="s">
        <v>4186</v>
      </c>
      <c r="G719" s="7" t="s">
        <v>145</v>
      </c>
      <c r="H719" s="7" t="s">
        <v>153</v>
      </c>
      <c r="I719" s="7" t="s">
        <v>4187</v>
      </c>
      <c r="J719" s="7" t="s">
        <v>114</v>
      </c>
      <c r="K719" s="7" t="s">
        <v>4188</v>
      </c>
    </row>
    <row r="720" customFormat="false" ht="35.05" hidden="false" customHeight="false" outlineLevel="0" collapsed="false">
      <c r="A720" s="7" t="n">
        <v>719</v>
      </c>
      <c r="B720" s="7" t="s">
        <v>4189</v>
      </c>
      <c r="C720" s="7" t="n">
        <v>2017</v>
      </c>
      <c r="D720" s="7" t="s">
        <v>4190</v>
      </c>
      <c r="E720" s="7" t="s">
        <v>143</v>
      </c>
      <c r="F720" s="7" t="s">
        <v>4191</v>
      </c>
      <c r="G720" s="7" t="s">
        <v>4192</v>
      </c>
      <c r="H720" s="7" t="s">
        <v>146</v>
      </c>
      <c r="I720" s="7" t="s">
        <v>3175</v>
      </c>
      <c r="J720" s="7" t="s">
        <v>116</v>
      </c>
      <c r="K720" s="7" t="s">
        <v>4193</v>
      </c>
    </row>
    <row r="721" customFormat="false" ht="23.85" hidden="false" customHeight="false" outlineLevel="0" collapsed="false">
      <c r="A721" s="7" t="n">
        <v>720</v>
      </c>
      <c r="B721" s="7" t="s">
        <v>4194</v>
      </c>
      <c r="C721" s="7" t="n">
        <v>1995</v>
      </c>
      <c r="D721" s="7" t="s">
        <v>4195</v>
      </c>
      <c r="E721" s="7" t="s">
        <v>143</v>
      </c>
      <c r="F721" s="7" t="s">
        <v>348</v>
      </c>
      <c r="G721" s="7" t="s">
        <v>145</v>
      </c>
      <c r="H721" s="7" t="s">
        <v>153</v>
      </c>
      <c r="I721" s="7" t="s">
        <v>4196</v>
      </c>
      <c r="J721" s="7"/>
      <c r="K721" s="7" t="s">
        <v>4197</v>
      </c>
    </row>
    <row r="722" customFormat="false" ht="102.2" hidden="false" customHeight="false" outlineLevel="0" collapsed="false">
      <c r="A722" s="7" t="n">
        <v>721</v>
      </c>
      <c r="B722" s="7" t="s">
        <v>15588</v>
      </c>
      <c r="C722" s="7" t="n">
        <v>2023</v>
      </c>
      <c r="D722" s="7" t="s">
        <v>4198</v>
      </c>
      <c r="E722" s="7" t="s">
        <v>15589</v>
      </c>
      <c r="F722" s="7" t="s">
        <v>15590</v>
      </c>
      <c r="G722" s="7" t="s">
        <v>145</v>
      </c>
      <c r="H722" s="7" t="s">
        <v>153</v>
      </c>
      <c r="I722" s="7" t="s">
        <v>15591</v>
      </c>
      <c r="J722" s="7" t="s">
        <v>114</v>
      </c>
      <c r="K722" s="7" t="s">
        <v>15592</v>
      </c>
    </row>
    <row r="723" customFormat="false" ht="23.85" hidden="false" customHeight="false" outlineLevel="0" collapsed="false">
      <c r="A723" s="7" t="n">
        <v>722</v>
      </c>
      <c r="B723" s="7" t="s">
        <v>4209</v>
      </c>
      <c r="C723" s="7" t="n">
        <v>2024</v>
      </c>
      <c r="D723" s="7" t="s">
        <v>4210</v>
      </c>
      <c r="E723" s="7" t="s">
        <v>143</v>
      </c>
      <c r="F723" s="7" t="s">
        <v>4211</v>
      </c>
      <c r="G723" s="7" t="s">
        <v>145</v>
      </c>
      <c r="H723" s="7" t="s">
        <v>153</v>
      </c>
      <c r="I723" s="7" t="s">
        <v>4212</v>
      </c>
      <c r="J723" s="7" t="s">
        <v>114</v>
      </c>
      <c r="K723" s="7" t="s">
        <v>4213</v>
      </c>
    </row>
    <row r="724" customFormat="false" ht="23.85" hidden="false" customHeight="false" outlineLevel="0" collapsed="false">
      <c r="A724" s="7" t="n">
        <v>723</v>
      </c>
      <c r="B724" s="7" t="s">
        <v>4214</v>
      </c>
      <c r="C724" s="7" t="n">
        <v>2018</v>
      </c>
      <c r="D724" s="7" t="s">
        <v>4215</v>
      </c>
      <c r="E724" s="7" t="s">
        <v>143</v>
      </c>
      <c r="F724" s="7" t="s">
        <v>348</v>
      </c>
      <c r="G724" s="7" t="s">
        <v>145</v>
      </c>
      <c r="H724" s="7" t="s">
        <v>153</v>
      </c>
      <c r="I724" s="7" t="s">
        <v>4216</v>
      </c>
      <c r="J724" s="7"/>
      <c r="K724" s="7" t="s">
        <v>4217</v>
      </c>
    </row>
    <row r="725" customFormat="false" ht="35.05" hidden="false" customHeight="false" outlineLevel="0" collapsed="false">
      <c r="A725" s="7" t="n">
        <v>724</v>
      </c>
      <c r="B725" s="7" t="s">
        <v>4218</v>
      </c>
      <c r="C725" s="7" t="n">
        <v>2024</v>
      </c>
      <c r="D725" s="7" t="s">
        <v>4219</v>
      </c>
      <c r="E725" s="7" t="s">
        <v>201</v>
      </c>
      <c r="F725" s="7" t="s">
        <v>3463</v>
      </c>
      <c r="G725" s="7" t="s">
        <v>145</v>
      </c>
      <c r="H725" s="7" t="s">
        <v>153</v>
      </c>
      <c r="I725" s="7" t="s">
        <v>4220</v>
      </c>
      <c r="J725" s="7" t="s">
        <v>114</v>
      </c>
      <c r="K725" s="7" t="s">
        <v>4221</v>
      </c>
    </row>
    <row r="726" customFormat="false" ht="102.2" hidden="false" customHeight="false" outlineLevel="0" collapsed="false">
      <c r="A726" s="7" t="n">
        <v>725</v>
      </c>
      <c r="B726" s="7" t="s">
        <v>4222</v>
      </c>
      <c r="C726" s="7" t="n">
        <v>2024</v>
      </c>
      <c r="D726" s="7" t="s">
        <v>4223</v>
      </c>
      <c r="E726" s="7" t="s">
        <v>151</v>
      </c>
      <c r="F726" s="7" t="s">
        <v>15593</v>
      </c>
      <c r="G726" s="7" t="s">
        <v>145</v>
      </c>
      <c r="H726" s="7" t="s">
        <v>15594</v>
      </c>
      <c r="I726" s="7" t="s">
        <v>15595</v>
      </c>
      <c r="J726" s="7" t="s">
        <v>112</v>
      </c>
      <c r="K726" s="7" t="s">
        <v>15596</v>
      </c>
    </row>
    <row r="727" customFormat="false" ht="23.85" hidden="false" customHeight="false" outlineLevel="0" collapsed="false">
      <c r="A727" s="7" t="n">
        <v>726</v>
      </c>
      <c r="B727" s="7" t="s">
        <v>4236</v>
      </c>
      <c r="C727" s="7" t="n">
        <v>2022</v>
      </c>
      <c r="D727" s="7" t="s">
        <v>4237</v>
      </c>
      <c r="E727" s="7" t="s">
        <v>143</v>
      </c>
      <c r="F727" s="7" t="s">
        <v>861</v>
      </c>
      <c r="G727" s="7" t="s">
        <v>145</v>
      </c>
      <c r="H727" s="7" t="s">
        <v>153</v>
      </c>
      <c r="I727" s="7" t="s">
        <v>4238</v>
      </c>
      <c r="J727" s="7"/>
      <c r="K727" s="7" t="s">
        <v>4239</v>
      </c>
    </row>
    <row r="728" customFormat="false" ht="57.45" hidden="false" customHeight="false" outlineLevel="0" collapsed="false">
      <c r="A728" s="7" t="n">
        <v>727</v>
      </c>
      <c r="B728" s="7" t="s">
        <v>15597</v>
      </c>
      <c r="C728" s="7" t="n">
        <v>2018</v>
      </c>
      <c r="D728" s="7" t="s">
        <v>4240</v>
      </c>
      <c r="E728" s="7" t="s">
        <v>15598</v>
      </c>
      <c r="F728" s="7" t="s">
        <v>15599</v>
      </c>
      <c r="G728" s="7" t="s">
        <v>145</v>
      </c>
      <c r="H728" s="7" t="s">
        <v>15165</v>
      </c>
      <c r="I728" s="7" t="s">
        <v>15600</v>
      </c>
      <c r="J728" s="7" t="s">
        <v>116</v>
      </c>
      <c r="K728" s="7" t="s">
        <v>15601</v>
      </c>
    </row>
    <row r="729" customFormat="false" ht="35.05" hidden="false" customHeight="false" outlineLevel="0" collapsed="false">
      <c r="A729" s="7" t="n">
        <v>728</v>
      </c>
      <c r="B729" s="7" t="s">
        <v>4249</v>
      </c>
      <c r="C729" s="7" t="n">
        <v>2023</v>
      </c>
      <c r="D729" s="7" t="s">
        <v>4250</v>
      </c>
      <c r="E729" s="7" t="s">
        <v>151</v>
      </c>
      <c r="F729" s="7" t="s">
        <v>4251</v>
      </c>
      <c r="G729" s="7" t="s">
        <v>145</v>
      </c>
      <c r="H729" s="7" t="s">
        <v>387</v>
      </c>
      <c r="I729" s="7" t="s">
        <v>4252</v>
      </c>
      <c r="J729" s="7" t="s">
        <v>110</v>
      </c>
      <c r="K729" s="7" t="s">
        <v>4253</v>
      </c>
    </row>
    <row r="730" customFormat="false" ht="35.05" hidden="false" customHeight="false" outlineLevel="0" collapsed="false">
      <c r="A730" s="7" t="n">
        <v>729</v>
      </c>
      <c r="B730" s="7" t="s">
        <v>1511</v>
      </c>
      <c r="C730" s="7" t="n">
        <v>2024</v>
      </c>
      <c r="D730" s="7" t="s">
        <v>4254</v>
      </c>
      <c r="E730" s="7" t="s">
        <v>143</v>
      </c>
      <c r="F730" s="7" t="s">
        <v>4186</v>
      </c>
      <c r="G730" s="7" t="s">
        <v>145</v>
      </c>
      <c r="H730" s="7" t="s">
        <v>153</v>
      </c>
      <c r="I730" s="7" t="s">
        <v>4255</v>
      </c>
      <c r="J730" s="7" t="s">
        <v>114</v>
      </c>
      <c r="K730" s="7" t="s">
        <v>4256</v>
      </c>
    </row>
    <row r="731" customFormat="false" ht="23.85" hidden="false" customHeight="false" outlineLevel="0" collapsed="false">
      <c r="A731" s="7" t="n">
        <v>730</v>
      </c>
      <c r="B731" s="7" t="s">
        <v>4257</v>
      </c>
      <c r="C731" s="7" t="n">
        <v>2024</v>
      </c>
      <c r="D731" s="7" t="s">
        <v>4258</v>
      </c>
      <c r="E731" s="7" t="s">
        <v>143</v>
      </c>
      <c r="F731" s="7" t="s">
        <v>4259</v>
      </c>
      <c r="G731" s="7" t="s">
        <v>145</v>
      </c>
      <c r="H731" s="7" t="s">
        <v>387</v>
      </c>
      <c r="I731" s="7" t="s">
        <v>4260</v>
      </c>
      <c r="J731" s="7" t="s">
        <v>110</v>
      </c>
      <c r="K731" s="7" t="s">
        <v>4261</v>
      </c>
    </row>
    <row r="732" customFormat="false" ht="68.65" hidden="false" customHeight="false" outlineLevel="0" collapsed="false">
      <c r="A732" s="7" t="n">
        <v>731</v>
      </c>
      <c r="B732" s="7" t="s">
        <v>828</v>
      </c>
      <c r="C732" s="7" t="n">
        <v>2025</v>
      </c>
      <c r="D732" s="7" t="s">
        <v>4262</v>
      </c>
      <c r="E732" s="7" t="s">
        <v>143</v>
      </c>
      <c r="F732" s="7" t="s">
        <v>15602</v>
      </c>
      <c r="G732" s="7" t="s">
        <v>15603</v>
      </c>
      <c r="H732" s="7" t="s">
        <v>15604</v>
      </c>
      <c r="I732" s="7" t="s">
        <v>15605</v>
      </c>
      <c r="J732" s="7" t="s">
        <v>15606</v>
      </c>
      <c r="K732" s="7" t="s">
        <v>15607</v>
      </c>
    </row>
    <row r="733" customFormat="false" ht="23.85" hidden="false" customHeight="false" outlineLevel="0" collapsed="false">
      <c r="A733" s="7" t="n">
        <v>732</v>
      </c>
      <c r="B733" s="7" t="s">
        <v>4270</v>
      </c>
      <c r="C733" s="7" t="n">
        <v>2018</v>
      </c>
      <c r="D733" s="7" t="s">
        <v>4271</v>
      </c>
      <c r="E733" s="7" t="s">
        <v>143</v>
      </c>
      <c r="F733" s="7" t="s">
        <v>348</v>
      </c>
      <c r="G733" s="7" t="s">
        <v>145</v>
      </c>
      <c r="H733" s="7" t="s">
        <v>153</v>
      </c>
      <c r="I733" s="7" t="s">
        <v>4272</v>
      </c>
      <c r="J733" s="7"/>
      <c r="K733" s="7" t="s">
        <v>4273</v>
      </c>
    </row>
    <row r="734" customFormat="false" ht="35.05" hidden="false" customHeight="false" outlineLevel="0" collapsed="false">
      <c r="A734" s="7" t="n">
        <v>733</v>
      </c>
      <c r="B734" s="7" t="s">
        <v>1331</v>
      </c>
      <c r="C734" s="7" t="n">
        <v>2021</v>
      </c>
      <c r="D734" s="7" t="s">
        <v>4274</v>
      </c>
      <c r="E734" s="7" t="s">
        <v>151</v>
      </c>
      <c r="F734" s="7" t="s">
        <v>3646</v>
      </c>
      <c r="G734" s="7" t="s">
        <v>1213</v>
      </c>
      <c r="H734" s="7" t="s">
        <v>146</v>
      </c>
      <c r="I734" s="7" t="s">
        <v>4275</v>
      </c>
      <c r="J734" s="7" t="s">
        <v>112</v>
      </c>
      <c r="K734" s="7" t="s">
        <v>4276</v>
      </c>
    </row>
    <row r="735" customFormat="false" ht="35.05" hidden="false" customHeight="false" outlineLevel="0" collapsed="false">
      <c r="A735" s="7" t="n">
        <v>734</v>
      </c>
      <c r="B735" s="7" t="s">
        <v>4277</v>
      </c>
      <c r="C735" s="7" t="n">
        <v>2006</v>
      </c>
      <c r="D735" s="7" t="s">
        <v>4278</v>
      </c>
      <c r="E735" s="7" t="s">
        <v>143</v>
      </c>
      <c r="F735" s="7" t="s">
        <v>364</v>
      </c>
      <c r="G735" s="7" t="s">
        <v>145</v>
      </c>
      <c r="H735" s="7" t="s">
        <v>153</v>
      </c>
      <c r="I735" s="7" t="s">
        <v>4279</v>
      </c>
      <c r="J735" s="7"/>
      <c r="K735" s="7" t="s">
        <v>4280</v>
      </c>
    </row>
    <row r="736" customFormat="false" ht="35.05" hidden="false" customHeight="false" outlineLevel="0" collapsed="false">
      <c r="A736" s="7" t="n">
        <v>735</v>
      </c>
      <c r="B736" s="7" t="s">
        <v>4281</v>
      </c>
      <c r="C736" s="7" t="n">
        <v>2021</v>
      </c>
      <c r="D736" s="7" t="s">
        <v>4282</v>
      </c>
      <c r="E736" s="7" t="s">
        <v>143</v>
      </c>
      <c r="F736" s="7" t="s">
        <v>4283</v>
      </c>
      <c r="G736" s="7" t="s">
        <v>1319</v>
      </c>
      <c r="H736" s="7" t="s">
        <v>146</v>
      </c>
      <c r="I736" s="7" t="s">
        <v>4284</v>
      </c>
      <c r="J736" s="7"/>
      <c r="K736" s="7" t="s">
        <v>4285</v>
      </c>
    </row>
    <row r="737" customFormat="false" ht="35.05" hidden="false" customHeight="false" outlineLevel="0" collapsed="false">
      <c r="A737" s="7" t="n">
        <v>736</v>
      </c>
      <c r="B737" s="7" t="s">
        <v>4286</v>
      </c>
      <c r="C737" s="7" t="n">
        <v>2013</v>
      </c>
      <c r="D737" s="7" t="s">
        <v>4287</v>
      </c>
      <c r="E737" s="7" t="s">
        <v>143</v>
      </c>
      <c r="F737" s="7" t="s">
        <v>4288</v>
      </c>
      <c r="G737" s="7" t="s">
        <v>145</v>
      </c>
      <c r="H737" s="7" t="s">
        <v>153</v>
      </c>
      <c r="I737" s="7" t="s">
        <v>4289</v>
      </c>
      <c r="J737" s="7" t="s">
        <v>112</v>
      </c>
      <c r="K737" s="7" t="s">
        <v>4290</v>
      </c>
    </row>
    <row r="738" customFormat="false" ht="35.05" hidden="false" customHeight="false" outlineLevel="0" collapsed="false">
      <c r="A738" s="7" t="n">
        <v>737</v>
      </c>
      <c r="B738" s="7" t="s">
        <v>4291</v>
      </c>
      <c r="C738" s="7" t="n">
        <v>2025</v>
      </c>
      <c r="D738" s="7" t="s">
        <v>4292</v>
      </c>
      <c r="E738" s="7" t="s">
        <v>143</v>
      </c>
      <c r="F738" s="7" t="s">
        <v>4293</v>
      </c>
      <c r="G738" s="7" t="s">
        <v>4294</v>
      </c>
      <c r="H738" s="7" t="s">
        <v>522</v>
      </c>
      <c r="I738" s="7" t="s">
        <v>4295</v>
      </c>
      <c r="J738" s="7" t="s">
        <v>112</v>
      </c>
      <c r="K738" s="7" t="s">
        <v>4296</v>
      </c>
    </row>
    <row r="739" customFormat="false" ht="35.05" hidden="false" customHeight="false" outlineLevel="0" collapsed="false">
      <c r="A739" s="7" t="n">
        <v>738</v>
      </c>
      <c r="B739" s="7" t="s">
        <v>4297</v>
      </c>
      <c r="C739" s="7" t="n">
        <v>2019</v>
      </c>
      <c r="D739" s="7" t="s">
        <v>4298</v>
      </c>
      <c r="E739" s="7" t="s">
        <v>143</v>
      </c>
      <c r="F739" s="7" t="s">
        <v>4299</v>
      </c>
      <c r="G739" s="7" t="s">
        <v>145</v>
      </c>
      <c r="H739" s="7" t="s">
        <v>522</v>
      </c>
      <c r="I739" s="7" t="s">
        <v>4300</v>
      </c>
      <c r="J739" s="7" t="s">
        <v>116</v>
      </c>
      <c r="K739" s="7" t="s">
        <v>4301</v>
      </c>
    </row>
    <row r="740" customFormat="false" ht="35.05" hidden="false" customHeight="false" outlineLevel="0" collapsed="false">
      <c r="A740" s="7" t="n">
        <v>739</v>
      </c>
      <c r="B740" s="7" t="s">
        <v>4302</v>
      </c>
      <c r="C740" s="7" t="n">
        <v>2024</v>
      </c>
      <c r="D740" s="7" t="s">
        <v>4303</v>
      </c>
      <c r="E740" s="7" t="s">
        <v>143</v>
      </c>
      <c r="F740" s="7" t="s">
        <v>4304</v>
      </c>
      <c r="G740" s="7" t="s">
        <v>145</v>
      </c>
      <c r="H740" s="7" t="s">
        <v>153</v>
      </c>
      <c r="I740" s="7" t="s">
        <v>4305</v>
      </c>
      <c r="J740" s="7"/>
      <c r="K740" s="7" t="s">
        <v>4306</v>
      </c>
    </row>
    <row r="741" customFormat="false" ht="35.05" hidden="false" customHeight="false" outlineLevel="0" collapsed="false">
      <c r="A741" s="7" t="n">
        <v>740</v>
      </c>
      <c r="B741" s="7" t="s">
        <v>4307</v>
      </c>
      <c r="C741" s="7" t="n">
        <v>2021</v>
      </c>
      <c r="D741" s="7" t="s">
        <v>4308</v>
      </c>
      <c r="E741" s="7" t="s">
        <v>151</v>
      </c>
      <c r="F741" s="7" t="s">
        <v>4309</v>
      </c>
      <c r="G741" s="7" t="s">
        <v>4310</v>
      </c>
      <c r="H741" s="7" t="s">
        <v>146</v>
      </c>
      <c r="I741" s="7" t="s">
        <v>4311</v>
      </c>
      <c r="J741" s="7" t="s">
        <v>112</v>
      </c>
      <c r="K741" s="7" t="s">
        <v>4312</v>
      </c>
    </row>
    <row r="742" customFormat="false" ht="35.05" hidden="false" customHeight="false" outlineLevel="0" collapsed="false">
      <c r="A742" s="7" t="n">
        <v>741</v>
      </c>
      <c r="B742" s="7" t="s">
        <v>4313</v>
      </c>
      <c r="C742" s="7" t="n">
        <v>2023</v>
      </c>
      <c r="D742" s="7" t="s">
        <v>4314</v>
      </c>
      <c r="E742" s="7" t="s">
        <v>143</v>
      </c>
      <c r="F742" s="7" t="s">
        <v>4315</v>
      </c>
      <c r="G742" s="7" t="s">
        <v>4316</v>
      </c>
      <c r="H742" s="7" t="s">
        <v>748</v>
      </c>
      <c r="I742" s="7" t="s">
        <v>4317</v>
      </c>
      <c r="J742" s="7"/>
      <c r="K742" s="7" t="s">
        <v>4318</v>
      </c>
    </row>
    <row r="743" customFormat="false" ht="35.05" hidden="false" customHeight="false" outlineLevel="0" collapsed="false">
      <c r="A743" s="7" t="n">
        <v>742</v>
      </c>
      <c r="B743" s="7" t="s">
        <v>4319</v>
      </c>
      <c r="C743" s="7" t="n">
        <v>2016</v>
      </c>
      <c r="D743" s="7" t="s">
        <v>4320</v>
      </c>
      <c r="E743" s="7" t="s">
        <v>153</v>
      </c>
      <c r="F743" s="7" t="s">
        <v>2383</v>
      </c>
      <c r="G743" s="7" t="s">
        <v>4321</v>
      </c>
      <c r="H743" s="7" t="s">
        <v>153</v>
      </c>
      <c r="I743" s="7" t="s">
        <v>4322</v>
      </c>
      <c r="J743" s="7" t="s">
        <v>112</v>
      </c>
      <c r="K743" s="7" t="s">
        <v>4323</v>
      </c>
    </row>
    <row r="744" customFormat="false" ht="35.05" hidden="false" customHeight="false" outlineLevel="0" collapsed="false">
      <c r="A744" s="7" t="n">
        <v>743</v>
      </c>
      <c r="B744" s="7" t="s">
        <v>4324</v>
      </c>
      <c r="C744" s="7" t="n">
        <v>2016</v>
      </c>
      <c r="D744" s="7" t="s">
        <v>4325</v>
      </c>
      <c r="E744" s="7" t="s">
        <v>151</v>
      </c>
      <c r="F744" s="7" t="s">
        <v>213</v>
      </c>
      <c r="G744" s="7" t="s">
        <v>4326</v>
      </c>
      <c r="H744" s="7" t="s">
        <v>146</v>
      </c>
      <c r="I744" s="7" t="s">
        <v>4327</v>
      </c>
      <c r="J744" s="7"/>
      <c r="K744" s="7" t="s">
        <v>4328</v>
      </c>
    </row>
    <row r="745" customFormat="false" ht="35.05" hidden="false" customHeight="false" outlineLevel="0" collapsed="false">
      <c r="A745" s="7" t="n">
        <v>744</v>
      </c>
      <c r="B745" s="7" t="s">
        <v>4324</v>
      </c>
      <c r="C745" s="7" t="n">
        <v>2020</v>
      </c>
      <c r="D745" s="7" t="s">
        <v>4329</v>
      </c>
      <c r="E745" s="7" t="s">
        <v>151</v>
      </c>
      <c r="F745" s="7" t="s">
        <v>4330</v>
      </c>
      <c r="G745" s="7" t="s">
        <v>4331</v>
      </c>
      <c r="H745" s="7" t="s">
        <v>146</v>
      </c>
      <c r="I745" s="7" t="s">
        <v>4332</v>
      </c>
      <c r="J745" s="7"/>
      <c r="K745" s="7" t="s">
        <v>4333</v>
      </c>
    </row>
    <row r="746" customFormat="false" ht="35.05" hidden="false" customHeight="false" outlineLevel="0" collapsed="false">
      <c r="A746" s="7" t="n">
        <v>745</v>
      </c>
      <c r="B746" s="7" t="s">
        <v>4334</v>
      </c>
      <c r="C746" s="7" t="n">
        <v>2023</v>
      </c>
      <c r="D746" s="7" t="s">
        <v>4335</v>
      </c>
      <c r="E746" s="7" t="s">
        <v>143</v>
      </c>
      <c r="F746" s="7" t="s">
        <v>364</v>
      </c>
      <c r="G746" s="7" t="s">
        <v>4336</v>
      </c>
      <c r="H746" s="7" t="s">
        <v>146</v>
      </c>
      <c r="I746" s="7" t="s">
        <v>4337</v>
      </c>
      <c r="J746" s="7"/>
      <c r="K746" s="7" t="s">
        <v>4338</v>
      </c>
    </row>
    <row r="747" customFormat="false" ht="35.05" hidden="false" customHeight="false" outlineLevel="0" collapsed="false">
      <c r="A747" s="7" t="n">
        <v>746</v>
      </c>
      <c r="B747" s="7" t="s">
        <v>4339</v>
      </c>
      <c r="C747" s="7" t="n">
        <v>2004</v>
      </c>
      <c r="D747" s="7" t="s">
        <v>4340</v>
      </c>
      <c r="E747" s="7" t="s">
        <v>143</v>
      </c>
      <c r="F747" s="7" t="s">
        <v>364</v>
      </c>
      <c r="G747" s="7" t="s">
        <v>4341</v>
      </c>
      <c r="H747" s="7" t="s">
        <v>153</v>
      </c>
      <c r="I747" s="7" t="s">
        <v>4342</v>
      </c>
      <c r="J747" s="7"/>
      <c r="K747" s="7" t="s">
        <v>4343</v>
      </c>
    </row>
    <row r="748" customFormat="false" ht="35.05" hidden="false" customHeight="false" outlineLevel="0" collapsed="false">
      <c r="A748" s="7" t="n">
        <v>747</v>
      </c>
      <c r="B748" s="7" t="s">
        <v>4344</v>
      </c>
      <c r="C748" s="7" t="n">
        <v>2016</v>
      </c>
      <c r="D748" s="7" t="s">
        <v>4345</v>
      </c>
      <c r="E748" s="7" t="s">
        <v>143</v>
      </c>
      <c r="F748" s="7" t="s">
        <v>4346</v>
      </c>
      <c r="G748" s="7" t="s">
        <v>4347</v>
      </c>
      <c r="H748" s="7" t="s">
        <v>146</v>
      </c>
      <c r="I748" s="7" t="s">
        <v>4348</v>
      </c>
      <c r="J748" s="7"/>
      <c r="K748" s="7" t="s">
        <v>4349</v>
      </c>
    </row>
    <row r="749" customFormat="false" ht="35.05" hidden="false" customHeight="false" outlineLevel="0" collapsed="false">
      <c r="A749" s="7" t="n">
        <v>748</v>
      </c>
      <c r="B749" s="7" t="s">
        <v>4350</v>
      </c>
      <c r="C749" s="7" t="n">
        <v>2021</v>
      </c>
      <c r="D749" s="7" t="s">
        <v>4351</v>
      </c>
      <c r="E749" s="7" t="s">
        <v>151</v>
      </c>
      <c r="F749" s="7" t="s">
        <v>4352</v>
      </c>
      <c r="G749" s="7" t="s">
        <v>145</v>
      </c>
      <c r="H749" s="7" t="s">
        <v>4353</v>
      </c>
      <c r="I749" s="7" t="s">
        <v>4354</v>
      </c>
      <c r="J749" s="7" t="s">
        <v>112</v>
      </c>
      <c r="K749" s="7" t="s">
        <v>4355</v>
      </c>
    </row>
    <row r="750" customFormat="false" ht="35.05" hidden="false" customHeight="false" outlineLevel="0" collapsed="false">
      <c r="A750" s="7" t="n">
        <v>749</v>
      </c>
      <c r="B750" s="7" t="s">
        <v>4356</v>
      </c>
      <c r="C750" s="7" t="n">
        <v>2024</v>
      </c>
      <c r="D750" s="7" t="s">
        <v>4357</v>
      </c>
      <c r="E750" s="7" t="s">
        <v>153</v>
      </c>
      <c r="F750" s="7" t="s">
        <v>4358</v>
      </c>
      <c r="G750" s="7" t="s">
        <v>4359</v>
      </c>
      <c r="H750" s="7" t="s">
        <v>146</v>
      </c>
      <c r="I750" s="7" t="s">
        <v>4360</v>
      </c>
      <c r="J750" s="7"/>
      <c r="K750" s="7" t="s">
        <v>4361</v>
      </c>
    </row>
    <row r="751" customFormat="false" ht="35.05" hidden="false" customHeight="false" outlineLevel="0" collapsed="false">
      <c r="A751" s="7" t="n">
        <v>750</v>
      </c>
      <c r="B751" s="7" t="s">
        <v>4362</v>
      </c>
      <c r="C751" s="7" t="n">
        <v>2022</v>
      </c>
      <c r="D751" s="7" t="s">
        <v>4363</v>
      </c>
      <c r="E751" s="7" t="s">
        <v>143</v>
      </c>
      <c r="F751" s="7" t="s">
        <v>4364</v>
      </c>
      <c r="G751" s="7" t="s">
        <v>4365</v>
      </c>
      <c r="H751" s="7" t="s">
        <v>153</v>
      </c>
      <c r="I751" s="7" t="s">
        <v>4366</v>
      </c>
      <c r="J751" s="7" t="s">
        <v>114</v>
      </c>
      <c r="K751" s="7" t="s">
        <v>4367</v>
      </c>
    </row>
    <row r="752" customFormat="false" ht="23.85" hidden="false" customHeight="false" outlineLevel="0" collapsed="false">
      <c r="A752" s="7" t="n">
        <v>751</v>
      </c>
      <c r="B752" s="7" t="s">
        <v>4368</v>
      </c>
      <c r="C752" s="7" t="n">
        <v>2021</v>
      </c>
      <c r="D752" s="7" t="s">
        <v>4369</v>
      </c>
      <c r="E752" s="7" t="s">
        <v>143</v>
      </c>
      <c r="F752" s="7" t="s">
        <v>4370</v>
      </c>
      <c r="G752" s="7" t="s">
        <v>145</v>
      </c>
      <c r="H752" s="7" t="s">
        <v>387</v>
      </c>
      <c r="I752" s="7" t="s">
        <v>4371</v>
      </c>
      <c r="J752" s="7"/>
      <c r="K752" s="7" t="s">
        <v>4372</v>
      </c>
    </row>
    <row r="753" customFormat="false" ht="35.05" hidden="false" customHeight="false" outlineLevel="0" collapsed="false">
      <c r="A753" s="7" t="n">
        <v>752</v>
      </c>
      <c r="B753" s="7" t="s">
        <v>2658</v>
      </c>
      <c r="C753" s="7" t="n">
        <v>2021</v>
      </c>
      <c r="D753" s="7" t="s">
        <v>4373</v>
      </c>
      <c r="E753" s="7" t="s">
        <v>143</v>
      </c>
      <c r="F753" s="7" t="s">
        <v>3217</v>
      </c>
      <c r="G753" s="7" t="s">
        <v>145</v>
      </c>
      <c r="H753" s="7" t="s">
        <v>153</v>
      </c>
      <c r="I753" s="7" t="s">
        <v>4374</v>
      </c>
      <c r="J753" s="7" t="s">
        <v>112</v>
      </c>
      <c r="K753" s="7" t="s">
        <v>4375</v>
      </c>
    </row>
    <row r="754" customFormat="false" ht="35.05" hidden="false" customHeight="false" outlineLevel="0" collapsed="false">
      <c r="A754" s="7" t="n">
        <v>753</v>
      </c>
      <c r="B754" s="7" t="s">
        <v>4376</v>
      </c>
      <c r="C754" s="7" t="n">
        <v>2005</v>
      </c>
      <c r="D754" s="7" t="s">
        <v>4377</v>
      </c>
      <c r="E754" s="7" t="s">
        <v>151</v>
      </c>
      <c r="F754" s="7" t="s">
        <v>364</v>
      </c>
      <c r="G754" s="7" t="s">
        <v>187</v>
      </c>
      <c r="H754" s="7" t="s">
        <v>208</v>
      </c>
      <c r="I754" s="7" t="s">
        <v>4378</v>
      </c>
      <c r="J754" s="7"/>
      <c r="K754" s="7" t="s">
        <v>4379</v>
      </c>
    </row>
    <row r="755" customFormat="false" ht="35.05" hidden="false" customHeight="false" outlineLevel="0" collapsed="false">
      <c r="A755" s="7" t="n">
        <v>754</v>
      </c>
      <c r="B755" s="7" t="s">
        <v>4380</v>
      </c>
      <c r="C755" s="7" t="n">
        <v>2017</v>
      </c>
      <c r="D755" s="7" t="s">
        <v>4381</v>
      </c>
      <c r="E755" s="7" t="s">
        <v>151</v>
      </c>
      <c r="F755" s="7" t="s">
        <v>2299</v>
      </c>
      <c r="G755" s="7" t="s">
        <v>187</v>
      </c>
      <c r="H755" s="7" t="s">
        <v>153</v>
      </c>
      <c r="I755" s="7" t="s">
        <v>4382</v>
      </c>
      <c r="J755" s="7"/>
      <c r="K755" s="7" t="s">
        <v>4383</v>
      </c>
    </row>
    <row r="756" customFormat="false" ht="35.05" hidden="false" customHeight="false" outlineLevel="0" collapsed="false">
      <c r="A756" s="7" t="n">
        <v>755</v>
      </c>
      <c r="B756" s="7" t="s">
        <v>4384</v>
      </c>
      <c r="C756" s="7" t="n">
        <v>2019</v>
      </c>
      <c r="D756" s="7" t="s">
        <v>4385</v>
      </c>
      <c r="E756" s="7" t="s">
        <v>143</v>
      </c>
      <c r="F756" s="7" t="s">
        <v>588</v>
      </c>
      <c r="G756" s="7" t="s">
        <v>145</v>
      </c>
      <c r="H756" s="7" t="s">
        <v>153</v>
      </c>
      <c r="I756" s="7" t="s">
        <v>4386</v>
      </c>
      <c r="J756" s="7"/>
      <c r="K756" s="7" t="s">
        <v>4387</v>
      </c>
    </row>
    <row r="757" customFormat="false" ht="35.05" hidden="false" customHeight="false" outlineLevel="0" collapsed="false">
      <c r="A757" s="7" t="n">
        <v>756</v>
      </c>
      <c r="B757" s="7" t="s">
        <v>4388</v>
      </c>
      <c r="C757" s="7" t="n">
        <v>2014</v>
      </c>
      <c r="D757" s="7" t="s">
        <v>4389</v>
      </c>
      <c r="E757" s="7" t="s">
        <v>143</v>
      </c>
      <c r="F757" s="7" t="s">
        <v>588</v>
      </c>
      <c r="G757" s="7" t="s">
        <v>145</v>
      </c>
      <c r="H757" s="7" t="s">
        <v>153</v>
      </c>
      <c r="I757" s="7" t="s">
        <v>4390</v>
      </c>
      <c r="J757" s="7"/>
      <c r="K757" s="7" t="s">
        <v>4391</v>
      </c>
    </row>
    <row r="758" customFormat="false" ht="35.05" hidden="false" customHeight="false" outlineLevel="0" collapsed="false">
      <c r="A758" s="7" t="n">
        <v>757</v>
      </c>
      <c r="B758" s="7" t="s">
        <v>4392</v>
      </c>
      <c r="C758" s="7" t="n">
        <v>2017</v>
      </c>
      <c r="D758" s="7" t="s">
        <v>4393</v>
      </c>
      <c r="E758" s="7" t="s">
        <v>143</v>
      </c>
      <c r="F758" s="7" t="s">
        <v>4394</v>
      </c>
      <c r="G758" s="7" t="s">
        <v>145</v>
      </c>
      <c r="H758" s="7" t="s">
        <v>146</v>
      </c>
      <c r="I758" s="7" t="s">
        <v>4395</v>
      </c>
      <c r="J758" s="7"/>
      <c r="K758" s="7" t="s">
        <v>4396</v>
      </c>
    </row>
    <row r="759" customFormat="false" ht="35.05" hidden="false" customHeight="false" outlineLevel="0" collapsed="false">
      <c r="A759" s="7" t="n">
        <v>758</v>
      </c>
      <c r="B759" s="7" t="s">
        <v>4397</v>
      </c>
      <c r="C759" s="7" t="n">
        <v>2003</v>
      </c>
      <c r="D759" s="7" t="s">
        <v>4398</v>
      </c>
      <c r="E759" s="7" t="s">
        <v>151</v>
      </c>
      <c r="F759" s="7" t="s">
        <v>4399</v>
      </c>
      <c r="G759" s="7" t="s">
        <v>255</v>
      </c>
      <c r="H759" s="7" t="s">
        <v>146</v>
      </c>
      <c r="I759" s="7" t="s">
        <v>4400</v>
      </c>
      <c r="J759" s="7"/>
      <c r="K759" s="7" t="s">
        <v>4401</v>
      </c>
    </row>
    <row r="760" customFormat="false" ht="35.05" hidden="false" customHeight="false" outlineLevel="0" collapsed="false">
      <c r="A760" s="7" t="n">
        <v>759</v>
      </c>
      <c r="B760" s="7" t="s">
        <v>4402</v>
      </c>
      <c r="C760" s="7" t="n">
        <v>2003</v>
      </c>
      <c r="D760" s="7" t="s">
        <v>4403</v>
      </c>
      <c r="E760" s="7" t="s">
        <v>151</v>
      </c>
      <c r="F760" s="7" t="s">
        <v>4404</v>
      </c>
      <c r="G760" s="7" t="s">
        <v>4405</v>
      </c>
      <c r="H760" s="7" t="s">
        <v>146</v>
      </c>
      <c r="I760" s="7" t="s">
        <v>4406</v>
      </c>
      <c r="J760" s="7"/>
      <c r="K760" s="7" t="s">
        <v>4407</v>
      </c>
    </row>
    <row r="761" customFormat="false" ht="35.05" hidden="false" customHeight="false" outlineLevel="0" collapsed="false">
      <c r="A761" s="7" t="n">
        <v>760</v>
      </c>
      <c r="B761" s="7" t="s">
        <v>4408</v>
      </c>
      <c r="C761" s="7" t="n">
        <v>2019</v>
      </c>
      <c r="D761" s="7" t="s">
        <v>4409</v>
      </c>
      <c r="E761" s="7" t="s">
        <v>143</v>
      </c>
      <c r="F761" s="7" t="s">
        <v>4410</v>
      </c>
      <c r="G761" s="7" t="s">
        <v>145</v>
      </c>
      <c r="H761" s="7" t="s">
        <v>146</v>
      </c>
      <c r="I761" s="7" t="s">
        <v>4411</v>
      </c>
      <c r="J761" s="7"/>
      <c r="K761" s="7" t="s">
        <v>4412</v>
      </c>
    </row>
    <row r="762" customFormat="false" ht="35.05" hidden="false" customHeight="false" outlineLevel="0" collapsed="false">
      <c r="A762" s="7" t="n">
        <v>761</v>
      </c>
      <c r="B762" s="7" t="s">
        <v>4413</v>
      </c>
      <c r="C762" s="7" t="n">
        <v>2016</v>
      </c>
      <c r="D762" s="7" t="s">
        <v>4414</v>
      </c>
      <c r="E762" s="7" t="s">
        <v>151</v>
      </c>
      <c r="F762" s="7" t="s">
        <v>4415</v>
      </c>
      <c r="G762" s="7" t="s">
        <v>1354</v>
      </c>
      <c r="H762" s="7" t="s">
        <v>153</v>
      </c>
      <c r="I762" s="7" t="s">
        <v>4416</v>
      </c>
      <c r="J762" s="7" t="s">
        <v>116</v>
      </c>
      <c r="K762" s="7" t="s">
        <v>4417</v>
      </c>
    </row>
    <row r="763" customFormat="false" ht="57.45" hidden="false" customHeight="false" outlineLevel="0" collapsed="false">
      <c r="A763" s="7" t="n">
        <v>762</v>
      </c>
      <c r="B763" s="7" t="s">
        <v>15608</v>
      </c>
      <c r="C763" s="7" t="n">
        <v>2017</v>
      </c>
      <c r="D763" s="7" t="s">
        <v>4419</v>
      </c>
      <c r="E763" s="7" t="s">
        <v>151</v>
      </c>
      <c r="F763" s="7" t="s">
        <v>15609</v>
      </c>
      <c r="G763" s="7" t="s">
        <v>15610</v>
      </c>
      <c r="H763" s="7" t="s">
        <v>146</v>
      </c>
      <c r="I763" s="7" t="s">
        <v>15611</v>
      </c>
      <c r="J763" s="7" t="s">
        <v>15612</v>
      </c>
      <c r="K763" s="7" t="s">
        <v>15613</v>
      </c>
    </row>
    <row r="764" customFormat="false" ht="35.05" hidden="false" customHeight="false" outlineLevel="0" collapsed="false">
      <c r="A764" s="7" t="n">
        <v>763</v>
      </c>
      <c r="B764" s="7" t="s">
        <v>1622</v>
      </c>
      <c r="C764" s="7" t="n">
        <v>2015</v>
      </c>
      <c r="D764" s="7" t="s">
        <v>4423</v>
      </c>
      <c r="E764" s="7" t="s">
        <v>143</v>
      </c>
      <c r="F764" s="7" t="s">
        <v>4424</v>
      </c>
      <c r="G764" s="7" t="s">
        <v>327</v>
      </c>
      <c r="H764" s="7" t="s">
        <v>146</v>
      </c>
      <c r="I764" s="7" t="s">
        <v>4425</v>
      </c>
      <c r="J764" s="7" t="s">
        <v>116</v>
      </c>
      <c r="K764" s="7" t="s">
        <v>4426</v>
      </c>
    </row>
    <row r="765" customFormat="false" ht="35.05" hidden="false" customHeight="false" outlineLevel="0" collapsed="false">
      <c r="A765" s="7" t="n">
        <v>764</v>
      </c>
      <c r="B765" s="7" t="s">
        <v>4427</v>
      </c>
      <c r="C765" s="7" t="n">
        <v>2015</v>
      </c>
      <c r="D765" s="7" t="s">
        <v>4428</v>
      </c>
      <c r="E765" s="7" t="s">
        <v>153</v>
      </c>
      <c r="F765" s="7" t="s">
        <v>4429</v>
      </c>
      <c r="G765" s="7" t="s">
        <v>4430</v>
      </c>
      <c r="H765" s="7" t="s">
        <v>146</v>
      </c>
      <c r="I765" s="7" t="s">
        <v>4431</v>
      </c>
      <c r="J765" s="7"/>
      <c r="K765" s="7" t="s">
        <v>4432</v>
      </c>
    </row>
    <row r="766" customFormat="false" ht="23.85" hidden="false" customHeight="false" outlineLevel="0" collapsed="false">
      <c r="A766" s="7" t="n">
        <v>765</v>
      </c>
      <c r="B766" s="7" t="s">
        <v>4433</v>
      </c>
      <c r="C766" s="7" t="n">
        <v>2002</v>
      </c>
      <c r="D766" s="7" t="s">
        <v>4434</v>
      </c>
      <c r="E766" s="7" t="s">
        <v>151</v>
      </c>
      <c r="F766" s="7" t="s">
        <v>1619</v>
      </c>
      <c r="G766" s="7" t="s">
        <v>255</v>
      </c>
      <c r="H766" s="7" t="s">
        <v>146</v>
      </c>
      <c r="I766" s="7" t="s">
        <v>4435</v>
      </c>
      <c r="J766" s="7"/>
      <c r="K766" s="7" t="s">
        <v>4436</v>
      </c>
    </row>
    <row r="767" customFormat="false" ht="46.25" hidden="false" customHeight="false" outlineLevel="0" collapsed="false">
      <c r="A767" s="7" t="n">
        <v>766</v>
      </c>
      <c r="B767" s="7" t="s">
        <v>4437</v>
      </c>
      <c r="C767" s="7" t="n">
        <v>2011</v>
      </c>
      <c r="D767" s="7" t="s">
        <v>4438</v>
      </c>
      <c r="E767" s="7" t="s">
        <v>151</v>
      </c>
      <c r="F767" s="7" t="s">
        <v>4439</v>
      </c>
      <c r="G767" s="7" t="s">
        <v>1354</v>
      </c>
      <c r="H767" s="7" t="s">
        <v>146</v>
      </c>
      <c r="I767" s="7" t="s">
        <v>4440</v>
      </c>
      <c r="J767" s="7"/>
      <c r="K767" s="7" t="s">
        <v>4441</v>
      </c>
    </row>
    <row r="768" customFormat="false" ht="23.85" hidden="false" customHeight="false" outlineLevel="0" collapsed="false">
      <c r="A768" s="7" t="n">
        <v>767</v>
      </c>
      <c r="B768" s="7" t="s">
        <v>4442</v>
      </c>
      <c r="C768" s="7" t="n">
        <v>2015</v>
      </c>
      <c r="D768" s="7" t="s">
        <v>4443</v>
      </c>
      <c r="E768" s="7" t="s">
        <v>151</v>
      </c>
      <c r="F768" s="7" t="s">
        <v>152</v>
      </c>
      <c r="G768" s="7" t="s">
        <v>145</v>
      </c>
      <c r="H768" s="7" t="s">
        <v>146</v>
      </c>
      <c r="I768" s="7" t="s">
        <v>4444</v>
      </c>
      <c r="J768" s="7"/>
      <c r="K768" s="7" t="s">
        <v>4445</v>
      </c>
    </row>
    <row r="769" customFormat="false" ht="35.05" hidden="false" customHeight="false" outlineLevel="0" collapsed="false">
      <c r="A769" s="7" t="n">
        <v>768</v>
      </c>
      <c r="B769" s="7" t="s">
        <v>4446</v>
      </c>
      <c r="C769" s="7" t="n">
        <v>2009</v>
      </c>
      <c r="D769" s="7" t="s">
        <v>4447</v>
      </c>
      <c r="E769" s="7" t="s">
        <v>143</v>
      </c>
      <c r="F769" s="7" t="s">
        <v>4448</v>
      </c>
      <c r="G769" s="7" t="s">
        <v>255</v>
      </c>
      <c r="H769" s="7" t="s">
        <v>153</v>
      </c>
      <c r="I769" s="7" t="s">
        <v>4449</v>
      </c>
      <c r="J769" s="7" t="s">
        <v>116</v>
      </c>
      <c r="K769" s="7" t="s">
        <v>4450</v>
      </c>
    </row>
    <row r="770" customFormat="false" ht="23.85" hidden="false" customHeight="false" outlineLevel="0" collapsed="false">
      <c r="A770" s="7" t="n">
        <v>769</v>
      </c>
      <c r="B770" s="7" t="s">
        <v>4451</v>
      </c>
      <c r="C770" s="7" t="n">
        <v>2019</v>
      </c>
      <c r="D770" s="7" t="s">
        <v>4452</v>
      </c>
      <c r="E770" s="7" t="s">
        <v>151</v>
      </c>
      <c r="F770" s="7" t="s">
        <v>396</v>
      </c>
      <c r="G770" s="7" t="s">
        <v>255</v>
      </c>
      <c r="H770" s="7" t="s">
        <v>146</v>
      </c>
      <c r="I770" s="7" t="s">
        <v>4453</v>
      </c>
      <c r="J770" s="7"/>
      <c r="K770" s="7" t="s">
        <v>4454</v>
      </c>
    </row>
    <row r="771" customFormat="false" ht="35.05" hidden="false" customHeight="false" outlineLevel="0" collapsed="false">
      <c r="A771" s="7" t="n">
        <v>770</v>
      </c>
      <c r="B771" s="7" t="s">
        <v>591</v>
      </c>
      <c r="C771" s="7" t="n">
        <v>2018</v>
      </c>
      <c r="D771" s="7" t="s">
        <v>4455</v>
      </c>
      <c r="E771" s="7" t="s">
        <v>143</v>
      </c>
      <c r="F771" s="7" t="s">
        <v>4456</v>
      </c>
      <c r="G771" s="7" t="s">
        <v>145</v>
      </c>
      <c r="H771" s="7" t="s">
        <v>153</v>
      </c>
      <c r="I771" s="7" t="s">
        <v>4457</v>
      </c>
      <c r="J771" s="7" t="s">
        <v>114</v>
      </c>
      <c r="K771" s="7" t="s">
        <v>4458</v>
      </c>
    </row>
    <row r="772" customFormat="false" ht="35.05" hidden="false" customHeight="false" outlineLevel="0" collapsed="false">
      <c r="A772" s="7" t="n">
        <v>771</v>
      </c>
      <c r="B772" s="7" t="s">
        <v>3430</v>
      </c>
      <c r="C772" s="7" t="n">
        <v>2008</v>
      </c>
      <c r="D772" s="7" t="s">
        <v>4459</v>
      </c>
      <c r="E772" s="7" t="s">
        <v>151</v>
      </c>
      <c r="F772" s="7" t="s">
        <v>4415</v>
      </c>
      <c r="G772" s="7" t="s">
        <v>285</v>
      </c>
      <c r="H772" s="7" t="s">
        <v>146</v>
      </c>
      <c r="I772" s="7" t="s">
        <v>4460</v>
      </c>
      <c r="J772" s="7"/>
      <c r="K772" s="7" t="s">
        <v>4461</v>
      </c>
    </row>
    <row r="773" customFormat="false" ht="35.05" hidden="false" customHeight="false" outlineLevel="0" collapsed="false">
      <c r="A773" s="7" t="n">
        <v>772</v>
      </c>
      <c r="B773" s="7" t="s">
        <v>4462</v>
      </c>
      <c r="C773" s="7" t="n">
        <v>2018</v>
      </c>
      <c r="D773" s="7" t="s">
        <v>4463</v>
      </c>
      <c r="E773" s="7" t="s">
        <v>143</v>
      </c>
      <c r="F773" s="7" t="s">
        <v>4464</v>
      </c>
      <c r="G773" s="7" t="s">
        <v>145</v>
      </c>
      <c r="H773" s="7" t="s">
        <v>146</v>
      </c>
      <c r="I773" s="7" t="s">
        <v>4465</v>
      </c>
      <c r="J773" s="7"/>
      <c r="K773" s="7" t="s">
        <v>4466</v>
      </c>
    </row>
    <row r="774" customFormat="false" ht="35.05" hidden="false" customHeight="false" outlineLevel="0" collapsed="false">
      <c r="A774" s="7" t="n">
        <v>773</v>
      </c>
      <c r="B774" s="7" t="s">
        <v>4467</v>
      </c>
      <c r="C774" s="7" t="n">
        <v>2019</v>
      </c>
      <c r="D774" s="7" t="s">
        <v>4468</v>
      </c>
      <c r="E774" s="7" t="s">
        <v>151</v>
      </c>
      <c r="F774" s="7" t="s">
        <v>798</v>
      </c>
      <c r="G774" s="7" t="s">
        <v>255</v>
      </c>
      <c r="H774" s="7" t="s">
        <v>146</v>
      </c>
      <c r="I774" s="7" t="s">
        <v>4469</v>
      </c>
      <c r="J774" s="7"/>
      <c r="K774" s="7" t="s">
        <v>4470</v>
      </c>
    </row>
    <row r="775" customFormat="false" ht="23.85" hidden="false" customHeight="false" outlineLevel="0" collapsed="false">
      <c r="A775" s="7" t="n">
        <v>774</v>
      </c>
      <c r="B775" s="7" t="s">
        <v>4467</v>
      </c>
      <c r="C775" s="7" t="n">
        <v>2018</v>
      </c>
      <c r="D775" s="7" t="s">
        <v>4471</v>
      </c>
      <c r="E775" s="7" t="s">
        <v>143</v>
      </c>
      <c r="F775" s="7" t="s">
        <v>4399</v>
      </c>
      <c r="G775" s="7" t="s">
        <v>255</v>
      </c>
      <c r="H775" s="7" t="s">
        <v>146</v>
      </c>
      <c r="I775" s="7" t="s">
        <v>4472</v>
      </c>
      <c r="J775" s="7"/>
      <c r="K775" s="7" t="s">
        <v>4473</v>
      </c>
    </row>
    <row r="776" customFormat="false" ht="23.85" hidden="false" customHeight="false" outlineLevel="0" collapsed="false">
      <c r="A776" s="7" t="n">
        <v>775</v>
      </c>
      <c r="B776" s="7" t="s">
        <v>4474</v>
      </c>
      <c r="C776" s="7" t="n">
        <v>2013</v>
      </c>
      <c r="D776" s="7" t="s">
        <v>4475</v>
      </c>
      <c r="E776" s="7" t="s">
        <v>143</v>
      </c>
      <c r="F776" s="7" t="s">
        <v>626</v>
      </c>
      <c r="G776" s="7" t="s">
        <v>145</v>
      </c>
      <c r="H776" s="7" t="s">
        <v>146</v>
      </c>
      <c r="I776" s="7" t="s">
        <v>4476</v>
      </c>
      <c r="J776" s="7"/>
      <c r="K776" s="7" t="s">
        <v>4477</v>
      </c>
    </row>
    <row r="777" customFormat="false" ht="35.05" hidden="false" customHeight="false" outlineLevel="0" collapsed="false">
      <c r="A777" s="7" t="n">
        <v>776</v>
      </c>
      <c r="B777" s="7" t="s">
        <v>4478</v>
      </c>
      <c r="C777" s="7" t="n">
        <v>2014</v>
      </c>
      <c r="D777" s="7" t="s">
        <v>4479</v>
      </c>
      <c r="E777" s="7" t="s">
        <v>151</v>
      </c>
      <c r="F777" s="7" t="s">
        <v>832</v>
      </c>
      <c r="G777" s="7" t="s">
        <v>871</v>
      </c>
      <c r="H777" s="7" t="s">
        <v>208</v>
      </c>
      <c r="I777" s="7" t="s">
        <v>4480</v>
      </c>
      <c r="J777" s="7"/>
      <c r="K777" s="7" t="s">
        <v>4481</v>
      </c>
    </row>
    <row r="778" customFormat="false" ht="23.85" hidden="false" customHeight="false" outlineLevel="0" collapsed="false">
      <c r="A778" s="7" t="n">
        <v>777</v>
      </c>
      <c r="B778" s="7" t="s">
        <v>4482</v>
      </c>
      <c r="C778" s="7" t="n">
        <v>2015</v>
      </c>
      <c r="D778" s="7" t="s">
        <v>4483</v>
      </c>
      <c r="E778" s="7" t="s">
        <v>143</v>
      </c>
      <c r="F778" s="7" t="s">
        <v>152</v>
      </c>
      <c r="G778" s="7" t="s">
        <v>4484</v>
      </c>
      <c r="H778" s="7" t="s">
        <v>153</v>
      </c>
      <c r="I778" s="7" t="s">
        <v>4485</v>
      </c>
      <c r="J778" s="7"/>
      <c r="K778" s="7" t="s">
        <v>4486</v>
      </c>
    </row>
    <row r="779" customFormat="false" ht="23.85" hidden="false" customHeight="false" outlineLevel="0" collapsed="false">
      <c r="A779" s="7" t="n">
        <v>778</v>
      </c>
      <c r="B779" s="7" t="s">
        <v>4487</v>
      </c>
      <c r="C779" s="7" t="n">
        <v>2010</v>
      </c>
      <c r="D779" s="7" t="s">
        <v>4488</v>
      </c>
      <c r="E779" s="7" t="s">
        <v>143</v>
      </c>
      <c r="F779" s="7" t="s">
        <v>4489</v>
      </c>
      <c r="G779" s="7" t="s">
        <v>255</v>
      </c>
      <c r="H779" s="7" t="s">
        <v>153</v>
      </c>
      <c r="I779" s="7" t="s">
        <v>4490</v>
      </c>
      <c r="J779" s="7" t="s">
        <v>116</v>
      </c>
      <c r="K779" s="7" t="s">
        <v>4491</v>
      </c>
    </row>
    <row r="780" customFormat="false" ht="35.05" hidden="false" customHeight="false" outlineLevel="0" collapsed="false">
      <c r="A780" s="7" t="n">
        <v>779</v>
      </c>
      <c r="B780" s="7" t="s">
        <v>4492</v>
      </c>
      <c r="C780" s="7" t="n">
        <v>2018</v>
      </c>
      <c r="D780" s="7" t="s">
        <v>4493</v>
      </c>
      <c r="E780" s="7" t="s">
        <v>151</v>
      </c>
      <c r="F780" s="7" t="s">
        <v>4494</v>
      </c>
      <c r="G780" s="7" t="s">
        <v>501</v>
      </c>
      <c r="H780" s="7" t="s">
        <v>146</v>
      </c>
      <c r="I780" s="7" t="s">
        <v>4495</v>
      </c>
      <c r="J780" s="7" t="s">
        <v>116</v>
      </c>
      <c r="K780" s="7" t="s">
        <v>4496</v>
      </c>
    </row>
    <row r="781" customFormat="false" ht="35.05" hidden="false" customHeight="false" outlineLevel="0" collapsed="false">
      <c r="A781" s="7" t="n">
        <v>780</v>
      </c>
      <c r="B781" s="7" t="s">
        <v>4497</v>
      </c>
      <c r="C781" s="7" t="n">
        <v>2015</v>
      </c>
      <c r="D781" s="7" t="s">
        <v>4498</v>
      </c>
      <c r="E781" s="7" t="s">
        <v>151</v>
      </c>
      <c r="F781" s="7" t="s">
        <v>4499</v>
      </c>
      <c r="G781" s="7" t="s">
        <v>255</v>
      </c>
      <c r="H781" s="7" t="s">
        <v>146</v>
      </c>
      <c r="I781" s="7" t="s">
        <v>4500</v>
      </c>
      <c r="J781" s="7"/>
      <c r="K781" s="7" t="s">
        <v>4501</v>
      </c>
    </row>
    <row r="782" customFormat="false" ht="23.85" hidden="false" customHeight="false" outlineLevel="0" collapsed="false">
      <c r="A782" s="7" t="n">
        <v>781</v>
      </c>
      <c r="B782" s="7" t="s">
        <v>4502</v>
      </c>
      <c r="C782" s="7" t="n">
        <v>2003</v>
      </c>
      <c r="D782" s="7" t="s">
        <v>4503</v>
      </c>
      <c r="E782" s="7" t="s">
        <v>151</v>
      </c>
      <c r="F782" s="7" t="s">
        <v>2299</v>
      </c>
      <c r="G782" s="7" t="s">
        <v>2886</v>
      </c>
      <c r="H782" s="7" t="s">
        <v>153</v>
      </c>
      <c r="I782" s="7" t="s">
        <v>4504</v>
      </c>
      <c r="J782" s="7"/>
      <c r="K782" s="7" t="s">
        <v>4505</v>
      </c>
    </row>
    <row r="783" customFormat="false" ht="35.05" hidden="false" customHeight="false" outlineLevel="0" collapsed="false">
      <c r="A783" s="7" t="n">
        <v>782</v>
      </c>
      <c r="B783" s="7" t="s">
        <v>4502</v>
      </c>
      <c r="C783" s="7" t="n">
        <v>2014</v>
      </c>
      <c r="D783" s="7" t="s">
        <v>4506</v>
      </c>
      <c r="E783" s="7" t="s">
        <v>143</v>
      </c>
      <c r="F783" s="7" t="s">
        <v>4507</v>
      </c>
      <c r="G783" s="7" t="s">
        <v>145</v>
      </c>
      <c r="H783" s="7" t="s">
        <v>153</v>
      </c>
      <c r="I783" s="7" t="s">
        <v>4508</v>
      </c>
      <c r="J783" s="7"/>
      <c r="K783" s="7" t="s">
        <v>4509</v>
      </c>
    </row>
    <row r="784" customFormat="false" ht="23.85" hidden="false" customHeight="false" outlineLevel="0" collapsed="false">
      <c r="A784" s="7" t="n">
        <v>783</v>
      </c>
      <c r="B784" s="7" t="s">
        <v>4510</v>
      </c>
      <c r="C784" s="7" t="n">
        <v>1986</v>
      </c>
      <c r="D784" s="7" t="s">
        <v>4511</v>
      </c>
      <c r="E784" s="7" t="s">
        <v>151</v>
      </c>
      <c r="F784" s="7" t="s">
        <v>4512</v>
      </c>
      <c r="G784" s="7" t="s">
        <v>187</v>
      </c>
      <c r="H784" s="7" t="s">
        <v>153</v>
      </c>
      <c r="I784" s="7" t="s">
        <v>4513</v>
      </c>
      <c r="J784" s="7"/>
      <c r="K784" s="7" t="s">
        <v>4514</v>
      </c>
    </row>
    <row r="785" customFormat="false" ht="46.25" hidden="false" customHeight="false" outlineLevel="0" collapsed="false">
      <c r="A785" s="7" t="n">
        <v>784</v>
      </c>
      <c r="B785" s="7" t="s">
        <v>4515</v>
      </c>
      <c r="C785" s="7" t="n">
        <v>2011</v>
      </c>
      <c r="D785" s="7" t="s">
        <v>4516</v>
      </c>
      <c r="E785" s="7" t="s">
        <v>143</v>
      </c>
      <c r="F785" s="7" t="s">
        <v>4517</v>
      </c>
      <c r="G785" s="7" t="s">
        <v>255</v>
      </c>
      <c r="H785" s="7" t="s">
        <v>153</v>
      </c>
      <c r="I785" s="7" t="s">
        <v>4518</v>
      </c>
      <c r="J785" s="7" t="s">
        <v>116</v>
      </c>
      <c r="K785" s="7" t="s">
        <v>4519</v>
      </c>
    </row>
    <row r="786" customFormat="false" ht="35.05" hidden="false" customHeight="false" outlineLevel="0" collapsed="false">
      <c r="A786" s="7" t="n">
        <v>785</v>
      </c>
      <c r="B786" s="7" t="s">
        <v>4520</v>
      </c>
      <c r="C786" s="7" t="n">
        <v>2014</v>
      </c>
      <c r="D786" s="7" t="s">
        <v>4521</v>
      </c>
      <c r="E786" s="7" t="s">
        <v>143</v>
      </c>
      <c r="F786" s="7" t="s">
        <v>588</v>
      </c>
      <c r="G786" s="7" t="s">
        <v>145</v>
      </c>
      <c r="H786" s="7" t="s">
        <v>153</v>
      </c>
      <c r="I786" s="7" t="s">
        <v>4522</v>
      </c>
      <c r="J786" s="7"/>
      <c r="K786" s="7" t="s">
        <v>4523</v>
      </c>
    </row>
    <row r="787" customFormat="false" ht="35.05" hidden="false" customHeight="false" outlineLevel="0" collapsed="false">
      <c r="A787" s="7" t="n">
        <v>786</v>
      </c>
      <c r="B787" s="7" t="s">
        <v>4520</v>
      </c>
      <c r="C787" s="7" t="n">
        <v>2016</v>
      </c>
      <c r="D787" s="7" t="s">
        <v>4524</v>
      </c>
      <c r="E787" s="7" t="s">
        <v>143</v>
      </c>
      <c r="F787" s="7" t="s">
        <v>588</v>
      </c>
      <c r="G787" s="7" t="s">
        <v>145</v>
      </c>
      <c r="H787" s="7" t="s">
        <v>153</v>
      </c>
      <c r="I787" s="7" t="s">
        <v>4522</v>
      </c>
      <c r="J787" s="7"/>
      <c r="K787" s="7" t="s">
        <v>4525</v>
      </c>
    </row>
    <row r="788" customFormat="false" ht="23.85" hidden="false" customHeight="false" outlineLevel="0" collapsed="false">
      <c r="A788" s="7" t="n">
        <v>787</v>
      </c>
      <c r="B788" s="7" t="s">
        <v>4526</v>
      </c>
      <c r="C788" s="7" t="n">
        <v>2015</v>
      </c>
      <c r="D788" s="7" t="s">
        <v>4527</v>
      </c>
      <c r="E788" s="7" t="s">
        <v>143</v>
      </c>
      <c r="F788" s="7" t="s">
        <v>2299</v>
      </c>
      <c r="G788" s="7" t="s">
        <v>145</v>
      </c>
      <c r="H788" s="7" t="s">
        <v>153</v>
      </c>
      <c r="I788" s="7" t="s">
        <v>4528</v>
      </c>
      <c r="J788" s="7"/>
      <c r="K788" s="7" t="s">
        <v>4529</v>
      </c>
    </row>
    <row r="789" customFormat="false" ht="35.05" hidden="false" customHeight="false" outlineLevel="0" collapsed="false">
      <c r="A789" s="7" t="n">
        <v>788</v>
      </c>
      <c r="B789" s="7" t="s">
        <v>4530</v>
      </c>
      <c r="C789" s="7" t="n">
        <v>2013</v>
      </c>
      <c r="D789" s="7" t="s">
        <v>4531</v>
      </c>
      <c r="E789" s="7" t="s">
        <v>151</v>
      </c>
      <c r="F789" s="7" t="s">
        <v>4532</v>
      </c>
      <c r="G789" s="7" t="s">
        <v>4533</v>
      </c>
      <c r="H789" s="7" t="s">
        <v>153</v>
      </c>
      <c r="I789" s="7" t="s">
        <v>4534</v>
      </c>
      <c r="J789" s="7" t="s">
        <v>116</v>
      </c>
      <c r="K789" s="7" t="s">
        <v>4535</v>
      </c>
    </row>
    <row r="790" customFormat="false" ht="35.05" hidden="false" customHeight="false" outlineLevel="0" collapsed="false">
      <c r="A790" s="7" t="n">
        <v>789</v>
      </c>
      <c r="B790" s="7" t="s">
        <v>4536</v>
      </c>
      <c r="C790" s="7" t="n">
        <v>2012</v>
      </c>
      <c r="D790" s="7" t="s">
        <v>4537</v>
      </c>
      <c r="E790" s="7" t="s">
        <v>151</v>
      </c>
      <c r="F790" s="7" t="s">
        <v>3552</v>
      </c>
      <c r="G790" s="7" t="s">
        <v>145</v>
      </c>
      <c r="H790" s="7" t="s">
        <v>146</v>
      </c>
      <c r="I790" s="7" t="s">
        <v>4538</v>
      </c>
      <c r="J790" s="7"/>
      <c r="K790" s="7" t="s">
        <v>4539</v>
      </c>
    </row>
    <row r="791" customFormat="false" ht="35.05" hidden="false" customHeight="false" outlineLevel="0" collapsed="false">
      <c r="A791" s="7" t="n">
        <v>790</v>
      </c>
      <c r="B791" s="7" t="s">
        <v>2598</v>
      </c>
      <c r="C791" s="7" t="n">
        <v>2015</v>
      </c>
      <c r="D791" s="7" t="s">
        <v>4540</v>
      </c>
      <c r="E791" s="7" t="s">
        <v>143</v>
      </c>
      <c r="F791" s="7" t="s">
        <v>4541</v>
      </c>
      <c r="G791" s="7" t="s">
        <v>145</v>
      </c>
      <c r="H791" s="7" t="s">
        <v>153</v>
      </c>
      <c r="I791" s="7" t="s">
        <v>4542</v>
      </c>
      <c r="J791" s="7"/>
      <c r="K791" s="7" t="s">
        <v>4543</v>
      </c>
    </row>
    <row r="792" customFormat="false" ht="35.05" hidden="false" customHeight="false" outlineLevel="0" collapsed="false">
      <c r="A792" s="7" t="n">
        <v>791</v>
      </c>
      <c r="B792" s="7" t="s">
        <v>2598</v>
      </c>
      <c r="C792" s="7" t="n">
        <v>2019</v>
      </c>
      <c r="D792" s="7" t="s">
        <v>4544</v>
      </c>
      <c r="E792" s="7" t="s">
        <v>143</v>
      </c>
      <c r="F792" s="7" t="s">
        <v>4541</v>
      </c>
      <c r="G792" s="7" t="s">
        <v>145</v>
      </c>
      <c r="H792" s="7" t="s">
        <v>153</v>
      </c>
      <c r="I792" s="7" t="s">
        <v>4545</v>
      </c>
      <c r="J792" s="7"/>
      <c r="K792" s="7" t="s">
        <v>4546</v>
      </c>
    </row>
    <row r="793" customFormat="false" ht="35.05" hidden="false" customHeight="false" outlineLevel="0" collapsed="false">
      <c r="A793" s="7" t="n">
        <v>792</v>
      </c>
      <c r="B793" s="7" t="s">
        <v>4547</v>
      </c>
      <c r="C793" s="7" t="n">
        <v>2014</v>
      </c>
      <c r="D793" s="7" t="s">
        <v>4548</v>
      </c>
      <c r="E793" s="7" t="s">
        <v>151</v>
      </c>
      <c r="F793" s="7" t="s">
        <v>4507</v>
      </c>
      <c r="G793" s="7" t="s">
        <v>145</v>
      </c>
      <c r="H793" s="7" t="s">
        <v>153</v>
      </c>
      <c r="I793" s="7" t="s">
        <v>4549</v>
      </c>
      <c r="J793" s="7"/>
      <c r="K793" s="7" t="s">
        <v>4550</v>
      </c>
    </row>
    <row r="794" customFormat="false" ht="35.05" hidden="false" customHeight="false" outlineLevel="0" collapsed="false">
      <c r="A794" s="7" t="n">
        <v>793</v>
      </c>
      <c r="B794" s="7" t="s">
        <v>4551</v>
      </c>
      <c r="C794" s="7" t="n">
        <v>1999</v>
      </c>
      <c r="D794" s="7" t="s">
        <v>4552</v>
      </c>
      <c r="E794" s="7" t="s">
        <v>151</v>
      </c>
      <c r="F794" s="7" t="s">
        <v>4553</v>
      </c>
      <c r="G794" s="7" t="s">
        <v>255</v>
      </c>
      <c r="H794" s="7" t="s">
        <v>146</v>
      </c>
      <c r="I794" s="7" t="s">
        <v>4554</v>
      </c>
      <c r="J794" s="7"/>
      <c r="K794" s="7" t="s">
        <v>4555</v>
      </c>
    </row>
    <row r="795" customFormat="false" ht="35.05" hidden="false" customHeight="false" outlineLevel="0" collapsed="false">
      <c r="A795" s="7" t="n">
        <v>794</v>
      </c>
      <c r="B795" s="7" t="s">
        <v>4556</v>
      </c>
      <c r="C795" s="7" t="n">
        <v>2012</v>
      </c>
      <c r="D795" s="7" t="s">
        <v>4557</v>
      </c>
      <c r="E795" s="7" t="s">
        <v>151</v>
      </c>
      <c r="F795" s="7" t="s">
        <v>4558</v>
      </c>
      <c r="G795" s="7" t="s">
        <v>1213</v>
      </c>
      <c r="H795" s="7" t="s">
        <v>146</v>
      </c>
      <c r="I795" s="7" t="s">
        <v>4559</v>
      </c>
      <c r="J795" s="7" t="s">
        <v>116</v>
      </c>
      <c r="K795" s="7" t="s">
        <v>4560</v>
      </c>
    </row>
    <row r="796" customFormat="false" ht="35.05" hidden="false" customHeight="false" outlineLevel="0" collapsed="false">
      <c r="A796" s="7" t="n">
        <v>795</v>
      </c>
      <c r="B796" s="7" t="s">
        <v>4561</v>
      </c>
      <c r="C796" s="7" t="n">
        <v>2009</v>
      </c>
      <c r="D796" s="7" t="s">
        <v>4562</v>
      </c>
      <c r="E796" s="7" t="s">
        <v>143</v>
      </c>
      <c r="F796" s="7" t="s">
        <v>4563</v>
      </c>
      <c r="G796" s="7" t="s">
        <v>255</v>
      </c>
      <c r="H796" s="7" t="s">
        <v>146</v>
      </c>
      <c r="I796" s="7" t="s">
        <v>4564</v>
      </c>
      <c r="J796" s="7" t="s">
        <v>116</v>
      </c>
      <c r="K796" s="7" t="s">
        <v>4565</v>
      </c>
    </row>
    <row r="797" customFormat="false" ht="35.05" hidden="false" customHeight="false" outlineLevel="0" collapsed="false">
      <c r="A797" s="7" t="n">
        <v>796</v>
      </c>
      <c r="B797" s="7" t="s">
        <v>4566</v>
      </c>
      <c r="C797" s="7" t="n">
        <v>2011</v>
      </c>
      <c r="D797" s="7" t="s">
        <v>4567</v>
      </c>
      <c r="E797" s="7" t="s">
        <v>201</v>
      </c>
      <c r="F797" s="7" t="s">
        <v>4568</v>
      </c>
      <c r="G797" s="7" t="s">
        <v>4569</v>
      </c>
      <c r="H797" s="7" t="s">
        <v>146</v>
      </c>
      <c r="I797" s="7" t="s">
        <v>4570</v>
      </c>
      <c r="J797" s="7" t="s">
        <v>116</v>
      </c>
      <c r="K797" s="7" t="s">
        <v>4571</v>
      </c>
    </row>
    <row r="798" customFormat="false" ht="35.05" hidden="false" customHeight="false" outlineLevel="0" collapsed="false">
      <c r="A798" s="7" t="n">
        <v>797</v>
      </c>
      <c r="B798" s="7" t="s">
        <v>509</v>
      </c>
      <c r="C798" s="7" t="n">
        <v>2011</v>
      </c>
      <c r="D798" s="7" t="s">
        <v>4572</v>
      </c>
      <c r="E798" s="7" t="s">
        <v>151</v>
      </c>
      <c r="F798" s="7" t="s">
        <v>152</v>
      </c>
      <c r="G798" s="7" t="s">
        <v>4573</v>
      </c>
      <c r="H798" s="7" t="s">
        <v>146</v>
      </c>
      <c r="I798" s="7" t="s">
        <v>4574</v>
      </c>
      <c r="J798" s="7" t="s">
        <v>116</v>
      </c>
      <c r="K798" s="7" t="s">
        <v>4575</v>
      </c>
    </row>
    <row r="799" customFormat="false" ht="35.05" hidden="false" customHeight="false" outlineLevel="0" collapsed="false">
      <c r="A799" s="7" t="n">
        <v>798</v>
      </c>
      <c r="B799" s="7" t="s">
        <v>4576</v>
      </c>
      <c r="C799" s="7" t="n">
        <v>2015</v>
      </c>
      <c r="D799" s="7" t="s">
        <v>4577</v>
      </c>
      <c r="E799" s="7" t="s">
        <v>143</v>
      </c>
      <c r="F799" s="7" t="s">
        <v>197</v>
      </c>
      <c r="G799" s="7" t="s">
        <v>512</v>
      </c>
      <c r="H799" s="7" t="s">
        <v>146</v>
      </c>
      <c r="I799" s="7" t="s">
        <v>4578</v>
      </c>
      <c r="J799" s="7"/>
      <c r="K799" s="7" t="s">
        <v>4579</v>
      </c>
    </row>
    <row r="800" customFormat="false" ht="35.05" hidden="false" customHeight="false" outlineLevel="0" collapsed="false">
      <c r="A800" s="7" t="n">
        <v>799</v>
      </c>
      <c r="B800" s="7" t="s">
        <v>4580</v>
      </c>
      <c r="C800" s="7" t="n">
        <v>2013</v>
      </c>
      <c r="D800" s="7" t="s">
        <v>4581</v>
      </c>
      <c r="E800" s="7" t="s">
        <v>143</v>
      </c>
      <c r="F800" s="7" t="s">
        <v>515</v>
      </c>
      <c r="G800" s="7" t="s">
        <v>678</v>
      </c>
      <c r="H800" s="7" t="s">
        <v>146</v>
      </c>
      <c r="I800" s="7" t="s">
        <v>4582</v>
      </c>
      <c r="J800" s="7" t="s">
        <v>116</v>
      </c>
      <c r="K800" s="7" t="s">
        <v>4583</v>
      </c>
    </row>
    <row r="801" customFormat="false" ht="35.05" hidden="false" customHeight="false" outlineLevel="0" collapsed="false">
      <c r="A801" s="7" t="n">
        <v>800</v>
      </c>
      <c r="B801" s="7" t="s">
        <v>4584</v>
      </c>
      <c r="C801" s="7" t="n">
        <v>2013</v>
      </c>
      <c r="D801" s="7" t="s">
        <v>4585</v>
      </c>
      <c r="E801" s="7" t="s">
        <v>151</v>
      </c>
      <c r="F801" s="7" t="s">
        <v>197</v>
      </c>
      <c r="G801" s="7" t="s">
        <v>4586</v>
      </c>
      <c r="H801" s="7" t="s">
        <v>146</v>
      </c>
      <c r="I801" s="7" t="s">
        <v>4587</v>
      </c>
      <c r="J801" s="7" t="s">
        <v>116</v>
      </c>
      <c r="K801" s="7" t="s">
        <v>4588</v>
      </c>
    </row>
    <row r="802" customFormat="false" ht="35.05" hidden="false" customHeight="false" outlineLevel="0" collapsed="false">
      <c r="A802" s="7" t="n">
        <v>801</v>
      </c>
      <c r="B802" s="7" t="s">
        <v>4589</v>
      </c>
      <c r="C802" s="7" t="n">
        <v>1999</v>
      </c>
      <c r="D802" s="7" t="s">
        <v>4590</v>
      </c>
      <c r="E802" s="7" t="s">
        <v>151</v>
      </c>
      <c r="F802" s="7" t="s">
        <v>213</v>
      </c>
      <c r="G802" s="7" t="s">
        <v>4591</v>
      </c>
      <c r="H802" s="7" t="s">
        <v>146</v>
      </c>
      <c r="I802" s="7" t="s">
        <v>4592</v>
      </c>
      <c r="J802" s="7"/>
      <c r="K802" s="7" t="s">
        <v>4593</v>
      </c>
    </row>
    <row r="803" customFormat="false" ht="35.05" hidden="false" customHeight="false" outlineLevel="0" collapsed="false">
      <c r="A803" s="7" t="n">
        <v>802</v>
      </c>
      <c r="B803" s="7" t="s">
        <v>4594</v>
      </c>
      <c r="C803" s="7" t="n">
        <v>2008</v>
      </c>
      <c r="D803" s="7" t="s">
        <v>4595</v>
      </c>
      <c r="E803" s="7" t="s">
        <v>579</v>
      </c>
      <c r="F803" s="7" t="s">
        <v>4596</v>
      </c>
      <c r="G803" s="7" t="s">
        <v>4597</v>
      </c>
      <c r="H803" s="7" t="s">
        <v>146</v>
      </c>
      <c r="I803" s="7" t="s">
        <v>4598</v>
      </c>
      <c r="J803" s="7" t="s">
        <v>116</v>
      </c>
      <c r="K803" s="7" t="s">
        <v>4599</v>
      </c>
    </row>
    <row r="804" customFormat="false" ht="35.05" hidden="false" customHeight="false" outlineLevel="0" collapsed="false">
      <c r="A804" s="7" t="n">
        <v>803</v>
      </c>
      <c r="B804" s="7" t="s">
        <v>4600</v>
      </c>
      <c r="C804" s="7" t="n">
        <v>2013</v>
      </c>
      <c r="D804" s="7" t="s">
        <v>4601</v>
      </c>
      <c r="E804" s="7" t="s">
        <v>143</v>
      </c>
      <c r="F804" s="7" t="s">
        <v>515</v>
      </c>
      <c r="G804" s="7" t="s">
        <v>678</v>
      </c>
      <c r="H804" s="7" t="s">
        <v>146</v>
      </c>
      <c r="I804" s="7" t="s">
        <v>4602</v>
      </c>
      <c r="J804" s="7" t="s">
        <v>116</v>
      </c>
      <c r="K804" s="7" t="s">
        <v>4603</v>
      </c>
    </row>
    <row r="805" customFormat="false" ht="35.05" hidden="false" customHeight="false" outlineLevel="0" collapsed="false">
      <c r="A805" s="7" t="n">
        <v>804</v>
      </c>
      <c r="B805" s="7" t="s">
        <v>4604</v>
      </c>
      <c r="C805" s="7" t="n">
        <v>2013</v>
      </c>
      <c r="D805" s="7" t="s">
        <v>4605</v>
      </c>
      <c r="E805" s="7" t="s">
        <v>143</v>
      </c>
      <c r="F805" s="7" t="s">
        <v>4568</v>
      </c>
      <c r="G805" s="7" t="s">
        <v>721</v>
      </c>
      <c r="H805" s="7" t="s">
        <v>146</v>
      </c>
      <c r="I805" s="7" t="s">
        <v>4606</v>
      </c>
      <c r="J805" s="7" t="s">
        <v>116</v>
      </c>
      <c r="K805" s="7" t="s">
        <v>4607</v>
      </c>
    </row>
    <row r="806" customFormat="false" ht="35.05" hidden="false" customHeight="false" outlineLevel="0" collapsed="false">
      <c r="A806" s="7" t="n">
        <v>805</v>
      </c>
      <c r="B806" s="7" t="s">
        <v>4608</v>
      </c>
      <c r="C806" s="7" t="n">
        <v>2013</v>
      </c>
      <c r="D806" s="7" t="s">
        <v>4609</v>
      </c>
      <c r="E806" s="7" t="s">
        <v>143</v>
      </c>
      <c r="F806" s="7" t="s">
        <v>1619</v>
      </c>
      <c r="G806" s="7" t="s">
        <v>4610</v>
      </c>
      <c r="H806" s="7" t="s">
        <v>146</v>
      </c>
      <c r="I806" s="7" t="s">
        <v>4611</v>
      </c>
      <c r="J806" s="7" t="s">
        <v>116</v>
      </c>
      <c r="K806" s="7" t="s">
        <v>4612</v>
      </c>
    </row>
    <row r="807" customFormat="false" ht="35.05" hidden="false" customHeight="false" outlineLevel="0" collapsed="false">
      <c r="A807" s="7" t="n">
        <v>806</v>
      </c>
      <c r="B807" s="7" t="s">
        <v>4613</v>
      </c>
      <c r="C807" s="7" t="n">
        <v>2014</v>
      </c>
      <c r="D807" s="7" t="s">
        <v>4614</v>
      </c>
      <c r="E807" s="7" t="s">
        <v>201</v>
      </c>
      <c r="F807" s="7" t="s">
        <v>4615</v>
      </c>
      <c r="G807" s="7" t="s">
        <v>4616</v>
      </c>
      <c r="H807" s="7" t="s">
        <v>146</v>
      </c>
      <c r="I807" s="7" t="s">
        <v>4617</v>
      </c>
      <c r="J807" s="7" t="s">
        <v>116</v>
      </c>
      <c r="K807" s="7" t="s">
        <v>4618</v>
      </c>
    </row>
    <row r="808" customFormat="false" ht="35.05" hidden="false" customHeight="false" outlineLevel="0" collapsed="false">
      <c r="A808" s="7" t="n">
        <v>807</v>
      </c>
      <c r="B808" s="7" t="s">
        <v>1622</v>
      </c>
      <c r="C808" s="7" t="n">
        <v>2010</v>
      </c>
      <c r="D808" s="7" t="s">
        <v>4619</v>
      </c>
      <c r="E808" s="7" t="s">
        <v>143</v>
      </c>
      <c r="F808" s="7" t="s">
        <v>4512</v>
      </c>
      <c r="G808" s="7" t="s">
        <v>327</v>
      </c>
      <c r="H808" s="7" t="s">
        <v>522</v>
      </c>
      <c r="I808" s="7" t="s">
        <v>4620</v>
      </c>
      <c r="J808" s="7" t="s">
        <v>116</v>
      </c>
      <c r="K808" s="7" t="s">
        <v>4621</v>
      </c>
    </row>
    <row r="809" customFormat="false" ht="35.05" hidden="false" customHeight="false" outlineLevel="0" collapsed="false">
      <c r="A809" s="7" t="n">
        <v>808</v>
      </c>
      <c r="B809" s="7" t="s">
        <v>4622</v>
      </c>
      <c r="C809" s="7" t="n">
        <v>2014</v>
      </c>
      <c r="D809" s="7" t="s">
        <v>4623</v>
      </c>
      <c r="E809" s="7" t="s">
        <v>151</v>
      </c>
      <c r="F809" s="7" t="s">
        <v>4558</v>
      </c>
      <c r="G809" s="7" t="s">
        <v>327</v>
      </c>
      <c r="H809" s="7" t="s">
        <v>146</v>
      </c>
      <c r="I809" s="7" t="s">
        <v>4624</v>
      </c>
      <c r="J809" s="7" t="s">
        <v>116</v>
      </c>
      <c r="K809" s="7" t="s">
        <v>4625</v>
      </c>
    </row>
    <row r="810" customFormat="false" ht="35.05" hidden="false" customHeight="false" outlineLevel="0" collapsed="false">
      <c r="A810" s="7" t="n">
        <v>809</v>
      </c>
      <c r="B810" s="7" t="s">
        <v>4626</v>
      </c>
      <c r="C810" s="7" t="n">
        <v>2009</v>
      </c>
      <c r="D810" s="7" t="s">
        <v>4627</v>
      </c>
      <c r="E810" s="7" t="s">
        <v>151</v>
      </c>
      <c r="F810" s="7" t="s">
        <v>152</v>
      </c>
      <c r="G810" s="7" t="s">
        <v>4628</v>
      </c>
      <c r="H810" s="7" t="s">
        <v>146</v>
      </c>
      <c r="I810" s="7" t="s">
        <v>4629</v>
      </c>
      <c r="J810" s="7"/>
      <c r="K810" s="7" t="s">
        <v>4630</v>
      </c>
    </row>
    <row r="811" customFormat="false" ht="35.05" hidden="false" customHeight="false" outlineLevel="0" collapsed="false">
      <c r="A811" s="7" t="n">
        <v>810</v>
      </c>
      <c r="B811" s="7" t="s">
        <v>4631</v>
      </c>
      <c r="C811" s="7" t="n">
        <v>2011</v>
      </c>
      <c r="D811" s="7" t="s">
        <v>4632</v>
      </c>
      <c r="E811" s="7" t="s">
        <v>579</v>
      </c>
      <c r="F811" s="7" t="s">
        <v>4512</v>
      </c>
      <c r="G811" s="7" t="s">
        <v>145</v>
      </c>
      <c r="H811" s="7" t="s">
        <v>146</v>
      </c>
      <c r="I811" s="7" t="s">
        <v>4633</v>
      </c>
      <c r="J811" s="7"/>
      <c r="K811" s="7" t="s">
        <v>4634</v>
      </c>
    </row>
    <row r="812" customFormat="false" ht="35.05" hidden="false" customHeight="false" outlineLevel="0" collapsed="false">
      <c r="A812" s="7" t="n">
        <v>811</v>
      </c>
      <c r="B812" s="7" t="s">
        <v>4635</v>
      </c>
      <c r="C812" s="7" t="n">
        <v>1987</v>
      </c>
      <c r="D812" s="7" t="s">
        <v>4636</v>
      </c>
      <c r="E812" s="7" t="s">
        <v>151</v>
      </c>
      <c r="F812" s="7" t="s">
        <v>152</v>
      </c>
      <c r="G812" s="7" t="s">
        <v>4637</v>
      </c>
      <c r="H812" s="7" t="s">
        <v>146</v>
      </c>
      <c r="I812" s="7" t="s">
        <v>4638</v>
      </c>
      <c r="J812" s="7"/>
      <c r="K812" s="7" t="s">
        <v>4639</v>
      </c>
    </row>
    <row r="813" customFormat="false" ht="35.05" hidden="false" customHeight="false" outlineLevel="0" collapsed="false">
      <c r="A813" s="7" t="n">
        <v>812</v>
      </c>
      <c r="B813" s="7" t="s">
        <v>4640</v>
      </c>
      <c r="C813" s="7" t="n">
        <v>2014</v>
      </c>
      <c r="D813" s="7" t="s">
        <v>4641</v>
      </c>
      <c r="E813" s="7" t="s">
        <v>151</v>
      </c>
      <c r="F813" s="7" t="s">
        <v>2664</v>
      </c>
      <c r="G813" s="7" t="s">
        <v>145</v>
      </c>
      <c r="H813" s="7" t="s">
        <v>146</v>
      </c>
      <c r="I813" s="7" t="s">
        <v>4642</v>
      </c>
      <c r="J813" s="7" t="s">
        <v>116</v>
      </c>
      <c r="K813" s="7" t="s">
        <v>4643</v>
      </c>
    </row>
    <row r="814" customFormat="false" ht="35.05" hidden="false" customHeight="false" outlineLevel="0" collapsed="false">
      <c r="A814" s="7" t="n">
        <v>813</v>
      </c>
      <c r="B814" s="7" t="s">
        <v>4446</v>
      </c>
      <c r="C814" s="7" t="n">
        <v>2009</v>
      </c>
      <c r="D814" s="7" t="s">
        <v>4644</v>
      </c>
      <c r="E814" s="7" t="s">
        <v>201</v>
      </c>
      <c r="F814" s="7" t="s">
        <v>4645</v>
      </c>
      <c r="G814" s="7" t="s">
        <v>255</v>
      </c>
      <c r="H814" s="7" t="s">
        <v>146</v>
      </c>
      <c r="I814" s="7" t="s">
        <v>4646</v>
      </c>
      <c r="J814" s="7" t="s">
        <v>116</v>
      </c>
      <c r="K814" s="7" t="s">
        <v>4647</v>
      </c>
    </row>
    <row r="815" customFormat="false" ht="35.05" hidden="false" customHeight="false" outlineLevel="0" collapsed="false">
      <c r="A815" s="7" t="n">
        <v>814</v>
      </c>
      <c r="B815" s="7" t="s">
        <v>4648</v>
      </c>
      <c r="C815" s="7" t="n">
        <v>2015</v>
      </c>
      <c r="D815" s="7" t="s">
        <v>4649</v>
      </c>
      <c r="E815" s="7" t="s">
        <v>151</v>
      </c>
      <c r="F815" s="7" t="s">
        <v>4650</v>
      </c>
      <c r="G815" s="7" t="s">
        <v>817</v>
      </c>
      <c r="H815" s="7" t="s">
        <v>146</v>
      </c>
      <c r="I815" s="7" t="s">
        <v>4651</v>
      </c>
      <c r="J815" s="7" t="s">
        <v>116</v>
      </c>
      <c r="K815" s="7" t="s">
        <v>4652</v>
      </c>
    </row>
    <row r="816" customFormat="false" ht="23.85" hidden="false" customHeight="false" outlineLevel="0" collapsed="false">
      <c r="A816" s="7" t="n">
        <v>815</v>
      </c>
      <c r="B816" s="7" t="s">
        <v>4653</v>
      </c>
      <c r="C816" s="7" t="n">
        <v>1985</v>
      </c>
      <c r="D816" s="7" t="s">
        <v>4654</v>
      </c>
      <c r="E816" s="7" t="s">
        <v>151</v>
      </c>
      <c r="F816" s="7" t="s">
        <v>348</v>
      </c>
      <c r="G816" s="7" t="s">
        <v>145</v>
      </c>
      <c r="H816" s="7" t="s">
        <v>522</v>
      </c>
      <c r="I816" s="7" t="s">
        <v>4655</v>
      </c>
      <c r="J816" s="7"/>
      <c r="K816" s="7" t="s">
        <v>4656</v>
      </c>
    </row>
    <row r="817" customFormat="false" ht="35.05" hidden="false" customHeight="false" outlineLevel="0" collapsed="false">
      <c r="A817" s="7" t="n">
        <v>816</v>
      </c>
      <c r="B817" s="7" t="s">
        <v>4657</v>
      </c>
      <c r="C817" s="7" t="n">
        <v>2007</v>
      </c>
      <c r="D817" s="7" t="s">
        <v>4658</v>
      </c>
      <c r="E817" s="7" t="s">
        <v>579</v>
      </c>
      <c r="F817" s="7" t="s">
        <v>4596</v>
      </c>
      <c r="G817" s="7" t="s">
        <v>4659</v>
      </c>
      <c r="H817" s="7" t="s">
        <v>146</v>
      </c>
      <c r="I817" s="7" t="s">
        <v>4660</v>
      </c>
      <c r="J817" s="7" t="s">
        <v>116</v>
      </c>
      <c r="K817" s="7" t="s">
        <v>4661</v>
      </c>
    </row>
    <row r="818" customFormat="false" ht="35.05" hidden="false" customHeight="false" outlineLevel="0" collapsed="false">
      <c r="A818" s="7" t="n">
        <v>817</v>
      </c>
      <c r="B818" s="7" t="s">
        <v>4662</v>
      </c>
      <c r="C818" s="7" t="n">
        <v>2015</v>
      </c>
      <c r="D818" s="7" t="s">
        <v>4663</v>
      </c>
      <c r="E818" s="7" t="s">
        <v>143</v>
      </c>
      <c r="F818" s="7" t="s">
        <v>4615</v>
      </c>
      <c r="G818" s="7" t="s">
        <v>327</v>
      </c>
      <c r="H818" s="7" t="s">
        <v>146</v>
      </c>
      <c r="I818" s="7" t="s">
        <v>4664</v>
      </c>
      <c r="J818" s="7" t="s">
        <v>116</v>
      </c>
      <c r="K818" s="7" t="s">
        <v>4665</v>
      </c>
    </row>
    <row r="819" customFormat="false" ht="35.05" hidden="false" customHeight="false" outlineLevel="0" collapsed="false">
      <c r="A819" s="7" t="n">
        <v>818</v>
      </c>
      <c r="B819" s="7" t="s">
        <v>4666</v>
      </c>
      <c r="C819" s="7" t="n">
        <v>2010</v>
      </c>
      <c r="D819" s="7" t="s">
        <v>4667</v>
      </c>
      <c r="E819" s="7" t="s">
        <v>579</v>
      </c>
      <c r="F819" s="7" t="s">
        <v>4596</v>
      </c>
      <c r="G819" s="7" t="s">
        <v>1213</v>
      </c>
      <c r="H819" s="7" t="s">
        <v>146</v>
      </c>
      <c r="I819" s="7" t="s">
        <v>4668</v>
      </c>
      <c r="J819" s="7" t="s">
        <v>116</v>
      </c>
      <c r="K819" s="7" t="s">
        <v>4669</v>
      </c>
    </row>
    <row r="820" customFormat="false" ht="35.05" hidden="false" customHeight="false" outlineLevel="0" collapsed="false">
      <c r="A820" s="7" t="n">
        <v>819</v>
      </c>
      <c r="B820" s="7" t="s">
        <v>4670</v>
      </c>
      <c r="C820" s="7" t="n">
        <v>2009</v>
      </c>
      <c r="D820" s="7" t="s">
        <v>4671</v>
      </c>
      <c r="E820" s="7" t="s">
        <v>143</v>
      </c>
      <c r="F820" s="7" t="s">
        <v>4558</v>
      </c>
      <c r="G820" s="7" t="s">
        <v>4672</v>
      </c>
      <c r="H820" s="7" t="s">
        <v>146</v>
      </c>
      <c r="I820" s="7" t="s">
        <v>4673</v>
      </c>
      <c r="J820" s="7" t="s">
        <v>116</v>
      </c>
      <c r="K820" s="7" t="s">
        <v>4674</v>
      </c>
    </row>
    <row r="821" customFormat="false" ht="35.05" hidden="false" customHeight="false" outlineLevel="0" collapsed="false">
      <c r="A821" s="7" t="n">
        <v>820</v>
      </c>
      <c r="B821" s="7" t="s">
        <v>4675</v>
      </c>
      <c r="C821" s="7" t="n">
        <v>2009</v>
      </c>
      <c r="D821" s="7" t="s">
        <v>4676</v>
      </c>
      <c r="E821" s="7" t="s">
        <v>151</v>
      </c>
      <c r="F821" s="7" t="s">
        <v>4558</v>
      </c>
      <c r="G821" s="7" t="s">
        <v>4672</v>
      </c>
      <c r="H821" s="7" t="s">
        <v>146</v>
      </c>
      <c r="I821" s="7" t="s">
        <v>4677</v>
      </c>
      <c r="J821" s="7" t="s">
        <v>116</v>
      </c>
      <c r="K821" s="7" t="s">
        <v>4678</v>
      </c>
    </row>
    <row r="822" customFormat="false" ht="35.05" hidden="false" customHeight="false" outlineLevel="0" collapsed="false">
      <c r="A822" s="7" t="n">
        <v>821</v>
      </c>
      <c r="B822" s="7" t="s">
        <v>4679</v>
      </c>
      <c r="C822" s="7" t="n">
        <v>2012</v>
      </c>
      <c r="D822" s="7" t="s">
        <v>4680</v>
      </c>
      <c r="E822" s="7" t="s">
        <v>151</v>
      </c>
      <c r="F822" s="7" t="s">
        <v>4681</v>
      </c>
      <c r="G822" s="7" t="s">
        <v>4682</v>
      </c>
      <c r="H822" s="7" t="s">
        <v>146</v>
      </c>
      <c r="I822" s="7" t="s">
        <v>4683</v>
      </c>
      <c r="J822" s="7" t="s">
        <v>116</v>
      </c>
      <c r="K822" s="7" t="s">
        <v>4684</v>
      </c>
    </row>
    <row r="823" customFormat="false" ht="35.05" hidden="false" customHeight="false" outlineLevel="0" collapsed="false">
      <c r="A823" s="7" t="n">
        <v>822</v>
      </c>
      <c r="B823" s="7" t="s">
        <v>4685</v>
      </c>
      <c r="C823" s="7" t="n">
        <v>2006</v>
      </c>
      <c r="D823" s="7" t="s">
        <v>4686</v>
      </c>
      <c r="E823" s="7" t="s">
        <v>151</v>
      </c>
      <c r="F823" s="7" t="s">
        <v>4568</v>
      </c>
      <c r="G823" s="7" t="s">
        <v>4687</v>
      </c>
      <c r="H823" s="7" t="s">
        <v>146</v>
      </c>
      <c r="I823" s="7" t="s">
        <v>4688</v>
      </c>
      <c r="J823" s="7" t="s">
        <v>116</v>
      </c>
      <c r="K823" s="7" t="s">
        <v>4689</v>
      </c>
    </row>
    <row r="824" customFormat="false" ht="23.85" hidden="false" customHeight="false" outlineLevel="0" collapsed="false">
      <c r="A824" s="7" t="n">
        <v>823</v>
      </c>
      <c r="B824" s="7" t="s">
        <v>4685</v>
      </c>
      <c r="C824" s="7" t="n">
        <v>2009</v>
      </c>
      <c r="D824" s="7" t="s">
        <v>4690</v>
      </c>
      <c r="E824" s="7" t="s">
        <v>151</v>
      </c>
      <c r="F824" s="7" t="s">
        <v>152</v>
      </c>
      <c r="G824" s="7" t="s">
        <v>678</v>
      </c>
      <c r="H824" s="7" t="s">
        <v>146</v>
      </c>
      <c r="I824" s="7" t="s">
        <v>4691</v>
      </c>
      <c r="J824" s="7" t="s">
        <v>116</v>
      </c>
      <c r="K824" s="7" t="s">
        <v>4692</v>
      </c>
    </row>
    <row r="825" customFormat="false" ht="35.05" hidden="false" customHeight="false" outlineLevel="0" collapsed="false">
      <c r="A825" s="7" t="n">
        <v>824</v>
      </c>
      <c r="B825" s="7" t="s">
        <v>4685</v>
      </c>
      <c r="C825" s="7" t="n">
        <v>2011</v>
      </c>
      <c r="D825" s="7" t="s">
        <v>4693</v>
      </c>
      <c r="E825" s="7" t="s">
        <v>143</v>
      </c>
      <c r="F825" s="7" t="s">
        <v>152</v>
      </c>
      <c r="G825" s="7" t="s">
        <v>678</v>
      </c>
      <c r="H825" s="7" t="s">
        <v>146</v>
      </c>
      <c r="I825" s="7" t="s">
        <v>4694</v>
      </c>
      <c r="J825" s="7" t="s">
        <v>116</v>
      </c>
      <c r="K825" s="7" t="s">
        <v>4695</v>
      </c>
    </row>
    <row r="826" customFormat="false" ht="35.05" hidden="false" customHeight="false" outlineLevel="0" collapsed="false">
      <c r="A826" s="7" t="n">
        <v>825</v>
      </c>
      <c r="B826" s="7" t="s">
        <v>4696</v>
      </c>
      <c r="C826" s="7" t="n">
        <v>2003</v>
      </c>
      <c r="D826" s="7" t="s">
        <v>4697</v>
      </c>
      <c r="E826" s="7" t="s">
        <v>143</v>
      </c>
      <c r="F826" s="7" t="s">
        <v>152</v>
      </c>
      <c r="G826" s="7" t="s">
        <v>678</v>
      </c>
      <c r="H826" s="7" t="s">
        <v>146</v>
      </c>
      <c r="I826" s="7" t="s">
        <v>4698</v>
      </c>
      <c r="J826" s="7" t="s">
        <v>116</v>
      </c>
      <c r="K826" s="7" t="s">
        <v>4699</v>
      </c>
    </row>
    <row r="827" customFormat="false" ht="35.05" hidden="false" customHeight="false" outlineLevel="0" collapsed="false">
      <c r="A827" s="7" t="n">
        <v>826</v>
      </c>
      <c r="B827" s="7" t="s">
        <v>4700</v>
      </c>
      <c r="C827" s="7" t="n">
        <v>2012</v>
      </c>
      <c r="D827" s="7" t="s">
        <v>4701</v>
      </c>
      <c r="E827" s="7" t="s">
        <v>151</v>
      </c>
      <c r="F827" s="7" t="s">
        <v>4596</v>
      </c>
      <c r="G827" s="7" t="s">
        <v>4672</v>
      </c>
      <c r="H827" s="7" t="s">
        <v>146</v>
      </c>
      <c r="I827" s="7" t="s">
        <v>4702</v>
      </c>
      <c r="J827" s="7" t="s">
        <v>116</v>
      </c>
      <c r="K827" s="7" t="s">
        <v>4703</v>
      </c>
    </row>
    <row r="828" customFormat="false" ht="35.05" hidden="false" customHeight="false" outlineLevel="0" collapsed="false">
      <c r="A828" s="7" t="n">
        <v>827</v>
      </c>
      <c r="B828" s="7" t="s">
        <v>4704</v>
      </c>
      <c r="C828" s="7" t="n">
        <v>2012</v>
      </c>
      <c r="D828" s="7" t="s">
        <v>4705</v>
      </c>
      <c r="E828" s="7" t="s">
        <v>201</v>
      </c>
      <c r="F828" s="7" t="s">
        <v>4650</v>
      </c>
      <c r="G828" s="7" t="s">
        <v>145</v>
      </c>
      <c r="H828" s="7" t="s">
        <v>146</v>
      </c>
      <c r="I828" s="7" t="s">
        <v>4706</v>
      </c>
      <c r="J828" s="7"/>
      <c r="K828" s="7" t="s">
        <v>4707</v>
      </c>
    </row>
    <row r="829" customFormat="false" ht="35.05" hidden="false" customHeight="false" outlineLevel="0" collapsed="false">
      <c r="A829" s="7" t="n">
        <v>828</v>
      </c>
      <c r="B829" s="7" t="s">
        <v>4708</v>
      </c>
      <c r="C829" s="7" t="n">
        <v>2007</v>
      </c>
      <c r="D829" s="7" t="s">
        <v>4709</v>
      </c>
      <c r="E829" s="7" t="s">
        <v>151</v>
      </c>
      <c r="F829" s="7" t="s">
        <v>4710</v>
      </c>
      <c r="G829" s="7" t="s">
        <v>4711</v>
      </c>
      <c r="H829" s="7" t="s">
        <v>146</v>
      </c>
      <c r="I829" s="7" t="s">
        <v>4712</v>
      </c>
      <c r="J829" s="7" t="s">
        <v>116</v>
      </c>
      <c r="K829" s="7" t="s">
        <v>4713</v>
      </c>
    </row>
    <row r="830" customFormat="false" ht="35.05" hidden="false" customHeight="false" outlineLevel="0" collapsed="false">
      <c r="A830" s="7" t="n">
        <v>829</v>
      </c>
      <c r="B830" s="7" t="s">
        <v>4714</v>
      </c>
      <c r="C830" s="7" t="n">
        <v>2013</v>
      </c>
      <c r="D830" s="7" t="s">
        <v>4715</v>
      </c>
      <c r="E830" s="7" t="s">
        <v>579</v>
      </c>
      <c r="F830" s="7" t="s">
        <v>4716</v>
      </c>
      <c r="G830" s="7" t="s">
        <v>4717</v>
      </c>
      <c r="H830" s="7" t="s">
        <v>146</v>
      </c>
      <c r="I830" s="7" t="s">
        <v>4718</v>
      </c>
      <c r="J830" s="7" t="s">
        <v>116</v>
      </c>
      <c r="K830" s="7" t="s">
        <v>4719</v>
      </c>
    </row>
    <row r="831" customFormat="false" ht="35.05" hidden="false" customHeight="false" outlineLevel="0" collapsed="false">
      <c r="A831" s="7" t="n">
        <v>830</v>
      </c>
      <c r="B831" s="7" t="s">
        <v>4720</v>
      </c>
      <c r="C831" s="7" t="n">
        <v>2014</v>
      </c>
      <c r="D831" s="7" t="s">
        <v>4721</v>
      </c>
      <c r="E831" s="7" t="s">
        <v>201</v>
      </c>
      <c r="F831" s="7" t="s">
        <v>1619</v>
      </c>
      <c r="G831" s="7" t="s">
        <v>678</v>
      </c>
      <c r="H831" s="7" t="s">
        <v>146</v>
      </c>
      <c r="I831" s="7" t="s">
        <v>4722</v>
      </c>
      <c r="J831" s="7" t="s">
        <v>114</v>
      </c>
      <c r="K831" s="7" t="s">
        <v>4723</v>
      </c>
    </row>
    <row r="832" customFormat="false" ht="35.05" hidden="false" customHeight="false" outlineLevel="0" collapsed="false">
      <c r="A832" s="7" t="n">
        <v>831</v>
      </c>
      <c r="B832" s="7" t="s">
        <v>4724</v>
      </c>
      <c r="C832" s="7" t="n">
        <v>2015</v>
      </c>
      <c r="D832" s="7" t="s">
        <v>4725</v>
      </c>
      <c r="E832" s="7" t="s">
        <v>151</v>
      </c>
      <c r="F832" s="7" t="s">
        <v>1619</v>
      </c>
      <c r="G832" s="7" t="s">
        <v>678</v>
      </c>
      <c r="H832" s="7" t="s">
        <v>146</v>
      </c>
      <c r="I832" s="7" t="s">
        <v>4726</v>
      </c>
      <c r="J832" s="7" t="s">
        <v>114</v>
      </c>
      <c r="K832" s="7" t="s">
        <v>4727</v>
      </c>
    </row>
    <row r="833" customFormat="false" ht="35.05" hidden="false" customHeight="false" outlineLevel="0" collapsed="false">
      <c r="A833" s="7" t="n">
        <v>832</v>
      </c>
      <c r="B833" s="7" t="s">
        <v>4728</v>
      </c>
      <c r="C833" s="7" t="n">
        <v>2014</v>
      </c>
      <c r="D833" s="7" t="s">
        <v>4729</v>
      </c>
      <c r="E833" s="7" t="s">
        <v>151</v>
      </c>
      <c r="F833" s="7" t="s">
        <v>677</v>
      </c>
      <c r="G833" s="7" t="s">
        <v>4730</v>
      </c>
      <c r="H833" s="7" t="s">
        <v>146</v>
      </c>
      <c r="I833" s="7" t="s">
        <v>4731</v>
      </c>
      <c r="J833" s="7" t="s">
        <v>116</v>
      </c>
      <c r="K833" s="7" t="s">
        <v>4732</v>
      </c>
    </row>
    <row r="834" customFormat="false" ht="35.05" hidden="false" customHeight="false" outlineLevel="0" collapsed="false">
      <c r="A834" s="7" t="n">
        <v>833</v>
      </c>
      <c r="B834" s="7" t="s">
        <v>4733</v>
      </c>
      <c r="C834" s="7" t="n">
        <v>2014</v>
      </c>
      <c r="D834" s="7" t="s">
        <v>4734</v>
      </c>
      <c r="E834" s="7" t="s">
        <v>151</v>
      </c>
      <c r="F834" s="7" t="s">
        <v>152</v>
      </c>
      <c r="G834" s="7" t="s">
        <v>4735</v>
      </c>
      <c r="H834" s="7" t="s">
        <v>146</v>
      </c>
      <c r="I834" s="7" t="s">
        <v>4736</v>
      </c>
      <c r="J834" s="7"/>
      <c r="K834" s="7" t="s">
        <v>4737</v>
      </c>
    </row>
    <row r="835" customFormat="false" ht="35.05" hidden="false" customHeight="false" outlineLevel="0" collapsed="false">
      <c r="A835" s="7" t="n">
        <v>834</v>
      </c>
      <c r="B835" s="7" t="s">
        <v>4738</v>
      </c>
      <c r="C835" s="7" t="n">
        <v>2007</v>
      </c>
      <c r="D835" s="7" t="s">
        <v>4739</v>
      </c>
      <c r="E835" s="7" t="s">
        <v>151</v>
      </c>
      <c r="F835" s="7" t="s">
        <v>4740</v>
      </c>
      <c r="G835" s="7" t="s">
        <v>817</v>
      </c>
      <c r="H835" s="7" t="s">
        <v>146</v>
      </c>
      <c r="I835" s="7" t="s">
        <v>4741</v>
      </c>
      <c r="J835" s="7" t="s">
        <v>116</v>
      </c>
      <c r="K835" s="7" t="s">
        <v>4742</v>
      </c>
    </row>
    <row r="836" customFormat="false" ht="35.05" hidden="false" customHeight="false" outlineLevel="0" collapsed="false">
      <c r="A836" s="7" t="n">
        <v>835</v>
      </c>
      <c r="B836" s="7" t="s">
        <v>4743</v>
      </c>
      <c r="C836" s="7" t="n">
        <v>2013</v>
      </c>
      <c r="D836" s="7" t="s">
        <v>4744</v>
      </c>
      <c r="E836" s="7" t="s">
        <v>151</v>
      </c>
      <c r="F836" s="7" t="s">
        <v>677</v>
      </c>
      <c r="G836" s="7" t="s">
        <v>1904</v>
      </c>
      <c r="H836" s="7" t="s">
        <v>146</v>
      </c>
      <c r="I836" s="7" t="s">
        <v>4745</v>
      </c>
      <c r="J836" s="7" t="s">
        <v>116</v>
      </c>
      <c r="K836" s="7" t="s">
        <v>4746</v>
      </c>
    </row>
    <row r="837" customFormat="false" ht="35.05" hidden="false" customHeight="false" outlineLevel="0" collapsed="false">
      <c r="A837" s="7" t="n">
        <v>836</v>
      </c>
      <c r="B837" s="7" t="s">
        <v>4747</v>
      </c>
      <c r="C837" s="7" t="n">
        <v>2013</v>
      </c>
      <c r="D837" s="7" t="s">
        <v>4748</v>
      </c>
      <c r="E837" s="7" t="s">
        <v>151</v>
      </c>
      <c r="F837" s="7" t="s">
        <v>4749</v>
      </c>
      <c r="G837" s="7" t="s">
        <v>4750</v>
      </c>
      <c r="H837" s="7" t="s">
        <v>146</v>
      </c>
      <c r="I837" s="7" t="s">
        <v>4751</v>
      </c>
      <c r="J837" s="7" t="s">
        <v>116</v>
      </c>
      <c r="K837" s="7" t="s">
        <v>4752</v>
      </c>
    </row>
    <row r="838" customFormat="false" ht="35.05" hidden="false" customHeight="false" outlineLevel="0" collapsed="false">
      <c r="A838" s="7" t="n">
        <v>837</v>
      </c>
      <c r="B838" s="7" t="s">
        <v>4753</v>
      </c>
      <c r="C838" s="7" t="n">
        <v>2014</v>
      </c>
      <c r="D838" s="7" t="s">
        <v>4754</v>
      </c>
      <c r="E838" s="7" t="s">
        <v>151</v>
      </c>
      <c r="F838" s="7" t="s">
        <v>1678</v>
      </c>
      <c r="G838" s="7" t="s">
        <v>1213</v>
      </c>
      <c r="H838" s="7" t="s">
        <v>146</v>
      </c>
      <c r="I838" s="7" t="s">
        <v>4755</v>
      </c>
      <c r="J838" s="7" t="s">
        <v>116</v>
      </c>
      <c r="K838" s="7" t="s">
        <v>4756</v>
      </c>
    </row>
    <row r="839" customFormat="false" ht="35.05" hidden="false" customHeight="false" outlineLevel="0" collapsed="false">
      <c r="A839" s="7" t="n">
        <v>838</v>
      </c>
      <c r="B839" s="7" t="s">
        <v>4757</v>
      </c>
      <c r="C839" s="7" t="n">
        <v>2010</v>
      </c>
      <c r="D839" s="7" t="s">
        <v>4758</v>
      </c>
      <c r="E839" s="7" t="s">
        <v>151</v>
      </c>
      <c r="F839" s="7" t="s">
        <v>152</v>
      </c>
      <c r="G839" s="7" t="s">
        <v>4759</v>
      </c>
      <c r="H839" s="7" t="s">
        <v>146</v>
      </c>
      <c r="I839" s="7" t="s">
        <v>4760</v>
      </c>
      <c r="J839" s="7"/>
      <c r="K839" s="7" t="s">
        <v>4761</v>
      </c>
    </row>
    <row r="840" customFormat="false" ht="23.85" hidden="false" customHeight="false" outlineLevel="0" collapsed="false">
      <c r="A840" s="7" t="n">
        <v>839</v>
      </c>
      <c r="B840" s="7" t="s">
        <v>4762</v>
      </c>
      <c r="C840" s="7" t="n">
        <v>2005</v>
      </c>
      <c r="D840" s="7" t="s">
        <v>4763</v>
      </c>
      <c r="E840" s="7" t="s">
        <v>4764</v>
      </c>
      <c r="F840" s="7" t="s">
        <v>213</v>
      </c>
      <c r="G840" s="7" t="s">
        <v>4765</v>
      </c>
      <c r="H840" s="7" t="s">
        <v>146</v>
      </c>
      <c r="I840" s="7" t="s">
        <v>4766</v>
      </c>
      <c r="J840" s="7"/>
      <c r="K840" s="7" t="s">
        <v>4767</v>
      </c>
    </row>
    <row r="841" customFormat="false" ht="35.05" hidden="false" customHeight="false" outlineLevel="0" collapsed="false">
      <c r="A841" s="7" t="n">
        <v>840</v>
      </c>
      <c r="B841" s="7" t="s">
        <v>4768</v>
      </c>
      <c r="C841" s="7" t="n">
        <v>2009</v>
      </c>
      <c r="D841" s="7" t="s">
        <v>4769</v>
      </c>
      <c r="E841" s="7" t="s">
        <v>151</v>
      </c>
      <c r="F841" s="7" t="s">
        <v>1619</v>
      </c>
      <c r="G841" s="7" t="s">
        <v>817</v>
      </c>
      <c r="H841" s="7" t="s">
        <v>146</v>
      </c>
      <c r="I841" s="7" t="s">
        <v>4770</v>
      </c>
      <c r="J841" s="7" t="s">
        <v>116</v>
      </c>
      <c r="K841" s="7" t="s">
        <v>4771</v>
      </c>
    </row>
    <row r="842" customFormat="false" ht="35.05" hidden="false" customHeight="false" outlineLevel="0" collapsed="false">
      <c r="A842" s="7" t="n">
        <v>841</v>
      </c>
      <c r="B842" s="7" t="s">
        <v>4772</v>
      </c>
      <c r="C842" s="7" t="n">
        <v>2014</v>
      </c>
      <c r="D842" s="7" t="s">
        <v>4773</v>
      </c>
      <c r="E842" s="7" t="s">
        <v>143</v>
      </c>
      <c r="F842" s="7" t="s">
        <v>4615</v>
      </c>
      <c r="G842" s="7" t="s">
        <v>327</v>
      </c>
      <c r="H842" s="7" t="s">
        <v>146</v>
      </c>
      <c r="I842" s="7" t="s">
        <v>4774</v>
      </c>
      <c r="J842" s="7" t="s">
        <v>116</v>
      </c>
      <c r="K842" s="7" t="s">
        <v>4775</v>
      </c>
    </row>
    <row r="843" customFormat="false" ht="35.05" hidden="false" customHeight="false" outlineLevel="0" collapsed="false">
      <c r="A843" s="7" t="n">
        <v>842</v>
      </c>
      <c r="B843" s="7" t="s">
        <v>4776</v>
      </c>
      <c r="C843" s="7" t="n">
        <v>2010</v>
      </c>
      <c r="D843" s="7" t="s">
        <v>4777</v>
      </c>
      <c r="E843" s="7" t="s">
        <v>143</v>
      </c>
      <c r="F843" s="7" t="s">
        <v>4563</v>
      </c>
      <c r="G843" s="7" t="s">
        <v>145</v>
      </c>
      <c r="H843" s="7" t="s">
        <v>146</v>
      </c>
      <c r="I843" s="7" t="s">
        <v>4778</v>
      </c>
      <c r="J843" s="7"/>
      <c r="K843" s="7" t="s">
        <v>4779</v>
      </c>
    </row>
    <row r="844" customFormat="false" ht="35.05" hidden="false" customHeight="false" outlineLevel="0" collapsed="false">
      <c r="A844" s="7" t="n">
        <v>843</v>
      </c>
      <c r="B844" s="7" t="s">
        <v>4780</v>
      </c>
      <c r="C844" s="7" t="n">
        <v>2012</v>
      </c>
      <c r="D844" s="7" t="s">
        <v>4781</v>
      </c>
      <c r="E844" s="7" t="s">
        <v>151</v>
      </c>
      <c r="F844" s="7" t="s">
        <v>677</v>
      </c>
      <c r="G844" s="7" t="s">
        <v>244</v>
      </c>
      <c r="H844" s="7" t="s">
        <v>146</v>
      </c>
      <c r="I844" s="7" t="s">
        <v>4782</v>
      </c>
      <c r="J844" s="7" t="s">
        <v>116</v>
      </c>
      <c r="K844" s="7" t="s">
        <v>4783</v>
      </c>
    </row>
    <row r="845" customFormat="false" ht="35.05" hidden="false" customHeight="false" outlineLevel="0" collapsed="false">
      <c r="A845" s="7" t="n">
        <v>844</v>
      </c>
      <c r="B845" s="7" t="s">
        <v>4784</v>
      </c>
      <c r="C845" s="7" t="n">
        <v>2014</v>
      </c>
      <c r="D845" s="7" t="s">
        <v>4785</v>
      </c>
      <c r="E845" s="7" t="s">
        <v>143</v>
      </c>
      <c r="F845" s="7" t="s">
        <v>3552</v>
      </c>
      <c r="G845" s="7" t="s">
        <v>145</v>
      </c>
      <c r="H845" s="7" t="s">
        <v>146</v>
      </c>
      <c r="I845" s="7" t="s">
        <v>4786</v>
      </c>
      <c r="J845" s="7"/>
      <c r="K845" s="7" t="s">
        <v>4787</v>
      </c>
    </row>
    <row r="846" customFormat="false" ht="35.05" hidden="false" customHeight="false" outlineLevel="0" collapsed="false">
      <c r="A846" s="7" t="n">
        <v>845</v>
      </c>
      <c r="B846" s="7" t="s">
        <v>4788</v>
      </c>
      <c r="C846" s="7" t="n">
        <v>1986</v>
      </c>
      <c r="D846" s="7" t="s">
        <v>4789</v>
      </c>
      <c r="E846" s="7" t="s">
        <v>4790</v>
      </c>
      <c r="F846" s="7" t="s">
        <v>213</v>
      </c>
      <c r="G846" s="7" t="s">
        <v>1213</v>
      </c>
      <c r="H846" s="7" t="s">
        <v>146</v>
      </c>
      <c r="I846" s="7" t="s">
        <v>4791</v>
      </c>
      <c r="J846" s="7"/>
      <c r="K846" s="7" t="s">
        <v>4792</v>
      </c>
    </row>
    <row r="847" customFormat="false" ht="23.85" hidden="false" customHeight="false" outlineLevel="0" collapsed="false">
      <c r="A847" s="7" t="n">
        <v>846</v>
      </c>
      <c r="B847" s="7" t="s">
        <v>4793</v>
      </c>
      <c r="C847" s="7" t="n">
        <v>2013</v>
      </c>
      <c r="D847" s="7" t="s">
        <v>4794</v>
      </c>
      <c r="E847" s="7" t="s">
        <v>4795</v>
      </c>
      <c r="F847" s="7" t="s">
        <v>348</v>
      </c>
      <c r="G847" s="7" t="s">
        <v>145</v>
      </c>
      <c r="H847" s="7" t="s">
        <v>522</v>
      </c>
      <c r="I847" s="7" t="s">
        <v>4796</v>
      </c>
      <c r="J847" s="7"/>
      <c r="K847" s="7" t="s">
        <v>4797</v>
      </c>
    </row>
    <row r="848" customFormat="false" ht="35.05" hidden="false" customHeight="false" outlineLevel="0" collapsed="false">
      <c r="A848" s="7" t="n">
        <v>847</v>
      </c>
      <c r="B848" s="7" t="s">
        <v>4798</v>
      </c>
      <c r="C848" s="7" t="n">
        <v>2008</v>
      </c>
      <c r="D848" s="7" t="s">
        <v>4799</v>
      </c>
      <c r="E848" s="7" t="s">
        <v>151</v>
      </c>
      <c r="F848" s="7" t="s">
        <v>4710</v>
      </c>
      <c r="G848" s="7" t="s">
        <v>4711</v>
      </c>
      <c r="H848" s="7" t="s">
        <v>146</v>
      </c>
      <c r="I848" s="7" t="s">
        <v>4800</v>
      </c>
      <c r="J848" s="7" t="s">
        <v>116</v>
      </c>
      <c r="K848" s="7" t="s">
        <v>4801</v>
      </c>
    </row>
    <row r="849" customFormat="false" ht="35.05" hidden="false" customHeight="false" outlineLevel="0" collapsed="false">
      <c r="A849" s="7" t="n">
        <v>848</v>
      </c>
      <c r="B849" s="7" t="s">
        <v>4802</v>
      </c>
      <c r="C849" s="7" t="n">
        <v>2002</v>
      </c>
      <c r="D849" s="7" t="s">
        <v>4803</v>
      </c>
      <c r="E849" s="7" t="s">
        <v>201</v>
      </c>
      <c r="F849" s="7" t="s">
        <v>3552</v>
      </c>
      <c r="G849" s="7" t="s">
        <v>4804</v>
      </c>
      <c r="H849" s="7" t="s">
        <v>146</v>
      </c>
      <c r="I849" s="7" t="s">
        <v>4805</v>
      </c>
      <c r="J849" s="7"/>
      <c r="K849" s="7" t="s">
        <v>4806</v>
      </c>
    </row>
    <row r="850" customFormat="false" ht="35.05" hidden="false" customHeight="false" outlineLevel="0" collapsed="false">
      <c r="A850" s="7" t="n">
        <v>849</v>
      </c>
      <c r="B850" s="7" t="s">
        <v>4807</v>
      </c>
      <c r="C850" s="7" t="n">
        <v>2010</v>
      </c>
      <c r="D850" s="7" t="s">
        <v>4808</v>
      </c>
      <c r="E850" s="7" t="s">
        <v>579</v>
      </c>
      <c r="F850" s="7" t="s">
        <v>4596</v>
      </c>
      <c r="G850" s="7" t="s">
        <v>4809</v>
      </c>
      <c r="H850" s="7" t="s">
        <v>146</v>
      </c>
      <c r="I850" s="7" t="s">
        <v>4810</v>
      </c>
      <c r="J850" s="7" t="s">
        <v>116</v>
      </c>
      <c r="K850" s="7" t="s">
        <v>4811</v>
      </c>
    </row>
    <row r="851" customFormat="false" ht="35.05" hidden="false" customHeight="false" outlineLevel="0" collapsed="false">
      <c r="A851" s="7" t="n">
        <v>850</v>
      </c>
      <c r="B851" s="7" t="s">
        <v>4812</v>
      </c>
      <c r="C851" s="7" t="n">
        <v>2013</v>
      </c>
      <c r="D851" s="7" t="s">
        <v>4813</v>
      </c>
      <c r="E851" s="7" t="s">
        <v>151</v>
      </c>
      <c r="F851" s="7" t="s">
        <v>152</v>
      </c>
      <c r="G851" s="7" t="s">
        <v>678</v>
      </c>
      <c r="H851" s="7" t="s">
        <v>146</v>
      </c>
      <c r="I851" s="7" t="s">
        <v>4814</v>
      </c>
      <c r="J851" s="7" t="s">
        <v>116</v>
      </c>
      <c r="K851" s="7" t="s">
        <v>4815</v>
      </c>
    </row>
    <row r="852" customFormat="false" ht="35.05" hidden="false" customHeight="false" outlineLevel="0" collapsed="false">
      <c r="A852" s="7" t="n">
        <v>851</v>
      </c>
      <c r="B852" s="7" t="s">
        <v>4816</v>
      </c>
      <c r="C852" s="7" t="n">
        <v>1999</v>
      </c>
      <c r="D852" s="7" t="s">
        <v>4817</v>
      </c>
      <c r="E852" s="7" t="s">
        <v>4790</v>
      </c>
      <c r="F852" s="7" t="s">
        <v>213</v>
      </c>
      <c r="G852" s="7" t="s">
        <v>145</v>
      </c>
      <c r="H852" s="7" t="s">
        <v>146</v>
      </c>
      <c r="I852" s="7" t="s">
        <v>4818</v>
      </c>
      <c r="J852" s="7"/>
      <c r="K852" s="7" t="s">
        <v>4819</v>
      </c>
    </row>
    <row r="853" customFormat="false" ht="35.05" hidden="false" customHeight="false" outlineLevel="0" collapsed="false">
      <c r="A853" s="7" t="n">
        <v>852</v>
      </c>
      <c r="B853" s="7" t="s">
        <v>4820</v>
      </c>
      <c r="C853" s="7" t="n">
        <v>2009</v>
      </c>
      <c r="D853" s="7" t="s">
        <v>4821</v>
      </c>
      <c r="E853" s="7" t="s">
        <v>143</v>
      </c>
      <c r="F853" s="7" t="s">
        <v>3552</v>
      </c>
      <c r="G853" s="7" t="s">
        <v>678</v>
      </c>
      <c r="H853" s="7" t="s">
        <v>146</v>
      </c>
      <c r="I853" s="7" t="s">
        <v>4660</v>
      </c>
      <c r="J853" s="7" t="s">
        <v>116</v>
      </c>
      <c r="K853" s="7" t="s">
        <v>4822</v>
      </c>
    </row>
    <row r="854" customFormat="false" ht="35.05" hidden="false" customHeight="false" outlineLevel="0" collapsed="false">
      <c r="A854" s="7" t="n">
        <v>853</v>
      </c>
      <c r="B854" s="7" t="s">
        <v>4823</v>
      </c>
      <c r="C854" s="7" t="n">
        <v>2012</v>
      </c>
      <c r="D854" s="7" t="s">
        <v>4824</v>
      </c>
      <c r="E854" s="7" t="s">
        <v>151</v>
      </c>
      <c r="F854" s="7" t="s">
        <v>152</v>
      </c>
      <c r="G854" s="7" t="s">
        <v>678</v>
      </c>
      <c r="H854" s="7" t="s">
        <v>146</v>
      </c>
      <c r="I854" s="7" t="s">
        <v>4825</v>
      </c>
      <c r="J854" s="7"/>
      <c r="K854" s="7" t="s">
        <v>4826</v>
      </c>
    </row>
    <row r="855" customFormat="false" ht="35.05" hidden="false" customHeight="false" outlineLevel="0" collapsed="false">
      <c r="A855" s="7" t="n">
        <v>854</v>
      </c>
      <c r="B855" s="7" t="s">
        <v>4827</v>
      </c>
      <c r="C855" s="7" t="n">
        <v>2015</v>
      </c>
      <c r="D855" s="7" t="s">
        <v>4828</v>
      </c>
      <c r="E855" s="7" t="s">
        <v>143</v>
      </c>
      <c r="F855" s="7" t="s">
        <v>832</v>
      </c>
      <c r="G855" s="7" t="s">
        <v>4829</v>
      </c>
      <c r="H855" s="7" t="s">
        <v>146</v>
      </c>
      <c r="I855" s="7" t="s">
        <v>4830</v>
      </c>
      <c r="J855" s="7" t="s">
        <v>116</v>
      </c>
      <c r="K855" s="7" t="s">
        <v>4831</v>
      </c>
    </row>
    <row r="856" customFormat="false" ht="35.05" hidden="false" customHeight="false" outlineLevel="0" collapsed="false">
      <c r="A856" s="7" t="n">
        <v>855</v>
      </c>
      <c r="B856" s="7" t="s">
        <v>4832</v>
      </c>
      <c r="C856" s="7" t="n">
        <v>2010</v>
      </c>
      <c r="D856" s="7" t="s">
        <v>4833</v>
      </c>
      <c r="E856" s="7" t="s">
        <v>201</v>
      </c>
      <c r="F856" s="7" t="s">
        <v>4834</v>
      </c>
      <c r="G856" s="7" t="s">
        <v>382</v>
      </c>
      <c r="H856" s="7" t="s">
        <v>146</v>
      </c>
      <c r="I856" s="7" t="s">
        <v>4835</v>
      </c>
      <c r="J856" s="7" t="s">
        <v>116</v>
      </c>
      <c r="K856" s="7" t="s">
        <v>4836</v>
      </c>
    </row>
    <row r="857" customFormat="false" ht="35.05" hidden="false" customHeight="false" outlineLevel="0" collapsed="false">
      <c r="A857" s="7" t="n">
        <v>856</v>
      </c>
      <c r="B857" s="7" t="s">
        <v>4837</v>
      </c>
      <c r="C857" s="7" t="n">
        <v>2004</v>
      </c>
      <c r="D857" s="7" t="s">
        <v>4838</v>
      </c>
      <c r="E857" s="7" t="s">
        <v>143</v>
      </c>
      <c r="F857" s="7" t="s">
        <v>364</v>
      </c>
      <c r="G857" s="7" t="s">
        <v>4310</v>
      </c>
      <c r="H857" s="7" t="s">
        <v>146</v>
      </c>
      <c r="I857" s="7" t="s">
        <v>4839</v>
      </c>
      <c r="J857" s="7" t="s">
        <v>116</v>
      </c>
      <c r="K857" s="7" t="s">
        <v>4840</v>
      </c>
    </row>
    <row r="858" customFormat="false" ht="23.85" hidden="false" customHeight="false" outlineLevel="0" collapsed="false">
      <c r="A858" s="7" t="n">
        <v>857</v>
      </c>
      <c r="B858" s="7" t="s">
        <v>4841</v>
      </c>
      <c r="C858" s="7" t="n">
        <v>1991</v>
      </c>
      <c r="D858" s="7" t="s">
        <v>4842</v>
      </c>
      <c r="E858" s="7" t="s">
        <v>201</v>
      </c>
      <c r="F858" s="7" t="s">
        <v>152</v>
      </c>
      <c r="G858" s="7" t="s">
        <v>678</v>
      </c>
      <c r="H858" s="7" t="s">
        <v>146</v>
      </c>
      <c r="I858" s="7" t="s">
        <v>4843</v>
      </c>
      <c r="J858" s="7"/>
      <c r="K858" s="7" t="s">
        <v>4844</v>
      </c>
    </row>
    <row r="859" customFormat="false" ht="35.05" hidden="false" customHeight="false" outlineLevel="0" collapsed="false">
      <c r="A859" s="7" t="n">
        <v>858</v>
      </c>
      <c r="B859" s="7" t="s">
        <v>4845</v>
      </c>
      <c r="C859" s="7" t="n">
        <v>2011</v>
      </c>
      <c r="D859" s="7" t="s">
        <v>4846</v>
      </c>
      <c r="E859" s="7" t="s">
        <v>143</v>
      </c>
      <c r="F859" s="7" t="s">
        <v>152</v>
      </c>
      <c r="G859" s="7" t="s">
        <v>4847</v>
      </c>
      <c r="H859" s="7" t="s">
        <v>146</v>
      </c>
      <c r="I859" s="7" t="s">
        <v>4848</v>
      </c>
      <c r="J859" s="7" t="s">
        <v>116</v>
      </c>
      <c r="K859" s="7" t="s">
        <v>4849</v>
      </c>
    </row>
    <row r="860" customFormat="false" ht="35.05" hidden="false" customHeight="false" outlineLevel="0" collapsed="false">
      <c r="A860" s="7" t="n">
        <v>859</v>
      </c>
      <c r="B860" s="7" t="s">
        <v>4850</v>
      </c>
      <c r="C860" s="7" t="n">
        <v>2014</v>
      </c>
      <c r="D860" s="7" t="s">
        <v>4851</v>
      </c>
      <c r="E860" s="7" t="s">
        <v>151</v>
      </c>
      <c r="F860" s="7" t="s">
        <v>4852</v>
      </c>
      <c r="G860" s="7" t="s">
        <v>4573</v>
      </c>
      <c r="H860" s="7" t="s">
        <v>146</v>
      </c>
      <c r="I860" s="7" t="s">
        <v>4853</v>
      </c>
      <c r="J860" s="7" t="s">
        <v>116</v>
      </c>
      <c r="K860" s="7" t="s">
        <v>4854</v>
      </c>
    </row>
    <row r="861" customFormat="false" ht="35.05" hidden="false" customHeight="false" outlineLevel="0" collapsed="false">
      <c r="A861" s="7" t="n">
        <v>860</v>
      </c>
      <c r="B861" s="7" t="s">
        <v>4855</v>
      </c>
      <c r="C861" s="7" t="n">
        <v>2006</v>
      </c>
      <c r="D861" s="7" t="s">
        <v>4856</v>
      </c>
      <c r="E861" s="7" t="s">
        <v>151</v>
      </c>
      <c r="F861" s="7" t="s">
        <v>4596</v>
      </c>
      <c r="G861" s="7" t="s">
        <v>817</v>
      </c>
      <c r="H861" s="7" t="s">
        <v>146</v>
      </c>
      <c r="I861" s="7" t="s">
        <v>4857</v>
      </c>
      <c r="J861" s="7" t="s">
        <v>116</v>
      </c>
      <c r="K861" s="7" t="s">
        <v>4858</v>
      </c>
    </row>
    <row r="862" customFormat="false" ht="35.05" hidden="false" customHeight="false" outlineLevel="0" collapsed="false">
      <c r="A862" s="7" t="n">
        <v>861</v>
      </c>
      <c r="B862" s="7" t="s">
        <v>4859</v>
      </c>
      <c r="C862" s="7" t="n">
        <v>2010</v>
      </c>
      <c r="D862" s="7" t="s">
        <v>4860</v>
      </c>
      <c r="E862" s="7" t="s">
        <v>151</v>
      </c>
      <c r="F862" s="7" t="s">
        <v>832</v>
      </c>
      <c r="G862" s="7" t="s">
        <v>817</v>
      </c>
      <c r="H862" s="7" t="s">
        <v>146</v>
      </c>
      <c r="I862" s="7" t="s">
        <v>4861</v>
      </c>
      <c r="J862" s="7" t="s">
        <v>116</v>
      </c>
      <c r="K862" s="7" t="s">
        <v>4862</v>
      </c>
    </row>
    <row r="863" customFormat="false" ht="23.85" hidden="false" customHeight="false" outlineLevel="0" collapsed="false">
      <c r="A863" s="7" t="n">
        <v>862</v>
      </c>
      <c r="B863" s="7" t="s">
        <v>4863</v>
      </c>
      <c r="C863" s="7" t="n">
        <v>2010</v>
      </c>
      <c r="D863" s="7" t="s">
        <v>4864</v>
      </c>
      <c r="E863" s="7" t="s">
        <v>4795</v>
      </c>
      <c r="F863" s="7" t="s">
        <v>348</v>
      </c>
      <c r="G863" s="7" t="s">
        <v>145</v>
      </c>
      <c r="H863" s="7" t="s">
        <v>522</v>
      </c>
      <c r="I863" s="7" t="s">
        <v>4865</v>
      </c>
      <c r="J863" s="7"/>
      <c r="K863" s="7" t="s">
        <v>4866</v>
      </c>
    </row>
    <row r="864" customFormat="false" ht="35.05" hidden="false" customHeight="false" outlineLevel="0" collapsed="false">
      <c r="A864" s="7" t="n">
        <v>863</v>
      </c>
      <c r="B864" s="7" t="s">
        <v>4867</v>
      </c>
      <c r="C864" s="7" t="n">
        <v>2014</v>
      </c>
      <c r="D864" s="7" t="s">
        <v>4868</v>
      </c>
      <c r="E864" s="7" t="s">
        <v>151</v>
      </c>
      <c r="F864" s="7" t="s">
        <v>4596</v>
      </c>
      <c r="G864" s="7" t="s">
        <v>4869</v>
      </c>
      <c r="H864" s="7" t="s">
        <v>146</v>
      </c>
      <c r="I864" s="7" t="s">
        <v>4870</v>
      </c>
      <c r="J864" s="7"/>
      <c r="K864" s="7" t="s">
        <v>4871</v>
      </c>
    </row>
    <row r="865" customFormat="false" ht="35.05" hidden="false" customHeight="false" outlineLevel="0" collapsed="false">
      <c r="A865" s="7" t="n">
        <v>864</v>
      </c>
      <c r="B865" s="7" t="s">
        <v>4872</v>
      </c>
      <c r="C865" s="7" t="n">
        <v>2001</v>
      </c>
      <c r="D865" s="7" t="s">
        <v>4873</v>
      </c>
      <c r="E865" s="7" t="s">
        <v>151</v>
      </c>
      <c r="F865" s="7" t="s">
        <v>4874</v>
      </c>
      <c r="G865" s="7" t="s">
        <v>4875</v>
      </c>
      <c r="H865" s="7" t="s">
        <v>146</v>
      </c>
      <c r="I865" s="7" t="s">
        <v>4876</v>
      </c>
      <c r="J865" s="7" t="s">
        <v>116</v>
      </c>
      <c r="K865" s="7" t="s">
        <v>4877</v>
      </c>
    </row>
    <row r="866" customFormat="false" ht="23.85" hidden="false" customHeight="false" outlineLevel="0" collapsed="false">
      <c r="A866" s="7" t="n">
        <v>865</v>
      </c>
      <c r="B866" s="7" t="s">
        <v>4878</v>
      </c>
      <c r="C866" s="7" t="n">
        <v>2009</v>
      </c>
      <c r="D866" s="7" t="s">
        <v>4879</v>
      </c>
      <c r="E866" s="7" t="s">
        <v>201</v>
      </c>
      <c r="F866" s="7" t="s">
        <v>152</v>
      </c>
      <c r="G866" s="7" t="s">
        <v>4310</v>
      </c>
      <c r="H866" s="7" t="s">
        <v>146</v>
      </c>
      <c r="I866" s="7" t="s">
        <v>4880</v>
      </c>
      <c r="J866" s="7" t="s">
        <v>116</v>
      </c>
      <c r="K866" s="7" t="s">
        <v>4881</v>
      </c>
    </row>
    <row r="867" customFormat="false" ht="35.05" hidden="false" customHeight="false" outlineLevel="0" collapsed="false">
      <c r="A867" s="7" t="n">
        <v>866</v>
      </c>
      <c r="B867" s="7" t="s">
        <v>983</v>
      </c>
      <c r="C867" s="7" t="n">
        <v>2010</v>
      </c>
      <c r="D867" s="7" t="s">
        <v>4882</v>
      </c>
      <c r="E867" s="7" t="s">
        <v>151</v>
      </c>
      <c r="F867" s="7" t="s">
        <v>3552</v>
      </c>
      <c r="G867" s="7" t="s">
        <v>145</v>
      </c>
      <c r="H867" s="7" t="s">
        <v>4883</v>
      </c>
      <c r="I867" s="7" t="s">
        <v>4884</v>
      </c>
      <c r="J867" s="7" t="s">
        <v>116</v>
      </c>
      <c r="K867" s="7" t="s">
        <v>4885</v>
      </c>
    </row>
    <row r="868" customFormat="false" ht="46.25" hidden="false" customHeight="false" outlineLevel="0" collapsed="false">
      <c r="A868" s="7" t="n">
        <v>867</v>
      </c>
      <c r="B868" s="7" t="s">
        <v>4886</v>
      </c>
      <c r="C868" s="7" t="n">
        <v>2017</v>
      </c>
      <c r="D868" s="7" t="s">
        <v>4887</v>
      </c>
      <c r="E868" s="7" t="s">
        <v>201</v>
      </c>
      <c r="F868" s="7" t="s">
        <v>4888</v>
      </c>
      <c r="G868" s="7" t="s">
        <v>145</v>
      </c>
      <c r="H868" s="7" t="s">
        <v>153</v>
      </c>
      <c r="I868" s="7" t="s">
        <v>4889</v>
      </c>
      <c r="J868" s="7" t="s">
        <v>112</v>
      </c>
      <c r="K868" s="7" t="s">
        <v>4890</v>
      </c>
    </row>
    <row r="869" customFormat="false" ht="46.25" hidden="false" customHeight="false" outlineLevel="0" collapsed="false">
      <c r="A869" s="7" t="n">
        <v>868</v>
      </c>
      <c r="B869" s="7" t="s">
        <v>4891</v>
      </c>
      <c r="C869" s="7" t="n">
        <v>2008</v>
      </c>
      <c r="D869" s="7" t="s">
        <v>4892</v>
      </c>
      <c r="E869" s="7" t="s">
        <v>151</v>
      </c>
      <c r="F869" s="7" t="s">
        <v>4893</v>
      </c>
      <c r="G869" s="7" t="s">
        <v>4894</v>
      </c>
      <c r="H869" s="7" t="s">
        <v>146</v>
      </c>
      <c r="I869" s="7" t="s">
        <v>4895</v>
      </c>
      <c r="J869" s="7" t="s">
        <v>112</v>
      </c>
      <c r="K869" s="7" t="s">
        <v>4896</v>
      </c>
    </row>
    <row r="870" customFormat="false" ht="68.65" hidden="false" customHeight="false" outlineLevel="0" collapsed="false">
      <c r="A870" s="7" t="n">
        <v>869</v>
      </c>
      <c r="B870" s="7" t="s">
        <v>15614</v>
      </c>
      <c r="C870" s="7" t="n">
        <v>2005</v>
      </c>
      <c r="D870" s="7" t="s">
        <v>4898</v>
      </c>
      <c r="E870" s="7" t="s">
        <v>151</v>
      </c>
      <c r="F870" s="7" t="s">
        <v>15615</v>
      </c>
      <c r="G870" s="7" t="s">
        <v>15616</v>
      </c>
      <c r="H870" s="7" t="s">
        <v>146</v>
      </c>
      <c r="I870" s="7" t="s">
        <v>15617</v>
      </c>
      <c r="J870" s="7" t="s">
        <v>112</v>
      </c>
      <c r="K870" s="7" t="s">
        <v>15618</v>
      </c>
    </row>
    <row r="871" customFormat="false" ht="35.05" hidden="false" customHeight="false" outlineLevel="0" collapsed="false">
      <c r="A871" s="7" t="n">
        <v>870</v>
      </c>
      <c r="B871" s="7" t="s">
        <v>4906</v>
      </c>
      <c r="C871" s="7" t="n">
        <v>2014</v>
      </c>
      <c r="D871" s="7" t="s">
        <v>4907</v>
      </c>
      <c r="E871" s="7" t="s">
        <v>151</v>
      </c>
      <c r="F871" s="7" t="s">
        <v>4908</v>
      </c>
      <c r="G871" s="7" t="s">
        <v>4909</v>
      </c>
      <c r="H871" s="7" t="s">
        <v>146</v>
      </c>
      <c r="I871" s="7" t="s">
        <v>4910</v>
      </c>
      <c r="J871" s="7" t="s">
        <v>112</v>
      </c>
      <c r="K871" s="7" t="s">
        <v>4911</v>
      </c>
    </row>
    <row r="872" customFormat="false" ht="35.05" hidden="false" customHeight="false" outlineLevel="0" collapsed="false">
      <c r="A872" s="7" t="n">
        <v>871</v>
      </c>
      <c r="B872" s="7" t="s">
        <v>3311</v>
      </c>
      <c r="C872" s="7" t="n">
        <v>2008</v>
      </c>
      <c r="D872" s="7" t="s">
        <v>4912</v>
      </c>
      <c r="E872" s="7" t="s">
        <v>143</v>
      </c>
      <c r="F872" s="7" t="s">
        <v>4913</v>
      </c>
      <c r="G872" s="7" t="s">
        <v>1319</v>
      </c>
      <c r="H872" s="7" t="s">
        <v>153</v>
      </c>
      <c r="I872" s="7" t="s">
        <v>4914</v>
      </c>
      <c r="J872" s="7" t="s">
        <v>112</v>
      </c>
      <c r="K872" s="7" t="s">
        <v>4915</v>
      </c>
    </row>
    <row r="873" customFormat="false" ht="35.05" hidden="false" customHeight="false" outlineLevel="0" collapsed="false">
      <c r="A873" s="7" t="n">
        <v>872</v>
      </c>
      <c r="B873" s="7" t="s">
        <v>4916</v>
      </c>
      <c r="C873" s="7" t="n">
        <v>2013</v>
      </c>
      <c r="D873" s="7" t="s">
        <v>4917</v>
      </c>
      <c r="E873" s="7" t="s">
        <v>143</v>
      </c>
      <c r="F873" s="7" t="s">
        <v>4918</v>
      </c>
      <c r="G873" s="7" t="s">
        <v>479</v>
      </c>
      <c r="H873" s="7" t="s">
        <v>153</v>
      </c>
      <c r="I873" s="7" t="s">
        <v>4919</v>
      </c>
      <c r="J873" s="7" t="s">
        <v>112</v>
      </c>
      <c r="K873" s="7" t="s">
        <v>4920</v>
      </c>
    </row>
    <row r="874" customFormat="false" ht="35.05" hidden="false" customHeight="false" outlineLevel="0" collapsed="false">
      <c r="A874" s="7" t="n">
        <v>873</v>
      </c>
      <c r="B874" s="7" t="s">
        <v>4921</v>
      </c>
      <c r="C874" s="7" t="n">
        <v>2018</v>
      </c>
      <c r="D874" s="7" t="s">
        <v>4922</v>
      </c>
      <c r="E874" s="7" t="s">
        <v>579</v>
      </c>
      <c r="F874" s="7" t="s">
        <v>1461</v>
      </c>
      <c r="G874" s="7" t="s">
        <v>4923</v>
      </c>
      <c r="H874" s="7" t="s">
        <v>153</v>
      </c>
      <c r="I874" s="7" t="s">
        <v>4924</v>
      </c>
      <c r="J874" s="7" t="s">
        <v>114</v>
      </c>
      <c r="K874" s="7" t="s">
        <v>4925</v>
      </c>
    </row>
    <row r="875" customFormat="false" ht="35.05" hidden="false" customHeight="false" outlineLevel="0" collapsed="false">
      <c r="A875" s="7" t="n">
        <v>874</v>
      </c>
      <c r="B875" s="7" t="s">
        <v>4926</v>
      </c>
      <c r="C875" s="7" t="n">
        <v>2011</v>
      </c>
      <c r="D875" s="7" t="s">
        <v>4927</v>
      </c>
      <c r="E875" s="7" t="s">
        <v>143</v>
      </c>
      <c r="F875" s="7" t="s">
        <v>4928</v>
      </c>
      <c r="G875" s="7" t="s">
        <v>187</v>
      </c>
      <c r="H875" s="7" t="s">
        <v>153</v>
      </c>
      <c r="I875" s="7" t="s">
        <v>4929</v>
      </c>
      <c r="J875" s="7" t="s">
        <v>114</v>
      </c>
      <c r="K875" s="7" t="s">
        <v>4930</v>
      </c>
    </row>
    <row r="876" customFormat="false" ht="35.05" hidden="false" customHeight="false" outlineLevel="0" collapsed="false">
      <c r="A876" s="7" t="n">
        <v>875</v>
      </c>
      <c r="B876" s="7" t="s">
        <v>4931</v>
      </c>
      <c r="C876" s="7" t="n">
        <v>2013</v>
      </c>
      <c r="D876" s="7" t="s">
        <v>4932</v>
      </c>
      <c r="E876" s="7" t="s">
        <v>579</v>
      </c>
      <c r="F876" s="7" t="s">
        <v>4933</v>
      </c>
      <c r="G876" s="7" t="s">
        <v>187</v>
      </c>
      <c r="H876" s="7" t="s">
        <v>146</v>
      </c>
      <c r="I876" s="7" t="s">
        <v>4934</v>
      </c>
      <c r="J876" s="7" t="s">
        <v>112</v>
      </c>
      <c r="K876" s="7" t="s">
        <v>4935</v>
      </c>
    </row>
    <row r="877" customFormat="false" ht="57.45" hidden="false" customHeight="false" outlineLevel="0" collapsed="false">
      <c r="A877" s="7" t="n">
        <v>876</v>
      </c>
      <c r="B877" s="7" t="s">
        <v>4936</v>
      </c>
      <c r="C877" s="7" t="n">
        <v>2015</v>
      </c>
      <c r="D877" s="7" t="s">
        <v>4937</v>
      </c>
      <c r="E877" s="7" t="s">
        <v>143</v>
      </c>
      <c r="F877" s="7" t="s">
        <v>15619</v>
      </c>
      <c r="G877" s="7" t="s">
        <v>145</v>
      </c>
      <c r="H877" s="7" t="s">
        <v>15620</v>
      </c>
      <c r="I877" s="7" t="s">
        <v>15621</v>
      </c>
      <c r="J877" s="7" t="s">
        <v>112</v>
      </c>
      <c r="K877" s="7" t="s">
        <v>15622</v>
      </c>
    </row>
    <row r="878" customFormat="false" ht="68.65" hidden="false" customHeight="false" outlineLevel="0" collapsed="false">
      <c r="A878" s="7" t="n">
        <v>877</v>
      </c>
      <c r="B878" s="7" t="s">
        <v>15623</v>
      </c>
      <c r="C878" s="7" t="n">
        <v>2005</v>
      </c>
      <c r="D878" s="7" t="s">
        <v>4945</v>
      </c>
      <c r="E878" s="7" t="s">
        <v>579</v>
      </c>
      <c r="F878" s="7" t="s">
        <v>15624</v>
      </c>
      <c r="G878" s="7" t="s">
        <v>15625</v>
      </c>
      <c r="H878" s="7" t="s">
        <v>146</v>
      </c>
      <c r="I878" s="7" t="s">
        <v>15626</v>
      </c>
      <c r="J878" s="7" t="s">
        <v>112</v>
      </c>
      <c r="K878" s="7" t="s">
        <v>15627</v>
      </c>
    </row>
    <row r="879" customFormat="false" ht="57.45" hidden="false" customHeight="false" outlineLevel="0" collapsed="false">
      <c r="A879" s="7" t="n">
        <v>878</v>
      </c>
      <c r="B879" s="7" t="s">
        <v>4949</v>
      </c>
      <c r="C879" s="7" t="n">
        <v>2013</v>
      </c>
      <c r="D879" s="7" t="s">
        <v>4950</v>
      </c>
      <c r="E879" s="7" t="s">
        <v>143</v>
      </c>
      <c r="F879" s="7" t="s">
        <v>15628</v>
      </c>
      <c r="G879" s="7" t="s">
        <v>145</v>
      </c>
      <c r="H879" s="7" t="s">
        <v>15142</v>
      </c>
      <c r="I879" s="7" t="s">
        <v>15629</v>
      </c>
      <c r="J879" s="7" t="s">
        <v>112</v>
      </c>
      <c r="K879" s="7" t="s">
        <v>15630</v>
      </c>
    </row>
    <row r="880" customFormat="false" ht="35.05" hidden="false" customHeight="false" outlineLevel="0" collapsed="false">
      <c r="A880" s="7" t="n">
        <v>879</v>
      </c>
      <c r="B880" s="7" t="s">
        <v>4954</v>
      </c>
      <c r="C880" s="7" t="n">
        <v>2015</v>
      </c>
      <c r="D880" s="7" t="s">
        <v>4955</v>
      </c>
      <c r="E880" s="7" t="s">
        <v>143</v>
      </c>
      <c r="F880" s="7" t="s">
        <v>626</v>
      </c>
      <c r="G880" s="7" t="s">
        <v>145</v>
      </c>
      <c r="H880" s="7" t="s">
        <v>153</v>
      </c>
      <c r="I880" s="7" t="s">
        <v>4956</v>
      </c>
      <c r="J880" s="7" t="s">
        <v>112</v>
      </c>
      <c r="K880" s="7" t="s">
        <v>4957</v>
      </c>
    </row>
    <row r="881" customFormat="false" ht="46.25" hidden="false" customHeight="false" outlineLevel="0" collapsed="false">
      <c r="A881" s="7" t="n">
        <v>880</v>
      </c>
      <c r="B881" s="7" t="s">
        <v>4963</v>
      </c>
      <c r="C881" s="7" t="n">
        <v>2015</v>
      </c>
      <c r="D881" s="7" t="s">
        <v>4964</v>
      </c>
      <c r="E881" s="7" t="s">
        <v>15631</v>
      </c>
      <c r="F881" s="7" t="s">
        <v>197</v>
      </c>
      <c r="G881" s="7" t="s">
        <v>145</v>
      </c>
      <c r="H881" s="7" t="s">
        <v>153</v>
      </c>
      <c r="I881" s="7" t="s">
        <v>15632</v>
      </c>
      <c r="J881" s="7" t="s">
        <v>112</v>
      </c>
      <c r="K881" s="7" t="s">
        <v>15633</v>
      </c>
    </row>
    <row r="882" customFormat="false" ht="35.05" hidden="false" customHeight="false" outlineLevel="0" collapsed="false">
      <c r="A882" s="7" t="n">
        <v>881</v>
      </c>
      <c r="B882" s="7" t="s">
        <v>4970</v>
      </c>
      <c r="C882" s="7" t="n">
        <v>2010</v>
      </c>
      <c r="D882" s="7" t="s">
        <v>4971</v>
      </c>
      <c r="E882" s="7" t="s">
        <v>143</v>
      </c>
      <c r="F882" s="7" t="s">
        <v>4972</v>
      </c>
      <c r="G882" s="7" t="s">
        <v>901</v>
      </c>
      <c r="H882" s="7" t="s">
        <v>146</v>
      </c>
      <c r="I882" s="7" t="s">
        <v>4973</v>
      </c>
      <c r="J882" s="7" t="s">
        <v>112</v>
      </c>
      <c r="K882" s="7" t="s">
        <v>4974</v>
      </c>
    </row>
    <row r="883" customFormat="false" ht="57.45" hidden="false" customHeight="false" outlineLevel="0" collapsed="false">
      <c r="A883" s="7" t="n">
        <v>882</v>
      </c>
      <c r="B883" s="7" t="s">
        <v>15634</v>
      </c>
      <c r="C883" s="7" t="n">
        <v>2015</v>
      </c>
      <c r="D883" s="7" t="s">
        <v>4976</v>
      </c>
      <c r="E883" s="7" t="s">
        <v>143</v>
      </c>
      <c r="F883" s="7" t="s">
        <v>15635</v>
      </c>
      <c r="G883" s="7" t="s">
        <v>145</v>
      </c>
      <c r="H883" s="7" t="s">
        <v>153</v>
      </c>
      <c r="I883" s="7" t="s">
        <v>15636</v>
      </c>
      <c r="J883" s="7" t="s">
        <v>112</v>
      </c>
      <c r="K883" s="7" t="s">
        <v>15637</v>
      </c>
    </row>
    <row r="884" customFormat="false" ht="35.05" hidden="false" customHeight="false" outlineLevel="0" collapsed="false">
      <c r="A884" s="7" t="n">
        <v>883</v>
      </c>
      <c r="B884" s="7" t="s">
        <v>4983</v>
      </c>
      <c r="C884" s="7" t="n">
        <v>2011</v>
      </c>
      <c r="D884" s="7" t="s">
        <v>4984</v>
      </c>
      <c r="E884" s="7" t="s">
        <v>143</v>
      </c>
      <c r="F884" s="7" t="s">
        <v>3448</v>
      </c>
      <c r="G884" s="7" t="s">
        <v>1373</v>
      </c>
      <c r="H884" s="7" t="s">
        <v>146</v>
      </c>
      <c r="I884" s="7" t="s">
        <v>4985</v>
      </c>
      <c r="J884" s="7"/>
      <c r="K884" s="7" t="s">
        <v>4986</v>
      </c>
    </row>
    <row r="885" customFormat="false" ht="35.05" hidden="false" customHeight="false" outlineLevel="0" collapsed="false">
      <c r="A885" s="7" t="n">
        <v>884</v>
      </c>
      <c r="B885" s="7" t="s">
        <v>4987</v>
      </c>
      <c r="C885" s="7" t="n">
        <v>2008</v>
      </c>
      <c r="D885" s="7" t="s">
        <v>4988</v>
      </c>
      <c r="E885" s="7" t="s">
        <v>143</v>
      </c>
      <c r="F885" s="7" t="s">
        <v>4989</v>
      </c>
      <c r="G885" s="7" t="s">
        <v>338</v>
      </c>
      <c r="H885" s="7" t="s">
        <v>146</v>
      </c>
      <c r="I885" s="7" t="s">
        <v>4990</v>
      </c>
      <c r="J885" s="7" t="s">
        <v>112</v>
      </c>
      <c r="K885" s="7" t="s">
        <v>4991</v>
      </c>
    </row>
    <row r="886" customFormat="false" ht="35.05" hidden="false" customHeight="false" outlineLevel="0" collapsed="false">
      <c r="A886" s="7" t="n">
        <v>885</v>
      </c>
      <c r="B886" s="7" t="s">
        <v>4992</v>
      </c>
      <c r="C886" s="7" t="n">
        <v>2005</v>
      </c>
      <c r="D886" s="7" t="s">
        <v>4993</v>
      </c>
      <c r="E886" s="7" t="s">
        <v>201</v>
      </c>
      <c r="F886" s="7" t="s">
        <v>364</v>
      </c>
      <c r="G886" s="7" t="s">
        <v>145</v>
      </c>
      <c r="H886" s="7" t="s">
        <v>153</v>
      </c>
      <c r="I886" s="7" t="s">
        <v>4994</v>
      </c>
      <c r="J886" s="7"/>
      <c r="K886" s="7" t="s">
        <v>4995</v>
      </c>
    </row>
    <row r="887" customFormat="false" ht="35.05" hidden="false" customHeight="false" outlineLevel="0" collapsed="false">
      <c r="A887" s="7" t="n">
        <v>886</v>
      </c>
      <c r="B887" s="7" t="s">
        <v>4996</v>
      </c>
      <c r="C887" s="7" t="n">
        <v>2015</v>
      </c>
      <c r="D887" s="7" t="s">
        <v>4997</v>
      </c>
      <c r="E887" s="7" t="s">
        <v>201</v>
      </c>
      <c r="F887" s="7" t="s">
        <v>4918</v>
      </c>
      <c r="G887" s="7" t="s">
        <v>187</v>
      </c>
      <c r="H887" s="7" t="s">
        <v>153</v>
      </c>
      <c r="I887" s="7" t="s">
        <v>4998</v>
      </c>
      <c r="J887" s="7" t="s">
        <v>114</v>
      </c>
      <c r="K887" s="7" t="s">
        <v>4999</v>
      </c>
    </row>
    <row r="888" customFormat="false" ht="35.05" hidden="false" customHeight="false" outlineLevel="0" collapsed="false">
      <c r="A888" s="7" t="n">
        <v>887</v>
      </c>
      <c r="B888" s="7" t="s">
        <v>5000</v>
      </c>
      <c r="C888" s="7" t="n">
        <v>2011</v>
      </c>
      <c r="D888" s="7" t="s">
        <v>5001</v>
      </c>
      <c r="E888" s="7" t="s">
        <v>143</v>
      </c>
      <c r="F888" s="7" t="s">
        <v>5002</v>
      </c>
      <c r="G888" s="7" t="s">
        <v>187</v>
      </c>
      <c r="H888" s="7" t="s">
        <v>153</v>
      </c>
      <c r="I888" s="7" t="s">
        <v>5003</v>
      </c>
      <c r="J888" s="7"/>
      <c r="K888" s="7" t="s">
        <v>5004</v>
      </c>
    </row>
    <row r="889" customFormat="false" ht="35.05" hidden="false" customHeight="false" outlineLevel="0" collapsed="false">
      <c r="A889" s="7" t="n">
        <v>888</v>
      </c>
      <c r="B889" s="7" t="s">
        <v>5005</v>
      </c>
      <c r="C889" s="7" t="n">
        <v>2015</v>
      </c>
      <c r="D889" s="7" t="s">
        <v>5006</v>
      </c>
      <c r="E889" s="7" t="s">
        <v>143</v>
      </c>
      <c r="F889" s="7" t="s">
        <v>5007</v>
      </c>
      <c r="G889" s="7" t="s">
        <v>1319</v>
      </c>
      <c r="H889" s="7" t="s">
        <v>153</v>
      </c>
      <c r="I889" s="7" t="s">
        <v>5008</v>
      </c>
      <c r="J889" s="7"/>
      <c r="K889" s="7" t="s">
        <v>5009</v>
      </c>
    </row>
    <row r="890" customFormat="false" ht="35.05" hidden="false" customHeight="false" outlineLevel="0" collapsed="false">
      <c r="A890" s="7" t="n">
        <v>889</v>
      </c>
      <c r="B890" s="7" t="s">
        <v>5010</v>
      </c>
      <c r="C890" s="7" t="n">
        <v>2010</v>
      </c>
      <c r="D890" s="7" t="s">
        <v>5011</v>
      </c>
      <c r="E890" s="7" t="s">
        <v>201</v>
      </c>
      <c r="F890" s="7" t="s">
        <v>5012</v>
      </c>
      <c r="G890" s="7" t="s">
        <v>145</v>
      </c>
      <c r="H890" s="7" t="s">
        <v>153</v>
      </c>
      <c r="I890" s="7" t="s">
        <v>5013</v>
      </c>
      <c r="J890" s="7" t="s">
        <v>116</v>
      </c>
      <c r="K890" s="7" t="s">
        <v>5014</v>
      </c>
    </row>
    <row r="891" customFormat="false" ht="35.05" hidden="false" customHeight="false" outlineLevel="0" collapsed="false">
      <c r="A891" s="7" t="n">
        <v>890</v>
      </c>
      <c r="B891" s="7" t="s">
        <v>5015</v>
      </c>
      <c r="C891" s="7" t="n">
        <v>1973</v>
      </c>
      <c r="D891" s="7" t="s">
        <v>5016</v>
      </c>
      <c r="E891" s="7" t="s">
        <v>143</v>
      </c>
      <c r="F891" s="7" t="s">
        <v>5017</v>
      </c>
      <c r="G891" s="7" t="s">
        <v>187</v>
      </c>
      <c r="H891" s="7" t="s">
        <v>153</v>
      </c>
      <c r="I891" s="7" t="s">
        <v>5018</v>
      </c>
      <c r="J891" s="7" t="s">
        <v>112</v>
      </c>
      <c r="K891" s="7" t="s">
        <v>5019</v>
      </c>
    </row>
    <row r="892" customFormat="false" ht="35.05" hidden="false" customHeight="false" outlineLevel="0" collapsed="false">
      <c r="A892" s="7" t="n">
        <v>891</v>
      </c>
      <c r="B892" s="7" t="s">
        <v>3203</v>
      </c>
      <c r="C892" s="7" t="n">
        <v>2012</v>
      </c>
      <c r="D892" s="7" t="s">
        <v>5020</v>
      </c>
      <c r="E892" s="7" t="s">
        <v>143</v>
      </c>
      <c r="F892" s="7" t="s">
        <v>5021</v>
      </c>
      <c r="G892" s="7" t="s">
        <v>187</v>
      </c>
      <c r="H892" s="7" t="s">
        <v>146</v>
      </c>
      <c r="I892" s="7" t="s">
        <v>5022</v>
      </c>
      <c r="J892" s="7" t="s">
        <v>112</v>
      </c>
      <c r="K892" s="7" t="s">
        <v>5023</v>
      </c>
    </row>
    <row r="893" customFormat="false" ht="35.05" hidden="false" customHeight="false" outlineLevel="0" collapsed="false">
      <c r="A893" s="7" t="n">
        <v>892</v>
      </c>
      <c r="B893" s="7" t="s">
        <v>3203</v>
      </c>
      <c r="C893" s="7" t="n">
        <v>2017</v>
      </c>
      <c r="D893" s="7" t="s">
        <v>5024</v>
      </c>
      <c r="E893" s="7" t="s">
        <v>143</v>
      </c>
      <c r="F893" s="7" t="s">
        <v>5025</v>
      </c>
      <c r="G893" s="7" t="s">
        <v>187</v>
      </c>
      <c r="H893" s="7" t="s">
        <v>153</v>
      </c>
      <c r="I893" s="7" t="s">
        <v>5026</v>
      </c>
      <c r="J893" s="7" t="s">
        <v>112</v>
      </c>
      <c r="K893" s="7" t="s">
        <v>5027</v>
      </c>
    </row>
    <row r="894" customFormat="false" ht="68.65" hidden="false" customHeight="false" outlineLevel="0" collapsed="false">
      <c r="A894" s="7" t="n">
        <v>893</v>
      </c>
      <c r="B894" s="7" t="s">
        <v>5028</v>
      </c>
      <c r="C894" s="7" t="n">
        <v>2014</v>
      </c>
      <c r="D894" s="7" t="s">
        <v>5029</v>
      </c>
      <c r="E894" s="7" t="s">
        <v>15123</v>
      </c>
      <c r="F894" s="7" t="s">
        <v>15638</v>
      </c>
      <c r="G894" s="7" t="s">
        <v>512</v>
      </c>
      <c r="H894" s="7" t="s">
        <v>146</v>
      </c>
      <c r="I894" s="7" t="s">
        <v>15639</v>
      </c>
      <c r="J894" s="7" t="s">
        <v>112</v>
      </c>
      <c r="K894" s="7" t="s">
        <v>15640</v>
      </c>
    </row>
    <row r="895" customFormat="false" ht="35.05" hidden="false" customHeight="false" outlineLevel="0" collapsed="false">
      <c r="A895" s="7" t="n">
        <v>894</v>
      </c>
      <c r="B895" s="7" t="s">
        <v>5035</v>
      </c>
      <c r="C895" s="7" t="n">
        <v>1989</v>
      </c>
      <c r="D895" s="7" t="s">
        <v>5036</v>
      </c>
      <c r="E895" s="7" t="s">
        <v>143</v>
      </c>
      <c r="F895" s="7" t="s">
        <v>348</v>
      </c>
      <c r="G895" s="7" t="s">
        <v>4960</v>
      </c>
      <c r="H895" s="7" t="s">
        <v>146</v>
      </c>
      <c r="I895" s="7" t="s">
        <v>5037</v>
      </c>
      <c r="J895" s="7"/>
      <c r="K895" s="7" t="s">
        <v>5038</v>
      </c>
    </row>
    <row r="896" customFormat="false" ht="46.25" hidden="false" customHeight="false" outlineLevel="0" collapsed="false">
      <c r="A896" s="7" t="n">
        <v>895</v>
      </c>
      <c r="B896" s="7" t="s">
        <v>5039</v>
      </c>
      <c r="C896" s="7" t="n">
        <v>2019</v>
      </c>
      <c r="D896" s="7" t="s">
        <v>5040</v>
      </c>
      <c r="E896" s="7" t="s">
        <v>143</v>
      </c>
      <c r="F896" s="7" t="s">
        <v>15641</v>
      </c>
      <c r="G896" s="7" t="s">
        <v>5042</v>
      </c>
      <c r="H896" s="7" t="s">
        <v>146</v>
      </c>
      <c r="I896" s="7" t="s">
        <v>15642</v>
      </c>
      <c r="J896" s="7" t="s">
        <v>116</v>
      </c>
      <c r="K896" s="7" t="s">
        <v>15643</v>
      </c>
    </row>
    <row r="897" customFormat="false" ht="23.85" hidden="false" customHeight="false" outlineLevel="0" collapsed="false">
      <c r="A897" s="7" t="n">
        <v>896</v>
      </c>
      <c r="B897" s="7" t="s">
        <v>5048</v>
      </c>
      <c r="C897" s="7" t="n">
        <v>2019</v>
      </c>
      <c r="D897" s="7" t="s">
        <v>5049</v>
      </c>
      <c r="E897" s="7" t="s">
        <v>201</v>
      </c>
      <c r="F897" s="7" t="s">
        <v>5050</v>
      </c>
      <c r="G897" s="7" t="s">
        <v>2248</v>
      </c>
      <c r="H897" s="7" t="s">
        <v>522</v>
      </c>
      <c r="I897" s="7" t="s">
        <v>5051</v>
      </c>
      <c r="J897" s="7"/>
      <c r="K897" s="7" t="s">
        <v>5052</v>
      </c>
    </row>
    <row r="898" customFormat="false" ht="23.85" hidden="false" customHeight="false" outlineLevel="0" collapsed="false">
      <c r="A898" s="7" t="n">
        <v>897</v>
      </c>
      <c r="B898" s="7" t="s">
        <v>5053</v>
      </c>
      <c r="C898" s="7" t="n">
        <v>2019</v>
      </c>
      <c r="D898" s="7" t="s">
        <v>5054</v>
      </c>
      <c r="E898" s="7" t="s">
        <v>143</v>
      </c>
      <c r="F898" s="7" t="s">
        <v>5055</v>
      </c>
      <c r="G898" s="7" t="s">
        <v>3647</v>
      </c>
      <c r="H898" s="7" t="s">
        <v>146</v>
      </c>
      <c r="I898" s="7" t="s">
        <v>5056</v>
      </c>
      <c r="J898" s="7" t="s">
        <v>112</v>
      </c>
      <c r="K898" s="7" t="s">
        <v>5057</v>
      </c>
    </row>
    <row r="899" customFormat="false" ht="35.05" hidden="false" customHeight="false" outlineLevel="0" collapsed="false">
      <c r="A899" s="7" t="n">
        <v>898</v>
      </c>
      <c r="B899" s="7" t="s">
        <v>5058</v>
      </c>
      <c r="C899" s="7" t="n">
        <v>2025</v>
      </c>
      <c r="D899" s="7" t="s">
        <v>5059</v>
      </c>
      <c r="E899" s="7" t="s">
        <v>143</v>
      </c>
      <c r="F899" s="7" t="s">
        <v>5060</v>
      </c>
      <c r="G899" s="7" t="s">
        <v>678</v>
      </c>
      <c r="H899" s="7" t="s">
        <v>146</v>
      </c>
      <c r="I899" s="7" t="s">
        <v>5061</v>
      </c>
      <c r="J899" s="7" t="s">
        <v>110</v>
      </c>
      <c r="K899" s="7" t="s">
        <v>5062</v>
      </c>
    </row>
    <row r="900" customFormat="false" ht="35.05" hidden="false" customHeight="false" outlineLevel="0" collapsed="false">
      <c r="A900" s="7" t="n">
        <v>899</v>
      </c>
      <c r="B900" s="7" t="s">
        <v>5063</v>
      </c>
      <c r="C900" s="7" t="n">
        <v>2013</v>
      </c>
      <c r="D900" s="7" t="s">
        <v>5064</v>
      </c>
      <c r="E900" s="7" t="s">
        <v>151</v>
      </c>
      <c r="F900" s="7" t="s">
        <v>5065</v>
      </c>
      <c r="G900" s="7" t="s">
        <v>490</v>
      </c>
      <c r="H900" s="7" t="s">
        <v>146</v>
      </c>
      <c r="I900" s="7" t="s">
        <v>5066</v>
      </c>
      <c r="J900" s="7" t="s">
        <v>116</v>
      </c>
      <c r="K900" s="7" t="s">
        <v>5067</v>
      </c>
    </row>
    <row r="901" customFormat="false" ht="35.05" hidden="false" customHeight="false" outlineLevel="0" collapsed="false">
      <c r="A901" s="7" t="n">
        <v>900</v>
      </c>
      <c r="B901" s="7" t="s">
        <v>5068</v>
      </c>
      <c r="C901" s="7" t="n">
        <v>2023</v>
      </c>
      <c r="D901" s="7" t="s">
        <v>5069</v>
      </c>
      <c r="E901" s="7" t="s">
        <v>153</v>
      </c>
      <c r="F901" s="7" t="s">
        <v>5070</v>
      </c>
      <c r="G901" s="7" t="s">
        <v>145</v>
      </c>
      <c r="H901" s="7" t="s">
        <v>146</v>
      </c>
      <c r="I901" s="7" t="s">
        <v>5071</v>
      </c>
      <c r="J901" s="7" t="s">
        <v>112</v>
      </c>
      <c r="K901" s="7" t="s">
        <v>5072</v>
      </c>
    </row>
    <row r="902" customFormat="false" ht="35.05" hidden="false" customHeight="false" outlineLevel="0" collapsed="false">
      <c r="A902" s="7" t="n">
        <v>901</v>
      </c>
      <c r="B902" s="7" t="s">
        <v>5073</v>
      </c>
      <c r="C902" s="7" t="n">
        <v>2025</v>
      </c>
      <c r="D902" s="7" t="s">
        <v>5074</v>
      </c>
      <c r="E902" s="7" t="s">
        <v>143</v>
      </c>
      <c r="F902" s="7" t="s">
        <v>5075</v>
      </c>
      <c r="G902" s="7" t="s">
        <v>145</v>
      </c>
      <c r="H902" s="7" t="s">
        <v>522</v>
      </c>
      <c r="I902" s="7" t="s">
        <v>5076</v>
      </c>
      <c r="J902" s="7" t="s">
        <v>112</v>
      </c>
      <c r="K902" s="7" t="s">
        <v>5077</v>
      </c>
    </row>
    <row r="903" customFormat="false" ht="35.05" hidden="false" customHeight="false" outlineLevel="0" collapsed="false">
      <c r="A903" s="7" t="n">
        <v>902</v>
      </c>
      <c r="B903" s="7" t="s">
        <v>5078</v>
      </c>
      <c r="C903" s="7" t="n">
        <v>2024</v>
      </c>
      <c r="D903" s="7" t="s">
        <v>5079</v>
      </c>
      <c r="E903" s="7" t="s">
        <v>143</v>
      </c>
      <c r="F903" s="7" t="s">
        <v>5080</v>
      </c>
      <c r="G903" s="7" t="s">
        <v>145</v>
      </c>
      <c r="H903" s="7" t="s">
        <v>146</v>
      </c>
      <c r="I903" s="7" t="s">
        <v>5081</v>
      </c>
      <c r="J903" s="7" t="s">
        <v>110</v>
      </c>
      <c r="K903" s="7" t="s">
        <v>5082</v>
      </c>
    </row>
    <row r="904" customFormat="false" ht="23.85" hidden="false" customHeight="false" outlineLevel="0" collapsed="false">
      <c r="A904" s="7" t="n">
        <v>903</v>
      </c>
      <c r="B904" s="7" t="s">
        <v>5083</v>
      </c>
      <c r="C904" s="7" t="n">
        <v>2018</v>
      </c>
      <c r="D904" s="7" t="s">
        <v>5084</v>
      </c>
      <c r="E904" s="7" t="s">
        <v>143</v>
      </c>
      <c r="F904" s="7" t="s">
        <v>5050</v>
      </c>
      <c r="G904" s="7" t="s">
        <v>285</v>
      </c>
      <c r="H904" s="7" t="s">
        <v>146</v>
      </c>
      <c r="I904" s="7" t="s">
        <v>5043</v>
      </c>
      <c r="J904" s="7"/>
      <c r="K904" s="7" t="s">
        <v>5085</v>
      </c>
    </row>
    <row r="905" customFormat="false" ht="23.85" hidden="false" customHeight="false" outlineLevel="0" collapsed="false">
      <c r="A905" s="7" t="n">
        <v>904</v>
      </c>
      <c r="B905" s="7" t="s">
        <v>5086</v>
      </c>
      <c r="C905" s="7" t="n">
        <v>2015</v>
      </c>
      <c r="D905" s="7" t="s">
        <v>5087</v>
      </c>
      <c r="E905" s="7" t="s">
        <v>151</v>
      </c>
      <c r="F905" s="7" t="s">
        <v>5088</v>
      </c>
      <c r="G905" s="7" t="s">
        <v>678</v>
      </c>
      <c r="H905" s="7" t="s">
        <v>522</v>
      </c>
      <c r="I905" s="7" t="s">
        <v>5089</v>
      </c>
      <c r="J905" s="7"/>
      <c r="K905" s="7" t="s">
        <v>5090</v>
      </c>
    </row>
    <row r="906" customFormat="false" ht="23.85" hidden="false" customHeight="false" outlineLevel="0" collapsed="false">
      <c r="A906" s="7" t="n">
        <v>905</v>
      </c>
      <c r="B906" s="7" t="s">
        <v>5091</v>
      </c>
      <c r="C906" s="7" t="n">
        <v>2016</v>
      </c>
      <c r="D906" s="7" t="s">
        <v>5092</v>
      </c>
      <c r="E906" s="7" t="s">
        <v>151</v>
      </c>
      <c r="F906" s="7" t="s">
        <v>5093</v>
      </c>
      <c r="G906" s="7" t="s">
        <v>5094</v>
      </c>
      <c r="H906" s="7" t="s">
        <v>522</v>
      </c>
      <c r="I906" s="7" t="s">
        <v>1609</v>
      </c>
      <c r="J906" s="7"/>
      <c r="K906" s="7" t="s">
        <v>5095</v>
      </c>
    </row>
    <row r="907" customFormat="false" ht="23.85" hidden="false" customHeight="false" outlineLevel="0" collapsed="false">
      <c r="A907" s="7" t="n">
        <v>906</v>
      </c>
      <c r="B907" s="7" t="s">
        <v>5096</v>
      </c>
      <c r="C907" s="7" t="n">
        <v>2022</v>
      </c>
      <c r="D907" s="7" t="s">
        <v>5097</v>
      </c>
      <c r="E907" s="7" t="s">
        <v>143</v>
      </c>
      <c r="F907" s="7" t="s">
        <v>5098</v>
      </c>
      <c r="G907" s="7" t="s">
        <v>5099</v>
      </c>
      <c r="H907" s="7" t="s">
        <v>146</v>
      </c>
      <c r="I907" s="7" t="s">
        <v>5043</v>
      </c>
      <c r="J907" s="7" t="s">
        <v>112</v>
      </c>
      <c r="K907" s="7" t="s">
        <v>5100</v>
      </c>
    </row>
    <row r="908" customFormat="false" ht="35.05" hidden="false" customHeight="false" outlineLevel="0" collapsed="false">
      <c r="A908" s="7" t="n">
        <v>907</v>
      </c>
      <c r="B908" s="7" t="s">
        <v>5101</v>
      </c>
      <c r="C908" s="7" t="n">
        <v>2020</v>
      </c>
      <c r="D908" s="7" t="s">
        <v>5102</v>
      </c>
      <c r="E908" s="7" t="s">
        <v>143</v>
      </c>
      <c r="F908" s="7" t="s">
        <v>5103</v>
      </c>
      <c r="G908" s="7" t="s">
        <v>1213</v>
      </c>
      <c r="H908" s="7" t="s">
        <v>146</v>
      </c>
      <c r="I908" s="7" t="s">
        <v>5104</v>
      </c>
      <c r="J908" s="7" t="s">
        <v>112</v>
      </c>
      <c r="K908" s="7" t="s">
        <v>5105</v>
      </c>
    </row>
    <row r="909" customFormat="false" ht="35.05" hidden="false" customHeight="false" outlineLevel="0" collapsed="false">
      <c r="A909" s="7" t="n">
        <v>908</v>
      </c>
      <c r="B909" s="7" t="s">
        <v>5106</v>
      </c>
      <c r="C909" s="7" t="n">
        <v>2024</v>
      </c>
      <c r="D909" s="7" t="s">
        <v>5107</v>
      </c>
      <c r="E909" s="7" t="s">
        <v>153</v>
      </c>
      <c r="F909" s="7" t="s">
        <v>5108</v>
      </c>
      <c r="G909" s="7" t="s">
        <v>5109</v>
      </c>
      <c r="H909" s="7" t="s">
        <v>146</v>
      </c>
      <c r="I909" s="7" t="s">
        <v>5110</v>
      </c>
      <c r="J909" s="7" t="s">
        <v>116</v>
      </c>
      <c r="K909" s="7" t="s">
        <v>5111</v>
      </c>
    </row>
    <row r="910" customFormat="false" ht="35.05" hidden="false" customHeight="false" outlineLevel="0" collapsed="false">
      <c r="A910" s="7" t="n">
        <v>909</v>
      </c>
      <c r="B910" s="7" t="s">
        <v>669</v>
      </c>
      <c r="C910" s="7" t="n">
        <v>2018</v>
      </c>
      <c r="D910" s="7" t="s">
        <v>5112</v>
      </c>
      <c r="E910" s="7" t="s">
        <v>143</v>
      </c>
      <c r="F910" s="7" t="s">
        <v>5045</v>
      </c>
      <c r="G910" s="7" t="s">
        <v>145</v>
      </c>
      <c r="H910" s="7" t="s">
        <v>153</v>
      </c>
      <c r="I910" s="7" t="s">
        <v>5113</v>
      </c>
      <c r="J910" s="7" t="s">
        <v>116</v>
      </c>
      <c r="K910" s="7" t="s">
        <v>5114</v>
      </c>
    </row>
    <row r="911" customFormat="false" ht="46.25" hidden="false" customHeight="false" outlineLevel="0" collapsed="false">
      <c r="A911" s="7" t="n">
        <v>910</v>
      </c>
      <c r="B911" s="7" t="s">
        <v>5115</v>
      </c>
      <c r="C911" s="7" t="n">
        <v>2024</v>
      </c>
      <c r="D911" s="7" t="s">
        <v>5116</v>
      </c>
      <c r="E911" s="7" t="s">
        <v>143</v>
      </c>
      <c r="F911" s="7" t="s">
        <v>5117</v>
      </c>
      <c r="G911" s="7" t="s">
        <v>423</v>
      </c>
      <c r="H911" s="7" t="s">
        <v>146</v>
      </c>
      <c r="I911" s="7" t="s">
        <v>5118</v>
      </c>
      <c r="J911" s="7" t="s">
        <v>110</v>
      </c>
      <c r="K911" s="7" t="s">
        <v>5119</v>
      </c>
    </row>
    <row r="912" customFormat="false" ht="23.85" hidden="false" customHeight="false" outlineLevel="0" collapsed="false">
      <c r="A912" s="7" t="n">
        <v>911</v>
      </c>
      <c r="B912" s="7" t="s">
        <v>5120</v>
      </c>
      <c r="C912" s="7" t="n">
        <v>2022</v>
      </c>
      <c r="D912" s="7" t="s">
        <v>5121</v>
      </c>
      <c r="E912" s="7" t="s">
        <v>143</v>
      </c>
      <c r="F912" s="7" t="s">
        <v>765</v>
      </c>
      <c r="G912" s="7" t="s">
        <v>187</v>
      </c>
      <c r="H912" s="7" t="s">
        <v>146</v>
      </c>
      <c r="I912" s="7" t="s">
        <v>5122</v>
      </c>
      <c r="J912" s="7"/>
      <c r="K912" s="7" t="s">
        <v>5123</v>
      </c>
    </row>
    <row r="913" customFormat="false" ht="35.05" hidden="false" customHeight="false" outlineLevel="0" collapsed="false">
      <c r="A913" s="7" t="n">
        <v>912</v>
      </c>
      <c r="B913" s="7" t="s">
        <v>1166</v>
      </c>
      <c r="C913" s="7" t="n">
        <v>2017</v>
      </c>
      <c r="D913" s="7" t="s">
        <v>5124</v>
      </c>
      <c r="E913" s="7" t="s">
        <v>151</v>
      </c>
      <c r="F913" s="7" t="s">
        <v>5065</v>
      </c>
      <c r="G913" s="7" t="s">
        <v>5094</v>
      </c>
      <c r="H913" s="7" t="s">
        <v>522</v>
      </c>
      <c r="I913" s="7" t="s">
        <v>1609</v>
      </c>
      <c r="J913" s="7" t="s">
        <v>112</v>
      </c>
      <c r="K913" s="7" t="s">
        <v>5125</v>
      </c>
    </row>
    <row r="914" customFormat="false" ht="23.85" hidden="false" customHeight="false" outlineLevel="0" collapsed="false">
      <c r="A914" s="7" t="n">
        <v>913</v>
      </c>
      <c r="B914" s="7" t="s">
        <v>5126</v>
      </c>
      <c r="C914" s="7" t="n">
        <v>2017</v>
      </c>
      <c r="D914" s="7" t="s">
        <v>5127</v>
      </c>
      <c r="E914" s="7" t="s">
        <v>143</v>
      </c>
      <c r="F914" s="7" t="s">
        <v>925</v>
      </c>
      <c r="G914" s="7" t="s">
        <v>145</v>
      </c>
      <c r="H914" s="7" t="s">
        <v>387</v>
      </c>
      <c r="I914" s="7" t="s">
        <v>1609</v>
      </c>
      <c r="J914" s="7" t="s">
        <v>1452</v>
      </c>
      <c r="K914" s="7" t="s">
        <v>5128</v>
      </c>
    </row>
    <row r="915" customFormat="false" ht="23.85" hidden="false" customHeight="false" outlineLevel="0" collapsed="false">
      <c r="A915" s="7" t="n">
        <v>914</v>
      </c>
      <c r="B915" s="7" t="s">
        <v>5129</v>
      </c>
      <c r="C915" s="7" t="n">
        <v>2017</v>
      </c>
      <c r="D915" s="7" t="s">
        <v>5130</v>
      </c>
      <c r="E915" s="7" t="s">
        <v>151</v>
      </c>
      <c r="F915" s="7" t="s">
        <v>5131</v>
      </c>
      <c r="G915" s="7" t="s">
        <v>255</v>
      </c>
      <c r="H915" s="7" t="s">
        <v>748</v>
      </c>
      <c r="I915" s="7" t="s">
        <v>5132</v>
      </c>
      <c r="J915" s="7" t="s">
        <v>112</v>
      </c>
      <c r="K915" s="7" t="s">
        <v>5133</v>
      </c>
    </row>
    <row r="916" customFormat="false" ht="46.25" hidden="false" customHeight="false" outlineLevel="0" collapsed="false">
      <c r="A916" s="7" t="n">
        <v>915</v>
      </c>
      <c r="B916" s="7" t="s">
        <v>5134</v>
      </c>
      <c r="C916" s="7" t="n">
        <v>2019</v>
      </c>
      <c r="D916" s="7" t="s">
        <v>5135</v>
      </c>
      <c r="E916" s="7" t="s">
        <v>153</v>
      </c>
      <c r="F916" s="7" t="s">
        <v>5136</v>
      </c>
      <c r="G916" s="7" t="s">
        <v>871</v>
      </c>
      <c r="H916" s="7" t="s">
        <v>146</v>
      </c>
      <c r="I916" s="7" t="s">
        <v>3770</v>
      </c>
      <c r="J916" s="7" t="s">
        <v>112</v>
      </c>
      <c r="K916" s="7" t="s">
        <v>5137</v>
      </c>
    </row>
    <row r="917" customFormat="false" ht="35.05" hidden="false" customHeight="false" outlineLevel="0" collapsed="false">
      <c r="A917" s="7" t="n">
        <v>916</v>
      </c>
      <c r="B917" s="7" t="s">
        <v>5138</v>
      </c>
      <c r="C917" s="7" t="n">
        <v>2024</v>
      </c>
      <c r="D917" s="7" t="s">
        <v>5139</v>
      </c>
      <c r="E917" s="7" t="s">
        <v>151</v>
      </c>
      <c r="F917" s="7" t="s">
        <v>765</v>
      </c>
      <c r="G917" s="7" t="s">
        <v>527</v>
      </c>
      <c r="H917" s="7" t="s">
        <v>146</v>
      </c>
      <c r="I917" s="7" t="s">
        <v>3770</v>
      </c>
      <c r="J917" s="7"/>
      <c r="K917" s="7" t="s">
        <v>5140</v>
      </c>
    </row>
    <row r="918" customFormat="false" ht="35.05" hidden="false" customHeight="false" outlineLevel="0" collapsed="false">
      <c r="A918" s="7" t="n">
        <v>917</v>
      </c>
      <c r="B918" s="7" t="s">
        <v>5141</v>
      </c>
      <c r="C918" s="7" t="n">
        <v>2025</v>
      </c>
      <c r="D918" s="7" t="s">
        <v>5142</v>
      </c>
      <c r="E918" s="7" t="s">
        <v>151</v>
      </c>
      <c r="F918" s="7" t="s">
        <v>5143</v>
      </c>
      <c r="G918" s="7" t="s">
        <v>678</v>
      </c>
      <c r="H918" s="7" t="s">
        <v>153</v>
      </c>
      <c r="I918" s="7" t="s">
        <v>5144</v>
      </c>
      <c r="J918" s="7"/>
      <c r="K918" s="7" t="s">
        <v>5145</v>
      </c>
    </row>
    <row r="919" customFormat="false" ht="23.85" hidden="false" customHeight="false" outlineLevel="0" collapsed="false">
      <c r="A919" s="7" t="n">
        <v>918</v>
      </c>
      <c r="B919" s="7" t="s">
        <v>5146</v>
      </c>
      <c r="C919" s="7" t="n">
        <v>2022</v>
      </c>
      <c r="D919" s="7" t="s">
        <v>5147</v>
      </c>
      <c r="E919" s="7" t="s">
        <v>143</v>
      </c>
      <c r="F919" s="7" t="s">
        <v>5148</v>
      </c>
      <c r="G919" s="7" t="s">
        <v>5149</v>
      </c>
      <c r="H919" s="7" t="s">
        <v>146</v>
      </c>
      <c r="I919" s="7" t="s">
        <v>5043</v>
      </c>
      <c r="J919" s="7"/>
      <c r="K919" s="7" t="s">
        <v>5150</v>
      </c>
    </row>
    <row r="920" customFormat="false" ht="35.05" hidden="false" customHeight="false" outlineLevel="0" collapsed="false">
      <c r="A920" s="7" t="n">
        <v>919</v>
      </c>
      <c r="B920" s="7" t="s">
        <v>681</v>
      </c>
      <c r="C920" s="7" t="n">
        <v>2015</v>
      </c>
      <c r="D920" s="7" t="s">
        <v>5151</v>
      </c>
      <c r="E920" s="7" t="s">
        <v>143</v>
      </c>
      <c r="F920" s="7" t="s">
        <v>495</v>
      </c>
      <c r="G920" s="7" t="s">
        <v>684</v>
      </c>
      <c r="H920" s="7" t="s">
        <v>146</v>
      </c>
      <c r="I920" s="7" t="s">
        <v>5071</v>
      </c>
      <c r="J920" s="7" t="s">
        <v>116</v>
      </c>
      <c r="K920" s="7" t="s">
        <v>5152</v>
      </c>
    </row>
    <row r="921" customFormat="false" ht="35.05" hidden="false" customHeight="false" outlineLevel="0" collapsed="false">
      <c r="A921" s="7" t="n">
        <v>920</v>
      </c>
      <c r="B921" s="7" t="s">
        <v>681</v>
      </c>
      <c r="C921" s="7" t="n">
        <v>2023</v>
      </c>
      <c r="D921" s="7" t="s">
        <v>5153</v>
      </c>
      <c r="E921" s="7" t="s">
        <v>143</v>
      </c>
      <c r="F921" s="7" t="s">
        <v>5154</v>
      </c>
      <c r="G921" s="7" t="s">
        <v>678</v>
      </c>
      <c r="H921" s="7" t="s">
        <v>146</v>
      </c>
      <c r="I921" s="7" t="s">
        <v>383</v>
      </c>
      <c r="J921" s="7"/>
      <c r="K921" s="7" t="s">
        <v>5155</v>
      </c>
    </row>
    <row r="922" customFormat="false" ht="57.45" hidden="false" customHeight="false" outlineLevel="0" collapsed="false">
      <c r="A922" s="7" t="n">
        <v>921</v>
      </c>
      <c r="B922" s="7" t="s">
        <v>5156</v>
      </c>
      <c r="C922" s="7" t="n">
        <v>2021</v>
      </c>
      <c r="D922" s="7" t="s">
        <v>5157</v>
      </c>
      <c r="E922" s="7" t="s">
        <v>143</v>
      </c>
      <c r="F922" s="7" t="s">
        <v>15644</v>
      </c>
      <c r="G922" s="7" t="s">
        <v>15645</v>
      </c>
      <c r="H922" s="7" t="s">
        <v>208</v>
      </c>
      <c r="I922" s="7" t="s">
        <v>15646</v>
      </c>
      <c r="J922" s="7" t="s">
        <v>110</v>
      </c>
      <c r="K922" s="7" t="s">
        <v>15647</v>
      </c>
    </row>
    <row r="923" customFormat="false" ht="35.05" hidden="false" customHeight="false" outlineLevel="0" collapsed="false">
      <c r="A923" s="7" t="n">
        <v>922</v>
      </c>
      <c r="B923" s="7" t="s">
        <v>5166</v>
      </c>
      <c r="C923" s="7" t="n">
        <v>2018</v>
      </c>
      <c r="D923" s="7" t="s">
        <v>5167</v>
      </c>
      <c r="E923" s="7" t="s">
        <v>143</v>
      </c>
      <c r="F923" s="7" t="s">
        <v>5168</v>
      </c>
      <c r="G923" s="7" t="s">
        <v>145</v>
      </c>
      <c r="H923" s="7" t="s">
        <v>522</v>
      </c>
      <c r="I923" s="7" t="s">
        <v>1609</v>
      </c>
      <c r="J923" s="7" t="s">
        <v>110</v>
      </c>
      <c r="K923" s="7" t="s">
        <v>5169</v>
      </c>
    </row>
    <row r="924" customFormat="false" ht="35.05" hidden="false" customHeight="false" outlineLevel="0" collapsed="false">
      <c r="A924" s="7" t="n">
        <v>923</v>
      </c>
      <c r="B924" s="7" t="s">
        <v>5170</v>
      </c>
      <c r="C924" s="7" t="n">
        <v>2025</v>
      </c>
      <c r="D924" s="7" t="s">
        <v>5171</v>
      </c>
      <c r="E924" s="7" t="s">
        <v>143</v>
      </c>
      <c r="F924" s="7" t="s">
        <v>5172</v>
      </c>
      <c r="G924" s="7" t="s">
        <v>145</v>
      </c>
      <c r="H924" s="7" t="s">
        <v>748</v>
      </c>
      <c r="I924" s="7" t="s">
        <v>5173</v>
      </c>
      <c r="J924" s="7" t="s">
        <v>5174</v>
      </c>
      <c r="K924" s="7" t="s">
        <v>5175</v>
      </c>
    </row>
    <row r="925" customFormat="false" ht="35.05" hidden="false" customHeight="false" outlineLevel="0" collapsed="false">
      <c r="A925" s="7" t="n">
        <v>924</v>
      </c>
      <c r="B925" s="7" t="s">
        <v>5176</v>
      </c>
      <c r="C925" s="7" t="n">
        <v>2022</v>
      </c>
      <c r="D925" s="7" t="s">
        <v>5177</v>
      </c>
      <c r="E925" s="7" t="s">
        <v>151</v>
      </c>
      <c r="F925" s="7" t="s">
        <v>5178</v>
      </c>
      <c r="G925" s="7" t="s">
        <v>5179</v>
      </c>
      <c r="H925" s="7" t="s">
        <v>522</v>
      </c>
      <c r="I925" s="7" t="s">
        <v>1609</v>
      </c>
      <c r="J925" s="7" t="s">
        <v>112</v>
      </c>
      <c r="K925" s="7" t="s">
        <v>5180</v>
      </c>
    </row>
    <row r="926" customFormat="false" ht="35.05" hidden="false" customHeight="false" outlineLevel="0" collapsed="false">
      <c r="A926" s="7" t="n">
        <v>925</v>
      </c>
      <c r="B926" s="7" t="s">
        <v>5181</v>
      </c>
      <c r="C926" s="7" t="n">
        <v>2024</v>
      </c>
      <c r="D926" s="7" t="s">
        <v>5182</v>
      </c>
      <c r="E926" s="7" t="s">
        <v>143</v>
      </c>
      <c r="F926" s="7" t="s">
        <v>5183</v>
      </c>
      <c r="G926" s="7" t="s">
        <v>5184</v>
      </c>
      <c r="H926" s="7" t="s">
        <v>153</v>
      </c>
      <c r="I926" s="7" t="s">
        <v>1609</v>
      </c>
      <c r="J926" s="7"/>
      <c r="K926" s="7" t="s">
        <v>5185</v>
      </c>
    </row>
    <row r="927" customFormat="false" ht="35.05" hidden="false" customHeight="false" outlineLevel="0" collapsed="false">
      <c r="A927" s="7" t="n">
        <v>926</v>
      </c>
      <c r="B927" s="7" t="s">
        <v>5186</v>
      </c>
      <c r="C927" s="7" t="n">
        <v>2022</v>
      </c>
      <c r="D927" s="7" t="s">
        <v>5187</v>
      </c>
      <c r="E927" s="7" t="s">
        <v>143</v>
      </c>
      <c r="F927" s="7" t="s">
        <v>5188</v>
      </c>
      <c r="G927" s="7" t="s">
        <v>5189</v>
      </c>
      <c r="H927" s="7" t="s">
        <v>146</v>
      </c>
      <c r="I927" s="7" t="s">
        <v>5043</v>
      </c>
      <c r="J927" s="7" t="s">
        <v>110</v>
      </c>
      <c r="K927" s="7" t="s">
        <v>5190</v>
      </c>
    </row>
    <row r="928" customFormat="false" ht="46.25" hidden="false" customHeight="false" outlineLevel="0" collapsed="false">
      <c r="A928" s="7" t="n">
        <v>927</v>
      </c>
      <c r="B928" s="7" t="s">
        <v>2844</v>
      </c>
      <c r="C928" s="7" t="n">
        <v>2020</v>
      </c>
      <c r="D928" s="7" t="s">
        <v>5191</v>
      </c>
      <c r="E928" s="7" t="s">
        <v>143</v>
      </c>
      <c r="F928" s="7" t="s">
        <v>5192</v>
      </c>
      <c r="G928" s="7" t="s">
        <v>145</v>
      </c>
      <c r="H928" s="7" t="s">
        <v>522</v>
      </c>
      <c r="I928" s="7" t="s">
        <v>1609</v>
      </c>
      <c r="J928" s="7" t="s">
        <v>112</v>
      </c>
      <c r="K928" s="7" t="s">
        <v>5193</v>
      </c>
    </row>
    <row r="929" customFormat="false" ht="35.05" hidden="false" customHeight="false" outlineLevel="0" collapsed="false">
      <c r="A929" s="7" t="n">
        <v>928</v>
      </c>
      <c r="B929" s="7" t="s">
        <v>5194</v>
      </c>
      <c r="C929" s="7" t="n">
        <v>2010</v>
      </c>
      <c r="D929" s="7" t="s">
        <v>5195</v>
      </c>
      <c r="E929" s="7" t="s">
        <v>143</v>
      </c>
      <c r="F929" s="7" t="s">
        <v>5196</v>
      </c>
      <c r="G929" s="7" t="s">
        <v>285</v>
      </c>
      <c r="H929" s="7" t="s">
        <v>146</v>
      </c>
      <c r="I929" s="7" t="s">
        <v>5043</v>
      </c>
      <c r="J929" s="7"/>
      <c r="K929" s="7" t="s">
        <v>5197</v>
      </c>
    </row>
    <row r="930" customFormat="false" ht="23.85" hidden="false" customHeight="false" outlineLevel="0" collapsed="false">
      <c r="A930" s="7" t="n">
        <v>929</v>
      </c>
      <c r="B930" s="7" t="s">
        <v>5198</v>
      </c>
      <c r="C930" s="7" t="n">
        <v>2019</v>
      </c>
      <c r="D930" s="7" t="s">
        <v>5199</v>
      </c>
      <c r="E930" s="7" t="s">
        <v>143</v>
      </c>
      <c r="F930" s="7" t="s">
        <v>5200</v>
      </c>
      <c r="G930" s="7" t="s">
        <v>145</v>
      </c>
      <c r="H930" s="7" t="s">
        <v>522</v>
      </c>
      <c r="I930" s="7" t="s">
        <v>1609</v>
      </c>
      <c r="J930" s="7" t="s">
        <v>112</v>
      </c>
      <c r="K930" s="7" t="s">
        <v>5201</v>
      </c>
    </row>
    <row r="931" customFormat="false" ht="46.25" hidden="false" customHeight="false" outlineLevel="0" collapsed="false">
      <c r="A931" s="7" t="n">
        <v>930</v>
      </c>
      <c r="B931" s="7" t="s">
        <v>5202</v>
      </c>
      <c r="C931" s="7" t="n">
        <v>2025</v>
      </c>
      <c r="D931" s="7" t="s">
        <v>5203</v>
      </c>
      <c r="E931" s="7" t="s">
        <v>143</v>
      </c>
      <c r="F931" s="7" t="s">
        <v>5204</v>
      </c>
      <c r="G931" s="7" t="s">
        <v>327</v>
      </c>
      <c r="H931" s="7" t="s">
        <v>522</v>
      </c>
      <c r="I931" s="7" t="s">
        <v>1609</v>
      </c>
      <c r="J931" s="7"/>
      <c r="K931" s="7" t="s">
        <v>5205</v>
      </c>
    </row>
    <row r="932" customFormat="false" ht="35.05" hidden="false" customHeight="false" outlineLevel="0" collapsed="false">
      <c r="A932" s="7" t="n">
        <v>931</v>
      </c>
      <c r="B932" s="7" t="s">
        <v>5206</v>
      </c>
      <c r="C932" s="7" t="n">
        <v>2022</v>
      </c>
      <c r="D932" s="7" t="s">
        <v>5207</v>
      </c>
      <c r="E932" s="7" t="s">
        <v>143</v>
      </c>
      <c r="F932" s="7" t="s">
        <v>5208</v>
      </c>
      <c r="G932" s="7" t="s">
        <v>5209</v>
      </c>
      <c r="H932" s="7" t="s">
        <v>208</v>
      </c>
      <c r="I932" s="7" t="s">
        <v>5210</v>
      </c>
      <c r="J932" s="7"/>
      <c r="K932" s="7" t="s">
        <v>5211</v>
      </c>
    </row>
    <row r="933" customFormat="false" ht="46.25" hidden="false" customHeight="false" outlineLevel="0" collapsed="false">
      <c r="A933" s="7" t="n">
        <v>932</v>
      </c>
      <c r="B933" s="7" t="s">
        <v>5212</v>
      </c>
      <c r="C933" s="7" t="n">
        <v>2025</v>
      </c>
      <c r="D933" s="7" t="s">
        <v>5213</v>
      </c>
      <c r="E933" s="7" t="s">
        <v>153</v>
      </c>
      <c r="F933" s="7" t="s">
        <v>500</v>
      </c>
      <c r="G933" s="7" t="s">
        <v>187</v>
      </c>
      <c r="H933" s="7" t="s">
        <v>146</v>
      </c>
      <c r="I933" s="7" t="s">
        <v>5214</v>
      </c>
      <c r="J933" s="7"/>
      <c r="K933" s="7" t="s">
        <v>5215</v>
      </c>
    </row>
    <row r="934" customFormat="false" ht="35.05" hidden="false" customHeight="false" outlineLevel="0" collapsed="false">
      <c r="A934" s="7" t="n">
        <v>933</v>
      </c>
      <c r="B934" s="7" t="s">
        <v>5216</v>
      </c>
      <c r="C934" s="7" t="n">
        <v>2025</v>
      </c>
      <c r="D934" s="7" t="s">
        <v>5217</v>
      </c>
      <c r="E934" s="7" t="s">
        <v>143</v>
      </c>
      <c r="F934" s="7" t="s">
        <v>5218</v>
      </c>
      <c r="G934" s="7" t="s">
        <v>817</v>
      </c>
      <c r="H934" s="7" t="s">
        <v>146</v>
      </c>
      <c r="I934" s="7" t="s">
        <v>3770</v>
      </c>
      <c r="J934" s="7" t="s">
        <v>116</v>
      </c>
      <c r="K934" s="7" t="s">
        <v>5219</v>
      </c>
    </row>
    <row r="935" customFormat="false" ht="35.05" hidden="false" customHeight="false" outlineLevel="0" collapsed="false">
      <c r="A935" s="7" t="n">
        <v>934</v>
      </c>
      <c r="B935" s="7" t="s">
        <v>5220</v>
      </c>
      <c r="C935" s="7" t="n">
        <v>2015</v>
      </c>
      <c r="D935" s="7" t="s">
        <v>5221</v>
      </c>
      <c r="E935" s="7" t="s">
        <v>143</v>
      </c>
      <c r="F935" s="7" t="s">
        <v>5222</v>
      </c>
      <c r="G935" s="7" t="s">
        <v>914</v>
      </c>
      <c r="H935" s="7" t="s">
        <v>146</v>
      </c>
      <c r="I935" s="7" t="s">
        <v>5043</v>
      </c>
      <c r="J935" s="7"/>
      <c r="K935" s="7" t="s">
        <v>5223</v>
      </c>
    </row>
    <row r="936" customFormat="false" ht="46.25" hidden="false" customHeight="false" outlineLevel="0" collapsed="false">
      <c r="A936" s="7" t="n">
        <v>935</v>
      </c>
      <c r="B936" s="7" t="s">
        <v>5224</v>
      </c>
      <c r="C936" s="7" t="n">
        <v>2024</v>
      </c>
      <c r="D936" s="7" t="s">
        <v>5225</v>
      </c>
      <c r="E936" s="7" t="s">
        <v>143</v>
      </c>
      <c r="F936" s="7" t="s">
        <v>5192</v>
      </c>
      <c r="G936" s="7" t="s">
        <v>145</v>
      </c>
      <c r="H936" s="7" t="s">
        <v>522</v>
      </c>
      <c r="I936" s="7" t="s">
        <v>1609</v>
      </c>
      <c r="J936" s="7" t="s">
        <v>110</v>
      </c>
      <c r="K936" s="7" t="s">
        <v>5226</v>
      </c>
    </row>
    <row r="937" customFormat="false" ht="35.05" hidden="false" customHeight="false" outlineLevel="0" collapsed="false">
      <c r="A937" s="7" t="n">
        <v>936</v>
      </c>
      <c r="B937" s="7" t="s">
        <v>5227</v>
      </c>
      <c r="C937" s="7" t="n">
        <v>2019</v>
      </c>
      <c r="D937" s="7" t="s">
        <v>5228</v>
      </c>
      <c r="E937" s="7" t="s">
        <v>143</v>
      </c>
      <c r="F937" s="7" t="s">
        <v>906</v>
      </c>
      <c r="G937" s="7" t="s">
        <v>145</v>
      </c>
      <c r="H937" s="7" t="s">
        <v>146</v>
      </c>
      <c r="I937" s="7" t="s">
        <v>5081</v>
      </c>
      <c r="J937" s="7" t="s">
        <v>110</v>
      </c>
      <c r="K937" s="7" t="s">
        <v>5229</v>
      </c>
    </row>
    <row r="938" customFormat="false" ht="23.85" hidden="false" customHeight="false" outlineLevel="0" collapsed="false">
      <c r="A938" s="7" t="n">
        <v>937</v>
      </c>
      <c r="B938" s="7" t="s">
        <v>5230</v>
      </c>
      <c r="C938" s="7" t="n">
        <v>2024</v>
      </c>
      <c r="D938" s="7" t="s">
        <v>5231</v>
      </c>
      <c r="E938" s="7" t="s">
        <v>143</v>
      </c>
      <c r="F938" s="7" t="s">
        <v>5232</v>
      </c>
      <c r="G938" s="7" t="s">
        <v>145</v>
      </c>
      <c r="H938" s="7" t="s">
        <v>208</v>
      </c>
      <c r="I938" s="7" t="s">
        <v>5233</v>
      </c>
      <c r="J938" s="7" t="s">
        <v>110</v>
      </c>
      <c r="K938" s="7" t="s">
        <v>5234</v>
      </c>
    </row>
    <row r="939" customFormat="false" ht="46.25" hidden="false" customHeight="false" outlineLevel="0" collapsed="false">
      <c r="A939" s="7" t="n">
        <v>938</v>
      </c>
      <c r="B939" s="7" t="s">
        <v>5235</v>
      </c>
      <c r="C939" s="7" t="n">
        <v>2023</v>
      </c>
      <c r="D939" s="7" t="s">
        <v>5236</v>
      </c>
      <c r="E939" s="7" t="s">
        <v>143</v>
      </c>
      <c r="F939" s="7" t="s">
        <v>5237</v>
      </c>
      <c r="G939" s="7" t="s">
        <v>5238</v>
      </c>
      <c r="H939" s="7" t="s">
        <v>146</v>
      </c>
      <c r="I939" s="7" t="s">
        <v>1227</v>
      </c>
      <c r="J939" s="7" t="s">
        <v>112</v>
      </c>
      <c r="K939" s="7" t="s">
        <v>5239</v>
      </c>
    </row>
    <row r="940" customFormat="false" ht="23.85" hidden="false" customHeight="false" outlineLevel="0" collapsed="false">
      <c r="A940" s="7" t="n">
        <v>939</v>
      </c>
      <c r="B940" s="7" t="s">
        <v>5240</v>
      </c>
      <c r="C940" s="7" t="n">
        <v>2025</v>
      </c>
      <c r="D940" s="7" t="s">
        <v>5241</v>
      </c>
      <c r="E940" s="7" t="s">
        <v>151</v>
      </c>
      <c r="F940" s="7" t="s">
        <v>5242</v>
      </c>
      <c r="G940" s="7" t="s">
        <v>145</v>
      </c>
      <c r="H940" s="7" t="s">
        <v>387</v>
      </c>
      <c r="I940" s="7" t="s">
        <v>5243</v>
      </c>
      <c r="J940" s="7" t="s">
        <v>110</v>
      </c>
      <c r="K940" s="7" t="s">
        <v>5244</v>
      </c>
    </row>
    <row r="941" customFormat="false" ht="35.05" hidden="false" customHeight="false" outlineLevel="0" collapsed="false">
      <c r="A941" s="7" t="n">
        <v>940</v>
      </c>
      <c r="B941" s="7" t="s">
        <v>5245</v>
      </c>
      <c r="C941" s="7" t="n">
        <v>2023</v>
      </c>
      <c r="D941" s="7" t="s">
        <v>5246</v>
      </c>
      <c r="E941" s="7" t="s">
        <v>151</v>
      </c>
      <c r="F941" s="7" t="s">
        <v>5247</v>
      </c>
      <c r="G941" s="7" t="s">
        <v>5248</v>
      </c>
      <c r="H941" s="7" t="s">
        <v>146</v>
      </c>
      <c r="I941" s="7" t="s">
        <v>5043</v>
      </c>
      <c r="J941" s="7" t="s">
        <v>116</v>
      </c>
      <c r="K941" s="7" t="s">
        <v>5249</v>
      </c>
    </row>
    <row r="942" customFormat="false" ht="23.85" hidden="false" customHeight="false" outlineLevel="0" collapsed="false">
      <c r="A942" s="7" t="n">
        <v>941</v>
      </c>
      <c r="B942" s="7" t="s">
        <v>5250</v>
      </c>
      <c r="C942" s="7" t="n">
        <v>2025</v>
      </c>
      <c r="D942" s="7" t="s">
        <v>5251</v>
      </c>
      <c r="E942" s="7" t="s">
        <v>143</v>
      </c>
      <c r="F942" s="7" t="s">
        <v>621</v>
      </c>
      <c r="G942" s="7" t="s">
        <v>145</v>
      </c>
      <c r="H942" s="7" t="s">
        <v>522</v>
      </c>
      <c r="I942" s="7" t="s">
        <v>1609</v>
      </c>
      <c r="J942" s="7" t="s">
        <v>110</v>
      </c>
      <c r="K942" s="7" t="s">
        <v>5252</v>
      </c>
    </row>
    <row r="943" customFormat="false" ht="23.85" hidden="false" customHeight="false" outlineLevel="0" collapsed="false">
      <c r="A943" s="7" t="n">
        <v>942</v>
      </c>
      <c r="B943" s="7" t="s">
        <v>5253</v>
      </c>
      <c r="C943" s="7" t="n">
        <v>2025</v>
      </c>
      <c r="D943" s="7" t="s">
        <v>5254</v>
      </c>
      <c r="E943" s="7" t="s">
        <v>143</v>
      </c>
      <c r="F943" s="7" t="s">
        <v>5192</v>
      </c>
      <c r="G943" s="7" t="s">
        <v>145</v>
      </c>
      <c r="H943" s="7" t="s">
        <v>522</v>
      </c>
      <c r="I943" s="7" t="s">
        <v>1609</v>
      </c>
      <c r="J943" s="7" t="s">
        <v>112</v>
      </c>
      <c r="K943" s="7" t="s">
        <v>5255</v>
      </c>
    </row>
    <row r="944" customFormat="false" ht="23.85" hidden="false" customHeight="false" outlineLevel="0" collapsed="false">
      <c r="A944" s="7" t="n">
        <v>943</v>
      </c>
      <c r="B944" s="7" t="s">
        <v>5256</v>
      </c>
      <c r="C944" s="7" t="n">
        <v>2006</v>
      </c>
      <c r="D944" s="7" t="s">
        <v>5257</v>
      </c>
      <c r="E944" s="7" t="s">
        <v>153</v>
      </c>
      <c r="F944" s="7" t="s">
        <v>5258</v>
      </c>
      <c r="G944" s="7" t="s">
        <v>5259</v>
      </c>
      <c r="H944" s="7" t="s">
        <v>146</v>
      </c>
      <c r="I944" s="7" t="s">
        <v>5260</v>
      </c>
      <c r="J944" s="7" t="s">
        <v>116</v>
      </c>
      <c r="K944" s="7" t="s">
        <v>5261</v>
      </c>
    </row>
    <row r="945" customFormat="false" ht="23.85" hidden="false" customHeight="false" outlineLevel="0" collapsed="false">
      <c r="A945" s="7" t="n">
        <v>944</v>
      </c>
      <c r="B945" s="7" t="s">
        <v>5262</v>
      </c>
      <c r="C945" s="7" t="n">
        <v>2015</v>
      </c>
      <c r="D945" s="7" t="s">
        <v>5263</v>
      </c>
      <c r="E945" s="7" t="s">
        <v>153</v>
      </c>
      <c r="F945" s="7" t="s">
        <v>3878</v>
      </c>
      <c r="G945" s="7" t="s">
        <v>255</v>
      </c>
      <c r="H945" s="7" t="s">
        <v>522</v>
      </c>
      <c r="I945" s="7" t="s">
        <v>1609</v>
      </c>
      <c r="J945" s="7" t="s">
        <v>112</v>
      </c>
      <c r="K945" s="7" t="s">
        <v>5264</v>
      </c>
    </row>
    <row r="946" customFormat="false" ht="35.05" hidden="false" customHeight="false" outlineLevel="0" collapsed="false">
      <c r="A946" s="7" t="n">
        <v>945</v>
      </c>
      <c r="B946" s="7" t="s">
        <v>5265</v>
      </c>
      <c r="C946" s="7" t="n">
        <v>2015</v>
      </c>
      <c r="D946" s="7" t="s">
        <v>5266</v>
      </c>
      <c r="E946" s="7" t="s">
        <v>151</v>
      </c>
      <c r="F946" s="7" t="s">
        <v>5267</v>
      </c>
      <c r="G946" s="7" t="s">
        <v>255</v>
      </c>
      <c r="H946" s="7" t="s">
        <v>146</v>
      </c>
      <c r="I946" s="7" t="s">
        <v>3770</v>
      </c>
      <c r="J946" s="7" t="s">
        <v>116</v>
      </c>
      <c r="K946" s="7" t="s">
        <v>5268</v>
      </c>
    </row>
    <row r="947" customFormat="false" ht="35.05" hidden="false" customHeight="false" outlineLevel="0" collapsed="false">
      <c r="A947" s="7" t="n">
        <v>946</v>
      </c>
      <c r="B947" s="7" t="s">
        <v>3409</v>
      </c>
      <c r="C947" s="7" t="n">
        <v>2019</v>
      </c>
      <c r="D947" s="7" t="s">
        <v>5269</v>
      </c>
      <c r="E947" s="7" t="s">
        <v>151</v>
      </c>
      <c r="F947" s="7" t="s">
        <v>5270</v>
      </c>
      <c r="G947" s="7" t="s">
        <v>5271</v>
      </c>
      <c r="H947" s="7" t="s">
        <v>146</v>
      </c>
      <c r="I947" s="7" t="s">
        <v>5214</v>
      </c>
      <c r="J947" s="7" t="s">
        <v>112</v>
      </c>
      <c r="K947" s="7" t="s">
        <v>5272</v>
      </c>
    </row>
    <row r="948" customFormat="false" ht="35.05" hidden="false" customHeight="false" outlineLevel="0" collapsed="false">
      <c r="A948" s="7" t="n">
        <v>947</v>
      </c>
      <c r="B948" s="7" t="s">
        <v>5273</v>
      </c>
      <c r="C948" s="7" t="n">
        <v>2020</v>
      </c>
      <c r="D948" s="7" t="s">
        <v>5274</v>
      </c>
      <c r="E948" s="7" t="s">
        <v>143</v>
      </c>
      <c r="F948" s="7" t="s">
        <v>5275</v>
      </c>
      <c r="G948" s="7" t="s">
        <v>5276</v>
      </c>
      <c r="H948" s="7" t="s">
        <v>146</v>
      </c>
      <c r="I948" s="7" t="s">
        <v>5277</v>
      </c>
      <c r="J948" s="7" t="s">
        <v>112</v>
      </c>
      <c r="K948" s="7" t="s">
        <v>5278</v>
      </c>
    </row>
    <row r="949" customFormat="false" ht="23.85" hidden="false" customHeight="false" outlineLevel="0" collapsed="false">
      <c r="A949" s="7" t="n">
        <v>948</v>
      </c>
      <c r="B949" s="7" t="s">
        <v>5279</v>
      </c>
      <c r="C949" s="7" t="n">
        <v>2017</v>
      </c>
      <c r="D949" s="7" t="s">
        <v>5280</v>
      </c>
      <c r="E949" s="7" t="s">
        <v>153</v>
      </c>
      <c r="F949" s="7" t="s">
        <v>5281</v>
      </c>
      <c r="G949" s="7" t="s">
        <v>255</v>
      </c>
      <c r="H949" s="7" t="s">
        <v>387</v>
      </c>
      <c r="I949" s="7" t="s">
        <v>5277</v>
      </c>
      <c r="J949" s="7" t="s">
        <v>116</v>
      </c>
      <c r="K949" s="7" t="s">
        <v>5282</v>
      </c>
    </row>
    <row r="950" customFormat="false" ht="35.05" hidden="false" customHeight="false" outlineLevel="0" collapsed="false">
      <c r="A950" s="7" t="n">
        <v>949</v>
      </c>
      <c r="B950" s="7" t="s">
        <v>5283</v>
      </c>
      <c r="C950" s="7" t="n">
        <v>2025</v>
      </c>
      <c r="D950" s="7" t="s">
        <v>5284</v>
      </c>
      <c r="E950" s="7" t="s">
        <v>143</v>
      </c>
      <c r="F950" s="7" t="s">
        <v>5285</v>
      </c>
      <c r="G950" s="7" t="s">
        <v>382</v>
      </c>
      <c r="H950" s="7" t="s">
        <v>146</v>
      </c>
      <c r="I950" s="7" t="s">
        <v>383</v>
      </c>
      <c r="J950" s="7" t="s">
        <v>116</v>
      </c>
      <c r="K950" s="7" t="s">
        <v>5286</v>
      </c>
    </row>
    <row r="951" customFormat="false" ht="23.85" hidden="false" customHeight="false" outlineLevel="0" collapsed="false">
      <c r="A951" s="7" t="n">
        <v>950</v>
      </c>
      <c r="B951" s="7" t="s">
        <v>5287</v>
      </c>
      <c r="C951" s="7" t="n">
        <v>2024</v>
      </c>
      <c r="D951" s="7" t="s">
        <v>5288</v>
      </c>
      <c r="E951" s="7" t="s">
        <v>143</v>
      </c>
      <c r="F951" s="7" t="s">
        <v>500</v>
      </c>
      <c r="G951" s="7" t="s">
        <v>255</v>
      </c>
      <c r="H951" s="7" t="s">
        <v>146</v>
      </c>
      <c r="I951" s="7" t="s">
        <v>1609</v>
      </c>
      <c r="J951" s="7" t="s">
        <v>112</v>
      </c>
      <c r="K951" s="7" t="s">
        <v>5289</v>
      </c>
    </row>
    <row r="952" customFormat="false" ht="35.05" hidden="false" customHeight="false" outlineLevel="0" collapsed="false">
      <c r="A952" s="7" t="n">
        <v>951</v>
      </c>
      <c r="B952" s="7" t="s">
        <v>5290</v>
      </c>
      <c r="C952" s="7" t="n">
        <v>2025</v>
      </c>
      <c r="D952" s="7" t="s">
        <v>5291</v>
      </c>
      <c r="E952" s="7" t="s">
        <v>143</v>
      </c>
      <c r="F952" s="7" t="s">
        <v>5292</v>
      </c>
      <c r="G952" s="7" t="s">
        <v>1042</v>
      </c>
      <c r="H952" s="7" t="s">
        <v>208</v>
      </c>
      <c r="I952" s="7" t="s">
        <v>5293</v>
      </c>
      <c r="J952" s="7" t="s">
        <v>112</v>
      </c>
      <c r="K952" s="7" t="s">
        <v>5294</v>
      </c>
    </row>
    <row r="953" customFormat="false" ht="46.25" hidden="false" customHeight="false" outlineLevel="0" collapsed="false">
      <c r="A953" s="7" t="n">
        <v>952</v>
      </c>
      <c r="B953" s="7" t="s">
        <v>5295</v>
      </c>
      <c r="C953" s="7" t="n">
        <v>2023</v>
      </c>
      <c r="D953" s="7" t="s">
        <v>5296</v>
      </c>
      <c r="E953" s="7" t="s">
        <v>151</v>
      </c>
      <c r="F953" s="7" t="s">
        <v>3878</v>
      </c>
      <c r="G953" s="7" t="s">
        <v>5297</v>
      </c>
      <c r="H953" s="7" t="s">
        <v>522</v>
      </c>
      <c r="I953" s="7" t="s">
        <v>1609</v>
      </c>
      <c r="J953" s="7" t="s">
        <v>112</v>
      </c>
      <c r="K953" s="7" t="s">
        <v>5298</v>
      </c>
    </row>
    <row r="954" customFormat="false" ht="23.85" hidden="false" customHeight="false" outlineLevel="0" collapsed="false">
      <c r="A954" s="7" t="n">
        <v>953</v>
      </c>
      <c r="B954" s="7" t="s">
        <v>5299</v>
      </c>
      <c r="C954" s="7" t="n">
        <v>2023</v>
      </c>
      <c r="D954" s="7" t="s">
        <v>5300</v>
      </c>
      <c r="E954" s="7" t="s">
        <v>143</v>
      </c>
      <c r="F954" s="7" t="s">
        <v>5301</v>
      </c>
      <c r="G954" s="7" t="s">
        <v>2841</v>
      </c>
      <c r="H954" s="7" t="s">
        <v>522</v>
      </c>
      <c r="I954" s="7" t="s">
        <v>1609</v>
      </c>
      <c r="J954" s="7" t="s">
        <v>110</v>
      </c>
      <c r="K954" s="7" t="s">
        <v>5302</v>
      </c>
    </row>
    <row r="955" customFormat="false" ht="23.85" hidden="false" customHeight="false" outlineLevel="0" collapsed="false">
      <c r="A955" s="7" t="n">
        <v>954</v>
      </c>
      <c r="B955" s="7" t="s">
        <v>5303</v>
      </c>
      <c r="C955" s="7" t="n">
        <v>2017</v>
      </c>
      <c r="D955" s="7" t="s">
        <v>5304</v>
      </c>
      <c r="E955" s="7" t="s">
        <v>143</v>
      </c>
      <c r="F955" s="7" t="s">
        <v>5305</v>
      </c>
      <c r="G955" s="7" t="s">
        <v>5306</v>
      </c>
      <c r="H955" s="7" t="s">
        <v>146</v>
      </c>
      <c r="I955" s="7" t="s">
        <v>5307</v>
      </c>
      <c r="J955" s="7"/>
      <c r="K955" s="7" t="s">
        <v>5308</v>
      </c>
    </row>
    <row r="956" customFormat="false" ht="23.85" hidden="false" customHeight="false" outlineLevel="0" collapsed="false">
      <c r="A956" s="7" t="n">
        <v>955</v>
      </c>
      <c r="B956" s="7" t="s">
        <v>5309</v>
      </c>
      <c r="C956" s="7" t="n">
        <v>2024</v>
      </c>
      <c r="D956" s="7" t="s">
        <v>5310</v>
      </c>
      <c r="E956" s="7" t="s">
        <v>143</v>
      </c>
      <c r="F956" s="7" t="s">
        <v>5311</v>
      </c>
      <c r="G956" s="7" t="s">
        <v>817</v>
      </c>
      <c r="H956" s="7" t="s">
        <v>387</v>
      </c>
      <c r="I956" s="7" t="s">
        <v>5312</v>
      </c>
      <c r="J956" s="7" t="s">
        <v>110</v>
      </c>
      <c r="K956" s="7" t="s">
        <v>5313</v>
      </c>
    </row>
    <row r="957" customFormat="false" ht="35.05" hidden="false" customHeight="false" outlineLevel="0" collapsed="false">
      <c r="A957" s="7" t="n">
        <v>956</v>
      </c>
      <c r="B957" s="7" t="s">
        <v>5314</v>
      </c>
      <c r="C957" s="7" t="n">
        <v>2024</v>
      </c>
      <c r="D957" s="7" t="s">
        <v>5315</v>
      </c>
      <c r="E957" s="7" t="s">
        <v>153</v>
      </c>
      <c r="F957" s="7" t="s">
        <v>5316</v>
      </c>
      <c r="G957" s="7" t="s">
        <v>914</v>
      </c>
      <c r="H957" s="7" t="s">
        <v>146</v>
      </c>
      <c r="I957" s="7" t="s">
        <v>5043</v>
      </c>
      <c r="J957" s="7" t="s">
        <v>116</v>
      </c>
      <c r="K957" s="7" t="s">
        <v>5317</v>
      </c>
    </row>
    <row r="958" customFormat="false" ht="23.85" hidden="false" customHeight="false" outlineLevel="0" collapsed="false">
      <c r="A958" s="7" t="n">
        <v>957</v>
      </c>
      <c r="B958" s="7" t="s">
        <v>5318</v>
      </c>
      <c r="C958" s="7" t="n">
        <v>2019</v>
      </c>
      <c r="D958" s="7" t="s">
        <v>5319</v>
      </c>
      <c r="E958" s="7" t="s">
        <v>143</v>
      </c>
      <c r="F958" s="7" t="s">
        <v>5320</v>
      </c>
      <c r="G958" s="7" t="s">
        <v>255</v>
      </c>
      <c r="H958" s="7" t="s">
        <v>146</v>
      </c>
      <c r="I958" s="7" t="s">
        <v>3506</v>
      </c>
      <c r="J958" s="7" t="s">
        <v>116</v>
      </c>
      <c r="K958" s="7" t="s">
        <v>5321</v>
      </c>
    </row>
    <row r="959" customFormat="false" ht="35.05" hidden="false" customHeight="false" outlineLevel="0" collapsed="false">
      <c r="A959" s="7" t="n">
        <v>958</v>
      </c>
      <c r="B959" s="7" t="s">
        <v>3430</v>
      </c>
      <c r="C959" s="7" t="n">
        <v>2020</v>
      </c>
      <c r="D959" s="7" t="s">
        <v>5322</v>
      </c>
      <c r="E959" s="7" t="s">
        <v>143</v>
      </c>
      <c r="F959" s="7" t="s">
        <v>5323</v>
      </c>
      <c r="G959" s="7" t="s">
        <v>4341</v>
      </c>
      <c r="H959" s="7" t="s">
        <v>522</v>
      </c>
      <c r="I959" s="7" t="s">
        <v>5214</v>
      </c>
      <c r="J959" s="7" t="s">
        <v>116</v>
      </c>
      <c r="K959" s="7" t="s">
        <v>5324</v>
      </c>
    </row>
    <row r="960" customFormat="false" ht="46.25" hidden="false" customHeight="false" outlineLevel="0" collapsed="false">
      <c r="A960" s="7" t="n">
        <v>959</v>
      </c>
      <c r="B960" s="7" t="s">
        <v>5325</v>
      </c>
      <c r="C960" s="7" t="n">
        <v>2025</v>
      </c>
      <c r="D960" s="7" t="s">
        <v>5326</v>
      </c>
      <c r="E960" s="7" t="s">
        <v>143</v>
      </c>
      <c r="F960" s="7" t="s">
        <v>5327</v>
      </c>
      <c r="G960" s="7" t="s">
        <v>5179</v>
      </c>
      <c r="H960" s="7" t="s">
        <v>146</v>
      </c>
      <c r="I960" s="7" t="s">
        <v>5328</v>
      </c>
      <c r="J960" s="7" t="s">
        <v>116</v>
      </c>
      <c r="K960" s="7" t="s">
        <v>5329</v>
      </c>
    </row>
    <row r="961" customFormat="false" ht="23.85" hidden="false" customHeight="false" outlineLevel="0" collapsed="false">
      <c r="A961" s="7" t="n">
        <v>960</v>
      </c>
      <c r="B961" s="7" t="s">
        <v>5330</v>
      </c>
      <c r="C961" s="7" t="n">
        <v>2023</v>
      </c>
      <c r="D961" s="7" t="s">
        <v>5331</v>
      </c>
      <c r="E961" s="7" t="s">
        <v>151</v>
      </c>
      <c r="F961" s="7" t="s">
        <v>5332</v>
      </c>
      <c r="G961" s="7" t="s">
        <v>936</v>
      </c>
      <c r="H961" s="7" t="s">
        <v>146</v>
      </c>
      <c r="I961" s="7" t="s">
        <v>1609</v>
      </c>
      <c r="J961" s="7" t="s">
        <v>112</v>
      </c>
      <c r="K961" s="7" t="s">
        <v>5333</v>
      </c>
    </row>
    <row r="962" customFormat="false" ht="35.05" hidden="false" customHeight="false" outlineLevel="0" collapsed="false">
      <c r="A962" s="7" t="n">
        <v>961</v>
      </c>
      <c r="B962" s="7" t="s">
        <v>5334</v>
      </c>
      <c r="C962" s="7" t="n">
        <v>2023</v>
      </c>
      <c r="D962" s="7" t="s">
        <v>5335</v>
      </c>
      <c r="E962" s="7" t="s">
        <v>143</v>
      </c>
      <c r="F962" s="7" t="s">
        <v>5093</v>
      </c>
      <c r="G962" s="7" t="s">
        <v>936</v>
      </c>
      <c r="H962" s="7" t="s">
        <v>522</v>
      </c>
      <c r="I962" s="7" t="s">
        <v>1609</v>
      </c>
      <c r="J962" s="7"/>
      <c r="K962" s="7" t="s">
        <v>5336</v>
      </c>
    </row>
    <row r="963" customFormat="false" ht="35.05" hidden="false" customHeight="false" outlineLevel="0" collapsed="false">
      <c r="A963" s="7" t="n">
        <v>962</v>
      </c>
      <c r="B963" s="7" t="s">
        <v>5337</v>
      </c>
      <c r="C963" s="7" t="n">
        <v>2022</v>
      </c>
      <c r="D963" s="7" t="s">
        <v>5338</v>
      </c>
      <c r="E963" s="7" t="s">
        <v>143</v>
      </c>
      <c r="F963" s="7" t="s">
        <v>5339</v>
      </c>
      <c r="G963" s="7" t="s">
        <v>327</v>
      </c>
      <c r="H963" s="7" t="s">
        <v>522</v>
      </c>
      <c r="I963" s="7" t="s">
        <v>1609</v>
      </c>
      <c r="J963" s="7" t="s">
        <v>112</v>
      </c>
      <c r="K963" s="7" t="s">
        <v>5340</v>
      </c>
    </row>
    <row r="964" customFormat="false" ht="23.85" hidden="false" customHeight="false" outlineLevel="0" collapsed="false">
      <c r="A964" s="7" t="n">
        <v>963</v>
      </c>
      <c r="B964" s="7" t="s">
        <v>5341</v>
      </c>
      <c r="C964" s="7" t="n">
        <v>2024</v>
      </c>
      <c r="D964" s="7" t="s">
        <v>5342</v>
      </c>
      <c r="E964" s="7" t="s">
        <v>143</v>
      </c>
      <c r="F964" s="7" t="s">
        <v>5343</v>
      </c>
      <c r="G964" s="7" t="s">
        <v>936</v>
      </c>
      <c r="H964" s="7" t="s">
        <v>522</v>
      </c>
      <c r="I964" s="7" t="s">
        <v>1609</v>
      </c>
      <c r="J964" s="7" t="s">
        <v>112</v>
      </c>
      <c r="K964" s="7" t="s">
        <v>5344</v>
      </c>
    </row>
    <row r="965" customFormat="false" ht="35.05" hidden="false" customHeight="false" outlineLevel="0" collapsed="false">
      <c r="A965" s="7" t="n">
        <v>964</v>
      </c>
      <c r="B965" s="7" t="s">
        <v>5345</v>
      </c>
      <c r="C965" s="7" t="n">
        <v>2022</v>
      </c>
      <c r="D965" s="7" t="s">
        <v>5346</v>
      </c>
      <c r="E965" s="7" t="s">
        <v>143</v>
      </c>
      <c r="F965" s="7" t="s">
        <v>5347</v>
      </c>
      <c r="G965" s="7" t="s">
        <v>5271</v>
      </c>
      <c r="H965" s="7" t="s">
        <v>146</v>
      </c>
      <c r="I965" s="7" t="s">
        <v>5043</v>
      </c>
      <c r="J965" s="7" t="s">
        <v>112</v>
      </c>
      <c r="K965" s="7" t="s">
        <v>5348</v>
      </c>
    </row>
    <row r="966" customFormat="false" ht="35.05" hidden="false" customHeight="false" outlineLevel="0" collapsed="false">
      <c r="A966" s="7" t="n">
        <v>965</v>
      </c>
      <c r="B966" s="7" t="s">
        <v>5349</v>
      </c>
      <c r="C966" s="7" t="n">
        <v>2025</v>
      </c>
      <c r="D966" s="7" t="s">
        <v>5350</v>
      </c>
      <c r="E966" s="7" t="s">
        <v>143</v>
      </c>
      <c r="F966" s="7" t="s">
        <v>5351</v>
      </c>
      <c r="G966" s="7" t="s">
        <v>145</v>
      </c>
      <c r="H966" s="7" t="s">
        <v>522</v>
      </c>
      <c r="I966" s="7" t="s">
        <v>5352</v>
      </c>
      <c r="J966" s="7"/>
      <c r="K966" s="7" t="s">
        <v>5353</v>
      </c>
    </row>
    <row r="967" customFormat="false" ht="35.05" hidden="false" customHeight="false" outlineLevel="0" collapsed="false">
      <c r="A967" s="7" t="n">
        <v>966</v>
      </c>
      <c r="B967" s="7" t="s">
        <v>5354</v>
      </c>
      <c r="C967" s="7" t="n">
        <v>2024</v>
      </c>
      <c r="D967" s="7" t="s">
        <v>5355</v>
      </c>
      <c r="E967" s="7" t="s">
        <v>151</v>
      </c>
      <c r="F967" s="7" t="s">
        <v>5356</v>
      </c>
      <c r="G967" s="7" t="s">
        <v>5297</v>
      </c>
      <c r="H967" s="7" t="s">
        <v>522</v>
      </c>
      <c r="I967" s="7" t="s">
        <v>1609</v>
      </c>
      <c r="J967" s="7"/>
      <c r="K967" s="7" t="s">
        <v>5357</v>
      </c>
    </row>
    <row r="968" customFormat="false" ht="23.85" hidden="false" customHeight="false" outlineLevel="0" collapsed="false">
      <c r="A968" s="7" t="n">
        <v>967</v>
      </c>
      <c r="B968" s="7" t="s">
        <v>5358</v>
      </c>
      <c r="C968" s="7" t="n">
        <v>2019</v>
      </c>
      <c r="D968" s="7" t="s">
        <v>5359</v>
      </c>
      <c r="E968" s="7" t="s">
        <v>151</v>
      </c>
      <c r="F968" s="7" t="s">
        <v>5360</v>
      </c>
      <c r="G968" s="7" t="s">
        <v>5094</v>
      </c>
      <c r="H968" s="7" t="s">
        <v>522</v>
      </c>
      <c r="I968" s="7" t="s">
        <v>1609</v>
      </c>
      <c r="J968" s="7"/>
      <c r="K968" s="7" t="s">
        <v>5361</v>
      </c>
    </row>
    <row r="969" customFormat="false" ht="35.05" hidden="false" customHeight="false" outlineLevel="0" collapsed="false">
      <c r="A969" s="7" t="n">
        <v>968</v>
      </c>
      <c r="B969" s="7" t="s">
        <v>5362</v>
      </c>
      <c r="C969" s="7" t="n">
        <v>2011</v>
      </c>
      <c r="D969" s="7" t="s">
        <v>5363</v>
      </c>
      <c r="E969" s="7" t="s">
        <v>143</v>
      </c>
      <c r="F969" s="7" t="s">
        <v>5364</v>
      </c>
      <c r="G969" s="7" t="s">
        <v>145</v>
      </c>
      <c r="H969" s="7" t="s">
        <v>522</v>
      </c>
      <c r="I969" s="7" t="s">
        <v>1609</v>
      </c>
      <c r="J969" s="7" t="s">
        <v>110</v>
      </c>
      <c r="K969" s="7" t="s">
        <v>5365</v>
      </c>
    </row>
    <row r="970" customFormat="false" ht="35.05" hidden="false" customHeight="false" outlineLevel="0" collapsed="false">
      <c r="A970" s="7" t="n">
        <v>969</v>
      </c>
      <c r="B970" s="7" t="s">
        <v>5366</v>
      </c>
      <c r="C970" s="7" t="n">
        <v>2019</v>
      </c>
      <c r="D970" s="7" t="s">
        <v>5367</v>
      </c>
      <c r="E970" s="7" t="s">
        <v>143</v>
      </c>
      <c r="F970" s="7" t="s">
        <v>5368</v>
      </c>
      <c r="G970" s="7" t="s">
        <v>5369</v>
      </c>
      <c r="H970" s="7" t="s">
        <v>522</v>
      </c>
      <c r="I970" s="7" t="s">
        <v>1609</v>
      </c>
      <c r="J970" s="7"/>
      <c r="K970" s="7" t="s">
        <v>5370</v>
      </c>
    </row>
    <row r="971" customFormat="false" ht="35.05" hidden="false" customHeight="false" outlineLevel="0" collapsed="false">
      <c r="A971" s="7" t="n">
        <v>970</v>
      </c>
      <c r="B971" s="7" t="s">
        <v>5371</v>
      </c>
      <c r="C971" s="7" t="n">
        <v>2017</v>
      </c>
      <c r="D971" s="7" t="s">
        <v>5372</v>
      </c>
      <c r="E971" s="7" t="s">
        <v>151</v>
      </c>
      <c r="F971" s="7" t="s">
        <v>765</v>
      </c>
      <c r="G971" s="7" t="s">
        <v>871</v>
      </c>
      <c r="H971" s="7" t="s">
        <v>146</v>
      </c>
      <c r="I971" s="7" t="s">
        <v>3770</v>
      </c>
      <c r="J971" s="7" t="s">
        <v>112</v>
      </c>
      <c r="K971" s="7" t="s">
        <v>5373</v>
      </c>
    </row>
    <row r="972" customFormat="false" ht="23.85" hidden="false" customHeight="false" outlineLevel="0" collapsed="false">
      <c r="A972" s="7" t="n">
        <v>971</v>
      </c>
      <c r="B972" s="7" t="s">
        <v>5374</v>
      </c>
      <c r="C972" s="7" t="n">
        <v>2024</v>
      </c>
      <c r="D972" s="7" t="s">
        <v>5375</v>
      </c>
      <c r="E972" s="7" t="s">
        <v>143</v>
      </c>
      <c r="F972" s="7" t="s">
        <v>5376</v>
      </c>
      <c r="G972" s="7" t="s">
        <v>145</v>
      </c>
      <c r="H972" s="7" t="s">
        <v>153</v>
      </c>
      <c r="I972" s="7" t="s">
        <v>1609</v>
      </c>
      <c r="J972" s="7"/>
      <c r="K972" s="7" t="s">
        <v>5377</v>
      </c>
    </row>
    <row r="973" customFormat="false" ht="23.85" hidden="false" customHeight="false" outlineLevel="0" collapsed="false">
      <c r="A973" s="7" t="n">
        <v>972</v>
      </c>
      <c r="B973" s="7" t="s">
        <v>5378</v>
      </c>
      <c r="C973" s="7" t="n">
        <v>2018</v>
      </c>
      <c r="D973" s="7" t="s">
        <v>5379</v>
      </c>
      <c r="E973" s="7" t="s">
        <v>151</v>
      </c>
      <c r="F973" s="7" t="s">
        <v>5380</v>
      </c>
      <c r="G973" s="7" t="s">
        <v>145</v>
      </c>
      <c r="H973" s="7" t="s">
        <v>146</v>
      </c>
      <c r="I973" s="7" t="s">
        <v>5043</v>
      </c>
      <c r="J973" s="7"/>
      <c r="K973" s="7" t="s">
        <v>5381</v>
      </c>
    </row>
    <row r="974" customFormat="false" ht="23.85" hidden="false" customHeight="false" outlineLevel="0" collapsed="false">
      <c r="A974" s="7" t="n">
        <v>973</v>
      </c>
      <c r="B974" s="7" t="s">
        <v>5382</v>
      </c>
      <c r="C974" s="7" t="n">
        <v>2025</v>
      </c>
      <c r="D974" s="7" t="s">
        <v>5383</v>
      </c>
      <c r="E974" s="7" t="s">
        <v>143</v>
      </c>
      <c r="F974" s="7" t="s">
        <v>5384</v>
      </c>
      <c r="G974" s="7" t="s">
        <v>936</v>
      </c>
      <c r="H974" s="7" t="s">
        <v>522</v>
      </c>
      <c r="I974" s="7" t="s">
        <v>1609</v>
      </c>
      <c r="J974" s="7"/>
      <c r="K974" s="7" t="s">
        <v>5385</v>
      </c>
    </row>
    <row r="975" customFormat="false" ht="46.25" hidden="false" customHeight="false" outlineLevel="0" collapsed="false">
      <c r="A975" s="7" t="n">
        <v>974</v>
      </c>
      <c r="B975" s="7" t="s">
        <v>5386</v>
      </c>
      <c r="C975" s="7" t="n">
        <v>2023</v>
      </c>
      <c r="D975" s="7" t="s">
        <v>5387</v>
      </c>
      <c r="E975" s="7" t="s">
        <v>143</v>
      </c>
      <c r="F975" s="7" t="s">
        <v>5388</v>
      </c>
      <c r="G975" s="7" t="s">
        <v>936</v>
      </c>
      <c r="H975" s="7" t="s">
        <v>522</v>
      </c>
      <c r="I975" s="7" t="s">
        <v>5389</v>
      </c>
      <c r="J975" s="7" t="s">
        <v>112</v>
      </c>
      <c r="K975" s="7" t="s">
        <v>5390</v>
      </c>
    </row>
    <row r="976" customFormat="false" ht="35.05" hidden="false" customHeight="false" outlineLevel="0" collapsed="false">
      <c r="A976" s="7" t="n">
        <v>975</v>
      </c>
      <c r="B976" s="7" t="s">
        <v>5391</v>
      </c>
      <c r="C976" s="7" t="n">
        <v>2025</v>
      </c>
      <c r="D976" s="7" t="s">
        <v>5392</v>
      </c>
      <c r="E976" s="7" t="s">
        <v>151</v>
      </c>
      <c r="F976" s="7" t="s">
        <v>5393</v>
      </c>
      <c r="G976" s="7" t="s">
        <v>684</v>
      </c>
      <c r="H976" s="7" t="s">
        <v>522</v>
      </c>
      <c r="I976" s="7" t="s">
        <v>1609</v>
      </c>
      <c r="J976" s="7"/>
      <c r="K976" s="7" t="s">
        <v>5394</v>
      </c>
    </row>
    <row r="977" customFormat="false" ht="46.25" hidden="false" customHeight="false" outlineLevel="0" collapsed="false">
      <c r="A977" s="7" t="n">
        <v>976</v>
      </c>
      <c r="B977" s="7" t="s">
        <v>5395</v>
      </c>
      <c r="C977" s="7" t="n">
        <v>2026</v>
      </c>
      <c r="D977" s="7" t="s">
        <v>5396</v>
      </c>
      <c r="E977" s="7" t="s">
        <v>151</v>
      </c>
      <c r="F977" s="7" t="s">
        <v>5397</v>
      </c>
      <c r="G977" s="7" t="s">
        <v>678</v>
      </c>
      <c r="H977" s="7" t="s">
        <v>522</v>
      </c>
      <c r="I977" s="7" t="s">
        <v>1609</v>
      </c>
      <c r="J977" s="7" t="s">
        <v>110</v>
      </c>
      <c r="K977" s="7" t="s">
        <v>5398</v>
      </c>
    </row>
    <row r="978" customFormat="false" ht="23.85" hidden="false" customHeight="false" outlineLevel="0" collapsed="false">
      <c r="A978" s="7" t="n">
        <v>977</v>
      </c>
      <c r="B978" s="7" t="s">
        <v>5399</v>
      </c>
      <c r="C978" s="7" t="n">
        <v>2017</v>
      </c>
      <c r="D978" s="7" t="s">
        <v>5400</v>
      </c>
      <c r="E978" s="7" t="s">
        <v>143</v>
      </c>
      <c r="F978" s="7" t="s">
        <v>5401</v>
      </c>
      <c r="G978" s="7" t="s">
        <v>3558</v>
      </c>
      <c r="H978" s="7" t="s">
        <v>146</v>
      </c>
      <c r="I978" s="7" t="s">
        <v>5051</v>
      </c>
      <c r="J978" s="7" t="s">
        <v>112</v>
      </c>
      <c r="K978" s="7" t="s">
        <v>5402</v>
      </c>
    </row>
    <row r="979" customFormat="false" ht="23.85" hidden="false" customHeight="false" outlineLevel="0" collapsed="false">
      <c r="A979" s="7" t="n">
        <v>978</v>
      </c>
      <c r="B979" s="7" t="s">
        <v>5403</v>
      </c>
      <c r="C979" s="7" t="n">
        <v>2020</v>
      </c>
      <c r="D979" s="7" t="s">
        <v>5404</v>
      </c>
      <c r="E979" s="7" t="s">
        <v>143</v>
      </c>
      <c r="F979" s="7" t="s">
        <v>5405</v>
      </c>
      <c r="G979" s="7" t="s">
        <v>2117</v>
      </c>
      <c r="H979" s="7" t="s">
        <v>146</v>
      </c>
      <c r="I979" s="7" t="s">
        <v>5406</v>
      </c>
      <c r="J979" s="7" t="s">
        <v>112</v>
      </c>
      <c r="K979" s="7" t="s">
        <v>5407</v>
      </c>
    </row>
    <row r="980" customFormat="false" ht="35.05" hidden="false" customHeight="false" outlineLevel="0" collapsed="false">
      <c r="A980" s="7" t="n">
        <v>979</v>
      </c>
      <c r="B980" s="7" t="s">
        <v>5408</v>
      </c>
      <c r="C980" s="7" t="n">
        <v>2015</v>
      </c>
      <c r="D980" s="7" t="s">
        <v>5409</v>
      </c>
      <c r="E980" s="7" t="s">
        <v>143</v>
      </c>
      <c r="F980" s="7" t="s">
        <v>956</v>
      </c>
      <c r="G980" s="7" t="s">
        <v>5410</v>
      </c>
      <c r="H980" s="7" t="s">
        <v>146</v>
      </c>
      <c r="I980" s="7" t="s">
        <v>1609</v>
      </c>
      <c r="J980" s="7" t="s">
        <v>112</v>
      </c>
      <c r="K980" s="7" t="s">
        <v>5411</v>
      </c>
    </row>
    <row r="981" customFormat="false" ht="23.85" hidden="false" customHeight="false" outlineLevel="0" collapsed="false">
      <c r="A981" s="7" t="n">
        <v>980</v>
      </c>
      <c r="B981" s="7" t="s">
        <v>5412</v>
      </c>
      <c r="C981" s="7" t="n">
        <v>2025</v>
      </c>
      <c r="D981" s="7" t="s">
        <v>5413</v>
      </c>
      <c r="E981" s="7" t="s">
        <v>143</v>
      </c>
      <c r="F981" s="7" t="s">
        <v>5414</v>
      </c>
      <c r="G981" s="7" t="s">
        <v>145</v>
      </c>
      <c r="H981" s="7" t="s">
        <v>146</v>
      </c>
      <c r="I981" s="7" t="s">
        <v>5415</v>
      </c>
      <c r="J981" s="7" t="s">
        <v>116</v>
      </c>
      <c r="K981" s="7" t="s">
        <v>5416</v>
      </c>
    </row>
    <row r="982" customFormat="false" ht="35.05" hidden="false" customHeight="false" outlineLevel="0" collapsed="false">
      <c r="A982" s="7" t="n">
        <v>981</v>
      </c>
      <c r="B982" s="7" t="s">
        <v>5417</v>
      </c>
      <c r="C982" s="7" t="n">
        <v>2013</v>
      </c>
      <c r="D982" s="7" t="s">
        <v>5418</v>
      </c>
      <c r="E982" s="7" t="s">
        <v>153</v>
      </c>
      <c r="F982" s="7" t="s">
        <v>5192</v>
      </c>
      <c r="G982" s="7" t="s">
        <v>145</v>
      </c>
      <c r="H982" s="7" t="s">
        <v>146</v>
      </c>
      <c r="I982" s="7" t="s">
        <v>1227</v>
      </c>
      <c r="J982" s="7" t="s">
        <v>110</v>
      </c>
      <c r="K982" s="7" t="s">
        <v>5419</v>
      </c>
    </row>
    <row r="983" customFormat="false" ht="46.25" hidden="false" customHeight="false" outlineLevel="0" collapsed="false">
      <c r="A983" s="7" t="n">
        <v>982</v>
      </c>
      <c r="B983" s="7" t="s">
        <v>5420</v>
      </c>
      <c r="C983" s="7" t="n">
        <v>2017</v>
      </c>
      <c r="D983" s="7" t="s">
        <v>5421</v>
      </c>
      <c r="E983" s="7" t="s">
        <v>143</v>
      </c>
      <c r="F983" s="7" t="s">
        <v>5422</v>
      </c>
      <c r="G983" s="7" t="s">
        <v>423</v>
      </c>
      <c r="H983" s="7" t="s">
        <v>146</v>
      </c>
      <c r="I983" s="7" t="s">
        <v>1227</v>
      </c>
      <c r="J983" s="7" t="s">
        <v>110</v>
      </c>
      <c r="K983" s="7" t="s">
        <v>5423</v>
      </c>
    </row>
    <row r="984" customFormat="false" ht="23.85" hidden="false" customHeight="false" outlineLevel="0" collapsed="false">
      <c r="A984" s="7" t="n">
        <v>983</v>
      </c>
      <c r="B984" s="7" t="s">
        <v>5424</v>
      </c>
      <c r="C984" s="7" t="n">
        <v>2019</v>
      </c>
      <c r="D984" s="7" t="s">
        <v>5425</v>
      </c>
      <c r="E984" s="7" t="s">
        <v>153</v>
      </c>
      <c r="F984" s="7" t="s">
        <v>5192</v>
      </c>
      <c r="G984" s="7" t="s">
        <v>5426</v>
      </c>
      <c r="H984" s="7" t="s">
        <v>146</v>
      </c>
      <c r="I984" s="7" t="s">
        <v>1227</v>
      </c>
      <c r="J984" s="7" t="s">
        <v>110</v>
      </c>
      <c r="K984" s="7" t="s">
        <v>5427</v>
      </c>
    </row>
    <row r="985" customFormat="false" ht="35.05" hidden="false" customHeight="false" outlineLevel="0" collapsed="false">
      <c r="A985" s="7" t="n">
        <v>984</v>
      </c>
      <c r="B985" s="7" t="s">
        <v>5428</v>
      </c>
      <c r="C985" s="7" t="n">
        <v>2023</v>
      </c>
      <c r="D985" s="7" t="s">
        <v>5429</v>
      </c>
      <c r="E985" s="7" t="s">
        <v>143</v>
      </c>
      <c r="F985" s="7" t="s">
        <v>5430</v>
      </c>
      <c r="G985" s="7" t="s">
        <v>5431</v>
      </c>
      <c r="H985" s="7" t="s">
        <v>146</v>
      </c>
      <c r="I985" s="7" t="s">
        <v>5043</v>
      </c>
      <c r="J985" s="7"/>
      <c r="K985" s="7" t="s">
        <v>5432</v>
      </c>
    </row>
    <row r="986" customFormat="false" ht="35.05" hidden="false" customHeight="false" outlineLevel="0" collapsed="false">
      <c r="A986" s="7" t="n">
        <v>985</v>
      </c>
      <c r="B986" s="7" t="s">
        <v>5433</v>
      </c>
      <c r="C986" s="7" t="n">
        <v>2012</v>
      </c>
      <c r="D986" s="7" t="s">
        <v>5434</v>
      </c>
      <c r="E986" s="7" t="s">
        <v>153</v>
      </c>
      <c r="F986" s="7" t="s">
        <v>5435</v>
      </c>
      <c r="G986" s="7" t="s">
        <v>5436</v>
      </c>
      <c r="H986" s="7" t="s">
        <v>146</v>
      </c>
      <c r="I986" s="7" t="s">
        <v>5043</v>
      </c>
      <c r="J986" s="7"/>
      <c r="K986" s="7" t="s">
        <v>5437</v>
      </c>
    </row>
    <row r="987" customFormat="false" ht="35.05" hidden="false" customHeight="false" outlineLevel="0" collapsed="false">
      <c r="A987" s="7" t="n">
        <v>986</v>
      </c>
      <c r="B987" s="7" t="s">
        <v>5433</v>
      </c>
      <c r="C987" s="7" t="n">
        <v>2014</v>
      </c>
      <c r="D987" s="7" t="s">
        <v>5438</v>
      </c>
      <c r="E987" s="7" t="s">
        <v>143</v>
      </c>
      <c r="F987" s="7" t="s">
        <v>5439</v>
      </c>
      <c r="G987" s="7" t="s">
        <v>187</v>
      </c>
      <c r="H987" s="7" t="s">
        <v>146</v>
      </c>
      <c r="I987" s="7" t="s">
        <v>5043</v>
      </c>
      <c r="J987" s="7"/>
      <c r="K987" s="7" t="s">
        <v>5440</v>
      </c>
    </row>
    <row r="988" customFormat="false" ht="35.05" hidden="false" customHeight="false" outlineLevel="0" collapsed="false">
      <c r="A988" s="7" t="n">
        <v>987</v>
      </c>
      <c r="B988" s="7" t="s">
        <v>5441</v>
      </c>
      <c r="C988" s="7" t="n">
        <v>2023</v>
      </c>
      <c r="D988" s="7" t="s">
        <v>5442</v>
      </c>
      <c r="E988" s="7" t="s">
        <v>143</v>
      </c>
      <c r="F988" s="7" t="s">
        <v>5443</v>
      </c>
      <c r="G988" s="7" t="s">
        <v>690</v>
      </c>
      <c r="H988" s="7" t="s">
        <v>146</v>
      </c>
      <c r="I988" s="7" t="s">
        <v>2046</v>
      </c>
      <c r="J988" s="7" t="s">
        <v>116</v>
      </c>
      <c r="K988" s="7" t="s">
        <v>5444</v>
      </c>
    </row>
    <row r="989" customFormat="false" ht="23.85" hidden="false" customHeight="false" outlineLevel="0" collapsed="false">
      <c r="A989" s="7" t="n">
        <v>988</v>
      </c>
      <c r="B989" s="7" t="s">
        <v>5445</v>
      </c>
      <c r="C989" s="7" t="n">
        <v>2023</v>
      </c>
      <c r="D989" s="7" t="s">
        <v>5446</v>
      </c>
      <c r="E989" s="7" t="s">
        <v>143</v>
      </c>
      <c r="F989" s="7" t="s">
        <v>5447</v>
      </c>
      <c r="G989" s="7" t="s">
        <v>145</v>
      </c>
      <c r="H989" s="7" t="s">
        <v>146</v>
      </c>
      <c r="I989" s="7" t="s">
        <v>5043</v>
      </c>
      <c r="J989" s="7"/>
      <c r="K989" s="7" t="s">
        <v>5448</v>
      </c>
    </row>
    <row r="990" customFormat="false" ht="23.85" hidden="false" customHeight="false" outlineLevel="0" collapsed="false">
      <c r="A990" s="7" t="n">
        <v>989</v>
      </c>
      <c r="B990" s="7" t="s">
        <v>5449</v>
      </c>
      <c r="C990" s="7" t="n">
        <v>2023</v>
      </c>
      <c r="D990" s="7" t="s">
        <v>5450</v>
      </c>
      <c r="E990" s="7" t="s">
        <v>151</v>
      </c>
      <c r="F990" s="7" t="s">
        <v>5451</v>
      </c>
      <c r="G990" s="7" t="s">
        <v>145</v>
      </c>
      <c r="H990" s="7" t="s">
        <v>522</v>
      </c>
      <c r="I990" s="7" t="s">
        <v>1609</v>
      </c>
      <c r="J990" s="7"/>
      <c r="K990" s="7" t="s">
        <v>5452</v>
      </c>
    </row>
    <row r="991" customFormat="false" ht="35.05" hidden="false" customHeight="false" outlineLevel="0" collapsed="false">
      <c r="A991" s="7" t="n">
        <v>990</v>
      </c>
      <c r="B991" s="7" t="s">
        <v>5453</v>
      </c>
      <c r="C991" s="7" t="n">
        <v>2013</v>
      </c>
      <c r="D991" s="7" t="s">
        <v>5454</v>
      </c>
      <c r="E991" s="7" t="s">
        <v>151</v>
      </c>
      <c r="F991" s="7" t="s">
        <v>5093</v>
      </c>
      <c r="G991" s="7" t="s">
        <v>5455</v>
      </c>
      <c r="H991" s="7" t="s">
        <v>522</v>
      </c>
      <c r="I991" s="7" t="s">
        <v>1609</v>
      </c>
      <c r="J991" s="7"/>
      <c r="K991" s="7" t="s">
        <v>5456</v>
      </c>
    </row>
    <row r="992" customFormat="false" ht="35.05" hidden="false" customHeight="false" outlineLevel="0" collapsed="false">
      <c r="A992" s="7" t="n">
        <v>991</v>
      </c>
      <c r="B992" s="7" t="s">
        <v>5457</v>
      </c>
      <c r="C992" s="7" t="n">
        <v>2017</v>
      </c>
      <c r="D992" s="7" t="s">
        <v>5458</v>
      </c>
      <c r="E992" s="7" t="s">
        <v>143</v>
      </c>
      <c r="F992" s="7" t="s">
        <v>5459</v>
      </c>
      <c r="G992" s="7" t="s">
        <v>1198</v>
      </c>
      <c r="H992" s="7" t="s">
        <v>146</v>
      </c>
      <c r="I992" s="7" t="s">
        <v>3553</v>
      </c>
      <c r="J992" s="7" t="s">
        <v>116</v>
      </c>
      <c r="K992" s="7" t="s">
        <v>5460</v>
      </c>
    </row>
    <row r="993" customFormat="false" ht="23.85" hidden="false" customHeight="false" outlineLevel="0" collapsed="false">
      <c r="A993" s="7" t="n">
        <v>992</v>
      </c>
      <c r="B993" s="7" t="s">
        <v>5461</v>
      </c>
      <c r="C993" s="7" t="n">
        <v>2025</v>
      </c>
      <c r="D993" s="7" t="s">
        <v>5462</v>
      </c>
      <c r="E993" s="7" t="s">
        <v>143</v>
      </c>
      <c r="F993" s="7" t="s">
        <v>5463</v>
      </c>
      <c r="G993" s="7" t="s">
        <v>187</v>
      </c>
      <c r="H993" s="7" t="s">
        <v>146</v>
      </c>
      <c r="I993" s="7" t="s">
        <v>5464</v>
      </c>
      <c r="J993" s="7"/>
      <c r="K993" s="7" t="s">
        <v>5465</v>
      </c>
    </row>
    <row r="994" customFormat="false" ht="35.05" hidden="false" customHeight="false" outlineLevel="0" collapsed="false">
      <c r="A994" s="7" t="n">
        <v>993</v>
      </c>
      <c r="B994" s="7" t="s">
        <v>5466</v>
      </c>
      <c r="C994" s="7" t="n">
        <v>2017</v>
      </c>
      <c r="D994" s="7" t="s">
        <v>5467</v>
      </c>
      <c r="E994" s="7" t="s">
        <v>143</v>
      </c>
      <c r="F994" s="7" t="s">
        <v>5468</v>
      </c>
      <c r="G994" s="7" t="s">
        <v>145</v>
      </c>
      <c r="H994" s="7" t="s">
        <v>208</v>
      </c>
      <c r="I994" s="7" t="s">
        <v>5469</v>
      </c>
      <c r="J994" s="7" t="s">
        <v>112</v>
      </c>
      <c r="K994" s="7" t="s">
        <v>5470</v>
      </c>
    </row>
    <row r="995" customFormat="false" ht="23.85" hidden="false" customHeight="false" outlineLevel="0" collapsed="false">
      <c r="A995" s="7" t="n">
        <v>994</v>
      </c>
      <c r="B995" s="7" t="s">
        <v>5466</v>
      </c>
      <c r="C995" s="7" t="n">
        <v>2021</v>
      </c>
      <c r="D995" s="7" t="s">
        <v>5471</v>
      </c>
      <c r="E995" s="7" t="s">
        <v>143</v>
      </c>
      <c r="F995" s="7" t="s">
        <v>5472</v>
      </c>
      <c r="G995" s="7" t="s">
        <v>255</v>
      </c>
      <c r="H995" s="7" t="s">
        <v>208</v>
      </c>
      <c r="I995" s="7" t="s">
        <v>5473</v>
      </c>
      <c r="J995" s="7" t="s">
        <v>112</v>
      </c>
      <c r="K995" s="7" t="s">
        <v>5474</v>
      </c>
    </row>
    <row r="996" customFormat="false" ht="23.85" hidden="false" customHeight="false" outlineLevel="0" collapsed="false">
      <c r="A996" s="7" t="n">
        <v>995</v>
      </c>
      <c r="B996" s="7" t="s">
        <v>5475</v>
      </c>
      <c r="C996" s="7" t="n">
        <v>2021</v>
      </c>
      <c r="D996" s="7" t="s">
        <v>5476</v>
      </c>
      <c r="E996" s="7" t="s">
        <v>143</v>
      </c>
      <c r="F996" s="7" t="s">
        <v>5477</v>
      </c>
      <c r="G996" s="7" t="s">
        <v>255</v>
      </c>
      <c r="H996" s="7" t="s">
        <v>208</v>
      </c>
      <c r="I996" s="7" t="s">
        <v>5478</v>
      </c>
      <c r="J996" s="7" t="s">
        <v>112</v>
      </c>
      <c r="K996" s="7" t="s">
        <v>5479</v>
      </c>
    </row>
    <row r="997" customFormat="false" ht="23.85" hidden="false" customHeight="false" outlineLevel="0" collapsed="false">
      <c r="A997" s="7" t="n">
        <v>996</v>
      </c>
      <c r="B997" s="7" t="s">
        <v>5480</v>
      </c>
      <c r="C997" s="7" t="n">
        <v>2025</v>
      </c>
      <c r="D997" s="7" t="s">
        <v>5481</v>
      </c>
      <c r="E997" s="7" t="s">
        <v>153</v>
      </c>
      <c r="F997" s="7" t="s">
        <v>5482</v>
      </c>
      <c r="G997" s="7" t="s">
        <v>936</v>
      </c>
      <c r="H997" s="7" t="s">
        <v>522</v>
      </c>
      <c r="I997" s="7" t="s">
        <v>1609</v>
      </c>
      <c r="J997" s="7" t="s">
        <v>112</v>
      </c>
      <c r="K997" s="7" t="s">
        <v>5483</v>
      </c>
    </row>
    <row r="998" customFormat="false" ht="35.05" hidden="false" customHeight="false" outlineLevel="0" collapsed="false">
      <c r="A998" s="7" t="n">
        <v>997</v>
      </c>
      <c r="B998" s="7" t="s">
        <v>5484</v>
      </c>
      <c r="C998" s="7" t="n">
        <v>2016</v>
      </c>
      <c r="D998" s="7" t="s">
        <v>5485</v>
      </c>
      <c r="E998" s="7" t="s">
        <v>143</v>
      </c>
      <c r="F998" s="7" t="s">
        <v>5486</v>
      </c>
      <c r="G998" s="7" t="s">
        <v>145</v>
      </c>
      <c r="H998" s="7" t="s">
        <v>146</v>
      </c>
      <c r="I998" s="7" t="s">
        <v>3553</v>
      </c>
      <c r="J998" s="7"/>
      <c r="K998" s="7" t="s">
        <v>5487</v>
      </c>
    </row>
    <row r="999" customFormat="false" ht="35.05" hidden="false" customHeight="false" outlineLevel="0" collapsed="false">
      <c r="A999" s="7" t="n">
        <v>998</v>
      </c>
      <c r="B999" s="7" t="s">
        <v>5488</v>
      </c>
      <c r="C999" s="7" t="n">
        <v>2024</v>
      </c>
      <c r="D999" s="7" t="s">
        <v>5489</v>
      </c>
      <c r="E999" s="7" t="s">
        <v>143</v>
      </c>
      <c r="F999" s="7" t="s">
        <v>5490</v>
      </c>
      <c r="G999" s="7" t="s">
        <v>145</v>
      </c>
      <c r="H999" s="7" t="s">
        <v>146</v>
      </c>
      <c r="I999" s="7" t="s">
        <v>5491</v>
      </c>
      <c r="J999" s="7"/>
      <c r="K999" s="7" t="s">
        <v>5492</v>
      </c>
    </row>
    <row r="1000" customFormat="false" ht="35.05" hidden="false" customHeight="false" outlineLevel="0" collapsed="false">
      <c r="A1000" s="7" t="n">
        <v>999</v>
      </c>
      <c r="B1000" s="7" t="s">
        <v>5493</v>
      </c>
      <c r="C1000" s="7" t="n">
        <v>2024</v>
      </c>
      <c r="D1000" s="7" t="s">
        <v>5494</v>
      </c>
      <c r="E1000" s="7" t="s">
        <v>143</v>
      </c>
      <c r="F1000" s="7" t="s">
        <v>5495</v>
      </c>
      <c r="G1000" s="7" t="s">
        <v>5496</v>
      </c>
      <c r="H1000" s="7" t="s">
        <v>146</v>
      </c>
      <c r="I1000" s="7" t="s">
        <v>5497</v>
      </c>
      <c r="J1000" s="7" t="s">
        <v>112</v>
      </c>
      <c r="K1000" s="7" t="s">
        <v>5498</v>
      </c>
    </row>
    <row r="1001" customFormat="false" ht="35.05" hidden="false" customHeight="false" outlineLevel="0" collapsed="false">
      <c r="A1001" s="7" t="n">
        <v>1000</v>
      </c>
      <c r="B1001" s="7" t="s">
        <v>5499</v>
      </c>
      <c r="C1001" s="7" t="n">
        <v>2017</v>
      </c>
      <c r="D1001" s="7" t="s">
        <v>5500</v>
      </c>
      <c r="E1001" s="7" t="s">
        <v>143</v>
      </c>
      <c r="F1001" s="7" t="s">
        <v>5501</v>
      </c>
      <c r="G1001" s="7" t="s">
        <v>1020</v>
      </c>
      <c r="H1001" s="7" t="s">
        <v>146</v>
      </c>
      <c r="I1001" s="7" t="s">
        <v>5043</v>
      </c>
      <c r="J1001" s="7"/>
      <c r="K1001" s="7" t="s">
        <v>5502</v>
      </c>
    </row>
    <row r="1002" customFormat="false" ht="35.05" hidden="false" customHeight="false" outlineLevel="0" collapsed="false">
      <c r="A1002" s="7" t="n">
        <v>1001</v>
      </c>
      <c r="B1002" s="7" t="s">
        <v>5503</v>
      </c>
      <c r="C1002" s="7" t="n">
        <v>2023</v>
      </c>
      <c r="D1002" s="7" t="s">
        <v>5504</v>
      </c>
      <c r="E1002" s="7" t="s">
        <v>143</v>
      </c>
      <c r="F1002" s="7" t="s">
        <v>5505</v>
      </c>
      <c r="G1002" s="7" t="s">
        <v>2899</v>
      </c>
      <c r="H1002" s="7" t="s">
        <v>146</v>
      </c>
      <c r="I1002" s="7" t="s">
        <v>5071</v>
      </c>
      <c r="J1002" s="7" t="s">
        <v>112</v>
      </c>
      <c r="K1002" s="7" t="s">
        <v>5506</v>
      </c>
    </row>
    <row r="1003" customFormat="false" ht="46.25" hidden="false" customHeight="false" outlineLevel="0" collapsed="false">
      <c r="A1003" s="7" t="n">
        <v>1002</v>
      </c>
      <c r="B1003" s="7" t="s">
        <v>5507</v>
      </c>
      <c r="C1003" s="7" t="n">
        <v>2024</v>
      </c>
      <c r="D1003" s="7" t="s">
        <v>5508</v>
      </c>
      <c r="E1003" s="7" t="s">
        <v>143</v>
      </c>
      <c r="F1003" s="7" t="s">
        <v>5509</v>
      </c>
      <c r="G1003" s="7" t="s">
        <v>5510</v>
      </c>
      <c r="H1003" s="7" t="s">
        <v>153</v>
      </c>
      <c r="I1003" s="7" t="s">
        <v>5511</v>
      </c>
      <c r="J1003" s="7" t="s">
        <v>116</v>
      </c>
      <c r="K1003" s="7" t="s">
        <v>5512</v>
      </c>
    </row>
    <row r="1004" customFormat="false" ht="23.85" hidden="false" customHeight="false" outlineLevel="0" collapsed="false">
      <c r="A1004" s="7" t="n">
        <v>1003</v>
      </c>
      <c r="B1004" s="7" t="s">
        <v>5513</v>
      </c>
      <c r="C1004" s="7" t="n">
        <v>2022</v>
      </c>
      <c r="D1004" s="7" t="s">
        <v>5514</v>
      </c>
      <c r="E1004" s="7" t="s">
        <v>143</v>
      </c>
      <c r="F1004" s="7" t="s">
        <v>5515</v>
      </c>
      <c r="G1004" s="7" t="s">
        <v>936</v>
      </c>
      <c r="H1004" s="7" t="s">
        <v>146</v>
      </c>
      <c r="I1004" s="7" t="s">
        <v>3770</v>
      </c>
      <c r="J1004" s="7" t="s">
        <v>116</v>
      </c>
      <c r="K1004" s="7" t="s">
        <v>5516</v>
      </c>
    </row>
    <row r="1005" customFormat="false" ht="23.85" hidden="false" customHeight="false" outlineLevel="0" collapsed="false">
      <c r="A1005" s="7" t="n">
        <v>1004</v>
      </c>
      <c r="B1005" s="7" t="s">
        <v>5517</v>
      </c>
      <c r="C1005" s="7" t="n">
        <v>2024</v>
      </c>
      <c r="D1005" s="7" t="s">
        <v>5518</v>
      </c>
      <c r="E1005" s="7" t="s">
        <v>151</v>
      </c>
      <c r="F1005" s="7" t="s">
        <v>5519</v>
      </c>
      <c r="G1005" s="7" t="s">
        <v>684</v>
      </c>
      <c r="H1005" s="7" t="s">
        <v>146</v>
      </c>
      <c r="I1005" s="7" t="s">
        <v>5043</v>
      </c>
      <c r="J1005" s="7"/>
      <c r="K1005" s="7" t="s">
        <v>5520</v>
      </c>
    </row>
    <row r="1006" customFormat="false" ht="23.85" hidden="false" customHeight="false" outlineLevel="0" collapsed="false">
      <c r="A1006" s="7" t="n">
        <v>1005</v>
      </c>
      <c r="B1006" s="7" t="s">
        <v>5521</v>
      </c>
      <c r="C1006" s="7" t="n">
        <v>2024</v>
      </c>
      <c r="D1006" s="7" t="s">
        <v>5522</v>
      </c>
      <c r="E1006" s="7" t="s">
        <v>143</v>
      </c>
      <c r="F1006" s="7" t="s">
        <v>5523</v>
      </c>
      <c r="G1006" s="7" t="s">
        <v>145</v>
      </c>
      <c r="H1006" s="7" t="s">
        <v>146</v>
      </c>
      <c r="I1006" s="7" t="s">
        <v>5524</v>
      </c>
      <c r="J1006" s="7"/>
      <c r="K1006" s="7" t="s">
        <v>5525</v>
      </c>
    </row>
    <row r="1007" customFormat="false" ht="46.25" hidden="false" customHeight="false" outlineLevel="0" collapsed="false">
      <c r="A1007" s="7" t="n">
        <v>1006</v>
      </c>
      <c r="B1007" s="7" t="s">
        <v>5526</v>
      </c>
      <c r="C1007" s="7" t="n">
        <v>2016</v>
      </c>
      <c r="D1007" s="7" t="s">
        <v>5527</v>
      </c>
      <c r="E1007" s="7" t="s">
        <v>143</v>
      </c>
      <c r="F1007" s="7" t="s">
        <v>5528</v>
      </c>
      <c r="G1007" s="7" t="s">
        <v>690</v>
      </c>
      <c r="H1007" s="7" t="s">
        <v>146</v>
      </c>
      <c r="I1007" s="7" t="s">
        <v>2046</v>
      </c>
      <c r="J1007" s="7"/>
      <c r="K1007" s="7" t="s">
        <v>5529</v>
      </c>
    </row>
    <row r="1008" customFormat="false" ht="35.05" hidden="false" customHeight="false" outlineLevel="0" collapsed="false">
      <c r="A1008" s="7" t="n">
        <v>1007</v>
      </c>
      <c r="B1008" s="7" t="s">
        <v>5530</v>
      </c>
      <c r="C1008" s="7" t="n">
        <v>2024</v>
      </c>
      <c r="D1008" s="7" t="s">
        <v>5531</v>
      </c>
      <c r="E1008" s="7" t="s">
        <v>151</v>
      </c>
      <c r="F1008" s="7" t="s">
        <v>5192</v>
      </c>
      <c r="G1008" s="7" t="s">
        <v>5532</v>
      </c>
      <c r="H1008" s="7" t="s">
        <v>146</v>
      </c>
      <c r="I1008" s="7" t="s">
        <v>5043</v>
      </c>
      <c r="J1008" s="7"/>
      <c r="K1008" s="7" t="s">
        <v>5533</v>
      </c>
    </row>
    <row r="1009" customFormat="false" ht="35.05" hidden="false" customHeight="false" outlineLevel="0" collapsed="false">
      <c r="A1009" s="7" t="n">
        <v>1008</v>
      </c>
      <c r="B1009" s="7" t="s">
        <v>5534</v>
      </c>
      <c r="C1009" s="7" t="n">
        <v>2022</v>
      </c>
      <c r="D1009" s="7" t="s">
        <v>5535</v>
      </c>
      <c r="E1009" s="7" t="s">
        <v>143</v>
      </c>
      <c r="F1009" s="7" t="s">
        <v>5536</v>
      </c>
      <c r="G1009" s="7" t="s">
        <v>244</v>
      </c>
      <c r="H1009" s="7" t="s">
        <v>522</v>
      </c>
      <c r="I1009" s="7" t="s">
        <v>5537</v>
      </c>
      <c r="J1009" s="7" t="s">
        <v>5174</v>
      </c>
      <c r="K1009" s="7" t="s">
        <v>5538</v>
      </c>
    </row>
    <row r="1010" customFormat="false" ht="35.05" hidden="false" customHeight="false" outlineLevel="0" collapsed="false">
      <c r="A1010" s="7" t="n">
        <v>1009</v>
      </c>
      <c r="B1010" s="7" t="s">
        <v>5539</v>
      </c>
      <c r="C1010" s="7" t="n">
        <v>2021</v>
      </c>
      <c r="D1010" s="7" t="s">
        <v>5540</v>
      </c>
      <c r="E1010" s="7" t="s">
        <v>151</v>
      </c>
      <c r="F1010" s="7" t="s">
        <v>5541</v>
      </c>
      <c r="G1010" s="7" t="s">
        <v>678</v>
      </c>
      <c r="H1010" s="7" t="s">
        <v>153</v>
      </c>
      <c r="I1010" s="7" t="s">
        <v>1609</v>
      </c>
      <c r="J1010" s="7"/>
      <c r="K1010" s="7" t="s">
        <v>5542</v>
      </c>
    </row>
    <row r="1011" customFormat="false" ht="35.05" hidden="false" customHeight="false" outlineLevel="0" collapsed="false">
      <c r="A1011" s="7" t="n">
        <v>1010</v>
      </c>
      <c r="B1011" s="7" t="s">
        <v>5543</v>
      </c>
      <c r="C1011" s="7" t="n">
        <v>2010</v>
      </c>
      <c r="D1011" s="7" t="s">
        <v>5544</v>
      </c>
      <c r="E1011" s="7" t="s">
        <v>143</v>
      </c>
      <c r="F1011" s="7" t="s">
        <v>5545</v>
      </c>
      <c r="G1011" s="7" t="s">
        <v>187</v>
      </c>
      <c r="H1011" s="7" t="s">
        <v>146</v>
      </c>
      <c r="I1011" s="7" t="s">
        <v>3770</v>
      </c>
      <c r="J1011" s="7" t="s">
        <v>116</v>
      </c>
      <c r="K1011" s="7" t="s">
        <v>5546</v>
      </c>
    </row>
    <row r="1012" customFormat="false" ht="46.25" hidden="false" customHeight="false" outlineLevel="0" collapsed="false">
      <c r="A1012" s="7" t="n">
        <v>1011</v>
      </c>
      <c r="B1012" s="7" t="s">
        <v>5547</v>
      </c>
      <c r="C1012" s="7" t="n">
        <v>2015</v>
      </c>
      <c r="D1012" s="7" t="s">
        <v>5548</v>
      </c>
      <c r="E1012" s="7" t="s">
        <v>151</v>
      </c>
      <c r="F1012" s="7" t="s">
        <v>5549</v>
      </c>
      <c r="G1012" s="7" t="s">
        <v>255</v>
      </c>
      <c r="H1012" s="7" t="s">
        <v>208</v>
      </c>
      <c r="I1012" s="7" t="s">
        <v>5550</v>
      </c>
      <c r="J1012" s="7" t="s">
        <v>112</v>
      </c>
      <c r="K1012" s="7" t="s">
        <v>5551</v>
      </c>
    </row>
    <row r="1013" customFormat="false" ht="35.05" hidden="false" customHeight="false" outlineLevel="0" collapsed="false">
      <c r="A1013" s="7" t="n">
        <v>1012</v>
      </c>
      <c r="B1013" s="7" t="s">
        <v>5552</v>
      </c>
      <c r="C1013" s="7" t="n">
        <v>2015</v>
      </c>
      <c r="D1013" s="7" t="s">
        <v>5553</v>
      </c>
      <c r="E1013" s="7" t="s">
        <v>143</v>
      </c>
      <c r="F1013" s="7" t="s">
        <v>5554</v>
      </c>
      <c r="G1013" s="7" t="s">
        <v>145</v>
      </c>
      <c r="H1013" s="7" t="s">
        <v>522</v>
      </c>
      <c r="I1013" s="7" t="s">
        <v>1609</v>
      </c>
      <c r="J1013" s="7" t="s">
        <v>116</v>
      </c>
      <c r="K1013" s="7" t="s">
        <v>5555</v>
      </c>
    </row>
    <row r="1014" customFormat="false" ht="23.85" hidden="false" customHeight="false" outlineLevel="0" collapsed="false">
      <c r="A1014" s="7" t="n">
        <v>1013</v>
      </c>
      <c r="B1014" s="7" t="s">
        <v>5556</v>
      </c>
      <c r="C1014" s="7" t="n">
        <v>2017</v>
      </c>
      <c r="D1014" s="7" t="s">
        <v>5557</v>
      </c>
      <c r="E1014" s="7" t="s">
        <v>151</v>
      </c>
      <c r="F1014" s="7" t="s">
        <v>5558</v>
      </c>
      <c r="G1014" s="7" t="s">
        <v>255</v>
      </c>
      <c r="H1014" s="7" t="s">
        <v>748</v>
      </c>
      <c r="I1014" s="7" t="s">
        <v>5559</v>
      </c>
      <c r="J1014" s="7" t="s">
        <v>112</v>
      </c>
      <c r="K1014" s="7" t="s">
        <v>5560</v>
      </c>
    </row>
    <row r="1015" customFormat="false" ht="46.25" hidden="false" customHeight="false" outlineLevel="0" collapsed="false">
      <c r="A1015" s="7" t="n">
        <v>1014</v>
      </c>
      <c r="B1015" s="7" t="s">
        <v>5561</v>
      </c>
      <c r="C1015" s="7" t="n">
        <v>2022</v>
      </c>
      <c r="D1015" s="7" t="s">
        <v>5562</v>
      </c>
      <c r="E1015" s="7" t="s">
        <v>151</v>
      </c>
      <c r="F1015" s="7" t="s">
        <v>495</v>
      </c>
      <c r="G1015" s="7" t="s">
        <v>684</v>
      </c>
      <c r="H1015" s="7" t="s">
        <v>146</v>
      </c>
      <c r="I1015" s="7" t="s">
        <v>5563</v>
      </c>
      <c r="J1015" s="7"/>
      <c r="K1015" s="7" t="s">
        <v>5564</v>
      </c>
    </row>
    <row r="1016" customFormat="false" ht="35.05" hidden="false" customHeight="false" outlineLevel="0" collapsed="false">
      <c r="A1016" s="7" t="n">
        <v>1015</v>
      </c>
      <c r="B1016" s="7" t="s">
        <v>5565</v>
      </c>
      <c r="C1016" s="7" t="n">
        <v>2025</v>
      </c>
      <c r="D1016" s="7" t="s">
        <v>5566</v>
      </c>
      <c r="E1016" s="7" t="s">
        <v>143</v>
      </c>
      <c r="F1016" s="7" t="s">
        <v>5405</v>
      </c>
      <c r="G1016" s="7" t="s">
        <v>255</v>
      </c>
      <c r="H1016" s="7" t="s">
        <v>146</v>
      </c>
      <c r="I1016" s="7" t="s">
        <v>5567</v>
      </c>
      <c r="J1016" s="7" t="s">
        <v>112</v>
      </c>
      <c r="K1016" s="7" t="s">
        <v>5568</v>
      </c>
    </row>
    <row r="1017" customFormat="false" ht="46.25" hidden="false" customHeight="false" outlineLevel="0" collapsed="false">
      <c r="A1017" s="7" t="n">
        <v>1016</v>
      </c>
      <c r="B1017" s="7" t="s">
        <v>5569</v>
      </c>
      <c r="C1017" s="7" t="n">
        <v>2021</v>
      </c>
      <c r="D1017" s="7" t="s">
        <v>5570</v>
      </c>
      <c r="E1017" s="7" t="s">
        <v>143</v>
      </c>
      <c r="F1017" s="7" t="s">
        <v>5571</v>
      </c>
      <c r="G1017" s="7" t="s">
        <v>2899</v>
      </c>
      <c r="H1017" s="7" t="s">
        <v>146</v>
      </c>
      <c r="I1017" s="7" t="s">
        <v>3770</v>
      </c>
      <c r="J1017" s="7" t="s">
        <v>112</v>
      </c>
      <c r="K1017" s="7" t="s">
        <v>5572</v>
      </c>
    </row>
    <row r="1018" customFormat="false" ht="35.05" hidden="false" customHeight="false" outlineLevel="0" collapsed="false">
      <c r="A1018" s="7" t="n">
        <v>1017</v>
      </c>
      <c r="B1018" s="7" t="s">
        <v>5573</v>
      </c>
      <c r="C1018" s="7" t="n">
        <v>2024</v>
      </c>
      <c r="D1018" s="7" t="s">
        <v>5574</v>
      </c>
      <c r="E1018" s="7" t="s">
        <v>143</v>
      </c>
      <c r="F1018" s="7" t="s">
        <v>5575</v>
      </c>
      <c r="G1018" s="7" t="s">
        <v>255</v>
      </c>
      <c r="H1018" s="7" t="s">
        <v>522</v>
      </c>
      <c r="I1018" s="7" t="s">
        <v>5576</v>
      </c>
      <c r="J1018" s="7" t="s">
        <v>5174</v>
      </c>
      <c r="K1018" s="7" t="s">
        <v>5577</v>
      </c>
    </row>
    <row r="1019" customFormat="false" ht="35.05" hidden="false" customHeight="false" outlineLevel="0" collapsed="false">
      <c r="A1019" s="7" t="n">
        <v>1018</v>
      </c>
      <c r="B1019" s="7" t="s">
        <v>5578</v>
      </c>
      <c r="C1019" s="7" t="n">
        <v>2024</v>
      </c>
      <c r="D1019" s="7" t="s">
        <v>5579</v>
      </c>
      <c r="E1019" s="7" t="s">
        <v>151</v>
      </c>
      <c r="F1019" s="7" t="s">
        <v>5088</v>
      </c>
      <c r="G1019" s="7" t="s">
        <v>5094</v>
      </c>
      <c r="H1019" s="7" t="s">
        <v>522</v>
      </c>
      <c r="I1019" s="7" t="s">
        <v>1609</v>
      </c>
      <c r="J1019" s="7"/>
      <c r="K1019" s="7" t="s">
        <v>5580</v>
      </c>
    </row>
    <row r="1020" customFormat="false" ht="35.05" hidden="false" customHeight="false" outlineLevel="0" collapsed="false">
      <c r="A1020" s="7" t="n">
        <v>1019</v>
      </c>
      <c r="B1020" s="7" t="s">
        <v>5581</v>
      </c>
      <c r="C1020" s="7" t="n">
        <v>2024</v>
      </c>
      <c r="D1020" s="7" t="s">
        <v>5582</v>
      </c>
      <c r="E1020" s="7" t="s">
        <v>151</v>
      </c>
      <c r="F1020" s="7" t="s">
        <v>5583</v>
      </c>
      <c r="G1020" s="7" t="s">
        <v>936</v>
      </c>
      <c r="H1020" s="7" t="s">
        <v>146</v>
      </c>
      <c r="I1020" s="7" t="s">
        <v>5584</v>
      </c>
      <c r="J1020" s="7" t="s">
        <v>112</v>
      </c>
      <c r="K1020" s="7" t="s">
        <v>5585</v>
      </c>
    </row>
    <row r="1021" customFormat="false" ht="35.05" hidden="false" customHeight="false" outlineLevel="0" collapsed="false">
      <c r="A1021" s="7" t="n">
        <v>1020</v>
      </c>
      <c r="B1021" s="7" t="s">
        <v>5586</v>
      </c>
      <c r="C1021" s="7" t="n">
        <v>2022</v>
      </c>
      <c r="D1021" s="7" t="s">
        <v>5587</v>
      </c>
      <c r="E1021" s="7" t="s">
        <v>143</v>
      </c>
      <c r="F1021" s="7" t="s">
        <v>5588</v>
      </c>
      <c r="G1021" s="7" t="s">
        <v>255</v>
      </c>
      <c r="H1021" s="7" t="s">
        <v>146</v>
      </c>
      <c r="I1021" s="7" t="s">
        <v>1227</v>
      </c>
      <c r="J1021" s="7" t="s">
        <v>116</v>
      </c>
      <c r="K1021" s="7" t="s">
        <v>5589</v>
      </c>
    </row>
    <row r="1022" customFormat="false" ht="23.85" hidden="false" customHeight="false" outlineLevel="0" collapsed="false">
      <c r="A1022" s="7" t="n">
        <v>1021</v>
      </c>
      <c r="B1022" s="7" t="s">
        <v>5590</v>
      </c>
      <c r="C1022" s="7" t="n">
        <v>2023</v>
      </c>
      <c r="D1022" s="7" t="s">
        <v>5591</v>
      </c>
      <c r="E1022" s="7" t="s">
        <v>143</v>
      </c>
      <c r="F1022" s="7" t="s">
        <v>5592</v>
      </c>
      <c r="G1022" s="7" t="s">
        <v>382</v>
      </c>
      <c r="H1022" s="7" t="s">
        <v>146</v>
      </c>
      <c r="I1022" s="7" t="s">
        <v>5593</v>
      </c>
      <c r="J1022" s="7" t="s">
        <v>116</v>
      </c>
      <c r="K1022" s="7" t="s">
        <v>5594</v>
      </c>
    </row>
    <row r="1023" customFormat="false" ht="57.45" hidden="false" customHeight="false" outlineLevel="0" collapsed="false">
      <c r="A1023" s="7" t="n">
        <v>1022</v>
      </c>
      <c r="B1023" s="7" t="s">
        <v>5595</v>
      </c>
      <c r="C1023" s="7" t="n">
        <v>2025</v>
      </c>
      <c r="D1023" s="7" t="s">
        <v>5596</v>
      </c>
      <c r="E1023" s="7" t="s">
        <v>143</v>
      </c>
      <c r="F1023" s="7" t="s">
        <v>5597</v>
      </c>
      <c r="G1023" s="7" t="s">
        <v>255</v>
      </c>
      <c r="H1023" s="7" t="s">
        <v>146</v>
      </c>
      <c r="I1023" s="7" t="s">
        <v>3770</v>
      </c>
      <c r="J1023" s="7" t="s">
        <v>112</v>
      </c>
      <c r="K1023" s="7" t="s">
        <v>5598</v>
      </c>
    </row>
    <row r="1024" customFormat="false" ht="35.05" hidden="false" customHeight="false" outlineLevel="0" collapsed="false">
      <c r="A1024" s="7" t="n">
        <v>1023</v>
      </c>
      <c r="B1024" s="7" t="s">
        <v>1591</v>
      </c>
      <c r="C1024" s="7" t="n">
        <v>2022</v>
      </c>
      <c r="D1024" s="7" t="s">
        <v>5599</v>
      </c>
      <c r="E1024" s="7" t="s">
        <v>143</v>
      </c>
      <c r="F1024" s="7" t="s">
        <v>5600</v>
      </c>
      <c r="G1024" s="7" t="s">
        <v>5601</v>
      </c>
      <c r="H1024" s="7" t="s">
        <v>146</v>
      </c>
      <c r="I1024" s="7" t="s">
        <v>5602</v>
      </c>
      <c r="J1024" s="7" t="s">
        <v>110</v>
      </c>
      <c r="K1024" s="7" t="s">
        <v>5603</v>
      </c>
    </row>
    <row r="1025" customFormat="false" ht="46.25" hidden="false" customHeight="false" outlineLevel="0" collapsed="false">
      <c r="A1025" s="7" t="n">
        <v>1024</v>
      </c>
      <c r="B1025" s="7" t="s">
        <v>5604</v>
      </c>
      <c r="C1025" s="7" t="n">
        <v>2021</v>
      </c>
      <c r="D1025" s="7" t="s">
        <v>5605</v>
      </c>
      <c r="E1025" s="7" t="s">
        <v>151</v>
      </c>
      <c r="F1025" s="7" t="s">
        <v>495</v>
      </c>
      <c r="G1025" s="7" t="s">
        <v>423</v>
      </c>
      <c r="H1025" s="7" t="s">
        <v>146</v>
      </c>
      <c r="I1025" s="7" t="s">
        <v>5606</v>
      </c>
      <c r="J1025" s="7" t="s">
        <v>112</v>
      </c>
      <c r="K1025" s="7" t="s">
        <v>5607</v>
      </c>
    </row>
    <row r="1026" customFormat="false" ht="23.85" hidden="false" customHeight="false" outlineLevel="0" collapsed="false">
      <c r="A1026" s="7" t="n">
        <v>1025</v>
      </c>
      <c r="B1026" s="7" t="s">
        <v>5608</v>
      </c>
      <c r="C1026" s="7" t="n">
        <v>2018</v>
      </c>
      <c r="D1026" s="7" t="s">
        <v>5609</v>
      </c>
      <c r="E1026" s="7" t="s">
        <v>143</v>
      </c>
      <c r="F1026" s="7" t="s">
        <v>5610</v>
      </c>
      <c r="G1026" s="7" t="s">
        <v>1213</v>
      </c>
      <c r="H1026" s="7" t="s">
        <v>146</v>
      </c>
      <c r="I1026" s="7" t="s">
        <v>5611</v>
      </c>
      <c r="J1026" s="7" t="s">
        <v>112</v>
      </c>
      <c r="K1026" s="7" t="s">
        <v>5612</v>
      </c>
    </row>
    <row r="1027" customFormat="false" ht="23.85" hidden="false" customHeight="false" outlineLevel="0" collapsed="false">
      <c r="A1027" s="7" t="n">
        <v>1026</v>
      </c>
      <c r="B1027" s="7" t="s">
        <v>5613</v>
      </c>
      <c r="C1027" s="7" t="n">
        <v>2025</v>
      </c>
      <c r="D1027" s="7" t="s">
        <v>5614</v>
      </c>
      <c r="E1027" s="7" t="s">
        <v>151</v>
      </c>
      <c r="F1027" s="7" t="s">
        <v>765</v>
      </c>
      <c r="G1027" s="7" t="s">
        <v>826</v>
      </c>
      <c r="H1027" s="7" t="s">
        <v>146</v>
      </c>
      <c r="I1027" s="7" t="s">
        <v>3770</v>
      </c>
      <c r="J1027" s="7" t="s">
        <v>116</v>
      </c>
      <c r="K1027" s="7" t="s">
        <v>5615</v>
      </c>
    </row>
    <row r="1028" customFormat="false" ht="23.85" hidden="false" customHeight="false" outlineLevel="0" collapsed="false">
      <c r="A1028" s="7" t="n">
        <v>1027</v>
      </c>
      <c r="B1028" s="7" t="s">
        <v>5616</v>
      </c>
      <c r="C1028" s="7" t="n">
        <v>2023</v>
      </c>
      <c r="D1028" s="7" t="s">
        <v>5617</v>
      </c>
      <c r="E1028" s="7" t="s">
        <v>153</v>
      </c>
      <c r="F1028" s="7" t="s">
        <v>900</v>
      </c>
      <c r="G1028" s="7" t="s">
        <v>145</v>
      </c>
      <c r="H1028" s="7" t="s">
        <v>146</v>
      </c>
      <c r="I1028" s="7" t="s">
        <v>5043</v>
      </c>
      <c r="J1028" s="7" t="s">
        <v>116</v>
      </c>
      <c r="K1028" s="7" t="s">
        <v>5618</v>
      </c>
    </row>
    <row r="1029" customFormat="false" ht="23.85" hidden="false" customHeight="false" outlineLevel="0" collapsed="false">
      <c r="A1029" s="7" t="n">
        <v>1028</v>
      </c>
      <c r="B1029" s="7" t="s">
        <v>5619</v>
      </c>
      <c r="C1029" s="7" t="n">
        <v>2024</v>
      </c>
      <c r="D1029" s="7" t="s">
        <v>5620</v>
      </c>
      <c r="E1029" s="7" t="s">
        <v>153</v>
      </c>
      <c r="F1029" s="7" t="s">
        <v>5621</v>
      </c>
      <c r="G1029" s="7" t="s">
        <v>5094</v>
      </c>
      <c r="H1029" s="7" t="s">
        <v>522</v>
      </c>
      <c r="I1029" s="7" t="s">
        <v>1609</v>
      </c>
      <c r="J1029" s="7" t="s">
        <v>1452</v>
      </c>
      <c r="K1029" s="7" t="s">
        <v>5622</v>
      </c>
    </row>
    <row r="1030" customFormat="false" ht="35.05" hidden="false" customHeight="false" outlineLevel="0" collapsed="false">
      <c r="A1030" s="7" t="n">
        <v>1029</v>
      </c>
      <c r="B1030" s="7" t="s">
        <v>5623</v>
      </c>
      <c r="C1030" s="7" t="n">
        <v>2012</v>
      </c>
      <c r="D1030" s="7" t="s">
        <v>5624</v>
      </c>
      <c r="E1030" s="7" t="s">
        <v>153</v>
      </c>
      <c r="F1030" s="7" t="s">
        <v>5583</v>
      </c>
      <c r="G1030" s="7" t="s">
        <v>187</v>
      </c>
      <c r="H1030" s="7" t="s">
        <v>146</v>
      </c>
      <c r="I1030" s="7" t="s">
        <v>5043</v>
      </c>
      <c r="J1030" s="7"/>
      <c r="K1030" s="7" t="s">
        <v>5625</v>
      </c>
    </row>
    <row r="1031" customFormat="false" ht="23.85" hidden="false" customHeight="false" outlineLevel="0" collapsed="false">
      <c r="A1031" s="7" t="n">
        <v>1030</v>
      </c>
      <c r="B1031" s="7" t="s">
        <v>5626</v>
      </c>
      <c r="C1031" s="7" t="n">
        <v>2021</v>
      </c>
      <c r="D1031" s="7" t="s">
        <v>5627</v>
      </c>
      <c r="E1031" s="7" t="s">
        <v>143</v>
      </c>
      <c r="F1031" s="7" t="s">
        <v>5628</v>
      </c>
      <c r="G1031" s="7" t="s">
        <v>145</v>
      </c>
      <c r="H1031" s="7" t="s">
        <v>146</v>
      </c>
      <c r="I1031" s="7" t="s">
        <v>5081</v>
      </c>
      <c r="J1031" s="7" t="s">
        <v>110</v>
      </c>
      <c r="K1031" s="7" t="s">
        <v>5629</v>
      </c>
    </row>
    <row r="1032" customFormat="false" ht="23.85" hidden="false" customHeight="false" outlineLevel="0" collapsed="false">
      <c r="A1032" s="7" t="n">
        <v>1031</v>
      </c>
      <c r="B1032" s="7" t="s">
        <v>5630</v>
      </c>
      <c r="C1032" s="7" t="n">
        <v>2013</v>
      </c>
      <c r="D1032" s="7" t="s">
        <v>5631</v>
      </c>
      <c r="E1032" s="7" t="s">
        <v>143</v>
      </c>
      <c r="F1032" s="7" t="s">
        <v>5632</v>
      </c>
      <c r="G1032" s="7" t="s">
        <v>285</v>
      </c>
      <c r="H1032" s="7" t="s">
        <v>146</v>
      </c>
      <c r="I1032" s="7" t="s">
        <v>1609</v>
      </c>
      <c r="J1032" s="7" t="s">
        <v>112</v>
      </c>
      <c r="K1032" s="7" t="s">
        <v>5633</v>
      </c>
    </row>
    <row r="1033" customFormat="false" ht="35.05" hidden="false" customHeight="false" outlineLevel="0" collapsed="false">
      <c r="A1033" s="7" t="n">
        <v>1032</v>
      </c>
      <c r="B1033" s="7" t="s">
        <v>5634</v>
      </c>
      <c r="C1033" s="7" t="n">
        <v>2023</v>
      </c>
      <c r="D1033" s="7" t="s">
        <v>5635</v>
      </c>
      <c r="E1033" s="7" t="s">
        <v>143</v>
      </c>
      <c r="F1033" s="7" t="s">
        <v>5192</v>
      </c>
      <c r="G1033" s="7" t="s">
        <v>145</v>
      </c>
      <c r="H1033" s="7" t="s">
        <v>522</v>
      </c>
      <c r="I1033" s="7" t="s">
        <v>1609</v>
      </c>
      <c r="J1033" s="7"/>
      <c r="K1033" s="7" t="s">
        <v>5636</v>
      </c>
    </row>
    <row r="1034" customFormat="false" ht="35.05" hidden="false" customHeight="false" outlineLevel="0" collapsed="false">
      <c r="A1034" s="7" t="n">
        <v>1033</v>
      </c>
      <c r="B1034" s="7" t="s">
        <v>5637</v>
      </c>
      <c r="C1034" s="7" t="n">
        <v>2017</v>
      </c>
      <c r="D1034" s="7" t="s">
        <v>5638</v>
      </c>
      <c r="E1034" s="7" t="s">
        <v>143</v>
      </c>
      <c r="F1034" s="7" t="s">
        <v>5639</v>
      </c>
      <c r="G1034" s="7" t="s">
        <v>145</v>
      </c>
      <c r="H1034" s="7" t="s">
        <v>522</v>
      </c>
      <c r="I1034" s="7" t="s">
        <v>1609</v>
      </c>
      <c r="J1034" s="7" t="s">
        <v>1452</v>
      </c>
      <c r="K1034" s="7" t="s">
        <v>5640</v>
      </c>
    </row>
    <row r="1035" customFormat="false" ht="35.05" hidden="false" customHeight="false" outlineLevel="0" collapsed="false">
      <c r="A1035" s="7" t="n">
        <v>1034</v>
      </c>
      <c r="B1035" s="7" t="s">
        <v>5641</v>
      </c>
      <c r="C1035" s="7" t="n">
        <v>2023</v>
      </c>
      <c r="D1035" s="7" t="s">
        <v>5642</v>
      </c>
      <c r="E1035" s="7" t="s">
        <v>143</v>
      </c>
      <c r="F1035" s="7" t="s">
        <v>5643</v>
      </c>
      <c r="G1035" s="7" t="s">
        <v>936</v>
      </c>
      <c r="H1035" s="7" t="s">
        <v>522</v>
      </c>
      <c r="I1035" s="7" t="s">
        <v>5644</v>
      </c>
      <c r="J1035" s="7" t="s">
        <v>112</v>
      </c>
      <c r="K1035" s="7" t="s">
        <v>5645</v>
      </c>
    </row>
    <row r="1036" customFormat="false" ht="35.05" hidden="false" customHeight="false" outlineLevel="0" collapsed="false">
      <c r="A1036" s="7" t="n">
        <v>1035</v>
      </c>
      <c r="B1036" s="7" t="s">
        <v>5646</v>
      </c>
      <c r="C1036" s="7" t="n">
        <v>2023</v>
      </c>
      <c r="D1036" s="7" t="s">
        <v>5647</v>
      </c>
      <c r="E1036" s="7" t="s">
        <v>151</v>
      </c>
      <c r="F1036" s="7" t="s">
        <v>5041</v>
      </c>
      <c r="G1036" s="7" t="s">
        <v>5271</v>
      </c>
      <c r="H1036" s="7" t="s">
        <v>146</v>
      </c>
      <c r="I1036" s="7" t="s">
        <v>5043</v>
      </c>
      <c r="J1036" s="7" t="s">
        <v>116</v>
      </c>
      <c r="K1036" s="7" t="s">
        <v>5648</v>
      </c>
    </row>
    <row r="1037" customFormat="false" ht="35.05" hidden="false" customHeight="false" outlineLevel="0" collapsed="false">
      <c r="A1037" s="7" t="n">
        <v>1036</v>
      </c>
      <c r="B1037" s="7" t="s">
        <v>5646</v>
      </c>
      <c r="C1037" s="7" t="n">
        <v>2025</v>
      </c>
      <c r="D1037" s="7" t="s">
        <v>5649</v>
      </c>
      <c r="E1037" s="7" t="s">
        <v>151</v>
      </c>
      <c r="F1037" s="7" t="s">
        <v>5650</v>
      </c>
      <c r="G1037" s="7" t="s">
        <v>5651</v>
      </c>
      <c r="H1037" s="7" t="s">
        <v>522</v>
      </c>
      <c r="I1037" s="7" t="s">
        <v>1609</v>
      </c>
      <c r="J1037" s="7" t="s">
        <v>116</v>
      </c>
      <c r="K1037" s="7" t="s">
        <v>5652</v>
      </c>
    </row>
    <row r="1038" customFormat="false" ht="23.85" hidden="false" customHeight="false" outlineLevel="0" collapsed="false">
      <c r="A1038" s="7" t="n">
        <v>1037</v>
      </c>
      <c r="B1038" s="7" t="s">
        <v>5653</v>
      </c>
      <c r="C1038" s="7" t="n">
        <v>2024</v>
      </c>
      <c r="D1038" s="7" t="s">
        <v>5654</v>
      </c>
      <c r="E1038" s="7" t="s">
        <v>143</v>
      </c>
      <c r="F1038" s="7" t="s">
        <v>5242</v>
      </c>
      <c r="G1038" s="7" t="s">
        <v>145</v>
      </c>
      <c r="H1038" s="7" t="s">
        <v>522</v>
      </c>
      <c r="I1038" s="7" t="s">
        <v>1609</v>
      </c>
      <c r="J1038" s="7"/>
      <c r="K1038" s="7" t="s">
        <v>5655</v>
      </c>
    </row>
    <row r="1039" customFormat="false" ht="35.05" hidden="false" customHeight="false" outlineLevel="0" collapsed="false">
      <c r="A1039" s="7" t="n">
        <v>1038</v>
      </c>
      <c r="B1039" s="7" t="s">
        <v>5656</v>
      </c>
      <c r="C1039" s="7" t="n">
        <v>2012</v>
      </c>
      <c r="D1039" s="7" t="s">
        <v>5657</v>
      </c>
      <c r="E1039" s="7" t="s">
        <v>153</v>
      </c>
      <c r="F1039" s="7" t="s">
        <v>5658</v>
      </c>
      <c r="G1039" s="7" t="s">
        <v>5659</v>
      </c>
      <c r="H1039" s="7" t="s">
        <v>146</v>
      </c>
      <c r="I1039" s="7" t="s">
        <v>5660</v>
      </c>
      <c r="J1039" s="7" t="s">
        <v>110</v>
      </c>
      <c r="K1039" s="7" t="s">
        <v>5661</v>
      </c>
    </row>
    <row r="1040" customFormat="false" ht="23.85" hidden="false" customHeight="false" outlineLevel="0" collapsed="false">
      <c r="A1040" s="7" t="n">
        <v>1039</v>
      </c>
      <c r="B1040" s="7" t="s">
        <v>3850</v>
      </c>
      <c r="C1040" s="7" t="n">
        <v>2005</v>
      </c>
      <c r="D1040" s="7" t="s">
        <v>5662</v>
      </c>
      <c r="E1040" s="7" t="s">
        <v>143</v>
      </c>
      <c r="F1040" s="7" t="s">
        <v>798</v>
      </c>
      <c r="G1040" s="7" t="s">
        <v>145</v>
      </c>
      <c r="H1040" s="7" t="s">
        <v>522</v>
      </c>
      <c r="I1040" s="7" t="s">
        <v>1609</v>
      </c>
      <c r="J1040" s="7" t="s">
        <v>116</v>
      </c>
      <c r="K1040" s="7" t="s">
        <v>5663</v>
      </c>
    </row>
    <row r="1041" customFormat="false" ht="23.85" hidden="false" customHeight="false" outlineLevel="0" collapsed="false">
      <c r="A1041" s="7" t="n">
        <v>1040</v>
      </c>
      <c r="B1041" s="7" t="s">
        <v>3850</v>
      </c>
      <c r="C1041" s="7" t="n">
        <v>2015</v>
      </c>
      <c r="D1041" s="7" t="s">
        <v>5664</v>
      </c>
      <c r="E1041" s="7" t="s">
        <v>143</v>
      </c>
      <c r="F1041" s="7" t="s">
        <v>798</v>
      </c>
      <c r="G1041" s="7" t="s">
        <v>145</v>
      </c>
      <c r="H1041" s="7" t="s">
        <v>522</v>
      </c>
      <c r="I1041" s="7" t="s">
        <v>1609</v>
      </c>
      <c r="J1041" s="7" t="s">
        <v>116</v>
      </c>
      <c r="K1041" s="7" t="s">
        <v>5665</v>
      </c>
    </row>
    <row r="1042" customFormat="false" ht="35.05" hidden="false" customHeight="false" outlineLevel="0" collapsed="false">
      <c r="A1042" s="7" t="n">
        <v>1041</v>
      </c>
      <c r="B1042" s="7" t="s">
        <v>5666</v>
      </c>
      <c r="C1042" s="7" t="n">
        <v>2025</v>
      </c>
      <c r="D1042" s="7" t="s">
        <v>5667</v>
      </c>
      <c r="E1042" s="7" t="s">
        <v>151</v>
      </c>
      <c r="F1042" s="7" t="s">
        <v>5668</v>
      </c>
      <c r="G1042" s="7" t="s">
        <v>145</v>
      </c>
      <c r="H1042" s="7" t="s">
        <v>522</v>
      </c>
      <c r="I1042" s="7" t="s">
        <v>1609</v>
      </c>
      <c r="J1042" s="7"/>
      <c r="K1042" s="7" t="s">
        <v>5669</v>
      </c>
    </row>
    <row r="1043" customFormat="false" ht="23.85" hidden="false" customHeight="false" outlineLevel="0" collapsed="false">
      <c r="A1043" s="7" t="n">
        <v>1042</v>
      </c>
      <c r="B1043" s="7" t="s">
        <v>5670</v>
      </c>
      <c r="C1043" s="7" t="n">
        <v>2019</v>
      </c>
      <c r="D1043" s="7" t="s">
        <v>5671</v>
      </c>
      <c r="E1043" s="7" t="s">
        <v>143</v>
      </c>
      <c r="F1043" s="7" t="s">
        <v>5672</v>
      </c>
      <c r="G1043" s="7" t="s">
        <v>5673</v>
      </c>
      <c r="H1043" s="7" t="s">
        <v>146</v>
      </c>
      <c r="I1043" s="7" t="s">
        <v>5674</v>
      </c>
      <c r="J1043" s="7" t="s">
        <v>116</v>
      </c>
      <c r="K1043" s="7" t="s">
        <v>5675</v>
      </c>
    </row>
    <row r="1044" customFormat="false" ht="35.05" hidden="false" customHeight="false" outlineLevel="0" collapsed="false">
      <c r="A1044" s="7" t="n">
        <v>1043</v>
      </c>
      <c r="B1044" s="7" t="s">
        <v>5676</v>
      </c>
      <c r="C1044" s="7" t="n">
        <v>2025</v>
      </c>
      <c r="D1044" s="7" t="s">
        <v>5677</v>
      </c>
      <c r="E1044" s="7" t="s">
        <v>151</v>
      </c>
      <c r="F1044" s="7" t="s">
        <v>5678</v>
      </c>
      <c r="G1044" s="7" t="s">
        <v>684</v>
      </c>
      <c r="H1044" s="7" t="s">
        <v>153</v>
      </c>
      <c r="I1044" s="7" t="s">
        <v>5144</v>
      </c>
      <c r="J1044" s="7"/>
      <c r="K1044" s="7" t="s">
        <v>5679</v>
      </c>
    </row>
    <row r="1045" customFormat="false" ht="23.85" hidden="false" customHeight="false" outlineLevel="0" collapsed="false">
      <c r="A1045" s="7" t="n">
        <v>1044</v>
      </c>
      <c r="B1045" s="7" t="s">
        <v>5680</v>
      </c>
      <c r="C1045" s="7" t="n">
        <v>2024</v>
      </c>
      <c r="D1045" s="7" t="s">
        <v>5681</v>
      </c>
      <c r="E1045" s="7" t="s">
        <v>143</v>
      </c>
      <c r="F1045" s="7" t="s">
        <v>5682</v>
      </c>
      <c r="G1045" s="7" t="s">
        <v>2846</v>
      </c>
      <c r="H1045" s="7" t="s">
        <v>522</v>
      </c>
      <c r="I1045" s="7" t="s">
        <v>1609</v>
      </c>
      <c r="J1045" s="7" t="s">
        <v>110</v>
      </c>
      <c r="K1045" s="7" t="s">
        <v>5683</v>
      </c>
    </row>
    <row r="1046" customFormat="false" ht="23.85" hidden="false" customHeight="false" outlineLevel="0" collapsed="false">
      <c r="A1046" s="7" t="n">
        <v>1045</v>
      </c>
      <c r="B1046" s="7" t="s">
        <v>1363</v>
      </c>
      <c r="C1046" s="7" t="n">
        <v>2026</v>
      </c>
      <c r="D1046" s="7" t="s">
        <v>5684</v>
      </c>
      <c r="E1046" s="7" t="s">
        <v>143</v>
      </c>
      <c r="F1046" s="7" t="s">
        <v>621</v>
      </c>
      <c r="G1046" s="7" t="s">
        <v>145</v>
      </c>
      <c r="H1046" s="7" t="s">
        <v>522</v>
      </c>
      <c r="I1046" s="7" t="s">
        <v>1609</v>
      </c>
      <c r="J1046" s="7" t="s">
        <v>1452</v>
      </c>
      <c r="K1046" s="7" t="s">
        <v>5685</v>
      </c>
    </row>
    <row r="1047" customFormat="false" ht="23.85" hidden="false" customHeight="false" outlineLevel="0" collapsed="false">
      <c r="A1047" s="7" t="n">
        <v>1046</v>
      </c>
      <c r="B1047" s="7" t="s">
        <v>5686</v>
      </c>
      <c r="C1047" s="7" t="n">
        <v>2022</v>
      </c>
      <c r="D1047" s="7" t="s">
        <v>5687</v>
      </c>
      <c r="E1047" s="7" t="s">
        <v>151</v>
      </c>
      <c r="F1047" s="7" t="s">
        <v>152</v>
      </c>
      <c r="G1047" s="7" t="s">
        <v>145</v>
      </c>
      <c r="H1047" s="7" t="s">
        <v>522</v>
      </c>
      <c r="I1047" s="7" t="s">
        <v>5688</v>
      </c>
      <c r="J1047" s="7"/>
      <c r="K1047" s="7" t="s">
        <v>5689</v>
      </c>
    </row>
    <row r="1048" customFormat="false" ht="35.05" hidden="false" customHeight="false" outlineLevel="0" collapsed="false">
      <c r="A1048" s="7" t="n">
        <v>1047</v>
      </c>
      <c r="B1048" s="7" t="s">
        <v>5690</v>
      </c>
      <c r="C1048" s="7" t="n">
        <v>2021</v>
      </c>
      <c r="D1048" s="7" t="s">
        <v>5691</v>
      </c>
      <c r="E1048" s="7" t="s">
        <v>143</v>
      </c>
      <c r="F1048" s="7" t="s">
        <v>5692</v>
      </c>
      <c r="G1048" s="7" t="s">
        <v>145</v>
      </c>
      <c r="H1048" s="7" t="s">
        <v>153</v>
      </c>
      <c r="I1048" s="7" t="s">
        <v>5693</v>
      </c>
      <c r="J1048" s="7" t="s">
        <v>116</v>
      </c>
      <c r="K1048" s="7" t="s">
        <v>5694</v>
      </c>
    </row>
    <row r="1049" customFormat="false" ht="23.85" hidden="false" customHeight="false" outlineLevel="0" collapsed="false">
      <c r="A1049" s="7" t="n">
        <v>1048</v>
      </c>
      <c r="B1049" s="7" t="s">
        <v>4556</v>
      </c>
      <c r="C1049" s="7" t="n">
        <v>2012</v>
      </c>
      <c r="D1049" s="7" t="s">
        <v>5695</v>
      </c>
      <c r="E1049" s="7" t="s">
        <v>151</v>
      </c>
      <c r="F1049" s="7" t="s">
        <v>5696</v>
      </c>
      <c r="G1049" s="7" t="s">
        <v>1319</v>
      </c>
      <c r="H1049" s="7" t="s">
        <v>522</v>
      </c>
      <c r="I1049" s="7" t="s">
        <v>5697</v>
      </c>
      <c r="J1049" s="7" t="s">
        <v>114</v>
      </c>
      <c r="K1049" s="7" t="s">
        <v>5698</v>
      </c>
    </row>
    <row r="1050" customFormat="false" ht="35.05" hidden="false" customHeight="false" outlineLevel="0" collapsed="false">
      <c r="A1050" s="7" t="n">
        <v>1049</v>
      </c>
      <c r="B1050" s="7" t="s">
        <v>4556</v>
      </c>
      <c r="C1050" s="7" t="n">
        <v>2020</v>
      </c>
      <c r="D1050" s="7" t="s">
        <v>5699</v>
      </c>
      <c r="E1050" s="7" t="s">
        <v>151</v>
      </c>
      <c r="F1050" s="7" t="s">
        <v>5700</v>
      </c>
      <c r="G1050" s="7" t="s">
        <v>187</v>
      </c>
      <c r="H1050" s="7" t="s">
        <v>146</v>
      </c>
      <c r="I1050" s="7" t="s">
        <v>5701</v>
      </c>
      <c r="J1050" s="7"/>
      <c r="K1050" s="7" t="s">
        <v>5702</v>
      </c>
    </row>
    <row r="1051" customFormat="false" ht="23.85" hidden="false" customHeight="false" outlineLevel="0" collapsed="false">
      <c r="A1051" s="7" t="n">
        <v>1050</v>
      </c>
      <c r="B1051" s="7" t="s">
        <v>5703</v>
      </c>
      <c r="C1051" s="7" t="n">
        <v>2019</v>
      </c>
      <c r="D1051" s="7" t="s">
        <v>5704</v>
      </c>
      <c r="E1051" s="7" t="s">
        <v>143</v>
      </c>
      <c r="F1051" s="7" t="s">
        <v>5705</v>
      </c>
      <c r="G1051" s="7" t="s">
        <v>145</v>
      </c>
      <c r="H1051" s="7" t="s">
        <v>153</v>
      </c>
      <c r="I1051" s="7" t="s">
        <v>5706</v>
      </c>
      <c r="J1051" s="7" t="s">
        <v>116</v>
      </c>
      <c r="K1051" s="7" t="s">
        <v>5707</v>
      </c>
    </row>
    <row r="1052" customFormat="false" ht="23.85" hidden="false" customHeight="false" outlineLevel="0" collapsed="false">
      <c r="A1052" s="7" t="n">
        <v>1051</v>
      </c>
      <c r="B1052" s="7" t="s">
        <v>5708</v>
      </c>
      <c r="C1052" s="7" t="n">
        <v>1983</v>
      </c>
      <c r="D1052" s="7" t="s">
        <v>5709</v>
      </c>
      <c r="E1052" s="7" t="s">
        <v>151</v>
      </c>
      <c r="F1052" s="7" t="s">
        <v>348</v>
      </c>
      <c r="G1052" s="7" t="s">
        <v>145</v>
      </c>
      <c r="H1052" s="7" t="s">
        <v>153</v>
      </c>
      <c r="I1052" s="7" t="s">
        <v>5710</v>
      </c>
      <c r="J1052" s="7"/>
      <c r="K1052" s="7" t="s">
        <v>5711</v>
      </c>
    </row>
    <row r="1053" customFormat="false" ht="23.85" hidden="false" customHeight="false" outlineLevel="0" collapsed="false">
      <c r="A1053" s="7" t="n">
        <v>1052</v>
      </c>
      <c r="B1053" s="7" t="s">
        <v>5712</v>
      </c>
      <c r="C1053" s="7" t="n">
        <v>2022</v>
      </c>
      <c r="D1053" s="7" t="s">
        <v>5713</v>
      </c>
      <c r="E1053" s="7" t="s">
        <v>151</v>
      </c>
      <c r="F1053" s="7" t="s">
        <v>348</v>
      </c>
      <c r="G1053" s="7" t="s">
        <v>145</v>
      </c>
      <c r="H1053" s="7" t="s">
        <v>153</v>
      </c>
      <c r="I1053" s="7" t="s">
        <v>5714</v>
      </c>
      <c r="J1053" s="7"/>
      <c r="K1053" s="7" t="s">
        <v>5715</v>
      </c>
    </row>
    <row r="1054" customFormat="false" ht="23.85" hidden="false" customHeight="false" outlineLevel="0" collapsed="false">
      <c r="A1054" s="7" t="n">
        <v>1053</v>
      </c>
      <c r="B1054" s="7" t="s">
        <v>5716</v>
      </c>
      <c r="C1054" s="7" t="n">
        <v>2019</v>
      </c>
      <c r="D1054" s="7" t="s">
        <v>5717</v>
      </c>
      <c r="E1054" s="7" t="s">
        <v>151</v>
      </c>
      <c r="F1054" s="7" t="s">
        <v>348</v>
      </c>
      <c r="G1054" s="7" t="s">
        <v>145</v>
      </c>
      <c r="H1054" s="7" t="s">
        <v>153</v>
      </c>
      <c r="I1054" s="7" t="s">
        <v>5718</v>
      </c>
      <c r="J1054" s="7"/>
      <c r="K1054" s="7" t="s">
        <v>5719</v>
      </c>
    </row>
    <row r="1055" customFormat="false" ht="23.85" hidden="false" customHeight="false" outlineLevel="0" collapsed="false">
      <c r="A1055" s="7" t="n">
        <v>1054</v>
      </c>
      <c r="B1055" s="7" t="s">
        <v>5716</v>
      </c>
      <c r="C1055" s="7" t="n">
        <v>2021</v>
      </c>
      <c r="D1055" s="7" t="s">
        <v>5720</v>
      </c>
      <c r="E1055" s="7" t="s">
        <v>151</v>
      </c>
      <c r="F1055" s="7" t="s">
        <v>5721</v>
      </c>
      <c r="G1055" s="7" t="s">
        <v>145</v>
      </c>
      <c r="H1055" s="7" t="s">
        <v>153</v>
      </c>
      <c r="I1055" s="7" t="s">
        <v>5718</v>
      </c>
      <c r="J1055" s="7"/>
      <c r="K1055" s="7" t="s">
        <v>5722</v>
      </c>
    </row>
    <row r="1056" customFormat="false" ht="35.05" hidden="false" customHeight="false" outlineLevel="0" collapsed="false">
      <c r="A1056" s="7" t="n">
        <v>1055</v>
      </c>
      <c r="B1056" s="7" t="s">
        <v>1672</v>
      </c>
      <c r="C1056" s="7" t="n">
        <v>2000</v>
      </c>
      <c r="D1056" s="7" t="s">
        <v>5723</v>
      </c>
      <c r="E1056" s="7" t="s">
        <v>143</v>
      </c>
      <c r="F1056" s="7" t="s">
        <v>5724</v>
      </c>
      <c r="G1056" s="7" t="s">
        <v>145</v>
      </c>
      <c r="H1056" s="7" t="s">
        <v>153</v>
      </c>
      <c r="I1056" s="7" t="s">
        <v>5725</v>
      </c>
      <c r="J1056" s="7"/>
      <c r="K1056" s="7" t="s">
        <v>5726</v>
      </c>
    </row>
    <row r="1057" customFormat="false" ht="35.05" hidden="false" customHeight="false" outlineLevel="0" collapsed="false">
      <c r="A1057" s="7" t="n">
        <v>1056</v>
      </c>
      <c r="B1057" s="7" t="s">
        <v>1672</v>
      </c>
      <c r="C1057" s="7" t="n">
        <v>2021</v>
      </c>
      <c r="D1057" s="7" t="s">
        <v>5727</v>
      </c>
      <c r="E1057" s="7" t="s">
        <v>143</v>
      </c>
      <c r="F1057" s="7" t="s">
        <v>5728</v>
      </c>
      <c r="G1057" s="7" t="s">
        <v>145</v>
      </c>
      <c r="H1057" s="7" t="s">
        <v>153</v>
      </c>
      <c r="I1057" s="7" t="s">
        <v>2675</v>
      </c>
      <c r="J1057" s="7" t="s">
        <v>110</v>
      </c>
      <c r="K1057" s="7" t="s">
        <v>5729</v>
      </c>
    </row>
    <row r="1058" customFormat="false" ht="91" hidden="false" customHeight="false" outlineLevel="0" collapsed="false">
      <c r="A1058" s="7" t="n">
        <v>1057</v>
      </c>
      <c r="B1058" s="7" t="s">
        <v>15648</v>
      </c>
      <c r="C1058" s="7" t="n">
        <v>2020</v>
      </c>
      <c r="D1058" s="7" t="s">
        <v>5731</v>
      </c>
      <c r="E1058" s="7" t="s">
        <v>143</v>
      </c>
      <c r="F1058" s="7" t="s">
        <v>15649</v>
      </c>
      <c r="G1058" s="7" t="s">
        <v>145</v>
      </c>
      <c r="H1058" s="7" t="s">
        <v>153</v>
      </c>
      <c r="I1058" s="7" t="s">
        <v>15650</v>
      </c>
      <c r="J1058" s="7" t="s">
        <v>114</v>
      </c>
      <c r="K1058" s="7" t="s">
        <v>15651</v>
      </c>
    </row>
    <row r="1059" customFormat="false" ht="23.85" hidden="false" customHeight="false" outlineLevel="0" collapsed="false">
      <c r="A1059" s="7" t="n">
        <v>1058</v>
      </c>
      <c r="B1059" s="7" t="s">
        <v>5743</v>
      </c>
      <c r="C1059" s="7" t="n">
        <v>2003</v>
      </c>
      <c r="D1059" s="7" t="s">
        <v>5744</v>
      </c>
      <c r="E1059" s="7" t="s">
        <v>151</v>
      </c>
      <c r="F1059" s="7" t="s">
        <v>1619</v>
      </c>
      <c r="G1059" s="7" t="s">
        <v>145</v>
      </c>
      <c r="H1059" s="7" t="s">
        <v>153</v>
      </c>
      <c r="I1059" s="7" t="s">
        <v>5745</v>
      </c>
      <c r="J1059" s="7"/>
      <c r="K1059" s="7" t="s">
        <v>5746</v>
      </c>
    </row>
    <row r="1060" customFormat="false" ht="35.05" hidden="false" customHeight="false" outlineLevel="0" collapsed="false">
      <c r="A1060" s="7" t="n">
        <v>1059</v>
      </c>
      <c r="B1060" s="7" t="s">
        <v>5747</v>
      </c>
      <c r="C1060" s="7" t="n">
        <v>2007</v>
      </c>
      <c r="D1060" s="7" t="s">
        <v>5748</v>
      </c>
      <c r="E1060" s="7" t="s">
        <v>143</v>
      </c>
      <c r="F1060" s="7" t="s">
        <v>5749</v>
      </c>
      <c r="G1060" s="7" t="s">
        <v>1319</v>
      </c>
      <c r="H1060" s="7" t="s">
        <v>146</v>
      </c>
      <c r="I1060" s="7" t="s">
        <v>5750</v>
      </c>
      <c r="J1060" s="7" t="s">
        <v>114</v>
      </c>
      <c r="K1060" s="7" t="s">
        <v>5751</v>
      </c>
    </row>
    <row r="1061" customFormat="false" ht="35.05" hidden="false" customHeight="false" outlineLevel="0" collapsed="false">
      <c r="A1061" s="7" t="n">
        <v>1060</v>
      </c>
      <c r="B1061" s="7" t="s">
        <v>3321</v>
      </c>
      <c r="C1061" s="7" t="n">
        <v>2021</v>
      </c>
      <c r="D1061" s="7" t="s">
        <v>5752</v>
      </c>
      <c r="E1061" s="7" t="s">
        <v>143</v>
      </c>
      <c r="F1061" s="7" t="s">
        <v>5753</v>
      </c>
      <c r="G1061" s="7" t="s">
        <v>145</v>
      </c>
      <c r="H1061" s="7" t="s">
        <v>153</v>
      </c>
      <c r="I1061" s="7" t="s">
        <v>5754</v>
      </c>
      <c r="J1061" s="7" t="s">
        <v>114</v>
      </c>
      <c r="K1061" s="7" t="s">
        <v>5755</v>
      </c>
    </row>
    <row r="1062" customFormat="false" ht="35.05" hidden="false" customHeight="false" outlineLevel="0" collapsed="false">
      <c r="A1062" s="7" t="n">
        <v>1061</v>
      </c>
      <c r="B1062" s="7" t="s">
        <v>5756</v>
      </c>
      <c r="C1062" s="7" t="n">
        <v>2020</v>
      </c>
      <c r="D1062" s="7" t="s">
        <v>5757</v>
      </c>
      <c r="E1062" s="7" t="s">
        <v>143</v>
      </c>
      <c r="F1062" s="7" t="s">
        <v>5758</v>
      </c>
      <c r="G1062" s="7" t="s">
        <v>1319</v>
      </c>
      <c r="H1062" s="7" t="s">
        <v>153</v>
      </c>
      <c r="I1062" s="7" t="s">
        <v>5759</v>
      </c>
      <c r="J1062" s="7" t="s">
        <v>114</v>
      </c>
      <c r="K1062" s="7" t="s">
        <v>5760</v>
      </c>
    </row>
    <row r="1063" customFormat="false" ht="23.85" hidden="false" customHeight="false" outlineLevel="0" collapsed="false">
      <c r="A1063" s="7" t="n">
        <v>1062</v>
      </c>
      <c r="B1063" s="7" t="s">
        <v>5761</v>
      </c>
      <c r="C1063" s="7" t="n">
        <v>2022</v>
      </c>
      <c r="D1063" s="7" t="s">
        <v>5762</v>
      </c>
      <c r="E1063" s="7" t="s">
        <v>143</v>
      </c>
      <c r="F1063" s="7" t="s">
        <v>1678</v>
      </c>
      <c r="G1063" s="7" t="s">
        <v>327</v>
      </c>
      <c r="H1063" s="7" t="s">
        <v>153</v>
      </c>
      <c r="I1063" s="7" t="s">
        <v>5763</v>
      </c>
      <c r="J1063" s="7"/>
      <c r="K1063" s="7" t="s">
        <v>5764</v>
      </c>
    </row>
    <row r="1064" customFormat="false" ht="23.85" hidden="false" customHeight="false" outlineLevel="0" collapsed="false">
      <c r="A1064" s="7" t="n">
        <v>1063</v>
      </c>
      <c r="B1064" s="7" t="s">
        <v>5765</v>
      </c>
      <c r="C1064" s="7" t="n">
        <v>2020</v>
      </c>
      <c r="D1064" s="7" t="s">
        <v>5766</v>
      </c>
      <c r="E1064" s="7" t="s">
        <v>151</v>
      </c>
      <c r="F1064" s="7" t="s">
        <v>5721</v>
      </c>
      <c r="G1064" s="7" t="s">
        <v>145</v>
      </c>
      <c r="H1064" s="7" t="s">
        <v>153</v>
      </c>
      <c r="I1064" s="7" t="s">
        <v>5767</v>
      </c>
      <c r="J1064" s="7"/>
      <c r="K1064" s="7" t="s">
        <v>5768</v>
      </c>
    </row>
    <row r="1065" customFormat="false" ht="35.05" hidden="false" customHeight="false" outlineLevel="0" collapsed="false">
      <c r="A1065" s="7" t="n">
        <v>1064</v>
      </c>
      <c r="B1065" s="7" t="s">
        <v>5769</v>
      </c>
      <c r="C1065" s="7" t="n">
        <v>2005</v>
      </c>
      <c r="D1065" s="7" t="s">
        <v>5770</v>
      </c>
      <c r="E1065" s="7" t="s">
        <v>143</v>
      </c>
      <c r="F1065" s="7" t="s">
        <v>348</v>
      </c>
      <c r="G1065" s="7" t="s">
        <v>5771</v>
      </c>
      <c r="H1065" s="7" t="s">
        <v>153</v>
      </c>
      <c r="I1065" s="7" t="s">
        <v>5772</v>
      </c>
      <c r="J1065" s="7"/>
      <c r="K1065" s="7" t="s">
        <v>5773</v>
      </c>
    </row>
    <row r="1066" customFormat="false" ht="79.85" hidden="false" customHeight="false" outlineLevel="0" collapsed="false">
      <c r="A1066" s="7" t="n">
        <v>1065</v>
      </c>
      <c r="B1066" s="7" t="s">
        <v>5774</v>
      </c>
      <c r="C1066" s="7" t="n">
        <v>2016</v>
      </c>
      <c r="D1066" s="7" t="s">
        <v>5775</v>
      </c>
      <c r="E1066" s="7" t="s">
        <v>15652</v>
      </c>
      <c r="F1066" s="7" t="s">
        <v>15653</v>
      </c>
      <c r="G1066" s="7" t="s">
        <v>145</v>
      </c>
      <c r="H1066" s="7" t="s">
        <v>153</v>
      </c>
      <c r="I1066" s="7" t="s">
        <v>15654</v>
      </c>
      <c r="J1066" s="7" t="s">
        <v>15357</v>
      </c>
      <c r="K1066" s="7" t="s">
        <v>15655</v>
      </c>
    </row>
    <row r="1067" customFormat="false" ht="35.05" hidden="false" customHeight="false" outlineLevel="0" collapsed="false">
      <c r="A1067" s="7" t="n">
        <v>1066</v>
      </c>
      <c r="B1067" s="7" t="s">
        <v>5785</v>
      </c>
      <c r="C1067" s="7" t="n">
        <v>1989</v>
      </c>
      <c r="D1067" s="7" t="s">
        <v>5786</v>
      </c>
      <c r="E1067" s="7" t="s">
        <v>143</v>
      </c>
      <c r="F1067" s="7" t="s">
        <v>5787</v>
      </c>
      <c r="G1067" s="7" t="s">
        <v>2248</v>
      </c>
      <c r="H1067" s="7" t="s">
        <v>146</v>
      </c>
      <c r="I1067" s="7" t="s">
        <v>5788</v>
      </c>
      <c r="J1067" s="7"/>
      <c r="K1067" s="7" t="s">
        <v>5789</v>
      </c>
    </row>
    <row r="1068" customFormat="false" ht="23.85" hidden="false" customHeight="false" outlineLevel="0" collapsed="false">
      <c r="A1068" s="7" t="n">
        <v>1067</v>
      </c>
      <c r="B1068" s="7" t="s">
        <v>5790</v>
      </c>
      <c r="C1068" s="7" t="n">
        <v>2018</v>
      </c>
      <c r="D1068" s="7" t="s">
        <v>5791</v>
      </c>
      <c r="E1068" s="7" t="s">
        <v>151</v>
      </c>
      <c r="F1068" s="7" t="s">
        <v>5792</v>
      </c>
      <c r="G1068" s="7" t="s">
        <v>145</v>
      </c>
      <c r="H1068" s="7" t="s">
        <v>153</v>
      </c>
      <c r="I1068" s="7" t="s">
        <v>5793</v>
      </c>
      <c r="J1068" s="7" t="s">
        <v>114</v>
      </c>
      <c r="K1068" s="7" t="s">
        <v>5794</v>
      </c>
    </row>
    <row r="1069" customFormat="false" ht="35.05" hidden="false" customHeight="false" outlineLevel="0" collapsed="false">
      <c r="A1069" s="7" t="n">
        <v>1068</v>
      </c>
      <c r="B1069" s="7" t="s">
        <v>5795</v>
      </c>
      <c r="C1069" s="7" t="n">
        <v>2012</v>
      </c>
      <c r="D1069" s="7" t="s">
        <v>5796</v>
      </c>
      <c r="E1069" s="7" t="s">
        <v>143</v>
      </c>
      <c r="F1069" s="7" t="s">
        <v>5732</v>
      </c>
      <c r="G1069" s="7" t="s">
        <v>145</v>
      </c>
      <c r="H1069" s="7" t="s">
        <v>153</v>
      </c>
      <c r="I1069" s="7" t="s">
        <v>5797</v>
      </c>
      <c r="J1069" s="7" t="s">
        <v>114</v>
      </c>
      <c r="K1069" s="7" t="s">
        <v>5798</v>
      </c>
    </row>
    <row r="1070" customFormat="false" ht="35.05" hidden="false" customHeight="false" outlineLevel="0" collapsed="false">
      <c r="A1070" s="7" t="n">
        <v>1069</v>
      </c>
      <c r="B1070" s="7" t="s">
        <v>5799</v>
      </c>
      <c r="C1070" s="7" t="n">
        <v>2018</v>
      </c>
      <c r="D1070" s="7" t="s">
        <v>5800</v>
      </c>
      <c r="E1070" s="7" t="s">
        <v>143</v>
      </c>
      <c r="F1070" s="7" t="s">
        <v>197</v>
      </c>
      <c r="G1070" s="7" t="s">
        <v>145</v>
      </c>
      <c r="H1070" s="7" t="s">
        <v>153</v>
      </c>
      <c r="I1070" s="7" t="s">
        <v>5801</v>
      </c>
      <c r="J1070" s="7"/>
      <c r="K1070" s="7" t="s">
        <v>5802</v>
      </c>
    </row>
    <row r="1071" customFormat="false" ht="35.05" hidden="false" customHeight="false" outlineLevel="0" collapsed="false">
      <c r="A1071" s="7" t="n">
        <v>1070</v>
      </c>
      <c r="B1071" s="7" t="s">
        <v>5803</v>
      </c>
      <c r="C1071" s="7" t="n">
        <v>2020</v>
      </c>
      <c r="D1071" s="7" t="s">
        <v>5804</v>
      </c>
      <c r="E1071" s="7" t="s">
        <v>151</v>
      </c>
      <c r="F1071" s="7" t="s">
        <v>5805</v>
      </c>
      <c r="G1071" s="7" t="s">
        <v>5806</v>
      </c>
      <c r="H1071" s="7" t="s">
        <v>153</v>
      </c>
      <c r="I1071" s="7" t="s">
        <v>5807</v>
      </c>
      <c r="J1071" s="7"/>
      <c r="K1071" s="7" t="s">
        <v>5808</v>
      </c>
    </row>
    <row r="1072" customFormat="false" ht="23.85" hidden="false" customHeight="false" outlineLevel="0" collapsed="false">
      <c r="A1072" s="7" t="n">
        <v>1071</v>
      </c>
      <c r="B1072" s="7" t="s">
        <v>5809</v>
      </c>
      <c r="C1072" s="7" t="n">
        <v>1963</v>
      </c>
      <c r="D1072" s="7" t="s">
        <v>5810</v>
      </c>
      <c r="E1072" s="7" t="s">
        <v>151</v>
      </c>
      <c r="F1072" s="7" t="s">
        <v>348</v>
      </c>
      <c r="G1072" s="7" t="s">
        <v>145</v>
      </c>
      <c r="H1072" s="7" t="s">
        <v>153</v>
      </c>
      <c r="I1072" s="7" t="s">
        <v>5811</v>
      </c>
      <c r="J1072" s="7"/>
      <c r="K1072" s="7" t="s">
        <v>5812</v>
      </c>
    </row>
    <row r="1073" customFormat="false" ht="23.85" hidden="false" customHeight="false" outlineLevel="0" collapsed="false">
      <c r="A1073" s="7" t="n">
        <v>1072</v>
      </c>
      <c r="B1073" s="7" t="s">
        <v>5813</v>
      </c>
      <c r="C1073" s="7" t="n">
        <v>2020</v>
      </c>
      <c r="D1073" s="7" t="s">
        <v>5814</v>
      </c>
      <c r="E1073" s="7" t="s">
        <v>151</v>
      </c>
      <c r="F1073" s="7" t="s">
        <v>5815</v>
      </c>
      <c r="G1073" s="7" t="s">
        <v>145</v>
      </c>
      <c r="H1073" s="7" t="s">
        <v>153</v>
      </c>
      <c r="I1073" s="7" t="s">
        <v>5816</v>
      </c>
      <c r="J1073" s="7"/>
      <c r="K1073" s="7" t="s">
        <v>5817</v>
      </c>
    </row>
    <row r="1074" customFormat="false" ht="35.05" hidden="false" customHeight="false" outlineLevel="0" collapsed="false">
      <c r="A1074" s="7" t="n">
        <v>1073</v>
      </c>
      <c r="B1074" s="7" t="s">
        <v>5818</v>
      </c>
      <c r="C1074" s="7" t="n">
        <v>2005</v>
      </c>
      <c r="D1074" s="7" t="s">
        <v>5819</v>
      </c>
      <c r="E1074" s="7" t="s">
        <v>143</v>
      </c>
      <c r="F1074" s="7" t="s">
        <v>5820</v>
      </c>
      <c r="G1074" s="7" t="s">
        <v>187</v>
      </c>
      <c r="H1074" s="7" t="s">
        <v>146</v>
      </c>
      <c r="I1074" s="7" t="s">
        <v>5821</v>
      </c>
      <c r="J1074" s="7" t="s">
        <v>114</v>
      </c>
      <c r="K1074" s="7" t="s">
        <v>5822</v>
      </c>
    </row>
    <row r="1075" customFormat="false" ht="35.05" hidden="false" customHeight="false" outlineLevel="0" collapsed="false">
      <c r="A1075" s="7" t="n">
        <v>1074</v>
      </c>
      <c r="B1075" s="7" t="s">
        <v>5823</v>
      </c>
      <c r="C1075" s="7" t="n">
        <v>2011</v>
      </c>
      <c r="D1075" s="7" t="s">
        <v>5824</v>
      </c>
      <c r="E1075" s="7" t="s">
        <v>143</v>
      </c>
      <c r="F1075" s="7" t="s">
        <v>5825</v>
      </c>
      <c r="G1075" s="7" t="s">
        <v>145</v>
      </c>
      <c r="H1075" s="7" t="s">
        <v>153</v>
      </c>
      <c r="I1075" s="7" t="s">
        <v>5826</v>
      </c>
      <c r="J1075" s="7" t="s">
        <v>114</v>
      </c>
      <c r="K1075" s="7" t="s">
        <v>5827</v>
      </c>
    </row>
    <row r="1076" customFormat="false" ht="57.45" hidden="false" customHeight="false" outlineLevel="0" collapsed="false">
      <c r="A1076" s="7" t="n">
        <v>1075</v>
      </c>
      <c r="B1076" s="7" t="s">
        <v>5828</v>
      </c>
      <c r="C1076" s="7" t="n">
        <v>2000</v>
      </c>
      <c r="D1076" s="7" t="s">
        <v>5829</v>
      </c>
      <c r="E1076" s="7" t="s">
        <v>15123</v>
      </c>
      <c r="F1076" s="7" t="s">
        <v>152</v>
      </c>
      <c r="G1076" s="7" t="s">
        <v>145</v>
      </c>
      <c r="H1076" s="7" t="s">
        <v>387</v>
      </c>
      <c r="I1076" s="7" t="s">
        <v>15656</v>
      </c>
      <c r="J1076" s="7"/>
      <c r="K1076" s="7" t="s">
        <v>15657</v>
      </c>
    </row>
    <row r="1077" customFormat="false" ht="68.65" hidden="false" customHeight="false" outlineLevel="0" collapsed="false">
      <c r="A1077" s="7" t="n">
        <v>1076</v>
      </c>
      <c r="B1077" s="7" t="s">
        <v>1883</v>
      </c>
      <c r="C1077" s="7" t="n">
        <v>2012</v>
      </c>
      <c r="D1077" s="7" t="s">
        <v>5834</v>
      </c>
      <c r="E1077" s="7" t="s">
        <v>151</v>
      </c>
      <c r="F1077" s="7" t="s">
        <v>15658</v>
      </c>
      <c r="G1077" s="7" t="s">
        <v>145</v>
      </c>
      <c r="H1077" s="7" t="s">
        <v>15231</v>
      </c>
      <c r="I1077" s="7" t="s">
        <v>15659</v>
      </c>
      <c r="J1077" s="7"/>
      <c r="K1077" s="7" t="s">
        <v>15660</v>
      </c>
    </row>
    <row r="1078" customFormat="false" ht="35.05" hidden="false" customHeight="false" outlineLevel="0" collapsed="false">
      <c r="A1078" s="7" t="n">
        <v>1077</v>
      </c>
      <c r="B1078" s="7" t="s">
        <v>5841</v>
      </c>
      <c r="C1078" s="7" t="n">
        <v>2015</v>
      </c>
      <c r="D1078" s="7" t="s">
        <v>5842</v>
      </c>
      <c r="E1078" s="7" t="s">
        <v>143</v>
      </c>
      <c r="F1078" s="7" t="s">
        <v>5843</v>
      </c>
      <c r="G1078" s="7" t="s">
        <v>2248</v>
      </c>
      <c r="H1078" s="7" t="s">
        <v>146</v>
      </c>
      <c r="I1078" s="7" t="s">
        <v>5844</v>
      </c>
      <c r="J1078" s="7" t="s">
        <v>116</v>
      </c>
      <c r="K1078" s="7" t="s">
        <v>5845</v>
      </c>
    </row>
    <row r="1079" customFormat="false" ht="23.85" hidden="false" customHeight="false" outlineLevel="0" collapsed="false">
      <c r="A1079" s="7" t="n">
        <v>1078</v>
      </c>
      <c r="B1079" s="7" t="s">
        <v>5841</v>
      </c>
      <c r="C1079" s="7" t="n">
        <v>2018</v>
      </c>
      <c r="D1079" s="7" t="s">
        <v>5846</v>
      </c>
      <c r="E1079" s="7" t="s">
        <v>143</v>
      </c>
      <c r="F1079" s="7" t="s">
        <v>5847</v>
      </c>
      <c r="G1079" s="7" t="s">
        <v>145</v>
      </c>
      <c r="H1079" s="7" t="s">
        <v>153</v>
      </c>
      <c r="I1079" s="7" t="s">
        <v>5848</v>
      </c>
      <c r="J1079" s="7" t="s">
        <v>114</v>
      </c>
      <c r="K1079" s="7" t="s">
        <v>5849</v>
      </c>
    </row>
    <row r="1080" customFormat="false" ht="35.05" hidden="false" customHeight="false" outlineLevel="0" collapsed="false">
      <c r="A1080" s="7" t="n">
        <v>1079</v>
      </c>
      <c r="B1080" s="7" t="s">
        <v>5850</v>
      </c>
      <c r="C1080" s="7" t="n">
        <v>2020</v>
      </c>
      <c r="D1080" s="7" t="s">
        <v>5851</v>
      </c>
      <c r="E1080" s="7" t="s">
        <v>151</v>
      </c>
      <c r="F1080" s="7" t="s">
        <v>5852</v>
      </c>
      <c r="G1080" s="7" t="s">
        <v>5853</v>
      </c>
      <c r="H1080" s="7" t="s">
        <v>208</v>
      </c>
      <c r="I1080" s="7" t="s">
        <v>5854</v>
      </c>
      <c r="J1080" s="7"/>
      <c r="K1080" s="7" t="s">
        <v>5855</v>
      </c>
    </row>
    <row r="1081" customFormat="false" ht="35.05" hidden="false" customHeight="false" outlineLevel="0" collapsed="false">
      <c r="A1081" s="7" t="n">
        <v>1080</v>
      </c>
      <c r="B1081" s="7" t="s">
        <v>5856</v>
      </c>
      <c r="C1081" s="7" t="n">
        <v>2014</v>
      </c>
      <c r="D1081" s="7" t="s">
        <v>5857</v>
      </c>
      <c r="E1081" s="7" t="s">
        <v>151</v>
      </c>
      <c r="F1081" s="7" t="s">
        <v>5858</v>
      </c>
      <c r="G1081" s="7" t="s">
        <v>145</v>
      </c>
      <c r="H1081" s="7" t="s">
        <v>522</v>
      </c>
      <c r="I1081" s="7" t="s">
        <v>5859</v>
      </c>
      <c r="J1081" s="7"/>
      <c r="K1081" s="7" t="s">
        <v>5860</v>
      </c>
    </row>
    <row r="1082" customFormat="false" ht="23.85" hidden="false" customHeight="false" outlineLevel="0" collapsed="false">
      <c r="A1082" s="7" t="n">
        <v>1081</v>
      </c>
      <c r="B1082" s="7" t="s">
        <v>5861</v>
      </c>
      <c r="C1082" s="7" t="n">
        <v>2015</v>
      </c>
      <c r="D1082" s="7" t="s">
        <v>5862</v>
      </c>
      <c r="E1082" s="7" t="s">
        <v>143</v>
      </c>
      <c r="F1082" s="7" t="s">
        <v>348</v>
      </c>
      <c r="G1082" s="7" t="s">
        <v>145</v>
      </c>
      <c r="H1082" s="7" t="s">
        <v>153</v>
      </c>
      <c r="I1082" s="7" t="s">
        <v>5863</v>
      </c>
      <c r="J1082" s="7"/>
      <c r="K1082" s="7" t="s">
        <v>5864</v>
      </c>
    </row>
    <row r="1083" customFormat="false" ht="35.05" hidden="false" customHeight="false" outlineLevel="0" collapsed="false">
      <c r="A1083" s="7" t="n">
        <v>1082</v>
      </c>
      <c r="B1083" s="7" t="s">
        <v>5865</v>
      </c>
      <c r="C1083" s="7" t="n">
        <v>2015</v>
      </c>
      <c r="D1083" s="7" t="s">
        <v>5866</v>
      </c>
      <c r="E1083" s="7" t="s">
        <v>143</v>
      </c>
      <c r="F1083" s="7" t="s">
        <v>5867</v>
      </c>
      <c r="G1083" s="7" t="s">
        <v>5868</v>
      </c>
      <c r="H1083" s="7" t="s">
        <v>146</v>
      </c>
      <c r="I1083" s="7" t="s">
        <v>5869</v>
      </c>
      <c r="J1083" s="7"/>
      <c r="K1083" s="7" t="s">
        <v>5870</v>
      </c>
    </row>
    <row r="1084" customFormat="false" ht="57.45" hidden="false" customHeight="false" outlineLevel="0" collapsed="false">
      <c r="A1084" s="7" t="n">
        <v>1083</v>
      </c>
      <c r="B1084" s="7" t="s">
        <v>635</v>
      </c>
      <c r="C1084" s="7" t="n">
        <v>2019</v>
      </c>
      <c r="D1084" s="7" t="s">
        <v>5871</v>
      </c>
      <c r="E1084" s="7" t="s">
        <v>143</v>
      </c>
      <c r="F1084" s="7" t="s">
        <v>15661</v>
      </c>
      <c r="G1084" s="7" t="s">
        <v>15662</v>
      </c>
      <c r="H1084" s="7" t="s">
        <v>153</v>
      </c>
      <c r="I1084" s="7" t="s">
        <v>15663</v>
      </c>
      <c r="J1084" s="7" t="s">
        <v>114</v>
      </c>
      <c r="K1084" s="7" t="s">
        <v>15664</v>
      </c>
    </row>
    <row r="1085" customFormat="false" ht="35.05" hidden="false" customHeight="false" outlineLevel="0" collapsed="false">
      <c r="A1085" s="7" t="n">
        <v>1084</v>
      </c>
      <c r="B1085" s="7" t="s">
        <v>5878</v>
      </c>
      <c r="C1085" s="7" t="n">
        <v>2021</v>
      </c>
      <c r="D1085" s="7" t="s">
        <v>5879</v>
      </c>
      <c r="E1085" s="7" t="s">
        <v>143</v>
      </c>
      <c r="F1085" s="7" t="s">
        <v>5880</v>
      </c>
      <c r="G1085" s="7" t="s">
        <v>5881</v>
      </c>
      <c r="H1085" s="7" t="s">
        <v>208</v>
      </c>
      <c r="I1085" s="7" t="s">
        <v>5882</v>
      </c>
      <c r="J1085" s="7" t="s">
        <v>110</v>
      </c>
      <c r="K1085" s="7" t="s">
        <v>5883</v>
      </c>
    </row>
    <row r="1086" customFormat="false" ht="35.05" hidden="false" customHeight="false" outlineLevel="0" collapsed="false">
      <c r="A1086" s="7" t="n">
        <v>1085</v>
      </c>
      <c r="B1086" s="7" t="s">
        <v>5884</v>
      </c>
      <c r="C1086" s="7" t="n">
        <v>2011</v>
      </c>
      <c r="D1086" s="7" t="s">
        <v>5885</v>
      </c>
      <c r="E1086" s="7" t="s">
        <v>143</v>
      </c>
      <c r="F1086" s="7" t="s">
        <v>5886</v>
      </c>
      <c r="G1086" s="7" t="s">
        <v>5887</v>
      </c>
      <c r="H1086" s="7" t="s">
        <v>146</v>
      </c>
      <c r="I1086" s="7" t="s">
        <v>5888</v>
      </c>
      <c r="J1086" s="7" t="s">
        <v>116</v>
      </c>
      <c r="K1086" s="7" t="s">
        <v>5889</v>
      </c>
    </row>
    <row r="1087" customFormat="false" ht="35.05" hidden="false" customHeight="false" outlineLevel="0" collapsed="false">
      <c r="A1087" s="7" t="n">
        <v>1086</v>
      </c>
      <c r="B1087" s="7" t="s">
        <v>5890</v>
      </c>
      <c r="C1087" s="7" t="n">
        <v>2014</v>
      </c>
      <c r="D1087" s="7" t="s">
        <v>5891</v>
      </c>
      <c r="E1087" s="7" t="s">
        <v>143</v>
      </c>
      <c r="F1087" s="7" t="s">
        <v>5892</v>
      </c>
      <c r="G1087" s="7" t="s">
        <v>145</v>
      </c>
      <c r="H1087" s="7" t="s">
        <v>387</v>
      </c>
      <c r="I1087" s="7" t="s">
        <v>5893</v>
      </c>
      <c r="J1087" s="7" t="s">
        <v>112</v>
      </c>
      <c r="K1087" s="7" t="s">
        <v>5894</v>
      </c>
    </row>
    <row r="1088" customFormat="false" ht="23.85" hidden="false" customHeight="false" outlineLevel="0" collapsed="false">
      <c r="A1088" s="7" t="n">
        <v>1087</v>
      </c>
      <c r="B1088" s="7" t="s">
        <v>5895</v>
      </c>
      <c r="C1088" s="7" t="n">
        <v>2021</v>
      </c>
      <c r="D1088" s="7" t="s">
        <v>5896</v>
      </c>
      <c r="E1088" s="7" t="s">
        <v>151</v>
      </c>
      <c r="F1088" s="7" t="s">
        <v>5721</v>
      </c>
      <c r="G1088" s="7" t="s">
        <v>145</v>
      </c>
      <c r="H1088" s="7" t="s">
        <v>153</v>
      </c>
      <c r="I1088" s="7" t="s">
        <v>5897</v>
      </c>
      <c r="J1088" s="7"/>
      <c r="K1088" s="7" t="s">
        <v>5898</v>
      </c>
    </row>
    <row r="1089" customFormat="false" ht="23.85" hidden="false" customHeight="false" outlineLevel="0" collapsed="false">
      <c r="A1089" s="7" t="n">
        <v>1088</v>
      </c>
      <c r="B1089" s="7" t="s">
        <v>5899</v>
      </c>
      <c r="C1089" s="7" t="n">
        <v>2022</v>
      </c>
      <c r="D1089" s="7" t="s">
        <v>5900</v>
      </c>
      <c r="E1089" s="7" t="s">
        <v>151</v>
      </c>
      <c r="F1089" s="7" t="s">
        <v>348</v>
      </c>
      <c r="G1089" s="7" t="s">
        <v>145</v>
      </c>
      <c r="H1089" s="7" t="s">
        <v>208</v>
      </c>
      <c r="I1089" s="7" t="s">
        <v>5901</v>
      </c>
      <c r="J1089" s="7"/>
      <c r="K1089" s="7" t="s">
        <v>5902</v>
      </c>
    </row>
    <row r="1090" customFormat="false" ht="35.05" hidden="false" customHeight="false" outlineLevel="0" collapsed="false">
      <c r="A1090" s="7" t="n">
        <v>1089</v>
      </c>
      <c r="B1090" s="7" t="s">
        <v>5903</v>
      </c>
      <c r="C1090" s="7" t="n">
        <v>2017</v>
      </c>
      <c r="D1090" s="7" t="s">
        <v>5904</v>
      </c>
      <c r="E1090" s="7" t="s">
        <v>151</v>
      </c>
      <c r="F1090" s="7" t="s">
        <v>5905</v>
      </c>
      <c r="G1090" s="7" t="s">
        <v>5601</v>
      </c>
      <c r="H1090" s="7" t="s">
        <v>146</v>
      </c>
      <c r="I1090" s="7" t="s">
        <v>5906</v>
      </c>
      <c r="J1090" s="7"/>
      <c r="K1090" s="7" t="s">
        <v>5907</v>
      </c>
    </row>
    <row r="1091" customFormat="false" ht="35.05" hidden="false" customHeight="false" outlineLevel="0" collapsed="false">
      <c r="A1091" s="7" t="n">
        <v>1090</v>
      </c>
      <c r="B1091" s="7" t="s">
        <v>5908</v>
      </c>
      <c r="C1091" s="7" t="n">
        <v>2020</v>
      </c>
      <c r="D1091" s="7" t="s">
        <v>5909</v>
      </c>
      <c r="E1091" s="7" t="s">
        <v>143</v>
      </c>
      <c r="F1091" s="7" t="s">
        <v>5910</v>
      </c>
      <c r="G1091" s="7" t="s">
        <v>5510</v>
      </c>
      <c r="H1091" s="7" t="s">
        <v>208</v>
      </c>
      <c r="I1091" s="7" t="s">
        <v>5911</v>
      </c>
      <c r="J1091" s="7" t="s">
        <v>110</v>
      </c>
      <c r="K1091" s="7" t="s">
        <v>5912</v>
      </c>
    </row>
    <row r="1092" customFormat="false" ht="23.85" hidden="false" customHeight="false" outlineLevel="0" collapsed="false">
      <c r="A1092" s="7" t="n">
        <v>1091</v>
      </c>
      <c r="B1092" s="7" t="s">
        <v>4180</v>
      </c>
      <c r="C1092" s="7" t="n">
        <v>2020</v>
      </c>
      <c r="D1092" s="7" t="s">
        <v>5913</v>
      </c>
      <c r="E1092" s="7" t="s">
        <v>151</v>
      </c>
      <c r="F1092" s="7" t="s">
        <v>1619</v>
      </c>
      <c r="G1092" s="7" t="s">
        <v>145</v>
      </c>
      <c r="H1092" s="7" t="s">
        <v>153</v>
      </c>
      <c r="I1092" s="7" t="s">
        <v>5914</v>
      </c>
      <c r="J1092" s="7"/>
      <c r="K1092" s="7" t="s">
        <v>5915</v>
      </c>
    </row>
    <row r="1093" customFormat="false" ht="35.05" hidden="false" customHeight="false" outlineLevel="0" collapsed="false">
      <c r="A1093" s="7" t="n">
        <v>1092</v>
      </c>
      <c r="B1093" s="7" t="s">
        <v>5916</v>
      </c>
      <c r="C1093" s="7" t="n">
        <v>2021</v>
      </c>
      <c r="D1093" s="7" t="s">
        <v>5917</v>
      </c>
      <c r="E1093" s="7" t="s">
        <v>143</v>
      </c>
      <c r="F1093" s="7" t="s">
        <v>5918</v>
      </c>
      <c r="G1093" s="7" t="s">
        <v>145</v>
      </c>
      <c r="H1093" s="7" t="s">
        <v>387</v>
      </c>
      <c r="I1093" s="7" t="s">
        <v>5919</v>
      </c>
      <c r="J1093" s="7"/>
      <c r="K1093" s="7" t="s">
        <v>5920</v>
      </c>
    </row>
    <row r="1094" customFormat="false" ht="23.85" hidden="false" customHeight="false" outlineLevel="0" collapsed="false">
      <c r="A1094" s="7" t="n">
        <v>1093</v>
      </c>
      <c r="B1094" s="7" t="s">
        <v>5921</v>
      </c>
      <c r="C1094" s="7" t="n">
        <v>2017</v>
      </c>
      <c r="D1094" s="7" t="s">
        <v>5922</v>
      </c>
      <c r="E1094" s="7" t="s">
        <v>143</v>
      </c>
      <c r="F1094" s="7" t="s">
        <v>5923</v>
      </c>
      <c r="G1094" s="7" t="s">
        <v>5924</v>
      </c>
      <c r="H1094" s="7" t="s">
        <v>153</v>
      </c>
      <c r="I1094" s="7" t="s">
        <v>5925</v>
      </c>
      <c r="J1094" s="7" t="s">
        <v>114</v>
      </c>
      <c r="K1094" s="7" t="s">
        <v>5926</v>
      </c>
    </row>
    <row r="1095" customFormat="false" ht="35.05" hidden="false" customHeight="false" outlineLevel="0" collapsed="false">
      <c r="A1095" s="7" t="n">
        <v>1094</v>
      </c>
      <c r="B1095" s="7" t="s">
        <v>5927</v>
      </c>
      <c r="C1095" s="7" t="n">
        <v>2015</v>
      </c>
      <c r="D1095" s="7" t="s">
        <v>5928</v>
      </c>
      <c r="E1095" s="7" t="s">
        <v>143</v>
      </c>
      <c r="F1095" s="7" t="s">
        <v>5929</v>
      </c>
      <c r="G1095" s="7" t="s">
        <v>1213</v>
      </c>
      <c r="H1095" s="7" t="s">
        <v>146</v>
      </c>
      <c r="I1095" s="7" t="s">
        <v>5930</v>
      </c>
      <c r="J1095" s="7" t="s">
        <v>112</v>
      </c>
      <c r="K1095" s="7" t="s">
        <v>5931</v>
      </c>
    </row>
    <row r="1096" customFormat="false" ht="35.05" hidden="false" customHeight="false" outlineLevel="0" collapsed="false">
      <c r="A1096" s="7" t="n">
        <v>1095</v>
      </c>
      <c r="B1096" s="7" t="s">
        <v>5932</v>
      </c>
      <c r="C1096" s="7" t="n">
        <v>2021</v>
      </c>
      <c r="D1096" s="7" t="s">
        <v>5933</v>
      </c>
      <c r="E1096" s="7" t="s">
        <v>151</v>
      </c>
      <c r="F1096" s="7" t="s">
        <v>348</v>
      </c>
      <c r="G1096" s="7" t="s">
        <v>145</v>
      </c>
      <c r="H1096" s="7" t="s">
        <v>153</v>
      </c>
      <c r="I1096" s="7" t="s">
        <v>5816</v>
      </c>
      <c r="J1096" s="7"/>
      <c r="K1096" s="7" t="s">
        <v>5934</v>
      </c>
    </row>
    <row r="1097" customFormat="false" ht="57.45" hidden="false" customHeight="false" outlineLevel="0" collapsed="false">
      <c r="A1097" s="7" t="n">
        <v>1096</v>
      </c>
      <c r="B1097" s="7" t="s">
        <v>5935</v>
      </c>
      <c r="C1097" s="7" t="n">
        <v>2020</v>
      </c>
      <c r="D1097" s="7" t="s">
        <v>5936</v>
      </c>
      <c r="E1097" s="7" t="s">
        <v>15123</v>
      </c>
      <c r="F1097" s="7" t="s">
        <v>15665</v>
      </c>
      <c r="G1097" s="7" t="s">
        <v>15666</v>
      </c>
      <c r="H1097" s="7" t="s">
        <v>146</v>
      </c>
      <c r="I1097" s="7" t="s">
        <v>15667</v>
      </c>
      <c r="J1097" s="7"/>
      <c r="K1097" s="7" t="s">
        <v>15668</v>
      </c>
    </row>
    <row r="1098" customFormat="false" ht="35.05" hidden="false" customHeight="false" outlineLevel="0" collapsed="false">
      <c r="A1098" s="7" t="n">
        <v>1097</v>
      </c>
      <c r="B1098" s="7" t="s">
        <v>5944</v>
      </c>
      <c r="C1098" s="7" t="n">
        <v>2001</v>
      </c>
      <c r="D1098" s="7" t="s">
        <v>5945</v>
      </c>
      <c r="E1098" s="7" t="s">
        <v>151</v>
      </c>
      <c r="F1098" s="7" t="s">
        <v>5946</v>
      </c>
      <c r="G1098" s="7" t="s">
        <v>5947</v>
      </c>
      <c r="H1098" s="7" t="s">
        <v>748</v>
      </c>
      <c r="I1098" s="7" t="s">
        <v>5948</v>
      </c>
      <c r="J1098" s="7"/>
      <c r="K1098" s="7" t="s">
        <v>5949</v>
      </c>
    </row>
    <row r="1099" customFormat="false" ht="35.05" hidden="false" customHeight="false" outlineLevel="0" collapsed="false">
      <c r="A1099" s="7" t="n">
        <v>1098</v>
      </c>
      <c r="B1099" s="7" t="s">
        <v>5950</v>
      </c>
      <c r="C1099" s="7" t="n">
        <v>2003</v>
      </c>
      <c r="D1099" s="7" t="s">
        <v>5951</v>
      </c>
      <c r="E1099" s="7" t="s">
        <v>143</v>
      </c>
      <c r="F1099" s="7" t="s">
        <v>348</v>
      </c>
      <c r="G1099" s="7" t="s">
        <v>145</v>
      </c>
      <c r="H1099" s="7" t="s">
        <v>153</v>
      </c>
      <c r="I1099" s="7" t="s">
        <v>5767</v>
      </c>
      <c r="J1099" s="7"/>
      <c r="K1099" s="7" t="s">
        <v>5952</v>
      </c>
    </row>
    <row r="1100" customFormat="false" ht="35.05" hidden="false" customHeight="false" outlineLevel="0" collapsed="false">
      <c r="A1100" s="7" t="n">
        <v>1099</v>
      </c>
      <c r="B1100" s="7" t="s">
        <v>5953</v>
      </c>
      <c r="C1100" s="7" t="n">
        <v>2018</v>
      </c>
      <c r="D1100" s="7" t="s">
        <v>5954</v>
      </c>
      <c r="E1100" s="7" t="s">
        <v>143</v>
      </c>
      <c r="F1100" s="7" t="s">
        <v>5955</v>
      </c>
      <c r="G1100" s="7" t="s">
        <v>5956</v>
      </c>
      <c r="H1100" s="7" t="s">
        <v>153</v>
      </c>
      <c r="I1100" s="7" t="s">
        <v>5957</v>
      </c>
      <c r="J1100" s="7" t="s">
        <v>114</v>
      </c>
      <c r="K1100" s="7" t="s">
        <v>5958</v>
      </c>
    </row>
    <row r="1101" customFormat="false" ht="23.85" hidden="false" customHeight="false" outlineLevel="0" collapsed="false">
      <c r="A1101" s="7" t="n">
        <v>1100</v>
      </c>
      <c r="B1101" s="7" t="s">
        <v>5959</v>
      </c>
      <c r="C1101" s="7" t="n">
        <v>2010</v>
      </c>
      <c r="D1101" s="7" t="s">
        <v>5960</v>
      </c>
      <c r="E1101" s="7" t="s">
        <v>143</v>
      </c>
      <c r="F1101" s="7" t="s">
        <v>1678</v>
      </c>
      <c r="G1101" s="7" t="s">
        <v>145</v>
      </c>
      <c r="H1101" s="7" t="s">
        <v>153</v>
      </c>
      <c r="I1101" s="7" t="s">
        <v>5961</v>
      </c>
      <c r="J1101" s="7"/>
      <c r="K1101" s="7" t="s">
        <v>5962</v>
      </c>
    </row>
    <row r="1102" customFormat="false" ht="35.05" hidden="false" customHeight="false" outlineLevel="0" collapsed="false">
      <c r="A1102" s="7" t="n">
        <v>1101</v>
      </c>
      <c r="B1102" s="7" t="s">
        <v>5963</v>
      </c>
      <c r="C1102" s="7" t="n">
        <v>2021</v>
      </c>
      <c r="D1102" s="7" t="s">
        <v>5964</v>
      </c>
      <c r="E1102" s="7" t="s">
        <v>143</v>
      </c>
      <c r="F1102" s="7" t="s">
        <v>798</v>
      </c>
      <c r="G1102" s="7" t="s">
        <v>145</v>
      </c>
      <c r="H1102" s="7" t="s">
        <v>748</v>
      </c>
      <c r="I1102" s="7" t="s">
        <v>5965</v>
      </c>
      <c r="J1102" s="7"/>
      <c r="K1102" s="7" t="s">
        <v>5966</v>
      </c>
    </row>
    <row r="1103" customFormat="false" ht="68.65" hidden="false" customHeight="false" outlineLevel="0" collapsed="false">
      <c r="A1103" s="7" t="n">
        <v>1102</v>
      </c>
      <c r="B1103" s="7" t="s">
        <v>5967</v>
      </c>
      <c r="C1103" s="7" t="n">
        <v>2013</v>
      </c>
      <c r="D1103" s="7" t="s">
        <v>5968</v>
      </c>
      <c r="E1103" s="7" t="s">
        <v>151</v>
      </c>
      <c r="F1103" s="7" t="s">
        <v>15669</v>
      </c>
      <c r="G1103" s="7" t="s">
        <v>15670</v>
      </c>
      <c r="H1103" s="7" t="s">
        <v>15231</v>
      </c>
      <c r="I1103" s="7" t="s">
        <v>15671</v>
      </c>
      <c r="J1103" s="7" t="s">
        <v>114</v>
      </c>
      <c r="K1103" s="7" t="s">
        <v>15672</v>
      </c>
    </row>
    <row r="1104" customFormat="false" ht="91" hidden="false" customHeight="false" outlineLevel="0" collapsed="false">
      <c r="A1104" s="7" t="n">
        <v>1103</v>
      </c>
      <c r="B1104" s="7" t="s">
        <v>15673</v>
      </c>
      <c r="C1104" s="7" t="n">
        <v>2017</v>
      </c>
      <c r="D1104" s="7" t="s">
        <v>5975</v>
      </c>
      <c r="E1104" s="7" t="s">
        <v>151</v>
      </c>
      <c r="F1104" s="7" t="s">
        <v>15674</v>
      </c>
      <c r="G1104" s="7" t="s">
        <v>15670</v>
      </c>
      <c r="H1104" s="7" t="s">
        <v>15231</v>
      </c>
      <c r="I1104" s="7" t="s">
        <v>15675</v>
      </c>
      <c r="J1104" s="7" t="s">
        <v>114</v>
      </c>
      <c r="K1104" s="7" t="s">
        <v>15676</v>
      </c>
    </row>
    <row r="1105" customFormat="false" ht="46.25" hidden="false" customHeight="false" outlineLevel="0" collapsed="false">
      <c r="A1105" s="7" t="n">
        <v>1104</v>
      </c>
      <c r="B1105" s="7" t="s">
        <v>5984</v>
      </c>
      <c r="C1105" s="7" t="n">
        <v>2020</v>
      </c>
      <c r="D1105" s="7" t="s">
        <v>5985</v>
      </c>
      <c r="E1105" s="7" t="s">
        <v>143</v>
      </c>
      <c r="F1105" s="7" t="s">
        <v>5986</v>
      </c>
      <c r="G1105" s="7" t="s">
        <v>145</v>
      </c>
      <c r="H1105" s="7" t="s">
        <v>153</v>
      </c>
      <c r="I1105" s="7" t="s">
        <v>5987</v>
      </c>
      <c r="J1105" s="7" t="s">
        <v>114</v>
      </c>
      <c r="K1105" s="7" t="s">
        <v>5988</v>
      </c>
    </row>
    <row r="1106" customFormat="false" ht="35.05" hidden="false" customHeight="false" outlineLevel="0" collapsed="false">
      <c r="A1106" s="7" t="n">
        <v>1105</v>
      </c>
      <c r="B1106" s="7" t="s">
        <v>5989</v>
      </c>
      <c r="C1106" s="7" t="n">
        <v>2021</v>
      </c>
      <c r="D1106" s="7" t="s">
        <v>5990</v>
      </c>
      <c r="E1106" s="7" t="s">
        <v>143</v>
      </c>
      <c r="F1106" s="7" t="s">
        <v>5991</v>
      </c>
      <c r="G1106" s="7" t="s">
        <v>145</v>
      </c>
      <c r="H1106" s="7" t="s">
        <v>153</v>
      </c>
      <c r="I1106" s="7" t="s">
        <v>5992</v>
      </c>
      <c r="J1106" s="7" t="s">
        <v>110</v>
      </c>
      <c r="K1106" s="7" t="s">
        <v>5993</v>
      </c>
    </row>
    <row r="1107" customFormat="false" ht="35.05" hidden="false" customHeight="false" outlineLevel="0" collapsed="false">
      <c r="A1107" s="7" t="n">
        <v>1106</v>
      </c>
      <c r="B1107" s="7" t="s">
        <v>5989</v>
      </c>
      <c r="C1107" s="7" t="n">
        <v>2022</v>
      </c>
      <c r="D1107" s="7" t="s">
        <v>5994</v>
      </c>
      <c r="E1107" s="7" t="s">
        <v>143</v>
      </c>
      <c r="F1107" s="7" t="s">
        <v>5995</v>
      </c>
      <c r="G1107" s="7" t="s">
        <v>145</v>
      </c>
      <c r="H1107" s="7" t="s">
        <v>153</v>
      </c>
      <c r="I1107" s="7" t="s">
        <v>5996</v>
      </c>
      <c r="J1107" s="7" t="s">
        <v>110</v>
      </c>
      <c r="K1107" s="7" t="s">
        <v>5997</v>
      </c>
    </row>
    <row r="1108" customFormat="false" ht="23.85" hidden="false" customHeight="false" outlineLevel="0" collapsed="false">
      <c r="A1108" s="7" t="n">
        <v>1107</v>
      </c>
      <c r="B1108" s="7" t="s">
        <v>5998</v>
      </c>
      <c r="C1108" s="7" t="n">
        <v>2015</v>
      </c>
      <c r="D1108" s="7" t="s">
        <v>5999</v>
      </c>
      <c r="E1108" s="7" t="s">
        <v>143</v>
      </c>
      <c r="F1108" s="7" t="s">
        <v>348</v>
      </c>
      <c r="G1108" s="7" t="s">
        <v>145</v>
      </c>
      <c r="H1108" s="7" t="s">
        <v>153</v>
      </c>
      <c r="I1108" s="7" t="s">
        <v>6000</v>
      </c>
      <c r="J1108" s="7"/>
      <c r="K1108" s="7" t="s">
        <v>6001</v>
      </c>
    </row>
    <row r="1109" customFormat="false" ht="35.05" hidden="false" customHeight="false" outlineLevel="0" collapsed="false">
      <c r="A1109" s="7" t="n">
        <v>1108</v>
      </c>
      <c r="B1109" s="7" t="s">
        <v>6002</v>
      </c>
      <c r="C1109" s="7" t="n">
        <v>2024</v>
      </c>
      <c r="D1109" s="7" t="s">
        <v>6003</v>
      </c>
      <c r="E1109" s="7" t="s">
        <v>143</v>
      </c>
      <c r="F1109" s="7" t="s">
        <v>364</v>
      </c>
      <c r="G1109" s="7" t="s">
        <v>145</v>
      </c>
      <c r="H1109" s="7" t="s">
        <v>153</v>
      </c>
      <c r="I1109" s="7" t="s">
        <v>6004</v>
      </c>
      <c r="J1109" s="7"/>
      <c r="K1109" s="7" t="s">
        <v>6005</v>
      </c>
    </row>
    <row r="1110" customFormat="false" ht="35.05" hidden="false" customHeight="false" outlineLevel="0" collapsed="false">
      <c r="A1110" s="7" t="n">
        <v>1109</v>
      </c>
      <c r="B1110" s="7" t="s">
        <v>2633</v>
      </c>
      <c r="C1110" s="7" t="n">
        <v>2024</v>
      </c>
      <c r="D1110" s="7" t="s">
        <v>6006</v>
      </c>
      <c r="E1110" s="7" t="s">
        <v>151</v>
      </c>
      <c r="F1110" s="7" t="s">
        <v>197</v>
      </c>
      <c r="G1110" s="7" t="s">
        <v>145</v>
      </c>
      <c r="H1110" s="7" t="s">
        <v>153</v>
      </c>
      <c r="I1110" s="7" t="s">
        <v>6007</v>
      </c>
      <c r="J1110" s="7"/>
      <c r="K1110" s="7" t="s">
        <v>6008</v>
      </c>
    </row>
    <row r="1111" customFormat="false" ht="79.85" hidden="false" customHeight="false" outlineLevel="0" collapsed="false">
      <c r="A1111" s="7" t="n">
        <v>1110</v>
      </c>
      <c r="B1111" s="7" t="s">
        <v>15677</v>
      </c>
      <c r="C1111" s="7" t="n">
        <v>2019</v>
      </c>
      <c r="D1111" s="7" t="s">
        <v>6009</v>
      </c>
      <c r="E1111" s="7" t="s">
        <v>201</v>
      </c>
      <c r="F1111" s="7" t="s">
        <v>364</v>
      </c>
      <c r="G1111" s="7" t="s">
        <v>145</v>
      </c>
      <c r="H1111" s="7" t="s">
        <v>153</v>
      </c>
      <c r="I1111" s="7" t="s">
        <v>15678</v>
      </c>
      <c r="J1111" s="7" t="s">
        <v>114</v>
      </c>
      <c r="K1111" s="7" t="s">
        <v>15679</v>
      </c>
    </row>
    <row r="1112" customFormat="false" ht="35.05" hidden="false" customHeight="false" outlineLevel="0" collapsed="false">
      <c r="A1112" s="7" t="n">
        <v>1111</v>
      </c>
      <c r="B1112" s="7" t="s">
        <v>6015</v>
      </c>
      <c r="C1112" s="7" t="n">
        <v>2022</v>
      </c>
      <c r="D1112" s="7" t="s">
        <v>6016</v>
      </c>
      <c r="E1112" s="7" t="s">
        <v>201</v>
      </c>
      <c r="F1112" s="7" t="s">
        <v>364</v>
      </c>
      <c r="G1112" s="7" t="s">
        <v>145</v>
      </c>
      <c r="H1112" s="7" t="s">
        <v>153</v>
      </c>
      <c r="I1112" s="7" t="s">
        <v>6017</v>
      </c>
      <c r="J1112" s="7"/>
      <c r="K1112" s="7" t="s">
        <v>6018</v>
      </c>
    </row>
    <row r="1113" customFormat="false" ht="35.05" hidden="false" customHeight="false" outlineLevel="0" collapsed="false">
      <c r="A1113" s="7" t="n">
        <v>1112</v>
      </c>
      <c r="B1113" s="7" t="s">
        <v>6019</v>
      </c>
      <c r="C1113" s="7" t="n">
        <v>2022</v>
      </c>
      <c r="D1113" s="7" t="s">
        <v>6020</v>
      </c>
      <c r="E1113" s="7" t="s">
        <v>143</v>
      </c>
      <c r="F1113" s="7" t="s">
        <v>2053</v>
      </c>
      <c r="G1113" s="7" t="s">
        <v>145</v>
      </c>
      <c r="H1113" s="7" t="s">
        <v>153</v>
      </c>
      <c r="I1113" s="7" t="s">
        <v>6021</v>
      </c>
      <c r="J1113" s="7" t="s">
        <v>114</v>
      </c>
      <c r="K1113" s="7" t="s">
        <v>6022</v>
      </c>
    </row>
    <row r="1114" customFormat="false" ht="35.05" hidden="false" customHeight="false" outlineLevel="0" collapsed="false">
      <c r="A1114" s="7" t="n">
        <v>1113</v>
      </c>
      <c r="B1114" s="7" t="s">
        <v>6023</v>
      </c>
      <c r="C1114" s="7" t="n">
        <v>2024</v>
      </c>
      <c r="D1114" s="7" t="s">
        <v>6024</v>
      </c>
      <c r="E1114" s="7" t="s">
        <v>151</v>
      </c>
      <c r="F1114" s="7" t="s">
        <v>6025</v>
      </c>
      <c r="G1114" s="7" t="s">
        <v>145</v>
      </c>
      <c r="H1114" s="7" t="s">
        <v>153</v>
      </c>
      <c r="I1114" s="7" t="s">
        <v>6026</v>
      </c>
      <c r="J1114" s="7" t="s">
        <v>114</v>
      </c>
      <c r="K1114" s="7" t="s">
        <v>6027</v>
      </c>
    </row>
    <row r="1115" customFormat="false" ht="102.2" hidden="false" customHeight="false" outlineLevel="0" collapsed="false">
      <c r="A1115" s="7" t="n">
        <v>1114</v>
      </c>
      <c r="B1115" s="7" t="s">
        <v>15680</v>
      </c>
      <c r="C1115" s="7" t="n">
        <v>2021</v>
      </c>
      <c r="D1115" s="7" t="s">
        <v>6029</v>
      </c>
      <c r="E1115" s="7" t="s">
        <v>15681</v>
      </c>
      <c r="F1115" s="7" t="s">
        <v>15682</v>
      </c>
      <c r="G1115" s="7" t="s">
        <v>15683</v>
      </c>
      <c r="H1115" s="7" t="s">
        <v>15142</v>
      </c>
      <c r="I1115" s="7" t="s">
        <v>15684</v>
      </c>
      <c r="J1115" s="7"/>
      <c r="K1115" s="7" t="s">
        <v>15685</v>
      </c>
    </row>
    <row r="1116" customFormat="false" ht="35.05" hidden="false" customHeight="false" outlineLevel="0" collapsed="false">
      <c r="A1116" s="7" t="n">
        <v>1115</v>
      </c>
      <c r="B1116" s="7" t="s">
        <v>6040</v>
      </c>
      <c r="C1116" s="7" t="n">
        <v>2016</v>
      </c>
      <c r="D1116" s="7" t="s">
        <v>6041</v>
      </c>
      <c r="E1116" s="7" t="s">
        <v>143</v>
      </c>
      <c r="F1116" s="7" t="s">
        <v>3079</v>
      </c>
      <c r="G1116" s="7" t="s">
        <v>145</v>
      </c>
      <c r="H1116" s="7" t="s">
        <v>153</v>
      </c>
      <c r="I1116" s="7" t="s">
        <v>6042</v>
      </c>
      <c r="J1116" s="7"/>
      <c r="K1116" s="7" t="s">
        <v>6043</v>
      </c>
    </row>
    <row r="1117" customFormat="false" ht="35.05" hidden="false" customHeight="false" outlineLevel="0" collapsed="false">
      <c r="A1117" s="7" t="n">
        <v>1116</v>
      </c>
      <c r="B1117" s="7" t="s">
        <v>6044</v>
      </c>
      <c r="C1117" s="7" t="n">
        <v>2023</v>
      </c>
      <c r="D1117" s="7" t="s">
        <v>6045</v>
      </c>
      <c r="E1117" s="7" t="s">
        <v>143</v>
      </c>
      <c r="F1117" s="7" t="s">
        <v>6046</v>
      </c>
      <c r="G1117" s="7" t="s">
        <v>145</v>
      </c>
      <c r="H1117" s="7" t="s">
        <v>153</v>
      </c>
      <c r="I1117" s="7" t="s">
        <v>6047</v>
      </c>
      <c r="J1117" s="7" t="s">
        <v>114</v>
      </c>
      <c r="K1117" s="7" t="s">
        <v>6048</v>
      </c>
    </row>
    <row r="1118" customFormat="false" ht="35.05" hidden="false" customHeight="false" outlineLevel="0" collapsed="false">
      <c r="A1118" s="7" t="n">
        <v>1117</v>
      </c>
      <c r="B1118" s="7" t="s">
        <v>6049</v>
      </c>
      <c r="C1118" s="7" t="n">
        <v>2020</v>
      </c>
      <c r="D1118" s="7" t="s">
        <v>6050</v>
      </c>
      <c r="E1118" s="7" t="s">
        <v>151</v>
      </c>
      <c r="F1118" s="7" t="s">
        <v>6051</v>
      </c>
      <c r="G1118" s="7" t="s">
        <v>6052</v>
      </c>
      <c r="H1118" s="7" t="s">
        <v>387</v>
      </c>
      <c r="I1118" s="7" t="s">
        <v>6053</v>
      </c>
      <c r="J1118" s="7" t="s">
        <v>114</v>
      </c>
      <c r="K1118" s="7" t="s">
        <v>6054</v>
      </c>
    </row>
    <row r="1119" customFormat="false" ht="35.05" hidden="false" customHeight="false" outlineLevel="0" collapsed="false">
      <c r="A1119" s="7" t="n">
        <v>1118</v>
      </c>
      <c r="B1119" s="7" t="s">
        <v>6055</v>
      </c>
      <c r="C1119" s="7" t="n">
        <v>2021</v>
      </c>
      <c r="D1119" s="7" t="s">
        <v>6056</v>
      </c>
      <c r="E1119" s="7" t="s">
        <v>151</v>
      </c>
      <c r="F1119" s="7" t="s">
        <v>6057</v>
      </c>
      <c r="G1119" s="7" t="s">
        <v>3295</v>
      </c>
      <c r="H1119" s="7" t="s">
        <v>387</v>
      </c>
      <c r="I1119" s="7" t="s">
        <v>6058</v>
      </c>
      <c r="J1119" s="7" t="s">
        <v>114</v>
      </c>
      <c r="K1119" s="7" t="s">
        <v>6059</v>
      </c>
    </row>
    <row r="1120" customFormat="false" ht="23.85" hidden="false" customHeight="false" outlineLevel="0" collapsed="false">
      <c r="A1120" s="7" t="n">
        <v>1119</v>
      </c>
      <c r="B1120" s="7" t="s">
        <v>6060</v>
      </c>
      <c r="C1120" s="7" t="n">
        <v>2023</v>
      </c>
      <c r="D1120" s="7" t="s">
        <v>6061</v>
      </c>
      <c r="E1120" s="7" t="s">
        <v>151</v>
      </c>
      <c r="F1120" s="7" t="s">
        <v>6062</v>
      </c>
      <c r="G1120" s="7" t="s">
        <v>6063</v>
      </c>
      <c r="H1120" s="7" t="s">
        <v>153</v>
      </c>
      <c r="I1120" s="7" t="s">
        <v>6064</v>
      </c>
      <c r="J1120" s="7" t="s">
        <v>114</v>
      </c>
      <c r="K1120" s="7" t="s">
        <v>6065</v>
      </c>
    </row>
    <row r="1121" customFormat="false" ht="35.05" hidden="false" customHeight="false" outlineLevel="0" collapsed="false">
      <c r="A1121" s="7" t="n">
        <v>1120</v>
      </c>
      <c r="B1121" s="7" t="s">
        <v>1511</v>
      </c>
      <c r="C1121" s="7" t="n">
        <v>2024</v>
      </c>
      <c r="D1121" s="7" t="s">
        <v>6066</v>
      </c>
      <c r="E1121" s="7" t="s">
        <v>143</v>
      </c>
      <c r="F1121" s="7" t="s">
        <v>1513</v>
      </c>
      <c r="G1121" s="7" t="s">
        <v>145</v>
      </c>
      <c r="H1121" s="7" t="s">
        <v>153</v>
      </c>
      <c r="I1121" s="7" t="s">
        <v>6067</v>
      </c>
      <c r="J1121" s="7" t="s">
        <v>114</v>
      </c>
      <c r="K1121" s="7" t="s">
        <v>6068</v>
      </c>
    </row>
    <row r="1122" customFormat="false" ht="35.05" hidden="false" customHeight="false" outlineLevel="0" collapsed="false">
      <c r="A1122" s="7" t="n">
        <v>1121</v>
      </c>
      <c r="B1122" s="7" t="s">
        <v>2658</v>
      </c>
      <c r="C1122" s="7" t="n">
        <v>2023</v>
      </c>
      <c r="D1122" s="7" t="s">
        <v>6069</v>
      </c>
      <c r="E1122" s="7" t="s">
        <v>151</v>
      </c>
      <c r="F1122" s="7" t="s">
        <v>3084</v>
      </c>
      <c r="G1122" s="7" t="s">
        <v>145</v>
      </c>
      <c r="H1122" s="7" t="s">
        <v>153</v>
      </c>
      <c r="I1122" s="7" t="s">
        <v>6070</v>
      </c>
      <c r="J1122" s="7" t="s">
        <v>116</v>
      </c>
      <c r="K1122" s="7" t="s">
        <v>6071</v>
      </c>
    </row>
    <row r="1123" customFormat="false" ht="35.05" hidden="false" customHeight="false" outlineLevel="0" collapsed="false">
      <c r="A1123" s="7" t="n">
        <v>1122</v>
      </c>
      <c r="B1123" s="7" t="s">
        <v>6072</v>
      </c>
      <c r="C1123" s="7" t="n">
        <v>2024</v>
      </c>
      <c r="D1123" s="7" t="s">
        <v>6073</v>
      </c>
      <c r="E1123" s="7" t="s">
        <v>579</v>
      </c>
      <c r="F1123" s="7" t="s">
        <v>6074</v>
      </c>
      <c r="G1123" s="7" t="s">
        <v>145</v>
      </c>
      <c r="H1123" s="7" t="s">
        <v>387</v>
      </c>
      <c r="I1123" s="7" t="s">
        <v>6075</v>
      </c>
      <c r="J1123" s="7"/>
      <c r="K1123" s="7" t="s">
        <v>6076</v>
      </c>
    </row>
    <row r="1124" customFormat="false" ht="35.05" hidden="false" customHeight="false" outlineLevel="0" collapsed="false">
      <c r="A1124" s="7" t="n">
        <v>1123</v>
      </c>
      <c r="B1124" s="7" t="s">
        <v>6077</v>
      </c>
      <c r="C1124" s="7" t="n">
        <v>2023</v>
      </c>
      <c r="D1124" s="7" t="s">
        <v>6078</v>
      </c>
      <c r="E1124" s="7" t="s">
        <v>143</v>
      </c>
      <c r="F1124" s="7" t="s">
        <v>6079</v>
      </c>
      <c r="G1124" s="7" t="s">
        <v>145</v>
      </c>
      <c r="H1124" s="7" t="s">
        <v>153</v>
      </c>
      <c r="I1124" s="7" t="s">
        <v>6080</v>
      </c>
      <c r="J1124" s="7" t="s">
        <v>114</v>
      </c>
      <c r="K1124" s="7" t="s">
        <v>6081</v>
      </c>
    </row>
    <row r="1125" customFormat="false" ht="57.45" hidden="false" customHeight="false" outlineLevel="0" collapsed="false">
      <c r="A1125" s="7" t="n">
        <v>1124</v>
      </c>
      <c r="B1125" s="7" t="s">
        <v>6082</v>
      </c>
      <c r="C1125" s="7" t="n">
        <v>2023</v>
      </c>
      <c r="D1125" s="7" t="s">
        <v>6083</v>
      </c>
      <c r="E1125" s="7" t="s">
        <v>15528</v>
      </c>
      <c r="F1125" s="7" t="s">
        <v>15686</v>
      </c>
      <c r="G1125" s="7" t="s">
        <v>145</v>
      </c>
      <c r="H1125" s="7" t="s">
        <v>153</v>
      </c>
      <c r="I1125" s="7" t="s">
        <v>15687</v>
      </c>
      <c r="J1125" s="7"/>
      <c r="K1125" s="7" t="s">
        <v>15688</v>
      </c>
    </row>
    <row r="1126" customFormat="false" ht="35.05" hidden="false" customHeight="false" outlineLevel="0" collapsed="false">
      <c r="A1126" s="7" t="n">
        <v>1125</v>
      </c>
      <c r="B1126" s="7" t="s">
        <v>6089</v>
      </c>
      <c r="C1126" s="7" t="n">
        <v>2022</v>
      </c>
      <c r="D1126" s="7" t="s">
        <v>6090</v>
      </c>
      <c r="E1126" s="7" t="s">
        <v>143</v>
      </c>
      <c r="F1126" s="7" t="s">
        <v>6091</v>
      </c>
      <c r="G1126" s="7" t="s">
        <v>244</v>
      </c>
      <c r="H1126" s="7" t="s">
        <v>146</v>
      </c>
      <c r="I1126" s="7" t="s">
        <v>6092</v>
      </c>
      <c r="J1126" s="7" t="s">
        <v>112</v>
      </c>
      <c r="K1126" s="7" t="s">
        <v>6093</v>
      </c>
    </row>
    <row r="1127" customFormat="false" ht="35.05" hidden="false" customHeight="false" outlineLevel="0" collapsed="false">
      <c r="A1127" s="7" t="n">
        <v>1126</v>
      </c>
      <c r="B1127" s="7" t="s">
        <v>6094</v>
      </c>
      <c r="C1127" s="7" t="n">
        <v>2024</v>
      </c>
      <c r="D1127" s="7" t="s">
        <v>6095</v>
      </c>
      <c r="E1127" s="7" t="s">
        <v>143</v>
      </c>
      <c r="F1127" s="7" t="s">
        <v>152</v>
      </c>
      <c r="G1127" s="7" t="s">
        <v>145</v>
      </c>
      <c r="H1127" s="7" t="s">
        <v>387</v>
      </c>
      <c r="I1127" s="7" t="s">
        <v>6096</v>
      </c>
      <c r="J1127" s="7"/>
      <c r="K1127" s="7" t="s">
        <v>6097</v>
      </c>
    </row>
    <row r="1128" customFormat="false" ht="35.05" hidden="false" customHeight="false" outlineLevel="0" collapsed="false">
      <c r="A1128" s="7" t="n">
        <v>1127</v>
      </c>
      <c r="B1128" s="7" t="s">
        <v>1831</v>
      </c>
      <c r="C1128" s="7" t="n">
        <v>2024</v>
      </c>
      <c r="D1128" s="7" t="s">
        <v>6098</v>
      </c>
      <c r="E1128" s="7" t="s">
        <v>151</v>
      </c>
      <c r="F1128" s="7" t="s">
        <v>6099</v>
      </c>
      <c r="G1128" s="7" t="s">
        <v>145</v>
      </c>
      <c r="H1128" s="7" t="s">
        <v>387</v>
      </c>
      <c r="I1128" s="7" t="s">
        <v>6100</v>
      </c>
      <c r="J1128" s="7" t="s">
        <v>112</v>
      </c>
      <c r="K1128" s="7" t="s">
        <v>6101</v>
      </c>
    </row>
    <row r="1129" customFormat="false" ht="35.05" hidden="false" customHeight="false" outlineLevel="0" collapsed="false">
      <c r="A1129" s="7" t="n">
        <v>1128</v>
      </c>
      <c r="B1129" s="7" t="s">
        <v>6102</v>
      </c>
      <c r="C1129" s="7" t="n">
        <v>2023</v>
      </c>
      <c r="D1129" s="7" t="s">
        <v>6103</v>
      </c>
      <c r="E1129" s="7" t="s">
        <v>143</v>
      </c>
      <c r="F1129" s="7" t="s">
        <v>6104</v>
      </c>
      <c r="G1129" s="7" t="s">
        <v>145</v>
      </c>
      <c r="H1129" s="7" t="s">
        <v>153</v>
      </c>
      <c r="I1129" s="7" t="s">
        <v>6105</v>
      </c>
      <c r="J1129" s="7" t="s">
        <v>112</v>
      </c>
      <c r="K1129" s="7" t="s">
        <v>6106</v>
      </c>
    </row>
    <row r="1130" customFormat="false" ht="35.05" hidden="false" customHeight="false" outlineLevel="0" collapsed="false">
      <c r="A1130" s="7" t="n">
        <v>1129</v>
      </c>
      <c r="B1130" s="7" t="s">
        <v>6107</v>
      </c>
      <c r="C1130" s="7" t="n">
        <v>2023</v>
      </c>
      <c r="D1130" s="7" t="s">
        <v>6108</v>
      </c>
      <c r="E1130" s="7" t="s">
        <v>143</v>
      </c>
      <c r="F1130" s="7" t="s">
        <v>6109</v>
      </c>
      <c r="G1130" s="7" t="s">
        <v>678</v>
      </c>
      <c r="H1130" s="7" t="s">
        <v>387</v>
      </c>
      <c r="I1130" s="7" t="s">
        <v>6110</v>
      </c>
      <c r="J1130" s="7" t="s">
        <v>116</v>
      </c>
      <c r="K1130" s="7" t="s">
        <v>6111</v>
      </c>
    </row>
    <row r="1131" customFormat="false" ht="35.05" hidden="false" customHeight="false" outlineLevel="0" collapsed="false">
      <c r="A1131" s="7" t="n">
        <v>1130</v>
      </c>
      <c r="B1131" s="7" t="s">
        <v>6112</v>
      </c>
      <c r="C1131" s="7" t="n">
        <v>2020</v>
      </c>
      <c r="D1131" s="7" t="s">
        <v>6113</v>
      </c>
      <c r="E1131" s="7" t="s">
        <v>143</v>
      </c>
      <c r="F1131" s="7" t="s">
        <v>626</v>
      </c>
      <c r="G1131" s="7" t="s">
        <v>145</v>
      </c>
      <c r="H1131" s="7" t="s">
        <v>153</v>
      </c>
      <c r="I1131" s="7" t="s">
        <v>6114</v>
      </c>
      <c r="J1131" s="7" t="s">
        <v>112</v>
      </c>
      <c r="K1131" s="7" t="s">
        <v>6115</v>
      </c>
    </row>
    <row r="1132" customFormat="false" ht="35.05" hidden="false" customHeight="false" outlineLevel="0" collapsed="false">
      <c r="A1132" s="7" t="n">
        <v>1131</v>
      </c>
      <c r="B1132" s="7" t="s">
        <v>6116</v>
      </c>
      <c r="C1132" s="7" t="n">
        <v>2015</v>
      </c>
      <c r="D1132" s="7" t="s">
        <v>6117</v>
      </c>
      <c r="E1132" s="7" t="s">
        <v>143</v>
      </c>
      <c r="F1132" s="7" t="s">
        <v>6118</v>
      </c>
      <c r="G1132" s="7" t="s">
        <v>145</v>
      </c>
      <c r="H1132" s="7" t="s">
        <v>387</v>
      </c>
      <c r="I1132" s="7" t="s">
        <v>6119</v>
      </c>
      <c r="J1132" s="7" t="s">
        <v>112</v>
      </c>
      <c r="K1132" s="7" t="s">
        <v>6120</v>
      </c>
    </row>
    <row r="1133" customFormat="false" ht="35.05" hidden="false" customHeight="false" outlineLevel="0" collapsed="false">
      <c r="A1133" s="7" t="n">
        <v>1132</v>
      </c>
      <c r="B1133" s="7" t="s">
        <v>2436</v>
      </c>
      <c r="C1133" s="7" t="n">
        <v>2016</v>
      </c>
      <c r="D1133" s="7" t="s">
        <v>6121</v>
      </c>
      <c r="E1133" s="7" t="s">
        <v>143</v>
      </c>
      <c r="F1133" s="7" t="s">
        <v>1163</v>
      </c>
      <c r="G1133" s="7" t="s">
        <v>145</v>
      </c>
      <c r="H1133" s="7" t="s">
        <v>153</v>
      </c>
      <c r="I1133" s="7" t="s">
        <v>6122</v>
      </c>
      <c r="J1133" s="7" t="s">
        <v>112</v>
      </c>
      <c r="K1133" s="7" t="s">
        <v>6123</v>
      </c>
    </row>
    <row r="1134" customFormat="false" ht="35.05" hidden="false" customHeight="false" outlineLevel="0" collapsed="false">
      <c r="A1134" s="7" t="n">
        <v>1133</v>
      </c>
      <c r="B1134" s="7" t="s">
        <v>6124</v>
      </c>
      <c r="C1134" s="7" t="n">
        <v>2022</v>
      </c>
      <c r="D1134" s="7" t="s">
        <v>6125</v>
      </c>
      <c r="E1134" s="7" t="s">
        <v>579</v>
      </c>
      <c r="F1134" s="7" t="s">
        <v>1264</v>
      </c>
      <c r="G1134" s="7" t="s">
        <v>1159</v>
      </c>
      <c r="H1134" s="7" t="s">
        <v>387</v>
      </c>
      <c r="I1134" s="7" t="s">
        <v>6126</v>
      </c>
      <c r="J1134" s="7" t="s">
        <v>112</v>
      </c>
      <c r="K1134" s="7" t="s">
        <v>6127</v>
      </c>
    </row>
    <row r="1135" customFormat="false" ht="35.05" hidden="false" customHeight="false" outlineLevel="0" collapsed="false">
      <c r="A1135" s="7" t="n">
        <v>1134</v>
      </c>
      <c r="B1135" s="7" t="s">
        <v>3177</v>
      </c>
      <c r="C1135" s="7" t="n">
        <v>2024</v>
      </c>
      <c r="D1135" s="7" t="s">
        <v>6128</v>
      </c>
      <c r="E1135" s="7" t="s">
        <v>143</v>
      </c>
      <c r="F1135" s="7" t="s">
        <v>6129</v>
      </c>
      <c r="G1135" s="7" t="s">
        <v>145</v>
      </c>
      <c r="H1135" s="7" t="s">
        <v>153</v>
      </c>
      <c r="I1135" s="7" t="s">
        <v>6130</v>
      </c>
      <c r="J1135" s="7" t="s">
        <v>110</v>
      </c>
      <c r="K1135" s="7" t="s">
        <v>6131</v>
      </c>
    </row>
    <row r="1136" customFormat="false" ht="23.85" hidden="false" customHeight="false" outlineLevel="0" collapsed="false">
      <c r="A1136" s="7" t="n">
        <v>1135</v>
      </c>
      <c r="B1136" s="7" t="s">
        <v>6132</v>
      </c>
      <c r="C1136" s="7" t="n">
        <v>2022</v>
      </c>
      <c r="D1136" s="7" t="s">
        <v>6133</v>
      </c>
      <c r="E1136" s="7" t="s">
        <v>143</v>
      </c>
      <c r="F1136" s="7" t="s">
        <v>1264</v>
      </c>
      <c r="G1136" s="7" t="s">
        <v>145</v>
      </c>
      <c r="H1136" s="7" t="s">
        <v>387</v>
      </c>
      <c r="I1136" s="7" t="s">
        <v>6134</v>
      </c>
      <c r="J1136" s="7" t="s">
        <v>116</v>
      </c>
      <c r="K1136" s="7" t="s">
        <v>6135</v>
      </c>
    </row>
    <row r="1137" customFormat="false" ht="35.05" hidden="false" customHeight="false" outlineLevel="0" collapsed="false">
      <c r="A1137" s="7" t="n">
        <v>1136</v>
      </c>
      <c r="B1137" s="7" t="s">
        <v>6136</v>
      </c>
      <c r="C1137" s="7" t="n">
        <v>2022</v>
      </c>
      <c r="D1137" s="7" t="s">
        <v>6137</v>
      </c>
      <c r="E1137" s="7" t="s">
        <v>143</v>
      </c>
      <c r="F1137" s="7" t="s">
        <v>364</v>
      </c>
      <c r="G1137" s="7" t="s">
        <v>145</v>
      </c>
      <c r="H1137" s="7" t="s">
        <v>153</v>
      </c>
      <c r="I1137" s="7" t="s">
        <v>6138</v>
      </c>
      <c r="J1137" s="7"/>
      <c r="K1137" s="7" t="s">
        <v>6139</v>
      </c>
    </row>
    <row r="1138" customFormat="false" ht="35.05" hidden="false" customHeight="false" outlineLevel="0" collapsed="false">
      <c r="A1138" s="7" t="n">
        <v>1137</v>
      </c>
      <c r="B1138" s="7" t="s">
        <v>6140</v>
      </c>
      <c r="C1138" s="7" t="n">
        <v>2021</v>
      </c>
      <c r="D1138" s="7" t="s">
        <v>6141</v>
      </c>
      <c r="E1138" s="7" t="s">
        <v>151</v>
      </c>
      <c r="F1138" s="7" t="s">
        <v>6142</v>
      </c>
      <c r="G1138" s="7" t="s">
        <v>145</v>
      </c>
      <c r="H1138" s="7" t="s">
        <v>153</v>
      </c>
      <c r="I1138" s="7" t="s">
        <v>6143</v>
      </c>
      <c r="J1138" s="7" t="s">
        <v>116</v>
      </c>
      <c r="K1138" s="7" t="s">
        <v>6144</v>
      </c>
    </row>
    <row r="1139" customFormat="false" ht="35.05" hidden="false" customHeight="false" outlineLevel="0" collapsed="false">
      <c r="A1139" s="7" t="n">
        <v>1138</v>
      </c>
      <c r="B1139" s="7" t="s">
        <v>3396</v>
      </c>
      <c r="C1139" s="7" t="n">
        <v>2023</v>
      </c>
      <c r="D1139" s="7" t="s">
        <v>6145</v>
      </c>
      <c r="E1139" s="7" t="s">
        <v>143</v>
      </c>
      <c r="F1139" s="7" t="s">
        <v>1790</v>
      </c>
      <c r="G1139" s="7" t="s">
        <v>145</v>
      </c>
      <c r="H1139" s="7" t="s">
        <v>153</v>
      </c>
      <c r="I1139" s="7" t="s">
        <v>6146</v>
      </c>
      <c r="J1139" s="7" t="s">
        <v>110</v>
      </c>
      <c r="K1139" s="7" t="s">
        <v>6147</v>
      </c>
    </row>
    <row r="1140" customFormat="false" ht="35.05" hidden="false" customHeight="false" outlineLevel="0" collapsed="false">
      <c r="A1140" s="7" t="n">
        <v>1139</v>
      </c>
      <c r="B1140" s="7" t="s">
        <v>6148</v>
      </c>
      <c r="C1140" s="7" t="n">
        <v>2023</v>
      </c>
      <c r="D1140" s="7" t="s">
        <v>6149</v>
      </c>
      <c r="E1140" s="7" t="s">
        <v>143</v>
      </c>
      <c r="F1140" s="7" t="s">
        <v>6150</v>
      </c>
      <c r="G1140" s="7" t="s">
        <v>6151</v>
      </c>
      <c r="H1140" s="7" t="s">
        <v>146</v>
      </c>
      <c r="I1140" s="7" t="s">
        <v>6152</v>
      </c>
      <c r="J1140" s="7" t="s">
        <v>110</v>
      </c>
      <c r="K1140" s="7" t="s">
        <v>6153</v>
      </c>
    </row>
    <row r="1141" customFormat="false" ht="57.45" hidden="false" customHeight="false" outlineLevel="0" collapsed="false">
      <c r="A1141" s="7" t="n">
        <v>1140</v>
      </c>
      <c r="B1141" s="7" t="s">
        <v>6154</v>
      </c>
      <c r="C1141" s="7" t="n">
        <v>2024</v>
      </c>
      <c r="D1141" s="7" t="s">
        <v>6155</v>
      </c>
      <c r="E1141" s="7" t="s">
        <v>143</v>
      </c>
      <c r="F1141" s="7" t="s">
        <v>15689</v>
      </c>
      <c r="G1141" s="7" t="s">
        <v>145</v>
      </c>
      <c r="H1141" s="7" t="s">
        <v>153</v>
      </c>
      <c r="I1141" s="7" t="s">
        <v>15690</v>
      </c>
      <c r="J1141" s="7" t="s">
        <v>110</v>
      </c>
      <c r="K1141" s="7" t="s">
        <v>15691</v>
      </c>
    </row>
    <row r="1142" customFormat="false" ht="35.05" hidden="false" customHeight="false" outlineLevel="0" collapsed="false">
      <c r="A1142" s="7" t="n">
        <v>1141</v>
      </c>
      <c r="B1142" s="7" t="s">
        <v>6162</v>
      </c>
      <c r="C1142" s="7" t="n">
        <v>2021</v>
      </c>
      <c r="D1142" s="7" t="s">
        <v>6163</v>
      </c>
      <c r="E1142" s="7" t="s">
        <v>151</v>
      </c>
      <c r="F1142" s="7" t="s">
        <v>6164</v>
      </c>
      <c r="G1142" s="7" t="s">
        <v>6165</v>
      </c>
      <c r="H1142" s="7" t="s">
        <v>387</v>
      </c>
      <c r="I1142" s="7" t="s">
        <v>6166</v>
      </c>
      <c r="J1142" s="7"/>
      <c r="K1142" s="7" t="s">
        <v>6167</v>
      </c>
    </row>
    <row r="1143" customFormat="false" ht="35.05" hidden="false" customHeight="false" outlineLevel="0" collapsed="false">
      <c r="A1143" s="7" t="n">
        <v>1142</v>
      </c>
      <c r="B1143" s="7" t="s">
        <v>6168</v>
      </c>
      <c r="C1143" s="7" t="n">
        <v>2020</v>
      </c>
      <c r="D1143" s="7" t="s">
        <v>6169</v>
      </c>
      <c r="E1143" s="7" t="s">
        <v>151</v>
      </c>
      <c r="F1143" s="7" t="s">
        <v>6170</v>
      </c>
      <c r="G1143" s="7" t="s">
        <v>6171</v>
      </c>
      <c r="H1143" s="7" t="s">
        <v>146</v>
      </c>
      <c r="I1143" s="7" t="s">
        <v>6172</v>
      </c>
      <c r="J1143" s="7"/>
      <c r="K1143" s="7" t="s">
        <v>6173</v>
      </c>
    </row>
    <row r="1144" customFormat="false" ht="46.25" hidden="false" customHeight="false" outlineLevel="0" collapsed="false">
      <c r="A1144" s="7" t="n">
        <v>1143</v>
      </c>
      <c r="B1144" s="7" t="s">
        <v>6174</v>
      </c>
      <c r="C1144" s="7" t="n">
        <v>2024</v>
      </c>
      <c r="D1144" s="7" t="s">
        <v>6175</v>
      </c>
      <c r="E1144" s="7" t="s">
        <v>143</v>
      </c>
      <c r="F1144" s="7" t="s">
        <v>6176</v>
      </c>
      <c r="G1144" s="7" t="s">
        <v>6177</v>
      </c>
      <c r="H1144" s="7" t="s">
        <v>146</v>
      </c>
      <c r="I1144" s="7" t="s">
        <v>6178</v>
      </c>
      <c r="J1144" s="7" t="s">
        <v>112</v>
      </c>
      <c r="K1144" s="7" t="s">
        <v>6179</v>
      </c>
    </row>
    <row r="1145" customFormat="false" ht="57.45" hidden="false" customHeight="false" outlineLevel="0" collapsed="false">
      <c r="A1145" s="7" t="n">
        <v>1144</v>
      </c>
      <c r="B1145" s="7" t="s">
        <v>15692</v>
      </c>
      <c r="C1145" s="7" t="n">
        <v>2023</v>
      </c>
      <c r="D1145" s="7" t="s">
        <v>6181</v>
      </c>
      <c r="E1145" s="7" t="s">
        <v>15465</v>
      </c>
      <c r="F1145" s="7" t="s">
        <v>15693</v>
      </c>
      <c r="G1145" s="7" t="s">
        <v>15694</v>
      </c>
      <c r="H1145" s="7" t="s">
        <v>146</v>
      </c>
      <c r="I1145" s="7" t="s">
        <v>15695</v>
      </c>
      <c r="J1145" s="7" t="s">
        <v>112</v>
      </c>
      <c r="K1145" s="7" t="s">
        <v>15696</v>
      </c>
    </row>
    <row r="1146" customFormat="false" ht="35.05" hidden="false" customHeight="false" outlineLevel="0" collapsed="false">
      <c r="A1146" s="7" t="n">
        <v>1145</v>
      </c>
      <c r="B1146" s="7" t="s">
        <v>3400</v>
      </c>
      <c r="C1146" s="7" t="n">
        <v>2024</v>
      </c>
      <c r="D1146" s="7" t="s">
        <v>6191</v>
      </c>
      <c r="E1146" s="7" t="s">
        <v>201</v>
      </c>
      <c r="F1146" s="7" t="s">
        <v>3183</v>
      </c>
      <c r="G1146" s="7" t="s">
        <v>145</v>
      </c>
      <c r="H1146" s="7" t="s">
        <v>153</v>
      </c>
      <c r="I1146" s="7" t="s">
        <v>6192</v>
      </c>
      <c r="J1146" s="7" t="s">
        <v>110</v>
      </c>
      <c r="K1146" s="7" t="s">
        <v>6193</v>
      </c>
    </row>
    <row r="1147" customFormat="false" ht="35.05" hidden="false" customHeight="false" outlineLevel="0" collapsed="false">
      <c r="A1147" s="7" t="n">
        <v>1146</v>
      </c>
      <c r="B1147" s="7" t="s">
        <v>6194</v>
      </c>
      <c r="C1147" s="7" t="n">
        <v>2024</v>
      </c>
      <c r="D1147" s="7" t="s">
        <v>6195</v>
      </c>
      <c r="E1147" s="7" t="s">
        <v>143</v>
      </c>
      <c r="F1147" s="7" t="s">
        <v>364</v>
      </c>
      <c r="G1147" s="7" t="s">
        <v>145</v>
      </c>
      <c r="H1147" s="7" t="s">
        <v>153</v>
      </c>
      <c r="I1147" s="7" t="s">
        <v>6196</v>
      </c>
      <c r="J1147" s="7" t="s">
        <v>110</v>
      </c>
      <c r="K1147" s="7" t="s">
        <v>6197</v>
      </c>
    </row>
    <row r="1148" customFormat="false" ht="35.05" hidden="false" customHeight="false" outlineLevel="0" collapsed="false">
      <c r="A1148" s="7" t="n">
        <v>1147</v>
      </c>
      <c r="B1148" s="7" t="s">
        <v>2924</v>
      </c>
      <c r="C1148" s="7" t="n">
        <v>2023</v>
      </c>
      <c r="D1148" s="7" t="s">
        <v>6198</v>
      </c>
      <c r="E1148" s="7" t="s">
        <v>143</v>
      </c>
      <c r="F1148" s="7" t="s">
        <v>4052</v>
      </c>
      <c r="G1148" s="7" t="s">
        <v>145</v>
      </c>
      <c r="H1148" s="7" t="s">
        <v>153</v>
      </c>
      <c r="I1148" s="7" t="s">
        <v>6199</v>
      </c>
      <c r="J1148" s="7" t="s">
        <v>114</v>
      </c>
      <c r="K1148" s="7" t="s">
        <v>6200</v>
      </c>
    </row>
    <row r="1149" customFormat="false" ht="35.05" hidden="false" customHeight="false" outlineLevel="0" collapsed="false">
      <c r="A1149" s="7" t="n">
        <v>1148</v>
      </c>
      <c r="B1149" s="7" t="s">
        <v>6201</v>
      </c>
      <c r="C1149" s="7" t="n">
        <v>2023</v>
      </c>
      <c r="D1149" s="7" t="s">
        <v>6202</v>
      </c>
      <c r="E1149" s="7" t="s">
        <v>151</v>
      </c>
      <c r="F1149" s="7" t="s">
        <v>6203</v>
      </c>
      <c r="G1149" s="7" t="s">
        <v>145</v>
      </c>
      <c r="H1149" s="7" t="s">
        <v>153</v>
      </c>
      <c r="I1149" s="7" t="s">
        <v>6204</v>
      </c>
      <c r="J1149" s="7" t="s">
        <v>114</v>
      </c>
      <c r="K1149" s="7" t="s">
        <v>6205</v>
      </c>
    </row>
    <row r="1150" customFormat="false" ht="23.85" hidden="false" customHeight="false" outlineLevel="0" collapsed="false">
      <c r="A1150" s="7" t="n">
        <v>1149</v>
      </c>
      <c r="B1150" s="7" t="s">
        <v>6206</v>
      </c>
      <c r="C1150" s="7" t="n">
        <v>2023</v>
      </c>
      <c r="D1150" s="7" t="s">
        <v>6207</v>
      </c>
      <c r="E1150" s="7" t="s">
        <v>143</v>
      </c>
      <c r="F1150" s="7" t="s">
        <v>6208</v>
      </c>
      <c r="G1150" s="7" t="s">
        <v>145</v>
      </c>
      <c r="H1150" s="7" t="s">
        <v>387</v>
      </c>
      <c r="I1150" s="7" t="s">
        <v>6209</v>
      </c>
      <c r="J1150" s="7" t="s">
        <v>114</v>
      </c>
      <c r="K1150" s="7" t="s">
        <v>6210</v>
      </c>
    </row>
    <row r="1151" customFormat="false" ht="35.05" hidden="false" customHeight="false" outlineLevel="0" collapsed="false">
      <c r="A1151" s="7" t="n">
        <v>1150</v>
      </c>
      <c r="B1151" s="7" t="s">
        <v>1622</v>
      </c>
      <c r="C1151" s="7" t="n">
        <v>2023</v>
      </c>
      <c r="D1151" s="7" t="s">
        <v>6211</v>
      </c>
      <c r="E1151" s="7" t="s">
        <v>143</v>
      </c>
      <c r="F1151" s="7" t="s">
        <v>6212</v>
      </c>
      <c r="G1151" s="7" t="s">
        <v>327</v>
      </c>
      <c r="H1151" s="7" t="s">
        <v>153</v>
      </c>
      <c r="I1151" s="7" t="s">
        <v>6213</v>
      </c>
      <c r="J1151" s="7" t="s">
        <v>114</v>
      </c>
      <c r="K1151" s="7" t="s">
        <v>6214</v>
      </c>
    </row>
    <row r="1152" customFormat="false" ht="35.05" hidden="false" customHeight="false" outlineLevel="0" collapsed="false">
      <c r="A1152" s="7" t="n">
        <v>1151</v>
      </c>
      <c r="B1152" s="7" t="s">
        <v>6215</v>
      </c>
      <c r="C1152" s="7" t="n">
        <v>2023</v>
      </c>
      <c r="D1152" s="7" t="s">
        <v>6216</v>
      </c>
      <c r="E1152" s="7" t="s">
        <v>201</v>
      </c>
      <c r="F1152" s="7" t="s">
        <v>6217</v>
      </c>
      <c r="G1152" s="7" t="s">
        <v>6218</v>
      </c>
      <c r="H1152" s="7" t="s">
        <v>146</v>
      </c>
      <c r="I1152" s="7" t="s">
        <v>6219</v>
      </c>
      <c r="J1152" s="7" t="s">
        <v>110</v>
      </c>
      <c r="K1152" s="7" t="s">
        <v>6220</v>
      </c>
    </row>
    <row r="1153" customFormat="false" ht="35.05" hidden="false" customHeight="false" outlineLevel="0" collapsed="false">
      <c r="A1153" s="7" t="n">
        <v>1152</v>
      </c>
      <c r="B1153" s="7" t="s">
        <v>6221</v>
      </c>
      <c r="C1153" s="7" t="n">
        <v>2022</v>
      </c>
      <c r="D1153" s="7" t="s">
        <v>6222</v>
      </c>
      <c r="E1153" s="7" t="s">
        <v>201</v>
      </c>
      <c r="F1153" s="7" t="s">
        <v>6223</v>
      </c>
      <c r="G1153" s="7" t="s">
        <v>5238</v>
      </c>
      <c r="H1153" s="7" t="s">
        <v>146</v>
      </c>
      <c r="I1153" s="7" t="s">
        <v>6224</v>
      </c>
      <c r="J1153" s="7" t="s">
        <v>110</v>
      </c>
      <c r="K1153" s="7" t="s">
        <v>6225</v>
      </c>
    </row>
    <row r="1154" customFormat="false" ht="35.05" hidden="false" customHeight="false" outlineLevel="0" collapsed="false">
      <c r="A1154" s="7" t="n">
        <v>1153</v>
      </c>
      <c r="B1154" s="7" t="s">
        <v>6226</v>
      </c>
      <c r="C1154" s="7" t="n">
        <v>2023</v>
      </c>
      <c r="D1154" s="7" t="s">
        <v>6227</v>
      </c>
      <c r="E1154" s="7" t="s">
        <v>201</v>
      </c>
      <c r="F1154" s="7" t="s">
        <v>6228</v>
      </c>
      <c r="G1154" s="7" t="s">
        <v>145</v>
      </c>
      <c r="H1154" s="7" t="s">
        <v>387</v>
      </c>
      <c r="I1154" s="7" t="s">
        <v>6229</v>
      </c>
      <c r="J1154" s="7" t="s">
        <v>110</v>
      </c>
      <c r="K1154" s="7" t="s">
        <v>6230</v>
      </c>
    </row>
    <row r="1155" customFormat="false" ht="35.05" hidden="false" customHeight="false" outlineLevel="0" collapsed="false">
      <c r="A1155" s="7" t="n">
        <v>1154</v>
      </c>
      <c r="B1155" s="7" t="s">
        <v>2099</v>
      </c>
      <c r="C1155" s="7" t="n">
        <v>2023</v>
      </c>
      <c r="D1155" s="7" t="s">
        <v>6231</v>
      </c>
      <c r="E1155" s="7" t="s">
        <v>151</v>
      </c>
      <c r="F1155" s="7" t="s">
        <v>6232</v>
      </c>
      <c r="G1155" s="7" t="s">
        <v>145</v>
      </c>
      <c r="H1155" s="7" t="s">
        <v>153</v>
      </c>
      <c r="I1155" s="7" t="s">
        <v>6233</v>
      </c>
      <c r="J1155" s="7" t="s">
        <v>110</v>
      </c>
      <c r="K1155" s="7" t="s">
        <v>6234</v>
      </c>
    </row>
    <row r="1156" customFormat="false" ht="35.05" hidden="false" customHeight="false" outlineLevel="0" collapsed="false">
      <c r="A1156" s="7" t="n">
        <v>1155</v>
      </c>
      <c r="B1156" s="7" t="s">
        <v>6235</v>
      </c>
      <c r="C1156" s="7" t="n">
        <v>2024</v>
      </c>
      <c r="D1156" s="7" t="s">
        <v>6236</v>
      </c>
      <c r="E1156" s="7" t="s">
        <v>143</v>
      </c>
      <c r="F1156" s="7" t="s">
        <v>6237</v>
      </c>
      <c r="G1156" s="7" t="s">
        <v>244</v>
      </c>
      <c r="H1156" s="7" t="s">
        <v>387</v>
      </c>
      <c r="I1156" s="7" t="s">
        <v>6238</v>
      </c>
      <c r="J1156" s="7" t="s">
        <v>114</v>
      </c>
      <c r="K1156" s="7" t="s">
        <v>6239</v>
      </c>
    </row>
    <row r="1157" customFormat="false" ht="35.05" hidden="false" customHeight="false" outlineLevel="0" collapsed="false">
      <c r="A1157" s="7" t="n">
        <v>1156</v>
      </c>
      <c r="B1157" s="7" t="s">
        <v>6240</v>
      </c>
      <c r="C1157" s="7" t="n">
        <v>2023</v>
      </c>
      <c r="D1157" s="7" t="s">
        <v>6241</v>
      </c>
      <c r="E1157" s="7" t="s">
        <v>143</v>
      </c>
      <c r="F1157" s="7" t="s">
        <v>6242</v>
      </c>
      <c r="G1157" s="7" t="s">
        <v>255</v>
      </c>
      <c r="H1157" s="7" t="s">
        <v>387</v>
      </c>
      <c r="I1157" s="7" t="s">
        <v>6243</v>
      </c>
      <c r="J1157" s="7" t="s">
        <v>110</v>
      </c>
      <c r="K1157" s="7" t="s">
        <v>6244</v>
      </c>
    </row>
    <row r="1158" customFormat="false" ht="35.05" hidden="false" customHeight="false" outlineLevel="0" collapsed="false">
      <c r="A1158" s="7" t="n">
        <v>1157</v>
      </c>
      <c r="B1158" s="7" t="s">
        <v>6245</v>
      </c>
      <c r="C1158" s="7" t="n">
        <v>2023</v>
      </c>
      <c r="D1158" s="7" t="s">
        <v>6246</v>
      </c>
      <c r="E1158" s="7" t="s">
        <v>143</v>
      </c>
      <c r="F1158" s="7" t="s">
        <v>1763</v>
      </c>
      <c r="G1158" s="7" t="s">
        <v>1213</v>
      </c>
      <c r="H1158" s="7" t="s">
        <v>387</v>
      </c>
      <c r="I1158" s="7" t="s">
        <v>6247</v>
      </c>
      <c r="J1158" s="7" t="s">
        <v>112</v>
      </c>
      <c r="K1158" s="7" t="s">
        <v>6248</v>
      </c>
    </row>
    <row r="1159" customFormat="false" ht="35.05" hidden="false" customHeight="false" outlineLevel="0" collapsed="false">
      <c r="A1159" s="7" t="n">
        <v>1158</v>
      </c>
      <c r="B1159" s="7" t="s">
        <v>6249</v>
      </c>
      <c r="C1159" s="7" t="n">
        <v>2023</v>
      </c>
      <c r="D1159" s="7" t="s">
        <v>6250</v>
      </c>
      <c r="E1159" s="7" t="s">
        <v>143</v>
      </c>
      <c r="F1159" s="7" t="s">
        <v>1813</v>
      </c>
      <c r="G1159" s="7" t="s">
        <v>871</v>
      </c>
      <c r="H1159" s="7" t="s">
        <v>387</v>
      </c>
      <c r="I1159" s="7" t="s">
        <v>6251</v>
      </c>
      <c r="J1159" s="7" t="s">
        <v>112</v>
      </c>
      <c r="K1159" s="7" t="s">
        <v>6252</v>
      </c>
    </row>
    <row r="1160" customFormat="false" ht="35.05" hidden="false" customHeight="false" outlineLevel="0" collapsed="false">
      <c r="A1160" s="7" t="n">
        <v>1159</v>
      </c>
      <c r="B1160" s="7" t="s">
        <v>1622</v>
      </c>
      <c r="C1160" s="7" t="n">
        <v>2024</v>
      </c>
      <c r="D1160" s="7" t="s">
        <v>6253</v>
      </c>
      <c r="E1160" s="7" t="s">
        <v>143</v>
      </c>
      <c r="F1160" s="7" t="s">
        <v>1767</v>
      </c>
      <c r="G1160" s="7" t="s">
        <v>327</v>
      </c>
      <c r="H1160" s="7" t="s">
        <v>146</v>
      </c>
      <c r="I1160" s="7" t="s">
        <v>6254</v>
      </c>
      <c r="J1160" s="7" t="s">
        <v>116</v>
      </c>
      <c r="K1160" s="7" t="s">
        <v>6255</v>
      </c>
    </row>
    <row r="1161" customFormat="false" ht="35.05" hidden="false" customHeight="false" outlineLevel="0" collapsed="false">
      <c r="A1161" s="7" t="n">
        <v>1160</v>
      </c>
      <c r="B1161" s="7" t="s">
        <v>2907</v>
      </c>
      <c r="C1161" s="7" t="n">
        <v>2022</v>
      </c>
      <c r="D1161" s="7" t="s">
        <v>6256</v>
      </c>
      <c r="E1161" s="7" t="s">
        <v>143</v>
      </c>
      <c r="F1161" s="7" t="s">
        <v>6257</v>
      </c>
      <c r="G1161" s="7" t="s">
        <v>2910</v>
      </c>
      <c r="H1161" s="7" t="s">
        <v>208</v>
      </c>
      <c r="I1161" s="7" t="s">
        <v>6258</v>
      </c>
      <c r="J1161" s="7" t="s">
        <v>110</v>
      </c>
      <c r="K1161" s="7" t="s">
        <v>6259</v>
      </c>
    </row>
    <row r="1162" customFormat="false" ht="35.05" hidden="false" customHeight="false" outlineLevel="0" collapsed="false">
      <c r="A1162" s="7" t="n">
        <v>1161</v>
      </c>
      <c r="B1162" s="7" t="s">
        <v>6260</v>
      </c>
      <c r="C1162" s="7" t="n">
        <v>2003</v>
      </c>
      <c r="D1162" s="7" t="s">
        <v>6261</v>
      </c>
      <c r="E1162" s="7" t="s">
        <v>151</v>
      </c>
      <c r="F1162" s="7" t="s">
        <v>1776</v>
      </c>
      <c r="G1162" s="7" t="s">
        <v>6262</v>
      </c>
      <c r="H1162" s="7" t="s">
        <v>146</v>
      </c>
      <c r="I1162" s="7" t="s">
        <v>6263</v>
      </c>
      <c r="J1162" s="7"/>
      <c r="K1162" s="7" t="s">
        <v>6264</v>
      </c>
    </row>
    <row r="1163" customFormat="false" ht="35.05" hidden="false" customHeight="false" outlineLevel="0" collapsed="false">
      <c r="A1163" s="7" t="n">
        <v>1162</v>
      </c>
      <c r="B1163" s="7" t="s">
        <v>6265</v>
      </c>
      <c r="C1163" s="7" t="n">
        <v>2008</v>
      </c>
      <c r="D1163" s="7" t="s">
        <v>6266</v>
      </c>
      <c r="E1163" s="7" t="s">
        <v>151</v>
      </c>
      <c r="F1163" s="7" t="s">
        <v>6267</v>
      </c>
      <c r="G1163" s="7" t="s">
        <v>6268</v>
      </c>
      <c r="H1163" s="7" t="s">
        <v>146</v>
      </c>
      <c r="I1163" s="7" t="s">
        <v>6269</v>
      </c>
      <c r="J1163" s="7"/>
      <c r="K1163" s="7" t="s">
        <v>6270</v>
      </c>
    </row>
    <row r="1164" customFormat="false" ht="35.05" hidden="false" customHeight="false" outlineLevel="0" collapsed="false">
      <c r="A1164" s="7" t="n">
        <v>1163</v>
      </c>
      <c r="B1164" s="7" t="s">
        <v>1126</v>
      </c>
      <c r="C1164" s="7" t="n">
        <v>2012</v>
      </c>
      <c r="D1164" s="7" t="s">
        <v>6271</v>
      </c>
      <c r="E1164" s="7" t="s">
        <v>143</v>
      </c>
      <c r="F1164" s="7" t="s">
        <v>6272</v>
      </c>
      <c r="G1164" s="7" t="s">
        <v>145</v>
      </c>
      <c r="H1164" s="7" t="s">
        <v>153</v>
      </c>
      <c r="I1164" s="7" t="s">
        <v>6273</v>
      </c>
      <c r="J1164" s="7" t="s">
        <v>112</v>
      </c>
      <c r="K1164" s="7" t="s">
        <v>6274</v>
      </c>
    </row>
    <row r="1165" customFormat="false" ht="23.85" hidden="false" customHeight="false" outlineLevel="0" collapsed="false">
      <c r="A1165" s="7" t="n">
        <v>1164</v>
      </c>
      <c r="B1165" s="7" t="s">
        <v>6275</v>
      </c>
      <c r="C1165" s="7" t="n">
        <v>2013</v>
      </c>
      <c r="D1165" s="7" t="s">
        <v>6276</v>
      </c>
      <c r="E1165" s="7" t="s">
        <v>151</v>
      </c>
      <c r="F1165" s="7" t="s">
        <v>348</v>
      </c>
      <c r="G1165" s="7" t="s">
        <v>145</v>
      </c>
      <c r="H1165" s="7" t="s">
        <v>146</v>
      </c>
      <c r="I1165" s="7" t="s">
        <v>6277</v>
      </c>
      <c r="J1165" s="7"/>
      <c r="K1165" s="7" t="s">
        <v>6278</v>
      </c>
    </row>
    <row r="1166" customFormat="false" ht="35.05" hidden="false" customHeight="false" outlineLevel="0" collapsed="false">
      <c r="A1166" s="7" t="n">
        <v>1165</v>
      </c>
      <c r="B1166" s="7" t="s">
        <v>6279</v>
      </c>
      <c r="C1166" s="7" t="n">
        <v>2010</v>
      </c>
      <c r="D1166" s="7" t="s">
        <v>6280</v>
      </c>
      <c r="E1166" s="7" t="s">
        <v>151</v>
      </c>
      <c r="F1166" s="7" t="s">
        <v>348</v>
      </c>
      <c r="G1166" s="7" t="s">
        <v>145</v>
      </c>
      <c r="H1166" s="7" t="s">
        <v>146</v>
      </c>
      <c r="I1166" s="7" t="s">
        <v>6281</v>
      </c>
      <c r="J1166" s="7"/>
      <c r="K1166" s="7" t="s">
        <v>6282</v>
      </c>
    </row>
    <row r="1167" customFormat="false" ht="68.65" hidden="false" customHeight="false" outlineLevel="0" collapsed="false">
      <c r="A1167" s="7" t="n">
        <v>1166</v>
      </c>
      <c r="B1167" s="7" t="s">
        <v>6283</v>
      </c>
      <c r="C1167" s="7" t="n">
        <v>2010</v>
      </c>
      <c r="D1167" s="7" t="s">
        <v>6284</v>
      </c>
      <c r="E1167" s="7" t="s">
        <v>15528</v>
      </c>
      <c r="F1167" s="7" t="s">
        <v>15697</v>
      </c>
      <c r="G1167" s="7" t="s">
        <v>2886</v>
      </c>
      <c r="H1167" s="7" t="s">
        <v>146</v>
      </c>
      <c r="I1167" s="7" t="s">
        <v>6286</v>
      </c>
      <c r="J1167" s="7" t="s">
        <v>112</v>
      </c>
      <c r="K1167" s="7" t="s">
        <v>15698</v>
      </c>
    </row>
    <row r="1168" customFormat="false" ht="57.45" hidden="false" customHeight="false" outlineLevel="0" collapsed="false">
      <c r="A1168" s="7" t="n">
        <v>1167</v>
      </c>
      <c r="B1168" s="7" t="s">
        <v>15699</v>
      </c>
      <c r="C1168" s="7" t="n">
        <v>2009</v>
      </c>
      <c r="D1168" s="7" t="s">
        <v>6290</v>
      </c>
      <c r="E1168" s="7" t="s">
        <v>151</v>
      </c>
      <c r="F1168" s="7" t="s">
        <v>3552</v>
      </c>
      <c r="G1168" s="7" t="s">
        <v>15700</v>
      </c>
      <c r="H1168" s="7" t="s">
        <v>153</v>
      </c>
      <c r="I1168" s="7" t="s">
        <v>15701</v>
      </c>
      <c r="J1168" s="7" t="s">
        <v>116</v>
      </c>
      <c r="K1168" s="7" t="s">
        <v>15702</v>
      </c>
    </row>
    <row r="1169" customFormat="false" ht="35.05" hidden="false" customHeight="false" outlineLevel="0" collapsed="false">
      <c r="A1169" s="7" t="n">
        <v>1168</v>
      </c>
      <c r="B1169" s="7" t="s">
        <v>6297</v>
      </c>
      <c r="C1169" s="7" t="n">
        <v>2008</v>
      </c>
      <c r="D1169" s="7" t="s">
        <v>6298</v>
      </c>
      <c r="E1169" s="7" t="s">
        <v>151</v>
      </c>
      <c r="F1169" s="7" t="s">
        <v>6299</v>
      </c>
      <c r="G1169" s="7" t="s">
        <v>6300</v>
      </c>
      <c r="H1169" s="7" t="s">
        <v>146</v>
      </c>
      <c r="I1169" s="7" t="s">
        <v>6301</v>
      </c>
      <c r="J1169" s="7"/>
      <c r="K1169" s="7" t="s">
        <v>6302</v>
      </c>
    </row>
    <row r="1170" customFormat="false" ht="23.85" hidden="false" customHeight="false" outlineLevel="0" collapsed="false">
      <c r="A1170" s="7" t="n">
        <v>1169</v>
      </c>
      <c r="B1170" s="7" t="s">
        <v>6303</v>
      </c>
      <c r="C1170" s="7" t="n">
        <v>2009</v>
      </c>
      <c r="D1170" s="7" t="s">
        <v>6304</v>
      </c>
      <c r="E1170" s="7" t="s">
        <v>151</v>
      </c>
      <c r="F1170" s="7" t="s">
        <v>348</v>
      </c>
      <c r="G1170" s="7" t="s">
        <v>145</v>
      </c>
      <c r="H1170" s="7" t="s">
        <v>153</v>
      </c>
      <c r="I1170" s="7" t="s">
        <v>6305</v>
      </c>
      <c r="J1170" s="7"/>
      <c r="K1170" s="7" t="s">
        <v>6306</v>
      </c>
    </row>
    <row r="1171" customFormat="false" ht="35.05" hidden="false" customHeight="false" outlineLevel="0" collapsed="false">
      <c r="A1171" s="7" t="n">
        <v>1170</v>
      </c>
      <c r="B1171" s="7" t="s">
        <v>6307</v>
      </c>
      <c r="C1171" s="7" t="n">
        <v>2007</v>
      </c>
      <c r="D1171" s="7" t="s">
        <v>6308</v>
      </c>
      <c r="E1171" s="7" t="s">
        <v>201</v>
      </c>
      <c r="F1171" s="7" t="s">
        <v>6309</v>
      </c>
      <c r="G1171" s="7" t="s">
        <v>2886</v>
      </c>
      <c r="H1171" s="7" t="s">
        <v>146</v>
      </c>
      <c r="I1171" s="7" t="s">
        <v>6310</v>
      </c>
      <c r="J1171" s="7"/>
      <c r="K1171" s="7" t="s">
        <v>6311</v>
      </c>
    </row>
    <row r="1172" customFormat="false" ht="35.05" hidden="false" customHeight="false" outlineLevel="0" collapsed="false">
      <c r="A1172" s="7" t="n">
        <v>1171</v>
      </c>
      <c r="B1172" s="7" t="s">
        <v>6307</v>
      </c>
      <c r="C1172" s="7" t="n">
        <v>2009</v>
      </c>
      <c r="D1172" s="7" t="s">
        <v>6312</v>
      </c>
      <c r="E1172" s="7" t="s">
        <v>151</v>
      </c>
      <c r="F1172" s="7" t="s">
        <v>6313</v>
      </c>
      <c r="G1172" s="7" t="s">
        <v>6314</v>
      </c>
      <c r="H1172" s="7" t="s">
        <v>146</v>
      </c>
      <c r="I1172" s="7" t="s">
        <v>6315</v>
      </c>
      <c r="J1172" s="7"/>
      <c r="K1172" s="7" t="s">
        <v>6316</v>
      </c>
    </row>
    <row r="1173" customFormat="false" ht="23.85" hidden="false" customHeight="false" outlineLevel="0" collapsed="false">
      <c r="A1173" s="7" t="n">
        <v>1172</v>
      </c>
      <c r="B1173" s="7" t="s">
        <v>6317</v>
      </c>
      <c r="C1173" s="7" t="n">
        <v>2004</v>
      </c>
      <c r="D1173" s="7" t="s">
        <v>6318</v>
      </c>
      <c r="E1173" s="7" t="s">
        <v>151</v>
      </c>
      <c r="F1173" s="7" t="s">
        <v>348</v>
      </c>
      <c r="G1173" s="7" t="s">
        <v>145</v>
      </c>
      <c r="H1173" s="7" t="s">
        <v>146</v>
      </c>
      <c r="I1173" s="7" t="s">
        <v>6319</v>
      </c>
      <c r="J1173" s="7"/>
      <c r="K1173" s="7" t="s">
        <v>6320</v>
      </c>
    </row>
    <row r="1174" customFormat="false" ht="35.05" hidden="false" customHeight="false" outlineLevel="0" collapsed="false">
      <c r="A1174" s="7" t="n">
        <v>1173</v>
      </c>
      <c r="B1174" s="7" t="s">
        <v>6321</v>
      </c>
      <c r="C1174" s="7" t="n">
        <v>1990</v>
      </c>
      <c r="D1174" s="7" t="s">
        <v>6322</v>
      </c>
      <c r="E1174" s="7" t="s">
        <v>201</v>
      </c>
      <c r="F1174" s="7" t="s">
        <v>1776</v>
      </c>
      <c r="G1174" s="7" t="s">
        <v>3279</v>
      </c>
      <c r="H1174" s="7" t="s">
        <v>146</v>
      </c>
      <c r="I1174" s="7" t="s">
        <v>6323</v>
      </c>
      <c r="J1174" s="7"/>
      <c r="K1174" s="7" t="s">
        <v>6324</v>
      </c>
    </row>
    <row r="1175" customFormat="false" ht="23.85" hidden="false" customHeight="false" outlineLevel="0" collapsed="false">
      <c r="A1175" s="7" t="n">
        <v>1174</v>
      </c>
      <c r="B1175" s="7" t="s">
        <v>6328</v>
      </c>
      <c r="C1175" s="7" t="n">
        <v>2002</v>
      </c>
      <c r="D1175" s="7" t="s">
        <v>6329</v>
      </c>
      <c r="E1175" s="7" t="s">
        <v>151</v>
      </c>
      <c r="F1175" s="7" t="s">
        <v>348</v>
      </c>
      <c r="G1175" s="7" t="s">
        <v>145</v>
      </c>
      <c r="H1175" s="7" t="s">
        <v>153</v>
      </c>
      <c r="I1175" s="7" t="s">
        <v>6330</v>
      </c>
      <c r="J1175" s="7"/>
      <c r="K1175" s="7" t="s">
        <v>6331</v>
      </c>
    </row>
    <row r="1176" customFormat="false" ht="35.05" hidden="false" customHeight="false" outlineLevel="0" collapsed="false">
      <c r="A1176" s="7" t="n">
        <v>1175</v>
      </c>
      <c r="B1176" s="7" t="s">
        <v>6332</v>
      </c>
      <c r="C1176" s="7" t="n">
        <v>2011</v>
      </c>
      <c r="D1176" s="7" t="s">
        <v>6333</v>
      </c>
      <c r="E1176" s="7" t="s">
        <v>151</v>
      </c>
      <c r="F1176" s="7" t="s">
        <v>348</v>
      </c>
      <c r="G1176" s="7" t="s">
        <v>145</v>
      </c>
      <c r="H1176" s="7" t="s">
        <v>146</v>
      </c>
      <c r="I1176" s="7" t="s">
        <v>6334</v>
      </c>
      <c r="J1176" s="7"/>
      <c r="K1176" s="7" t="s">
        <v>6335</v>
      </c>
    </row>
    <row r="1177" customFormat="false" ht="35.05" hidden="false" customHeight="false" outlineLevel="0" collapsed="false">
      <c r="A1177" s="7" t="n">
        <v>1176</v>
      </c>
      <c r="B1177" s="7" t="s">
        <v>6336</v>
      </c>
      <c r="C1177" s="7" t="n">
        <v>2010</v>
      </c>
      <c r="D1177" s="7" t="s">
        <v>6337</v>
      </c>
      <c r="E1177" s="7" t="s">
        <v>151</v>
      </c>
      <c r="F1177" s="7" t="s">
        <v>348</v>
      </c>
      <c r="G1177" s="7" t="s">
        <v>145</v>
      </c>
      <c r="H1177" s="7" t="s">
        <v>153</v>
      </c>
      <c r="I1177" s="7" t="s">
        <v>6338</v>
      </c>
      <c r="J1177" s="7"/>
      <c r="K1177" s="7" t="s">
        <v>6339</v>
      </c>
    </row>
    <row r="1178" customFormat="false" ht="35.05" hidden="false" customHeight="false" outlineLevel="0" collapsed="false">
      <c r="A1178" s="7" t="n">
        <v>1177</v>
      </c>
      <c r="B1178" s="7" t="s">
        <v>6340</v>
      </c>
      <c r="C1178" s="7" t="n">
        <v>2007</v>
      </c>
      <c r="D1178" s="7" t="s">
        <v>6341</v>
      </c>
      <c r="E1178" s="7" t="s">
        <v>151</v>
      </c>
      <c r="F1178" s="7" t="s">
        <v>6342</v>
      </c>
      <c r="G1178" s="7" t="s">
        <v>145</v>
      </c>
      <c r="H1178" s="7" t="s">
        <v>153</v>
      </c>
      <c r="I1178" s="7" t="s">
        <v>6343</v>
      </c>
      <c r="J1178" s="7"/>
      <c r="K1178" s="7" t="s">
        <v>6344</v>
      </c>
    </row>
    <row r="1179" customFormat="false" ht="35.05" hidden="false" customHeight="false" outlineLevel="0" collapsed="false">
      <c r="A1179" s="7" t="n">
        <v>1178</v>
      </c>
      <c r="B1179" s="7" t="s">
        <v>4392</v>
      </c>
      <c r="C1179" s="7" t="n">
        <v>2009</v>
      </c>
      <c r="D1179" s="7" t="s">
        <v>6345</v>
      </c>
      <c r="E1179" s="7" t="s">
        <v>201</v>
      </c>
      <c r="F1179" s="7" t="s">
        <v>6346</v>
      </c>
      <c r="G1179" s="7" t="s">
        <v>3279</v>
      </c>
      <c r="H1179" s="7" t="s">
        <v>146</v>
      </c>
      <c r="I1179" s="7" t="s">
        <v>6347</v>
      </c>
      <c r="J1179" s="7"/>
      <c r="K1179" s="7" t="s">
        <v>6348</v>
      </c>
    </row>
    <row r="1180" customFormat="false" ht="35.05" hidden="false" customHeight="false" outlineLevel="0" collapsed="false">
      <c r="A1180" s="7" t="n">
        <v>1179</v>
      </c>
      <c r="B1180" s="7" t="s">
        <v>6349</v>
      </c>
      <c r="C1180" s="7" t="n">
        <v>2010</v>
      </c>
      <c r="D1180" s="7" t="s">
        <v>6350</v>
      </c>
      <c r="E1180" s="7" t="s">
        <v>151</v>
      </c>
      <c r="F1180" s="7" t="s">
        <v>6351</v>
      </c>
      <c r="G1180" s="7" t="s">
        <v>6352</v>
      </c>
      <c r="H1180" s="7" t="s">
        <v>153</v>
      </c>
      <c r="I1180" s="7" t="s">
        <v>6353</v>
      </c>
      <c r="J1180" s="7"/>
      <c r="K1180" s="7" t="s">
        <v>6354</v>
      </c>
    </row>
    <row r="1181" customFormat="false" ht="68.65" hidden="false" customHeight="false" outlineLevel="0" collapsed="false">
      <c r="A1181" s="7" t="n">
        <v>1180</v>
      </c>
      <c r="B1181" s="7" t="s">
        <v>15703</v>
      </c>
      <c r="C1181" s="7" t="n">
        <v>2014</v>
      </c>
      <c r="D1181" s="7" t="s">
        <v>6356</v>
      </c>
      <c r="E1181" s="7" t="s">
        <v>151</v>
      </c>
      <c r="F1181" s="7" t="s">
        <v>15704</v>
      </c>
      <c r="G1181" s="7" t="s">
        <v>145</v>
      </c>
      <c r="H1181" s="7" t="s">
        <v>146</v>
      </c>
      <c r="I1181" s="7" t="s">
        <v>15705</v>
      </c>
      <c r="J1181" s="7" t="s">
        <v>112</v>
      </c>
      <c r="K1181" s="7" t="s">
        <v>15706</v>
      </c>
    </row>
    <row r="1182" customFormat="false" ht="35.05" hidden="false" customHeight="false" outlineLevel="0" collapsed="false">
      <c r="A1182" s="7" t="n">
        <v>1181</v>
      </c>
      <c r="B1182" s="7" t="s">
        <v>6363</v>
      </c>
      <c r="C1182" s="7" t="n">
        <v>2009</v>
      </c>
      <c r="D1182" s="7" t="s">
        <v>6364</v>
      </c>
      <c r="E1182" s="7" t="s">
        <v>151</v>
      </c>
      <c r="F1182" s="7" t="s">
        <v>152</v>
      </c>
      <c r="G1182" s="7" t="s">
        <v>3279</v>
      </c>
      <c r="H1182" s="7" t="s">
        <v>146</v>
      </c>
      <c r="I1182" s="7" t="s">
        <v>6365</v>
      </c>
      <c r="J1182" s="7"/>
      <c r="K1182" s="7" t="s">
        <v>6366</v>
      </c>
    </row>
    <row r="1183" customFormat="false" ht="35.05" hidden="false" customHeight="false" outlineLevel="0" collapsed="false">
      <c r="A1183" s="7" t="n">
        <v>1182</v>
      </c>
      <c r="B1183" s="7" t="s">
        <v>6367</v>
      </c>
      <c r="C1183" s="7" t="n">
        <v>2004</v>
      </c>
      <c r="D1183" s="7" t="s">
        <v>6368</v>
      </c>
      <c r="E1183" s="7" t="s">
        <v>151</v>
      </c>
      <c r="F1183" s="7" t="s">
        <v>152</v>
      </c>
      <c r="G1183" s="7" t="s">
        <v>3279</v>
      </c>
      <c r="H1183" s="7" t="s">
        <v>146</v>
      </c>
      <c r="I1183" s="7" t="s">
        <v>6369</v>
      </c>
      <c r="J1183" s="7"/>
      <c r="K1183" s="7" t="s">
        <v>6370</v>
      </c>
    </row>
    <row r="1184" customFormat="false" ht="35.05" hidden="false" customHeight="false" outlineLevel="0" collapsed="false">
      <c r="A1184" s="7" t="n">
        <v>1183</v>
      </c>
      <c r="B1184" s="7" t="s">
        <v>6371</v>
      </c>
      <c r="C1184" s="7" t="n">
        <v>1943</v>
      </c>
      <c r="D1184" s="7" t="s">
        <v>6372</v>
      </c>
      <c r="E1184" s="7" t="s">
        <v>151</v>
      </c>
      <c r="F1184" s="7" t="s">
        <v>348</v>
      </c>
      <c r="G1184" s="7" t="s">
        <v>145</v>
      </c>
      <c r="H1184" s="7" t="s">
        <v>146</v>
      </c>
      <c r="I1184" s="7" t="s">
        <v>6373</v>
      </c>
      <c r="J1184" s="7"/>
      <c r="K1184" s="7" t="s">
        <v>6374</v>
      </c>
    </row>
    <row r="1185" customFormat="false" ht="23.85" hidden="false" customHeight="false" outlineLevel="0" collapsed="false">
      <c r="A1185" s="7" t="n">
        <v>1184</v>
      </c>
      <c r="B1185" s="7" t="s">
        <v>4949</v>
      </c>
      <c r="C1185" s="7" t="n">
        <v>2007</v>
      </c>
      <c r="D1185" s="7" t="s">
        <v>6375</v>
      </c>
      <c r="E1185" s="7" t="s">
        <v>579</v>
      </c>
      <c r="F1185" s="7" t="s">
        <v>152</v>
      </c>
      <c r="G1185" s="7" t="s">
        <v>6376</v>
      </c>
      <c r="H1185" s="7" t="s">
        <v>146</v>
      </c>
      <c r="I1185" s="7" t="s">
        <v>6377</v>
      </c>
      <c r="J1185" s="7"/>
      <c r="K1185" s="7" t="s">
        <v>6378</v>
      </c>
    </row>
    <row r="1186" customFormat="false" ht="35.05" hidden="false" customHeight="false" outlineLevel="0" collapsed="false">
      <c r="A1186" s="7" t="n">
        <v>1185</v>
      </c>
      <c r="B1186" s="7" t="s">
        <v>6379</v>
      </c>
      <c r="C1186" s="7" t="n">
        <v>2007</v>
      </c>
      <c r="D1186" s="7" t="s">
        <v>6380</v>
      </c>
      <c r="E1186" s="7" t="s">
        <v>143</v>
      </c>
      <c r="F1186" s="7" t="s">
        <v>610</v>
      </c>
      <c r="G1186" s="7" t="s">
        <v>255</v>
      </c>
      <c r="H1186" s="7" t="s">
        <v>146</v>
      </c>
      <c r="I1186" s="7" t="s">
        <v>6381</v>
      </c>
      <c r="J1186" s="7" t="s">
        <v>112</v>
      </c>
      <c r="K1186" s="7" t="s">
        <v>6382</v>
      </c>
    </row>
    <row r="1187" customFormat="false" ht="35.05" hidden="false" customHeight="false" outlineLevel="0" collapsed="false">
      <c r="A1187" s="7" t="n">
        <v>1186</v>
      </c>
      <c r="B1187" s="7" t="s">
        <v>6383</v>
      </c>
      <c r="C1187" s="7" t="n">
        <v>2001</v>
      </c>
      <c r="D1187" s="7" t="s">
        <v>6384</v>
      </c>
      <c r="E1187" s="7" t="s">
        <v>151</v>
      </c>
      <c r="F1187" s="7" t="s">
        <v>348</v>
      </c>
      <c r="G1187" s="7" t="s">
        <v>145</v>
      </c>
      <c r="H1187" s="7" t="s">
        <v>153</v>
      </c>
      <c r="I1187" s="7" t="s">
        <v>6385</v>
      </c>
      <c r="J1187" s="7"/>
      <c r="K1187" s="7" t="s">
        <v>6386</v>
      </c>
    </row>
    <row r="1188" customFormat="false" ht="35.05" hidden="false" customHeight="false" outlineLevel="0" collapsed="false">
      <c r="A1188" s="7" t="n">
        <v>1187</v>
      </c>
      <c r="B1188" s="7" t="s">
        <v>6387</v>
      </c>
      <c r="C1188" s="7" t="n">
        <v>1997</v>
      </c>
      <c r="D1188" s="7" t="s">
        <v>6388</v>
      </c>
      <c r="E1188" s="7" t="s">
        <v>151</v>
      </c>
      <c r="F1188" s="7" t="s">
        <v>6389</v>
      </c>
      <c r="G1188" s="7" t="s">
        <v>6390</v>
      </c>
      <c r="H1188" s="7" t="s">
        <v>146</v>
      </c>
      <c r="I1188" s="7" t="s">
        <v>6391</v>
      </c>
      <c r="J1188" s="7"/>
      <c r="K1188" s="7" t="s">
        <v>6392</v>
      </c>
    </row>
    <row r="1189" customFormat="false" ht="35.05" hidden="false" customHeight="false" outlineLevel="0" collapsed="false">
      <c r="A1189" s="7" t="n">
        <v>1188</v>
      </c>
      <c r="B1189" s="7" t="s">
        <v>6393</v>
      </c>
      <c r="C1189" s="7" t="n">
        <v>1999</v>
      </c>
      <c r="D1189" s="7" t="s">
        <v>6394</v>
      </c>
      <c r="E1189" s="7" t="s">
        <v>151</v>
      </c>
      <c r="F1189" s="7" t="s">
        <v>348</v>
      </c>
      <c r="G1189" s="7" t="s">
        <v>145</v>
      </c>
      <c r="H1189" s="7" t="s">
        <v>153</v>
      </c>
      <c r="I1189" s="7" t="s">
        <v>6395</v>
      </c>
      <c r="J1189" s="7"/>
      <c r="K1189" s="7" t="s">
        <v>6396</v>
      </c>
    </row>
    <row r="1190" customFormat="false" ht="35.05" hidden="false" customHeight="false" outlineLevel="0" collapsed="false">
      <c r="A1190" s="7" t="n">
        <v>1189</v>
      </c>
      <c r="B1190" s="7" t="s">
        <v>6397</v>
      </c>
      <c r="C1190" s="7" t="n">
        <v>2005</v>
      </c>
      <c r="D1190" s="7" t="s">
        <v>6398</v>
      </c>
      <c r="E1190" s="7" t="s">
        <v>143</v>
      </c>
      <c r="F1190" s="7" t="s">
        <v>228</v>
      </c>
      <c r="G1190" s="7" t="s">
        <v>145</v>
      </c>
      <c r="H1190" s="7" t="s">
        <v>153</v>
      </c>
      <c r="I1190" s="7" t="s">
        <v>6399</v>
      </c>
      <c r="J1190" s="7"/>
      <c r="K1190" s="7" t="s">
        <v>6400</v>
      </c>
    </row>
    <row r="1191" customFormat="false" ht="35.05" hidden="false" customHeight="false" outlineLevel="0" collapsed="false">
      <c r="A1191" s="7" t="n">
        <v>1190</v>
      </c>
      <c r="B1191" s="7" t="s">
        <v>6401</v>
      </c>
      <c r="C1191" s="7" t="n">
        <v>2000</v>
      </c>
      <c r="D1191" s="7" t="s">
        <v>6402</v>
      </c>
      <c r="E1191" s="7" t="s">
        <v>201</v>
      </c>
      <c r="F1191" s="7" t="s">
        <v>6403</v>
      </c>
      <c r="G1191" s="7" t="s">
        <v>6404</v>
      </c>
      <c r="H1191" s="7" t="s">
        <v>146</v>
      </c>
      <c r="I1191" s="7" t="s">
        <v>6405</v>
      </c>
      <c r="J1191" s="7"/>
      <c r="K1191" s="7" t="s">
        <v>6406</v>
      </c>
    </row>
    <row r="1192" customFormat="false" ht="35.05" hidden="false" customHeight="false" outlineLevel="0" collapsed="false">
      <c r="A1192" s="7" t="n">
        <v>1191</v>
      </c>
      <c r="B1192" s="7" t="s">
        <v>6407</v>
      </c>
      <c r="C1192" s="7" t="n">
        <v>2009</v>
      </c>
      <c r="D1192" s="7" t="s">
        <v>6408</v>
      </c>
      <c r="E1192" s="7" t="s">
        <v>151</v>
      </c>
      <c r="F1192" s="7" t="s">
        <v>152</v>
      </c>
      <c r="G1192" s="7" t="s">
        <v>145</v>
      </c>
      <c r="H1192" s="7" t="s">
        <v>153</v>
      </c>
      <c r="I1192" s="7" t="s">
        <v>6409</v>
      </c>
      <c r="J1192" s="7"/>
      <c r="K1192" s="7" t="s">
        <v>6410</v>
      </c>
    </row>
    <row r="1193" customFormat="false" ht="46.25" hidden="false" customHeight="false" outlineLevel="0" collapsed="false">
      <c r="A1193" s="7" t="n">
        <v>1192</v>
      </c>
      <c r="B1193" s="7" t="s">
        <v>6411</v>
      </c>
      <c r="C1193" s="7" t="n">
        <v>2008</v>
      </c>
      <c r="D1193" s="7" t="s">
        <v>6412</v>
      </c>
      <c r="E1193" s="7" t="s">
        <v>151</v>
      </c>
      <c r="F1193" s="7" t="s">
        <v>6413</v>
      </c>
      <c r="G1193" s="7" t="s">
        <v>6300</v>
      </c>
      <c r="H1193" s="7" t="s">
        <v>146</v>
      </c>
      <c r="I1193" s="7" t="s">
        <v>6414</v>
      </c>
      <c r="J1193" s="7"/>
      <c r="K1193" s="7" t="s">
        <v>6415</v>
      </c>
    </row>
    <row r="1194" customFormat="false" ht="35.05" hidden="false" customHeight="false" outlineLevel="0" collapsed="false">
      <c r="A1194" s="7" t="n">
        <v>1193</v>
      </c>
      <c r="B1194" s="7" t="s">
        <v>6416</v>
      </c>
      <c r="C1194" s="7" t="n">
        <v>1999</v>
      </c>
      <c r="D1194" s="7" t="s">
        <v>6417</v>
      </c>
      <c r="E1194" s="7" t="s">
        <v>579</v>
      </c>
      <c r="F1194" s="7" t="s">
        <v>3552</v>
      </c>
      <c r="G1194" s="7" t="s">
        <v>145</v>
      </c>
      <c r="H1194" s="7" t="s">
        <v>153</v>
      </c>
      <c r="I1194" s="7" t="s">
        <v>6418</v>
      </c>
      <c r="J1194" s="7"/>
      <c r="K1194" s="7" t="s">
        <v>6419</v>
      </c>
    </row>
    <row r="1195" customFormat="false" ht="23.85" hidden="false" customHeight="false" outlineLevel="0" collapsed="false">
      <c r="A1195" s="7" t="n">
        <v>1194</v>
      </c>
      <c r="B1195" s="7" t="s">
        <v>6420</v>
      </c>
      <c r="C1195" s="7" t="n">
        <v>2010</v>
      </c>
      <c r="D1195" s="7" t="s">
        <v>6421</v>
      </c>
      <c r="E1195" s="7" t="s">
        <v>151</v>
      </c>
      <c r="F1195" s="7" t="s">
        <v>348</v>
      </c>
      <c r="G1195" s="7" t="s">
        <v>145</v>
      </c>
      <c r="H1195" s="7" t="s">
        <v>153</v>
      </c>
      <c r="I1195" s="7" t="s">
        <v>6422</v>
      </c>
      <c r="J1195" s="7"/>
      <c r="K1195" s="7" t="s">
        <v>6423</v>
      </c>
    </row>
    <row r="1196" customFormat="false" ht="35.05" hidden="false" customHeight="false" outlineLevel="0" collapsed="false">
      <c r="A1196" s="7" t="n">
        <v>1195</v>
      </c>
      <c r="B1196" s="7" t="s">
        <v>1261</v>
      </c>
      <c r="C1196" s="7" t="n">
        <v>2010</v>
      </c>
      <c r="D1196" s="7" t="s">
        <v>6424</v>
      </c>
      <c r="E1196" s="7" t="s">
        <v>151</v>
      </c>
      <c r="F1196" s="7" t="s">
        <v>610</v>
      </c>
      <c r="G1196" s="7" t="s">
        <v>6425</v>
      </c>
      <c r="H1196" s="7" t="s">
        <v>146</v>
      </c>
      <c r="I1196" s="7" t="s">
        <v>6426</v>
      </c>
      <c r="J1196" s="7" t="s">
        <v>112</v>
      </c>
      <c r="K1196" s="7" t="s">
        <v>6427</v>
      </c>
    </row>
    <row r="1197" customFormat="false" ht="35.05" hidden="false" customHeight="false" outlineLevel="0" collapsed="false">
      <c r="A1197" s="7" t="n">
        <v>1196</v>
      </c>
      <c r="B1197" s="7" t="s">
        <v>6435</v>
      </c>
      <c r="C1197" s="7" t="n">
        <v>2005</v>
      </c>
      <c r="D1197" s="7" t="s">
        <v>6436</v>
      </c>
      <c r="E1197" s="7" t="s">
        <v>201</v>
      </c>
      <c r="F1197" s="7" t="s">
        <v>6437</v>
      </c>
      <c r="G1197" s="7" t="s">
        <v>145</v>
      </c>
      <c r="H1197" s="7" t="s">
        <v>153</v>
      </c>
      <c r="I1197" s="7" t="s">
        <v>6438</v>
      </c>
      <c r="J1197" s="7" t="s">
        <v>116</v>
      </c>
      <c r="K1197" s="7" t="s">
        <v>6439</v>
      </c>
    </row>
    <row r="1198" customFormat="false" ht="35.05" hidden="false" customHeight="false" outlineLevel="0" collapsed="false">
      <c r="A1198" s="7" t="n">
        <v>1197</v>
      </c>
      <c r="B1198" s="7" t="s">
        <v>6440</v>
      </c>
      <c r="C1198" s="7" t="n">
        <v>2011</v>
      </c>
      <c r="D1198" s="7" t="s">
        <v>6441</v>
      </c>
      <c r="E1198" s="7" t="s">
        <v>151</v>
      </c>
      <c r="F1198" s="7" t="s">
        <v>6442</v>
      </c>
      <c r="G1198" s="7" t="s">
        <v>6443</v>
      </c>
      <c r="H1198" s="7" t="s">
        <v>146</v>
      </c>
      <c r="I1198" s="7" t="s">
        <v>6444</v>
      </c>
      <c r="J1198" s="7"/>
      <c r="K1198" s="7" t="s">
        <v>6445</v>
      </c>
    </row>
    <row r="1199" customFormat="false" ht="46.25" hidden="false" customHeight="false" outlineLevel="0" collapsed="false">
      <c r="A1199" s="7" t="n">
        <v>1198</v>
      </c>
      <c r="B1199" s="7" t="s">
        <v>1284</v>
      </c>
      <c r="C1199" s="7" t="n">
        <v>2009</v>
      </c>
      <c r="D1199" s="7" t="s">
        <v>6446</v>
      </c>
      <c r="E1199" s="7" t="s">
        <v>151</v>
      </c>
      <c r="F1199" s="7" t="s">
        <v>6447</v>
      </c>
      <c r="G1199" s="7" t="s">
        <v>611</v>
      </c>
      <c r="H1199" s="7" t="s">
        <v>146</v>
      </c>
      <c r="I1199" s="7" t="s">
        <v>6448</v>
      </c>
      <c r="J1199" s="7" t="s">
        <v>112</v>
      </c>
      <c r="K1199" s="7" t="s">
        <v>6449</v>
      </c>
    </row>
    <row r="1200" customFormat="false" ht="35.05" hidden="false" customHeight="false" outlineLevel="0" collapsed="false">
      <c r="A1200" s="7" t="n">
        <v>1199</v>
      </c>
      <c r="B1200" s="7" t="s">
        <v>6450</v>
      </c>
      <c r="C1200" s="7" t="n">
        <v>2011</v>
      </c>
      <c r="D1200" s="7" t="s">
        <v>6451</v>
      </c>
      <c r="E1200" s="7" t="s">
        <v>151</v>
      </c>
      <c r="F1200" s="7" t="s">
        <v>6452</v>
      </c>
      <c r="G1200" s="7" t="s">
        <v>6453</v>
      </c>
      <c r="H1200" s="7" t="s">
        <v>146</v>
      </c>
      <c r="I1200" s="7" t="s">
        <v>6454</v>
      </c>
      <c r="J1200" s="7"/>
      <c r="K1200" s="7" t="s">
        <v>6455</v>
      </c>
    </row>
    <row r="1201" customFormat="false" ht="35.05" hidden="false" customHeight="false" outlineLevel="0" collapsed="false">
      <c r="A1201" s="7" t="n">
        <v>1200</v>
      </c>
      <c r="B1201" s="7" t="s">
        <v>6450</v>
      </c>
      <c r="C1201" s="7" t="n">
        <v>2009</v>
      </c>
      <c r="D1201" s="7" t="s">
        <v>6456</v>
      </c>
      <c r="E1201" s="7" t="s">
        <v>151</v>
      </c>
      <c r="F1201" s="7" t="s">
        <v>4650</v>
      </c>
      <c r="G1201" s="7" t="s">
        <v>6453</v>
      </c>
      <c r="H1201" s="7" t="s">
        <v>146</v>
      </c>
      <c r="I1201" s="7" t="s">
        <v>6457</v>
      </c>
      <c r="J1201" s="7"/>
      <c r="K1201" s="7" t="s">
        <v>6458</v>
      </c>
    </row>
    <row r="1202" customFormat="false" ht="23.85" hidden="false" customHeight="false" outlineLevel="0" collapsed="false">
      <c r="A1202" s="7" t="n">
        <v>1201</v>
      </c>
      <c r="B1202" s="7" t="s">
        <v>6459</v>
      </c>
      <c r="C1202" s="7" t="n">
        <v>2007</v>
      </c>
      <c r="D1202" s="7" t="s">
        <v>6460</v>
      </c>
      <c r="E1202" s="7" t="s">
        <v>151</v>
      </c>
      <c r="F1202" s="7" t="s">
        <v>6461</v>
      </c>
      <c r="G1202" s="7" t="s">
        <v>6462</v>
      </c>
      <c r="H1202" s="7" t="s">
        <v>146</v>
      </c>
      <c r="I1202" s="7" t="s">
        <v>6463</v>
      </c>
      <c r="J1202" s="7"/>
      <c r="K1202" s="7" t="s">
        <v>6464</v>
      </c>
    </row>
    <row r="1203" customFormat="false" ht="35.05" hidden="false" customHeight="false" outlineLevel="0" collapsed="false">
      <c r="A1203" s="7" t="n">
        <v>1202</v>
      </c>
      <c r="B1203" s="7" t="s">
        <v>6465</v>
      </c>
      <c r="C1203" s="7" t="n">
        <v>2001</v>
      </c>
      <c r="D1203" s="7" t="s">
        <v>6466</v>
      </c>
      <c r="E1203" s="7" t="s">
        <v>201</v>
      </c>
      <c r="F1203" s="7" t="s">
        <v>197</v>
      </c>
      <c r="G1203" s="7" t="s">
        <v>145</v>
      </c>
      <c r="H1203" s="7" t="s">
        <v>146</v>
      </c>
      <c r="I1203" s="7" t="s">
        <v>6467</v>
      </c>
      <c r="J1203" s="7"/>
      <c r="K1203" s="7" t="s">
        <v>6468</v>
      </c>
    </row>
    <row r="1204" customFormat="false" ht="35.05" hidden="false" customHeight="false" outlineLevel="0" collapsed="false">
      <c r="A1204" s="7" t="n">
        <v>1203</v>
      </c>
      <c r="B1204" s="7" t="s">
        <v>6469</v>
      </c>
      <c r="C1204" s="7" t="n">
        <v>2013</v>
      </c>
      <c r="D1204" s="7" t="s">
        <v>6470</v>
      </c>
      <c r="E1204" s="7" t="s">
        <v>151</v>
      </c>
      <c r="F1204" s="7" t="s">
        <v>1278</v>
      </c>
      <c r="G1204" s="7" t="s">
        <v>1274</v>
      </c>
      <c r="H1204" s="7" t="s">
        <v>146</v>
      </c>
      <c r="I1204" s="7" t="s">
        <v>6471</v>
      </c>
      <c r="J1204" s="7" t="s">
        <v>112</v>
      </c>
      <c r="K1204" s="7" t="s">
        <v>6472</v>
      </c>
    </row>
    <row r="1205" customFormat="false" ht="35.05" hidden="false" customHeight="false" outlineLevel="0" collapsed="false">
      <c r="A1205" s="7" t="n">
        <v>1204</v>
      </c>
      <c r="B1205" s="7" t="s">
        <v>6473</v>
      </c>
      <c r="C1205" s="7" t="n">
        <v>2001</v>
      </c>
      <c r="D1205" s="7" t="s">
        <v>6474</v>
      </c>
      <c r="E1205" s="7" t="s">
        <v>151</v>
      </c>
      <c r="F1205" s="7" t="s">
        <v>6475</v>
      </c>
      <c r="G1205" s="7" t="s">
        <v>2037</v>
      </c>
      <c r="H1205" s="7" t="s">
        <v>146</v>
      </c>
      <c r="I1205" s="7" t="s">
        <v>6476</v>
      </c>
      <c r="J1205" s="7" t="s">
        <v>112</v>
      </c>
      <c r="K1205" s="7" t="s">
        <v>6477</v>
      </c>
    </row>
    <row r="1206" customFormat="false" ht="46.25" hidden="false" customHeight="false" outlineLevel="0" collapsed="false">
      <c r="A1206" s="7" t="n">
        <v>1205</v>
      </c>
      <c r="B1206" s="7" t="s">
        <v>15707</v>
      </c>
      <c r="C1206" s="7" t="n">
        <v>2012</v>
      </c>
      <c r="D1206" s="7" t="s">
        <v>6478</v>
      </c>
      <c r="E1206" s="7" t="s">
        <v>151</v>
      </c>
      <c r="F1206" s="7" t="s">
        <v>348</v>
      </c>
      <c r="G1206" s="7" t="s">
        <v>145</v>
      </c>
      <c r="H1206" s="7" t="s">
        <v>153</v>
      </c>
      <c r="I1206" s="7" t="s">
        <v>15708</v>
      </c>
      <c r="J1206" s="7"/>
      <c r="K1206" s="7" t="s">
        <v>15709</v>
      </c>
    </row>
    <row r="1207" customFormat="false" ht="35.05" hidden="false" customHeight="false" outlineLevel="0" collapsed="false">
      <c r="A1207" s="7" t="n">
        <v>1206</v>
      </c>
      <c r="B1207" s="7" t="s">
        <v>6481</v>
      </c>
      <c r="C1207" s="7" t="n">
        <v>2012</v>
      </c>
      <c r="D1207" s="7" t="s">
        <v>6482</v>
      </c>
      <c r="E1207" s="7" t="s">
        <v>579</v>
      </c>
      <c r="F1207" s="7" t="s">
        <v>348</v>
      </c>
      <c r="G1207" s="7" t="s">
        <v>3279</v>
      </c>
      <c r="H1207" s="7" t="s">
        <v>146</v>
      </c>
      <c r="I1207" s="7" t="s">
        <v>6483</v>
      </c>
      <c r="J1207" s="7"/>
      <c r="K1207" s="7" t="s">
        <v>6484</v>
      </c>
    </row>
    <row r="1208" customFormat="false" ht="23.85" hidden="false" customHeight="false" outlineLevel="0" collapsed="false">
      <c r="A1208" s="7" t="n">
        <v>1207</v>
      </c>
      <c r="B1208" s="7" t="s">
        <v>6485</v>
      </c>
      <c r="C1208" s="7" t="n">
        <v>2007</v>
      </c>
      <c r="D1208" s="7" t="s">
        <v>6486</v>
      </c>
      <c r="E1208" s="7" t="s">
        <v>151</v>
      </c>
      <c r="F1208" s="7" t="s">
        <v>348</v>
      </c>
      <c r="G1208" s="7" t="s">
        <v>145</v>
      </c>
      <c r="H1208" s="7" t="s">
        <v>153</v>
      </c>
      <c r="I1208" s="7" t="s">
        <v>6487</v>
      </c>
      <c r="J1208" s="7"/>
      <c r="K1208" s="7" t="s">
        <v>6488</v>
      </c>
    </row>
    <row r="1209" customFormat="false" ht="35.05" hidden="false" customHeight="false" outlineLevel="0" collapsed="false">
      <c r="A1209" s="7" t="n">
        <v>1208</v>
      </c>
      <c r="B1209" s="7" t="s">
        <v>6489</v>
      </c>
      <c r="C1209" s="7" t="n">
        <v>2002</v>
      </c>
      <c r="D1209" s="7" t="s">
        <v>6490</v>
      </c>
      <c r="E1209" s="7" t="s">
        <v>151</v>
      </c>
      <c r="F1209" s="7" t="s">
        <v>1278</v>
      </c>
      <c r="G1209" s="7" t="s">
        <v>4711</v>
      </c>
      <c r="H1209" s="7" t="s">
        <v>208</v>
      </c>
      <c r="I1209" s="7" t="s">
        <v>6491</v>
      </c>
      <c r="J1209" s="7" t="s">
        <v>112</v>
      </c>
      <c r="K1209" s="7" t="s">
        <v>6492</v>
      </c>
    </row>
    <row r="1210" customFormat="false" ht="23.85" hidden="false" customHeight="false" outlineLevel="0" collapsed="false">
      <c r="A1210" s="7" t="n">
        <v>1209</v>
      </c>
      <c r="B1210" s="7" t="s">
        <v>6493</v>
      </c>
      <c r="C1210" s="7" t="n">
        <v>2011</v>
      </c>
      <c r="D1210" s="7" t="s">
        <v>6494</v>
      </c>
      <c r="E1210" s="7" t="s">
        <v>201</v>
      </c>
      <c r="F1210" s="7" t="s">
        <v>3552</v>
      </c>
      <c r="G1210" s="7" t="s">
        <v>145</v>
      </c>
      <c r="H1210" s="7" t="s">
        <v>153</v>
      </c>
      <c r="I1210" s="7" t="s">
        <v>6495</v>
      </c>
      <c r="J1210" s="7"/>
      <c r="K1210" s="7" t="s">
        <v>6496</v>
      </c>
    </row>
    <row r="1211" customFormat="false" ht="35.05" hidden="false" customHeight="false" outlineLevel="0" collapsed="false">
      <c r="A1211" s="7" t="n">
        <v>1210</v>
      </c>
      <c r="B1211" s="7" t="s">
        <v>6497</v>
      </c>
      <c r="C1211" s="7" t="n">
        <v>2004</v>
      </c>
      <c r="D1211" s="7" t="s">
        <v>6498</v>
      </c>
      <c r="E1211" s="7" t="s">
        <v>201</v>
      </c>
      <c r="F1211" s="7" t="s">
        <v>6499</v>
      </c>
      <c r="G1211" s="7" t="s">
        <v>145</v>
      </c>
      <c r="H1211" s="7" t="s">
        <v>146</v>
      </c>
      <c r="I1211" s="7" t="s">
        <v>6500</v>
      </c>
      <c r="J1211" s="7"/>
      <c r="K1211" s="7" t="s">
        <v>6501</v>
      </c>
    </row>
    <row r="1212" customFormat="false" ht="35.05" hidden="false" customHeight="false" outlineLevel="0" collapsed="false">
      <c r="A1212" s="7" t="n">
        <v>1211</v>
      </c>
      <c r="B1212" s="7" t="s">
        <v>6502</v>
      </c>
      <c r="C1212" s="7" t="n">
        <v>2011</v>
      </c>
      <c r="D1212" s="7" t="s">
        <v>6503</v>
      </c>
      <c r="E1212" s="7" t="s">
        <v>151</v>
      </c>
      <c r="F1212" s="7" t="s">
        <v>348</v>
      </c>
      <c r="G1212" s="7" t="s">
        <v>145</v>
      </c>
      <c r="H1212" s="7" t="s">
        <v>153</v>
      </c>
      <c r="I1212" s="7" t="s">
        <v>6504</v>
      </c>
      <c r="J1212" s="7"/>
      <c r="K1212" s="7" t="s">
        <v>6505</v>
      </c>
    </row>
    <row r="1213" customFormat="false" ht="91" hidden="false" customHeight="false" outlineLevel="0" collapsed="false">
      <c r="A1213" s="7" t="n">
        <v>1212</v>
      </c>
      <c r="B1213" s="7" t="s">
        <v>15710</v>
      </c>
      <c r="C1213" s="7" t="n">
        <v>2004</v>
      </c>
      <c r="D1213" s="7" t="s">
        <v>6507</v>
      </c>
      <c r="E1213" s="7" t="s">
        <v>15123</v>
      </c>
      <c r="F1213" s="7" t="s">
        <v>15711</v>
      </c>
      <c r="G1213" s="7" t="s">
        <v>145</v>
      </c>
      <c r="H1213" s="7" t="s">
        <v>15142</v>
      </c>
      <c r="I1213" s="7" t="s">
        <v>15712</v>
      </c>
      <c r="J1213" s="7" t="s">
        <v>112</v>
      </c>
      <c r="K1213" s="7" t="s">
        <v>15713</v>
      </c>
    </row>
    <row r="1214" customFormat="false" ht="35.05" hidden="false" customHeight="false" outlineLevel="0" collapsed="false">
      <c r="A1214" s="7" t="n">
        <v>1213</v>
      </c>
      <c r="B1214" s="7" t="s">
        <v>6516</v>
      </c>
      <c r="C1214" s="7" t="n">
        <v>2011</v>
      </c>
      <c r="D1214" s="7" t="s">
        <v>6517</v>
      </c>
      <c r="E1214" s="7" t="s">
        <v>151</v>
      </c>
      <c r="F1214" s="7" t="s">
        <v>6518</v>
      </c>
      <c r="G1214" s="7" t="s">
        <v>6519</v>
      </c>
      <c r="H1214" s="7" t="s">
        <v>146</v>
      </c>
      <c r="I1214" s="7" t="s">
        <v>6520</v>
      </c>
      <c r="J1214" s="7" t="s">
        <v>112</v>
      </c>
      <c r="K1214" s="7" t="s">
        <v>6521</v>
      </c>
    </row>
    <row r="1215" customFormat="false" ht="23.85" hidden="false" customHeight="false" outlineLevel="0" collapsed="false">
      <c r="A1215" s="7" t="n">
        <v>1214</v>
      </c>
      <c r="B1215" s="7" t="s">
        <v>6522</v>
      </c>
      <c r="C1215" s="7" t="n">
        <v>2007</v>
      </c>
      <c r="D1215" s="7" t="s">
        <v>6523</v>
      </c>
      <c r="E1215" s="7" t="s">
        <v>143</v>
      </c>
      <c r="F1215" s="7" t="s">
        <v>6524</v>
      </c>
      <c r="G1215" s="7" t="s">
        <v>6525</v>
      </c>
      <c r="H1215" s="7" t="s">
        <v>146</v>
      </c>
      <c r="I1215" s="7" t="s">
        <v>6526</v>
      </c>
      <c r="J1215" s="7" t="s">
        <v>112</v>
      </c>
      <c r="K1215" s="7" t="s">
        <v>6527</v>
      </c>
    </row>
    <row r="1216" customFormat="false" ht="23.85" hidden="false" customHeight="false" outlineLevel="0" collapsed="false">
      <c r="A1216" s="7" t="n">
        <v>1215</v>
      </c>
      <c r="B1216" s="7" t="s">
        <v>6528</v>
      </c>
      <c r="C1216" s="7" t="n">
        <v>1972</v>
      </c>
      <c r="D1216" s="7" t="s">
        <v>6529</v>
      </c>
      <c r="E1216" s="7" t="s">
        <v>151</v>
      </c>
      <c r="F1216" s="7" t="s">
        <v>348</v>
      </c>
      <c r="G1216" s="7" t="s">
        <v>145</v>
      </c>
      <c r="H1216" s="7" t="s">
        <v>153</v>
      </c>
      <c r="I1216" s="7" t="s">
        <v>6530</v>
      </c>
      <c r="J1216" s="7"/>
      <c r="K1216" s="7" t="s">
        <v>6531</v>
      </c>
    </row>
    <row r="1217" customFormat="false" ht="35.05" hidden="false" customHeight="false" outlineLevel="0" collapsed="false">
      <c r="A1217" s="7" t="n">
        <v>1216</v>
      </c>
      <c r="B1217" s="7" t="s">
        <v>6532</v>
      </c>
      <c r="C1217" s="7" t="n">
        <v>2011</v>
      </c>
      <c r="D1217" s="7" t="s">
        <v>6533</v>
      </c>
      <c r="E1217" s="7" t="s">
        <v>151</v>
      </c>
      <c r="F1217" s="7" t="s">
        <v>4464</v>
      </c>
      <c r="G1217" s="7" t="s">
        <v>244</v>
      </c>
      <c r="H1217" s="7" t="s">
        <v>153</v>
      </c>
      <c r="I1217" s="7" t="s">
        <v>6534</v>
      </c>
      <c r="J1217" s="7"/>
      <c r="K1217" s="7" t="s">
        <v>6535</v>
      </c>
    </row>
    <row r="1218" customFormat="false" ht="35.05" hidden="false" customHeight="false" outlineLevel="0" collapsed="false">
      <c r="A1218" s="7" t="n">
        <v>1217</v>
      </c>
      <c r="B1218" s="7" t="s">
        <v>6536</v>
      </c>
      <c r="C1218" s="7" t="n">
        <v>1999</v>
      </c>
      <c r="D1218" s="7" t="s">
        <v>6537</v>
      </c>
      <c r="E1218" s="7" t="s">
        <v>579</v>
      </c>
      <c r="F1218" s="7" t="s">
        <v>6538</v>
      </c>
      <c r="G1218" s="7" t="s">
        <v>1904</v>
      </c>
      <c r="H1218" s="7" t="s">
        <v>208</v>
      </c>
      <c r="I1218" s="7" t="s">
        <v>6539</v>
      </c>
      <c r="J1218" s="7" t="s">
        <v>112</v>
      </c>
      <c r="K1218" s="7" t="s">
        <v>6540</v>
      </c>
    </row>
    <row r="1219" customFormat="false" ht="35.05" hidden="false" customHeight="false" outlineLevel="0" collapsed="false">
      <c r="A1219" s="7" t="n">
        <v>1218</v>
      </c>
      <c r="B1219" s="7" t="s">
        <v>6541</v>
      </c>
      <c r="C1219" s="7" t="n">
        <v>2023</v>
      </c>
      <c r="D1219" s="7" t="s">
        <v>6542</v>
      </c>
      <c r="E1219" s="7" t="s">
        <v>143</v>
      </c>
      <c r="F1219" s="7" t="s">
        <v>364</v>
      </c>
      <c r="G1219" s="7" t="s">
        <v>145</v>
      </c>
      <c r="H1219" s="7" t="s">
        <v>153</v>
      </c>
      <c r="I1219" s="7" t="s">
        <v>2675</v>
      </c>
      <c r="J1219" s="7"/>
      <c r="K1219" s="7" t="s">
        <v>6543</v>
      </c>
    </row>
    <row r="1220" customFormat="false" ht="35.05" hidden="false" customHeight="false" outlineLevel="0" collapsed="false">
      <c r="A1220" s="7" t="n">
        <v>1219</v>
      </c>
      <c r="B1220" s="7" t="s">
        <v>6544</v>
      </c>
      <c r="C1220" s="7" t="n">
        <v>2021</v>
      </c>
      <c r="D1220" s="7" t="s">
        <v>6545</v>
      </c>
      <c r="E1220" s="7" t="s">
        <v>143</v>
      </c>
      <c r="F1220" s="7" t="s">
        <v>1619</v>
      </c>
      <c r="G1220" s="7" t="s">
        <v>684</v>
      </c>
      <c r="H1220" s="7" t="s">
        <v>387</v>
      </c>
      <c r="I1220" s="7" t="s">
        <v>6546</v>
      </c>
      <c r="J1220" s="7" t="s">
        <v>114</v>
      </c>
      <c r="K1220" s="7" t="s">
        <v>6547</v>
      </c>
    </row>
    <row r="1221" customFormat="false" ht="35.05" hidden="false" customHeight="false" outlineLevel="0" collapsed="false">
      <c r="A1221" s="7" t="n">
        <v>1220</v>
      </c>
      <c r="B1221" s="7" t="s">
        <v>1617</v>
      </c>
      <c r="C1221" s="7" t="n">
        <v>2022</v>
      </c>
      <c r="D1221" s="7" t="s">
        <v>6548</v>
      </c>
      <c r="E1221" s="7" t="s">
        <v>143</v>
      </c>
      <c r="F1221" s="7" t="s">
        <v>3019</v>
      </c>
      <c r="G1221" s="7" t="s">
        <v>145</v>
      </c>
      <c r="H1221" s="7" t="s">
        <v>153</v>
      </c>
      <c r="I1221" s="7" t="s">
        <v>6549</v>
      </c>
      <c r="J1221" s="7" t="s">
        <v>110</v>
      </c>
      <c r="K1221" s="7" t="s">
        <v>6550</v>
      </c>
    </row>
    <row r="1222" customFormat="false" ht="35.05" hidden="false" customHeight="false" outlineLevel="0" collapsed="false">
      <c r="A1222" s="7" t="n">
        <v>1221</v>
      </c>
      <c r="B1222" s="7" t="s">
        <v>1617</v>
      </c>
      <c r="C1222" s="7" t="n">
        <v>2022</v>
      </c>
      <c r="D1222" s="7" t="s">
        <v>6551</v>
      </c>
      <c r="E1222" s="7" t="s">
        <v>143</v>
      </c>
      <c r="F1222" s="7" t="s">
        <v>6552</v>
      </c>
      <c r="G1222" s="7" t="s">
        <v>145</v>
      </c>
      <c r="H1222" s="7" t="s">
        <v>153</v>
      </c>
      <c r="I1222" s="7" t="s">
        <v>6553</v>
      </c>
      <c r="J1222" s="7" t="s">
        <v>116</v>
      </c>
      <c r="K1222" s="7" t="s">
        <v>6554</v>
      </c>
    </row>
    <row r="1223" customFormat="false" ht="23.85" hidden="false" customHeight="false" outlineLevel="0" collapsed="false">
      <c r="A1223" s="7" t="n">
        <v>1222</v>
      </c>
      <c r="B1223" s="7" t="s">
        <v>6555</v>
      </c>
      <c r="C1223" s="7" t="n">
        <v>2022</v>
      </c>
      <c r="D1223" s="7" t="s">
        <v>6556</v>
      </c>
      <c r="E1223" s="7" t="s">
        <v>143</v>
      </c>
      <c r="F1223" s="7" t="s">
        <v>1619</v>
      </c>
      <c r="G1223" s="7" t="s">
        <v>145</v>
      </c>
      <c r="H1223" s="7" t="s">
        <v>153</v>
      </c>
      <c r="I1223" s="7" t="s">
        <v>6557</v>
      </c>
      <c r="J1223" s="7"/>
      <c r="K1223" s="7" t="s">
        <v>6558</v>
      </c>
    </row>
    <row r="1224" customFormat="false" ht="23.85" hidden="false" customHeight="false" outlineLevel="0" collapsed="false">
      <c r="A1224" s="7" t="n">
        <v>1223</v>
      </c>
      <c r="B1224" s="7" t="s">
        <v>6559</v>
      </c>
      <c r="C1224" s="7" t="n">
        <v>2022</v>
      </c>
      <c r="D1224" s="7" t="s">
        <v>6560</v>
      </c>
      <c r="E1224" s="7" t="s">
        <v>143</v>
      </c>
      <c r="F1224" s="7" t="s">
        <v>1678</v>
      </c>
      <c r="G1224" s="7" t="s">
        <v>145</v>
      </c>
      <c r="H1224" s="7" t="s">
        <v>153</v>
      </c>
      <c r="I1224" s="7" t="s">
        <v>544</v>
      </c>
      <c r="J1224" s="7"/>
      <c r="K1224" s="7" t="s">
        <v>6561</v>
      </c>
    </row>
    <row r="1225" customFormat="false" ht="35.05" hidden="false" customHeight="false" outlineLevel="0" collapsed="false">
      <c r="A1225" s="7" t="n">
        <v>1224</v>
      </c>
      <c r="B1225" s="7" t="s">
        <v>1617</v>
      </c>
      <c r="C1225" s="7" t="n">
        <v>2022</v>
      </c>
      <c r="D1225" s="7" t="s">
        <v>6562</v>
      </c>
      <c r="E1225" s="7" t="s">
        <v>143</v>
      </c>
      <c r="F1225" s="7" t="s">
        <v>3084</v>
      </c>
      <c r="G1225" s="7" t="s">
        <v>145</v>
      </c>
      <c r="H1225" s="7" t="s">
        <v>153</v>
      </c>
      <c r="I1225" s="7" t="s">
        <v>6563</v>
      </c>
      <c r="J1225" s="7" t="s">
        <v>110</v>
      </c>
      <c r="K1225" s="7" t="s">
        <v>6564</v>
      </c>
    </row>
    <row r="1226" customFormat="false" ht="35.05" hidden="false" customHeight="false" outlineLevel="0" collapsed="false">
      <c r="A1226" s="7" t="n">
        <v>1225</v>
      </c>
      <c r="B1226" s="7" t="s">
        <v>6565</v>
      </c>
      <c r="C1226" s="7" t="n">
        <v>2022</v>
      </c>
      <c r="D1226" s="7" t="s">
        <v>6566</v>
      </c>
      <c r="E1226" s="7" t="s">
        <v>151</v>
      </c>
      <c r="F1226" s="7" t="s">
        <v>6567</v>
      </c>
      <c r="G1226" s="7" t="s">
        <v>145</v>
      </c>
      <c r="H1226" s="7" t="s">
        <v>146</v>
      </c>
      <c r="I1226" s="7" t="s">
        <v>6568</v>
      </c>
      <c r="J1226" s="7" t="s">
        <v>116</v>
      </c>
      <c r="K1226" s="7" t="s">
        <v>6569</v>
      </c>
    </row>
    <row r="1227" customFormat="false" ht="23.85" hidden="false" customHeight="false" outlineLevel="0" collapsed="false">
      <c r="A1227" s="7" t="n">
        <v>1226</v>
      </c>
      <c r="B1227" s="7" t="s">
        <v>2598</v>
      </c>
      <c r="C1227" s="7" t="n">
        <v>2021</v>
      </c>
      <c r="D1227" s="7" t="s">
        <v>6570</v>
      </c>
      <c r="E1227" s="7" t="s">
        <v>151</v>
      </c>
      <c r="F1227" s="7" t="s">
        <v>4507</v>
      </c>
      <c r="G1227" s="7" t="s">
        <v>145</v>
      </c>
      <c r="H1227" s="7" t="s">
        <v>153</v>
      </c>
      <c r="I1227" s="7" t="s">
        <v>6571</v>
      </c>
      <c r="J1227" s="7"/>
      <c r="K1227" s="7" t="s">
        <v>6572</v>
      </c>
    </row>
    <row r="1228" customFormat="false" ht="35.05" hidden="false" customHeight="false" outlineLevel="0" collapsed="false">
      <c r="A1228" s="7" t="n">
        <v>1227</v>
      </c>
      <c r="B1228" s="7" t="s">
        <v>6573</v>
      </c>
      <c r="C1228" s="7" t="n">
        <v>2010</v>
      </c>
      <c r="D1228" s="7" t="s">
        <v>6574</v>
      </c>
      <c r="E1228" s="7" t="s">
        <v>143</v>
      </c>
      <c r="F1228" s="7" t="s">
        <v>1264</v>
      </c>
      <c r="G1228" s="7" t="s">
        <v>145</v>
      </c>
      <c r="H1228" s="7" t="s">
        <v>153</v>
      </c>
      <c r="I1228" s="7" t="s">
        <v>6575</v>
      </c>
      <c r="J1228" s="7" t="s">
        <v>116</v>
      </c>
      <c r="K1228" s="7" t="s">
        <v>6576</v>
      </c>
    </row>
    <row r="1229" customFormat="false" ht="23.85" hidden="false" customHeight="false" outlineLevel="0" collapsed="false">
      <c r="A1229" s="7" t="n">
        <v>1228</v>
      </c>
      <c r="B1229" s="7" t="s">
        <v>6577</v>
      </c>
      <c r="C1229" s="7" t="n">
        <v>2011</v>
      </c>
      <c r="D1229" s="7" t="s">
        <v>6578</v>
      </c>
      <c r="E1229" s="7" t="s">
        <v>143</v>
      </c>
      <c r="F1229" s="7" t="s">
        <v>3552</v>
      </c>
      <c r="G1229" s="7" t="s">
        <v>145</v>
      </c>
      <c r="H1229" s="7" t="s">
        <v>387</v>
      </c>
      <c r="I1229" s="7" t="s">
        <v>6579</v>
      </c>
      <c r="J1229" s="7" t="s">
        <v>116</v>
      </c>
      <c r="K1229" s="7" t="s">
        <v>6580</v>
      </c>
    </row>
    <row r="1230" customFormat="false" ht="57.45" hidden="false" customHeight="false" outlineLevel="0" collapsed="false">
      <c r="A1230" s="7" t="n">
        <v>1229</v>
      </c>
      <c r="B1230" s="7" t="s">
        <v>15714</v>
      </c>
      <c r="C1230" s="7" t="n">
        <v>2023</v>
      </c>
      <c r="D1230" s="7" t="s">
        <v>6582</v>
      </c>
      <c r="E1230" s="7" t="s">
        <v>143</v>
      </c>
      <c r="F1230" s="7" t="s">
        <v>15715</v>
      </c>
      <c r="G1230" s="7" t="s">
        <v>145</v>
      </c>
      <c r="H1230" s="7" t="s">
        <v>153</v>
      </c>
      <c r="I1230" s="7" t="s">
        <v>15716</v>
      </c>
      <c r="J1230" s="7" t="s">
        <v>114</v>
      </c>
      <c r="K1230" s="7" t="s">
        <v>15717</v>
      </c>
    </row>
    <row r="1231" customFormat="false" ht="35.05" hidden="false" customHeight="false" outlineLevel="0" collapsed="false">
      <c r="A1231" s="7" t="n">
        <v>1230</v>
      </c>
      <c r="B1231" s="7" t="s">
        <v>6589</v>
      </c>
      <c r="C1231" s="7" t="n">
        <v>2000</v>
      </c>
      <c r="D1231" s="7" t="s">
        <v>6590</v>
      </c>
      <c r="E1231" s="7" t="s">
        <v>143</v>
      </c>
      <c r="F1231" s="7" t="s">
        <v>152</v>
      </c>
      <c r="G1231" s="7" t="s">
        <v>145</v>
      </c>
      <c r="H1231" s="7" t="s">
        <v>153</v>
      </c>
      <c r="I1231" s="7" t="s">
        <v>6591</v>
      </c>
      <c r="J1231" s="7"/>
      <c r="K1231" s="7" t="s">
        <v>6592</v>
      </c>
    </row>
    <row r="1232" customFormat="false" ht="35.05" hidden="false" customHeight="false" outlineLevel="0" collapsed="false">
      <c r="A1232" s="7" t="n">
        <v>1231</v>
      </c>
      <c r="B1232" s="7" t="s">
        <v>6593</v>
      </c>
      <c r="C1232" s="7" t="n">
        <v>2024</v>
      </c>
      <c r="D1232" s="7" t="s">
        <v>6594</v>
      </c>
      <c r="E1232" s="7" t="s">
        <v>151</v>
      </c>
      <c r="F1232" s="7" t="s">
        <v>1619</v>
      </c>
      <c r="G1232" s="7" t="s">
        <v>145</v>
      </c>
      <c r="H1232" s="7" t="s">
        <v>146</v>
      </c>
      <c r="I1232" s="7" t="s">
        <v>6595</v>
      </c>
      <c r="J1232" s="7"/>
      <c r="K1232" s="7" t="s">
        <v>6596</v>
      </c>
    </row>
    <row r="1233" customFormat="false" ht="35.05" hidden="false" customHeight="false" outlineLevel="0" collapsed="false">
      <c r="A1233" s="7" t="n">
        <v>1232</v>
      </c>
      <c r="B1233" s="7" t="s">
        <v>6597</v>
      </c>
      <c r="C1233" s="7" t="n">
        <v>2023</v>
      </c>
      <c r="D1233" s="7" t="s">
        <v>6598</v>
      </c>
      <c r="E1233" s="7" t="s">
        <v>151</v>
      </c>
      <c r="F1233" s="7" t="s">
        <v>6599</v>
      </c>
      <c r="G1233" s="7" t="s">
        <v>3028</v>
      </c>
      <c r="H1233" s="7" t="s">
        <v>208</v>
      </c>
      <c r="I1233" s="7" t="s">
        <v>6600</v>
      </c>
      <c r="J1233" s="7" t="s">
        <v>116</v>
      </c>
      <c r="K1233" s="7" t="s">
        <v>6601</v>
      </c>
    </row>
    <row r="1234" customFormat="false" ht="35.05" hidden="false" customHeight="false" outlineLevel="0" collapsed="false">
      <c r="A1234" s="7" t="n">
        <v>1233</v>
      </c>
      <c r="B1234" s="7" t="s">
        <v>2051</v>
      </c>
      <c r="C1234" s="7" t="n">
        <v>2017</v>
      </c>
      <c r="D1234" s="7" t="s">
        <v>6602</v>
      </c>
      <c r="E1234" s="7" t="s">
        <v>143</v>
      </c>
      <c r="F1234" s="7" t="s">
        <v>6603</v>
      </c>
      <c r="G1234" s="7" t="s">
        <v>145</v>
      </c>
      <c r="H1234" s="7" t="s">
        <v>153</v>
      </c>
      <c r="I1234" s="7" t="s">
        <v>6604</v>
      </c>
      <c r="J1234" s="7" t="s">
        <v>112</v>
      </c>
      <c r="K1234" s="7" t="s">
        <v>6605</v>
      </c>
    </row>
    <row r="1235" customFormat="false" ht="35.05" hidden="false" customHeight="false" outlineLevel="0" collapsed="false">
      <c r="A1235" s="7" t="n">
        <v>1234</v>
      </c>
      <c r="B1235" s="7" t="s">
        <v>6606</v>
      </c>
      <c r="C1235" s="7" t="n">
        <v>2019</v>
      </c>
      <c r="D1235" s="7" t="s">
        <v>6607</v>
      </c>
      <c r="E1235" s="7" t="s">
        <v>143</v>
      </c>
      <c r="F1235" s="7" t="s">
        <v>6608</v>
      </c>
      <c r="G1235" s="7" t="s">
        <v>145</v>
      </c>
      <c r="H1235" s="7" t="s">
        <v>387</v>
      </c>
      <c r="I1235" s="7" t="s">
        <v>6609</v>
      </c>
      <c r="J1235" s="7" t="s">
        <v>112</v>
      </c>
      <c r="K1235" s="7" t="s">
        <v>6610</v>
      </c>
    </row>
    <row r="1236" customFormat="false" ht="57.45" hidden="false" customHeight="false" outlineLevel="0" collapsed="false">
      <c r="A1236" s="7" t="n">
        <v>1235</v>
      </c>
      <c r="B1236" s="7" t="s">
        <v>15718</v>
      </c>
      <c r="C1236" s="7" t="n">
        <v>2018</v>
      </c>
      <c r="D1236" s="7" t="s">
        <v>6612</v>
      </c>
      <c r="E1236" s="7" t="s">
        <v>143</v>
      </c>
      <c r="F1236" s="7" t="s">
        <v>15719</v>
      </c>
      <c r="G1236" s="7" t="s">
        <v>145</v>
      </c>
      <c r="H1236" s="7" t="s">
        <v>153</v>
      </c>
      <c r="I1236" s="7" t="s">
        <v>15720</v>
      </c>
      <c r="J1236" s="7"/>
      <c r="K1236" s="7" t="s">
        <v>15721</v>
      </c>
    </row>
    <row r="1237" customFormat="false" ht="57.45" hidden="false" customHeight="false" outlineLevel="0" collapsed="false">
      <c r="A1237" s="7" t="n">
        <v>1236</v>
      </c>
      <c r="B1237" s="7" t="s">
        <v>15722</v>
      </c>
      <c r="C1237" s="7" t="n">
        <v>2020</v>
      </c>
      <c r="D1237" s="7" t="s">
        <v>6619</v>
      </c>
      <c r="E1237" s="7" t="s">
        <v>151</v>
      </c>
      <c r="F1237" s="7" t="s">
        <v>15723</v>
      </c>
      <c r="G1237" s="7" t="s">
        <v>145</v>
      </c>
      <c r="H1237" s="7" t="s">
        <v>146</v>
      </c>
      <c r="I1237" s="7" t="s">
        <v>15724</v>
      </c>
      <c r="J1237" s="7" t="s">
        <v>116</v>
      </c>
      <c r="K1237" s="7" t="s">
        <v>15725</v>
      </c>
    </row>
    <row r="1238" customFormat="false" ht="124.6" hidden="false" customHeight="false" outlineLevel="0" collapsed="false">
      <c r="A1238" s="7" t="n">
        <v>1237</v>
      </c>
      <c r="B1238" s="7" t="s">
        <v>15726</v>
      </c>
      <c r="C1238" s="7" t="n">
        <v>2020</v>
      </c>
      <c r="D1238" s="7" t="s">
        <v>6626</v>
      </c>
      <c r="E1238" s="7" t="s">
        <v>15727</v>
      </c>
      <c r="F1238" s="7" t="s">
        <v>15728</v>
      </c>
      <c r="G1238" s="7" t="s">
        <v>145</v>
      </c>
      <c r="H1238" s="7" t="s">
        <v>146</v>
      </c>
      <c r="I1238" s="7" t="s">
        <v>15729</v>
      </c>
      <c r="J1238" s="7"/>
      <c r="K1238" s="7" t="s">
        <v>15730</v>
      </c>
    </row>
    <row r="1239" customFormat="false" ht="35.05" hidden="false" customHeight="false" outlineLevel="0" collapsed="false">
      <c r="A1239" s="7" t="n">
        <v>1238</v>
      </c>
      <c r="B1239" s="7" t="s">
        <v>6638</v>
      </c>
      <c r="C1239" s="7" t="n">
        <v>2022</v>
      </c>
      <c r="D1239" s="7" t="s">
        <v>6639</v>
      </c>
      <c r="E1239" s="7" t="s">
        <v>151</v>
      </c>
      <c r="F1239" s="7" t="s">
        <v>6640</v>
      </c>
      <c r="G1239" s="7" t="s">
        <v>145</v>
      </c>
      <c r="H1239" s="7" t="s">
        <v>146</v>
      </c>
      <c r="I1239" s="7" t="s">
        <v>6641</v>
      </c>
      <c r="J1239" s="7"/>
      <c r="K1239" s="7" t="s">
        <v>6642</v>
      </c>
    </row>
    <row r="1240" customFormat="false" ht="23.85" hidden="false" customHeight="false" outlineLevel="0" collapsed="false">
      <c r="A1240" s="7" t="n">
        <v>1239</v>
      </c>
      <c r="B1240" s="7" t="s">
        <v>6643</v>
      </c>
      <c r="C1240" s="7" t="n">
        <v>2017</v>
      </c>
      <c r="D1240" s="7" t="s">
        <v>6644</v>
      </c>
      <c r="E1240" s="7" t="s">
        <v>143</v>
      </c>
      <c r="F1240" s="7" t="s">
        <v>6645</v>
      </c>
      <c r="G1240" s="7" t="s">
        <v>285</v>
      </c>
      <c r="H1240" s="7" t="s">
        <v>146</v>
      </c>
      <c r="I1240" s="7" t="s">
        <v>6646</v>
      </c>
      <c r="J1240" s="7" t="s">
        <v>112</v>
      </c>
      <c r="K1240" s="7" t="s">
        <v>6647</v>
      </c>
    </row>
    <row r="1241" customFormat="false" ht="35.05" hidden="false" customHeight="false" outlineLevel="0" collapsed="false">
      <c r="A1241" s="7" t="n">
        <v>1240</v>
      </c>
      <c r="B1241" s="7" t="s">
        <v>6648</v>
      </c>
      <c r="C1241" s="7" t="n">
        <v>2019</v>
      </c>
      <c r="D1241" s="7" t="s">
        <v>6649</v>
      </c>
      <c r="E1241" s="7" t="s">
        <v>151</v>
      </c>
      <c r="F1241" s="7" t="s">
        <v>6650</v>
      </c>
      <c r="G1241" s="7" t="s">
        <v>255</v>
      </c>
      <c r="H1241" s="7" t="s">
        <v>146</v>
      </c>
      <c r="I1241" s="7" t="s">
        <v>6651</v>
      </c>
      <c r="J1241" s="7"/>
      <c r="K1241" s="7" t="s">
        <v>6652</v>
      </c>
    </row>
    <row r="1242" customFormat="false" ht="23.85" hidden="false" customHeight="false" outlineLevel="0" collapsed="false">
      <c r="A1242" s="7" t="n">
        <v>1241</v>
      </c>
      <c r="B1242" s="7" t="s">
        <v>6653</v>
      </c>
      <c r="C1242" s="7" t="n">
        <v>2017</v>
      </c>
      <c r="D1242" s="7" t="s">
        <v>6654</v>
      </c>
      <c r="E1242" s="7" t="s">
        <v>151</v>
      </c>
      <c r="F1242" s="7" t="s">
        <v>152</v>
      </c>
      <c r="G1242" s="7" t="s">
        <v>145</v>
      </c>
      <c r="H1242" s="7" t="s">
        <v>208</v>
      </c>
      <c r="I1242" s="7" t="s">
        <v>6655</v>
      </c>
      <c r="J1242" s="7"/>
      <c r="K1242" s="7" t="s">
        <v>6656</v>
      </c>
    </row>
    <row r="1243" customFormat="false" ht="35.05" hidden="false" customHeight="false" outlineLevel="0" collapsed="false">
      <c r="A1243" s="7" t="n">
        <v>1242</v>
      </c>
      <c r="B1243" s="7" t="s">
        <v>6657</v>
      </c>
      <c r="C1243" s="7" t="n">
        <v>2019</v>
      </c>
      <c r="D1243" s="7" t="s">
        <v>6658</v>
      </c>
      <c r="E1243" s="7" t="s">
        <v>151</v>
      </c>
      <c r="F1243" s="7" t="s">
        <v>152</v>
      </c>
      <c r="G1243" s="7" t="s">
        <v>678</v>
      </c>
      <c r="H1243" s="7" t="s">
        <v>208</v>
      </c>
      <c r="I1243" s="7" t="s">
        <v>6659</v>
      </c>
      <c r="J1243" s="7"/>
      <c r="K1243" s="7" t="s">
        <v>6660</v>
      </c>
    </row>
    <row r="1244" customFormat="false" ht="46.25" hidden="false" customHeight="false" outlineLevel="0" collapsed="false">
      <c r="A1244" s="7" t="n">
        <v>1243</v>
      </c>
      <c r="B1244" s="7" t="s">
        <v>15731</v>
      </c>
      <c r="C1244" s="7" t="n">
        <v>2021</v>
      </c>
      <c r="D1244" s="7" t="s">
        <v>6662</v>
      </c>
      <c r="E1244" s="7" t="s">
        <v>151</v>
      </c>
      <c r="F1244" s="7" t="s">
        <v>626</v>
      </c>
      <c r="G1244" s="7" t="s">
        <v>2262</v>
      </c>
      <c r="H1244" s="7" t="s">
        <v>208</v>
      </c>
      <c r="I1244" s="7" t="s">
        <v>15732</v>
      </c>
      <c r="J1244" s="7" t="s">
        <v>112</v>
      </c>
      <c r="K1244" s="7" t="s">
        <v>15733</v>
      </c>
    </row>
    <row r="1245" customFormat="false" ht="23.85" hidden="false" customHeight="false" outlineLevel="0" collapsed="false">
      <c r="A1245" s="7" t="n">
        <v>1244</v>
      </c>
      <c r="B1245" s="7" t="s">
        <v>6668</v>
      </c>
      <c r="C1245" s="7" t="n">
        <v>2012</v>
      </c>
      <c r="D1245" s="7" t="s">
        <v>6669</v>
      </c>
      <c r="E1245" s="7" t="s">
        <v>143</v>
      </c>
      <c r="F1245" s="7" t="s">
        <v>152</v>
      </c>
      <c r="G1245" s="7" t="s">
        <v>145</v>
      </c>
      <c r="H1245" s="7" t="s">
        <v>153</v>
      </c>
      <c r="I1245" s="7" t="s">
        <v>6670</v>
      </c>
      <c r="J1245" s="7"/>
      <c r="K1245" s="7" t="s">
        <v>6671</v>
      </c>
    </row>
    <row r="1246" customFormat="false" ht="23.85" hidden="false" customHeight="false" outlineLevel="0" collapsed="false">
      <c r="A1246" s="7" t="n">
        <v>1245</v>
      </c>
      <c r="B1246" s="7" t="s">
        <v>6672</v>
      </c>
      <c r="C1246" s="7" t="n">
        <v>2003</v>
      </c>
      <c r="D1246" s="7" t="s">
        <v>6673</v>
      </c>
      <c r="E1246" s="7" t="s">
        <v>143</v>
      </c>
      <c r="F1246" s="7" t="s">
        <v>152</v>
      </c>
      <c r="G1246" s="7" t="s">
        <v>145</v>
      </c>
      <c r="H1246" s="7" t="s">
        <v>153</v>
      </c>
      <c r="I1246" s="7" t="s">
        <v>6674</v>
      </c>
      <c r="J1246" s="7"/>
      <c r="K1246" s="7" t="s">
        <v>6675</v>
      </c>
    </row>
    <row r="1247" customFormat="false" ht="23.85" hidden="false" customHeight="false" outlineLevel="0" collapsed="false">
      <c r="A1247" s="7" t="n">
        <v>1246</v>
      </c>
      <c r="B1247" s="7" t="s">
        <v>6676</v>
      </c>
      <c r="C1247" s="7" t="n">
        <v>2020</v>
      </c>
      <c r="D1247" s="7" t="s">
        <v>6677</v>
      </c>
      <c r="E1247" s="7" t="s">
        <v>201</v>
      </c>
      <c r="F1247" s="7" t="s">
        <v>152</v>
      </c>
      <c r="G1247" s="7" t="s">
        <v>3028</v>
      </c>
      <c r="H1247" s="7" t="s">
        <v>153</v>
      </c>
      <c r="I1247" s="7" t="s">
        <v>6678</v>
      </c>
      <c r="J1247" s="7"/>
      <c r="K1247" s="7" t="s">
        <v>6679</v>
      </c>
    </row>
    <row r="1248" customFormat="false" ht="35.05" hidden="false" customHeight="false" outlineLevel="0" collapsed="false">
      <c r="A1248" s="7" t="n">
        <v>1247</v>
      </c>
      <c r="B1248" s="7" t="s">
        <v>6680</v>
      </c>
      <c r="C1248" s="7" t="n">
        <v>2021</v>
      </c>
      <c r="D1248" s="7" t="s">
        <v>6681</v>
      </c>
      <c r="E1248" s="7" t="s">
        <v>151</v>
      </c>
      <c r="F1248" s="7" t="s">
        <v>152</v>
      </c>
      <c r="G1248" s="7" t="s">
        <v>6682</v>
      </c>
      <c r="H1248" s="7" t="s">
        <v>146</v>
      </c>
      <c r="I1248" s="7" t="s">
        <v>6683</v>
      </c>
      <c r="J1248" s="7"/>
      <c r="K1248" s="7" t="s">
        <v>6684</v>
      </c>
    </row>
    <row r="1249" customFormat="false" ht="23.85" hidden="false" customHeight="false" outlineLevel="0" collapsed="false">
      <c r="A1249" s="7" t="n">
        <v>1248</v>
      </c>
      <c r="B1249" s="7" t="s">
        <v>6685</v>
      </c>
      <c r="C1249" s="7" t="n">
        <v>2021</v>
      </c>
      <c r="D1249" s="7" t="s">
        <v>6686</v>
      </c>
      <c r="E1249" s="7" t="s">
        <v>143</v>
      </c>
      <c r="F1249" s="7" t="s">
        <v>1619</v>
      </c>
      <c r="G1249" s="7" t="s">
        <v>145</v>
      </c>
      <c r="H1249" s="7" t="s">
        <v>153</v>
      </c>
      <c r="I1249" s="7" t="s">
        <v>6687</v>
      </c>
      <c r="J1249" s="7"/>
      <c r="K1249" s="7" t="s">
        <v>6688</v>
      </c>
    </row>
    <row r="1250" customFormat="false" ht="35.05" hidden="false" customHeight="false" outlineLevel="0" collapsed="false">
      <c r="A1250" s="7" t="n">
        <v>1249</v>
      </c>
      <c r="B1250" s="7" t="s">
        <v>6689</v>
      </c>
      <c r="C1250" s="7" t="n">
        <v>2017</v>
      </c>
      <c r="D1250" s="7" t="s">
        <v>6690</v>
      </c>
      <c r="E1250" s="7" t="s">
        <v>143</v>
      </c>
      <c r="F1250" s="7" t="s">
        <v>1763</v>
      </c>
      <c r="G1250" s="7" t="s">
        <v>2899</v>
      </c>
      <c r="H1250" s="7" t="s">
        <v>146</v>
      </c>
      <c r="I1250" s="7" t="s">
        <v>6691</v>
      </c>
      <c r="J1250" s="7" t="s">
        <v>112</v>
      </c>
      <c r="K1250" s="7" t="s">
        <v>6692</v>
      </c>
    </row>
    <row r="1251" customFormat="false" ht="35.05" hidden="false" customHeight="false" outlineLevel="0" collapsed="false">
      <c r="A1251" s="7" t="n">
        <v>1250</v>
      </c>
      <c r="B1251" s="7" t="s">
        <v>6693</v>
      </c>
      <c r="C1251" s="7" t="n">
        <v>2016</v>
      </c>
      <c r="D1251" s="7" t="s">
        <v>6694</v>
      </c>
      <c r="E1251" s="7" t="s">
        <v>151</v>
      </c>
      <c r="F1251" s="7" t="s">
        <v>626</v>
      </c>
      <c r="G1251" s="7" t="s">
        <v>1274</v>
      </c>
      <c r="H1251" s="7" t="s">
        <v>146</v>
      </c>
      <c r="I1251" s="7" t="s">
        <v>6695</v>
      </c>
      <c r="J1251" s="7" t="s">
        <v>112</v>
      </c>
      <c r="K1251" s="7" t="s">
        <v>6696</v>
      </c>
    </row>
    <row r="1252" customFormat="false" ht="46.25" hidden="false" customHeight="false" outlineLevel="0" collapsed="false">
      <c r="A1252" s="7" t="n">
        <v>1251</v>
      </c>
      <c r="B1252" s="7" t="s">
        <v>15734</v>
      </c>
      <c r="C1252" s="7" t="n">
        <v>2006</v>
      </c>
      <c r="D1252" s="7" t="s">
        <v>6698</v>
      </c>
      <c r="E1252" s="7" t="s">
        <v>143</v>
      </c>
      <c r="F1252" s="7" t="s">
        <v>152</v>
      </c>
      <c r="G1252" s="7" t="s">
        <v>145</v>
      </c>
      <c r="H1252" s="7" t="s">
        <v>153</v>
      </c>
      <c r="I1252" s="7" t="s">
        <v>15735</v>
      </c>
      <c r="J1252" s="7"/>
      <c r="K1252" s="7" t="s">
        <v>15736</v>
      </c>
    </row>
    <row r="1253" customFormat="false" ht="35.05" hidden="false" customHeight="false" outlineLevel="0" collapsed="false">
      <c r="A1253" s="7" t="n">
        <v>1252</v>
      </c>
      <c r="B1253" s="7" t="s">
        <v>6704</v>
      </c>
      <c r="C1253" s="7" t="n">
        <v>1996</v>
      </c>
      <c r="D1253" s="7" t="s">
        <v>6705</v>
      </c>
      <c r="E1253" s="7" t="s">
        <v>201</v>
      </c>
      <c r="F1253" s="7" t="s">
        <v>152</v>
      </c>
      <c r="G1253" s="7" t="s">
        <v>145</v>
      </c>
      <c r="H1253" s="7" t="s">
        <v>153</v>
      </c>
      <c r="I1253" s="7" t="s">
        <v>6706</v>
      </c>
      <c r="J1253" s="7"/>
      <c r="K1253" s="7" t="s">
        <v>6707</v>
      </c>
    </row>
    <row r="1254" customFormat="false" ht="46.25" hidden="false" customHeight="false" outlineLevel="0" collapsed="false">
      <c r="A1254" s="7" t="n">
        <v>1253</v>
      </c>
      <c r="B1254" s="7" t="s">
        <v>15737</v>
      </c>
      <c r="C1254" s="7" t="n">
        <v>2019</v>
      </c>
      <c r="D1254" s="7" t="s">
        <v>6709</v>
      </c>
      <c r="E1254" s="7" t="s">
        <v>143</v>
      </c>
      <c r="F1254" s="7" t="s">
        <v>152</v>
      </c>
      <c r="G1254" s="7" t="s">
        <v>145</v>
      </c>
      <c r="H1254" s="7" t="s">
        <v>153</v>
      </c>
      <c r="I1254" s="7" t="s">
        <v>15738</v>
      </c>
      <c r="J1254" s="7"/>
      <c r="K1254" s="7" t="s">
        <v>15739</v>
      </c>
    </row>
    <row r="1255" customFormat="false" ht="46.25" hidden="false" customHeight="false" outlineLevel="0" collapsed="false">
      <c r="A1255" s="7" t="n">
        <v>1254</v>
      </c>
      <c r="B1255" s="7" t="s">
        <v>15740</v>
      </c>
      <c r="C1255" s="7" t="n">
        <v>2022</v>
      </c>
      <c r="D1255" s="7" t="s">
        <v>6716</v>
      </c>
      <c r="E1255" s="7" t="s">
        <v>143</v>
      </c>
      <c r="F1255" s="7" t="s">
        <v>15741</v>
      </c>
      <c r="G1255" s="7" t="s">
        <v>684</v>
      </c>
      <c r="H1255" s="7" t="s">
        <v>208</v>
      </c>
      <c r="I1255" s="7" t="s">
        <v>15742</v>
      </c>
      <c r="J1255" s="7" t="s">
        <v>116</v>
      </c>
      <c r="K1255" s="7" t="s">
        <v>15743</v>
      </c>
    </row>
    <row r="1256" customFormat="false" ht="46.25" hidden="false" customHeight="false" outlineLevel="0" collapsed="false">
      <c r="A1256" s="7" t="n">
        <v>1255</v>
      </c>
      <c r="B1256" s="7" t="s">
        <v>15744</v>
      </c>
      <c r="C1256" s="7" t="n">
        <v>2006</v>
      </c>
      <c r="D1256" s="7" t="s">
        <v>6725</v>
      </c>
      <c r="E1256" s="7" t="s">
        <v>151</v>
      </c>
      <c r="F1256" s="7" t="s">
        <v>152</v>
      </c>
      <c r="G1256" s="7" t="s">
        <v>6726</v>
      </c>
      <c r="H1256" s="7" t="s">
        <v>748</v>
      </c>
      <c r="I1256" s="7" t="s">
        <v>15745</v>
      </c>
      <c r="J1256" s="7" t="s">
        <v>114</v>
      </c>
      <c r="K1256" s="7" t="s">
        <v>15746</v>
      </c>
    </row>
    <row r="1257" customFormat="false" ht="35.05" hidden="false" customHeight="false" outlineLevel="0" collapsed="false">
      <c r="A1257" s="7" t="n">
        <v>1256</v>
      </c>
      <c r="B1257" s="7" t="s">
        <v>591</v>
      </c>
      <c r="C1257" s="7" t="n">
        <v>2012</v>
      </c>
      <c r="D1257" s="7" t="s">
        <v>6733</v>
      </c>
      <c r="E1257" s="7" t="s">
        <v>143</v>
      </c>
      <c r="F1257" s="7" t="s">
        <v>1619</v>
      </c>
      <c r="G1257" s="7" t="s">
        <v>145</v>
      </c>
      <c r="H1257" s="7" t="s">
        <v>153</v>
      </c>
      <c r="I1257" s="7" t="s">
        <v>6734</v>
      </c>
      <c r="J1257" s="7"/>
      <c r="K1257" s="7" t="s">
        <v>6735</v>
      </c>
    </row>
    <row r="1258" customFormat="false" ht="35.05" hidden="false" customHeight="false" outlineLevel="0" collapsed="false">
      <c r="A1258" s="7" t="n">
        <v>1257</v>
      </c>
      <c r="B1258" s="7" t="s">
        <v>6736</v>
      </c>
      <c r="C1258" s="7" t="n">
        <v>2022</v>
      </c>
      <c r="D1258" s="7" t="s">
        <v>6737</v>
      </c>
      <c r="E1258" s="7" t="s">
        <v>143</v>
      </c>
      <c r="F1258" s="7" t="s">
        <v>348</v>
      </c>
      <c r="G1258" s="7" t="s">
        <v>145</v>
      </c>
      <c r="H1258" s="7" t="s">
        <v>153</v>
      </c>
      <c r="I1258" s="7" t="s">
        <v>6738</v>
      </c>
      <c r="J1258" s="7"/>
      <c r="K1258" s="7" t="s">
        <v>6739</v>
      </c>
    </row>
    <row r="1259" customFormat="false" ht="46.25" hidden="false" customHeight="false" outlineLevel="0" collapsed="false">
      <c r="A1259" s="7" t="n">
        <v>1258</v>
      </c>
      <c r="B1259" s="7" t="s">
        <v>15747</v>
      </c>
      <c r="C1259" s="7" t="n">
        <v>2022</v>
      </c>
      <c r="D1259" s="7" t="s">
        <v>6741</v>
      </c>
      <c r="E1259" s="7" t="s">
        <v>143</v>
      </c>
      <c r="F1259" s="7" t="s">
        <v>152</v>
      </c>
      <c r="G1259" s="7" t="s">
        <v>145</v>
      </c>
      <c r="H1259" s="7" t="s">
        <v>153</v>
      </c>
      <c r="I1259" s="7" t="s">
        <v>6742</v>
      </c>
      <c r="J1259" s="7"/>
      <c r="K1259" s="7" t="s">
        <v>15748</v>
      </c>
    </row>
    <row r="1260" customFormat="false" ht="57.45" hidden="false" customHeight="false" outlineLevel="0" collapsed="false">
      <c r="A1260" s="7" t="n">
        <v>1259</v>
      </c>
      <c r="B1260" s="7" t="s">
        <v>15749</v>
      </c>
      <c r="C1260" s="7" t="n">
        <v>2020</v>
      </c>
      <c r="D1260" s="7" t="s">
        <v>6747</v>
      </c>
      <c r="E1260" s="7" t="s">
        <v>151</v>
      </c>
      <c r="F1260" s="7" t="s">
        <v>15750</v>
      </c>
      <c r="G1260" s="7" t="s">
        <v>15751</v>
      </c>
      <c r="H1260" s="7" t="s">
        <v>146</v>
      </c>
      <c r="I1260" s="7" t="s">
        <v>15752</v>
      </c>
      <c r="J1260" s="7" t="s">
        <v>112</v>
      </c>
      <c r="K1260" s="7" t="s">
        <v>15753</v>
      </c>
    </row>
    <row r="1261" customFormat="false" ht="23.85" hidden="false" customHeight="false" outlineLevel="0" collapsed="false">
      <c r="A1261" s="7" t="n">
        <v>1260</v>
      </c>
      <c r="B1261" s="7" t="s">
        <v>6755</v>
      </c>
      <c r="C1261" s="7" t="n">
        <v>2023</v>
      </c>
      <c r="D1261" s="7" t="s">
        <v>6756</v>
      </c>
      <c r="E1261" s="7" t="s">
        <v>143</v>
      </c>
      <c r="F1261" s="7" t="s">
        <v>6757</v>
      </c>
      <c r="G1261" s="7" t="s">
        <v>2899</v>
      </c>
      <c r="H1261" s="7" t="s">
        <v>146</v>
      </c>
      <c r="I1261" s="7" t="s">
        <v>6758</v>
      </c>
      <c r="J1261" s="7" t="s">
        <v>112</v>
      </c>
      <c r="K1261" s="7" t="s">
        <v>6759</v>
      </c>
    </row>
    <row r="1262" customFormat="false" ht="35.05" hidden="false" customHeight="false" outlineLevel="0" collapsed="false">
      <c r="A1262" s="7" t="n">
        <v>1261</v>
      </c>
      <c r="B1262" s="7" t="s">
        <v>6760</v>
      </c>
      <c r="C1262" s="7" t="n">
        <v>2020</v>
      </c>
      <c r="D1262" s="7" t="s">
        <v>6761</v>
      </c>
      <c r="E1262" s="7" t="s">
        <v>201</v>
      </c>
      <c r="F1262" s="7" t="s">
        <v>6762</v>
      </c>
      <c r="G1262" s="7" t="s">
        <v>2899</v>
      </c>
      <c r="H1262" s="7" t="s">
        <v>146</v>
      </c>
      <c r="I1262" s="7" t="s">
        <v>6763</v>
      </c>
      <c r="J1262" s="7" t="s">
        <v>112</v>
      </c>
      <c r="K1262" s="7" t="s">
        <v>6764</v>
      </c>
    </row>
    <row r="1263" customFormat="false" ht="35.05" hidden="false" customHeight="false" outlineLevel="0" collapsed="false">
      <c r="A1263" s="7" t="n">
        <v>1262</v>
      </c>
      <c r="B1263" s="7" t="s">
        <v>6765</v>
      </c>
      <c r="C1263" s="7" t="n">
        <v>2023</v>
      </c>
      <c r="D1263" s="7" t="s">
        <v>6766</v>
      </c>
      <c r="E1263" s="7" t="s">
        <v>151</v>
      </c>
      <c r="F1263" s="7" t="s">
        <v>152</v>
      </c>
      <c r="G1263" s="7" t="s">
        <v>145</v>
      </c>
      <c r="H1263" s="7" t="s">
        <v>208</v>
      </c>
      <c r="I1263" s="7" t="s">
        <v>6767</v>
      </c>
      <c r="J1263" s="7"/>
      <c r="K1263" s="7" t="s">
        <v>6768</v>
      </c>
    </row>
    <row r="1264" customFormat="false" ht="46.25" hidden="false" customHeight="false" outlineLevel="0" collapsed="false">
      <c r="A1264" s="7" t="n">
        <v>1263</v>
      </c>
      <c r="B1264" s="7" t="s">
        <v>15754</v>
      </c>
      <c r="C1264" s="7" t="n">
        <v>2016</v>
      </c>
      <c r="D1264" s="7" t="s">
        <v>6770</v>
      </c>
      <c r="E1264" s="7" t="s">
        <v>151</v>
      </c>
      <c r="F1264" s="7" t="s">
        <v>348</v>
      </c>
      <c r="G1264" s="7" t="s">
        <v>145</v>
      </c>
      <c r="H1264" s="7" t="s">
        <v>153</v>
      </c>
      <c r="I1264" s="7" t="s">
        <v>15755</v>
      </c>
      <c r="J1264" s="7"/>
      <c r="K1264" s="7" t="s">
        <v>15756</v>
      </c>
    </row>
    <row r="1265" customFormat="false" ht="46.25" hidden="false" customHeight="false" outlineLevel="0" collapsed="false">
      <c r="A1265" s="7" t="n">
        <v>1264</v>
      </c>
      <c r="B1265" s="7" t="s">
        <v>15757</v>
      </c>
      <c r="C1265" s="7" t="n">
        <v>2021</v>
      </c>
      <c r="D1265" s="7" t="s">
        <v>6777</v>
      </c>
      <c r="E1265" s="7" t="s">
        <v>15465</v>
      </c>
      <c r="F1265" s="7" t="s">
        <v>348</v>
      </c>
      <c r="G1265" s="7" t="s">
        <v>3028</v>
      </c>
      <c r="H1265" s="7" t="s">
        <v>153</v>
      </c>
      <c r="I1265" s="7" t="s">
        <v>15758</v>
      </c>
      <c r="J1265" s="7" t="s">
        <v>110</v>
      </c>
      <c r="K1265" s="7" t="s">
        <v>15759</v>
      </c>
    </row>
    <row r="1266" customFormat="false" ht="57.45" hidden="false" customHeight="false" outlineLevel="0" collapsed="false">
      <c r="A1266" s="7" t="n">
        <v>1265</v>
      </c>
      <c r="B1266" s="7" t="s">
        <v>15760</v>
      </c>
      <c r="C1266" s="7" t="n">
        <v>2021</v>
      </c>
      <c r="D1266" s="7" t="s">
        <v>6784</v>
      </c>
      <c r="E1266" s="7" t="s">
        <v>15761</v>
      </c>
      <c r="F1266" s="7" t="s">
        <v>348</v>
      </c>
      <c r="G1266" s="7" t="s">
        <v>145</v>
      </c>
      <c r="H1266" s="7" t="s">
        <v>153</v>
      </c>
      <c r="I1266" s="7" t="s">
        <v>15762</v>
      </c>
      <c r="J1266" s="7"/>
      <c r="K1266" s="7" t="s">
        <v>15763</v>
      </c>
    </row>
    <row r="1267" customFormat="false" ht="46.25" hidden="false" customHeight="false" outlineLevel="0" collapsed="false">
      <c r="A1267" s="7" t="n">
        <v>1266</v>
      </c>
      <c r="B1267" s="7" t="s">
        <v>15764</v>
      </c>
      <c r="C1267" s="7" t="n">
        <v>2020</v>
      </c>
      <c r="D1267" s="7" t="s">
        <v>6791</v>
      </c>
      <c r="E1267" s="7" t="s">
        <v>151</v>
      </c>
      <c r="F1267" s="7" t="s">
        <v>152</v>
      </c>
      <c r="G1267" s="7" t="s">
        <v>145</v>
      </c>
      <c r="H1267" s="7" t="s">
        <v>153</v>
      </c>
      <c r="I1267" s="7" t="s">
        <v>15765</v>
      </c>
      <c r="J1267" s="7"/>
      <c r="K1267" s="7" t="s">
        <v>15766</v>
      </c>
    </row>
    <row r="1268" customFormat="false" ht="35.05" hidden="false" customHeight="false" outlineLevel="0" collapsed="false">
      <c r="A1268" s="7" t="n">
        <v>1267</v>
      </c>
      <c r="B1268" s="7" t="s">
        <v>6794</v>
      </c>
      <c r="C1268" s="7" t="n">
        <v>2019</v>
      </c>
      <c r="D1268" s="7" t="s">
        <v>6795</v>
      </c>
      <c r="E1268" s="7" t="s">
        <v>151</v>
      </c>
      <c r="F1268" s="7" t="s">
        <v>348</v>
      </c>
      <c r="G1268" s="7" t="s">
        <v>145</v>
      </c>
      <c r="H1268" s="7" t="s">
        <v>146</v>
      </c>
      <c r="I1268" s="7" t="s">
        <v>6796</v>
      </c>
      <c r="J1268" s="7"/>
      <c r="K1268" s="7" t="s">
        <v>6797</v>
      </c>
    </row>
    <row r="1269" customFormat="false" ht="57.45" hidden="false" customHeight="false" outlineLevel="0" collapsed="false">
      <c r="A1269" s="7" t="n">
        <v>1268</v>
      </c>
      <c r="B1269" s="7" t="s">
        <v>15767</v>
      </c>
      <c r="C1269" s="7" t="n">
        <v>2016</v>
      </c>
      <c r="D1269" s="7" t="s">
        <v>6799</v>
      </c>
      <c r="E1269" s="7" t="s">
        <v>151</v>
      </c>
      <c r="F1269" s="7" t="s">
        <v>348</v>
      </c>
      <c r="G1269" s="7" t="s">
        <v>145</v>
      </c>
      <c r="H1269" s="7" t="s">
        <v>153</v>
      </c>
      <c r="I1269" s="7" t="s">
        <v>15768</v>
      </c>
      <c r="J1269" s="7"/>
      <c r="K1269" s="7" t="s">
        <v>15769</v>
      </c>
    </row>
    <row r="1270" customFormat="false" ht="23.85" hidden="false" customHeight="false" outlineLevel="0" collapsed="false">
      <c r="A1270" s="7" t="n">
        <v>1269</v>
      </c>
      <c r="B1270" s="7" t="s">
        <v>6805</v>
      </c>
      <c r="C1270" s="7" t="n">
        <v>2005</v>
      </c>
      <c r="D1270" s="7" t="s">
        <v>6806</v>
      </c>
      <c r="E1270" s="7" t="s">
        <v>151</v>
      </c>
      <c r="F1270" s="7" t="s">
        <v>348</v>
      </c>
      <c r="G1270" s="7" t="s">
        <v>145</v>
      </c>
      <c r="H1270" s="7" t="s">
        <v>153</v>
      </c>
      <c r="I1270" s="7" t="s">
        <v>6807</v>
      </c>
      <c r="J1270" s="7"/>
      <c r="K1270" s="7" t="s">
        <v>6808</v>
      </c>
    </row>
    <row r="1271" customFormat="false" ht="35.05" hidden="false" customHeight="false" outlineLevel="0" collapsed="false">
      <c r="A1271" s="7" t="n">
        <v>1270</v>
      </c>
      <c r="B1271" s="7" t="s">
        <v>6809</v>
      </c>
      <c r="C1271" s="7" t="n">
        <v>2012</v>
      </c>
      <c r="D1271" s="7" t="s">
        <v>6810</v>
      </c>
      <c r="E1271" s="7" t="s">
        <v>151</v>
      </c>
      <c r="F1271" s="7" t="s">
        <v>4650</v>
      </c>
      <c r="G1271" s="7" t="s">
        <v>145</v>
      </c>
      <c r="H1271" s="7" t="s">
        <v>146</v>
      </c>
      <c r="I1271" s="7" t="s">
        <v>6811</v>
      </c>
      <c r="J1271" s="7"/>
      <c r="K1271" s="7" t="s">
        <v>6812</v>
      </c>
    </row>
    <row r="1272" customFormat="false" ht="46.25" hidden="false" customHeight="false" outlineLevel="0" collapsed="false">
      <c r="A1272" s="7" t="n">
        <v>1271</v>
      </c>
      <c r="B1272" s="7" t="s">
        <v>15770</v>
      </c>
      <c r="C1272" s="7" t="n">
        <v>2017</v>
      </c>
      <c r="D1272" s="7" t="s">
        <v>6814</v>
      </c>
      <c r="E1272" s="7" t="s">
        <v>15123</v>
      </c>
      <c r="F1272" s="7" t="s">
        <v>348</v>
      </c>
      <c r="G1272" s="7" t="s">
        <v>145</v>
      </c>
      <c r="H1272" s="7" t="s">
        <v>146</v>
      </c>
      <c r="I1272" s="7" t="s">
        <v>15771</v>
      </c>
      <c r="J1272" s="7"/>
      <c r="K1272" s="7" t="s">
        <v>15772</v>
      </c>
    </row>
    <row r="1273" customFormat="false" ht="46.25" hidden="false" customHeight="false" outlineLevel="0" collapsed="false">
      <c r="A1273" s="7" t="n">
        <v>1272</v>
      </c>
      <c r="B1273" s="7" t="s">
        <v>15773</v>
      </c>
      <c r="C1273" s="7" t="n">
        <v>2020</v>
      </c>
      <c r="D1273" s="7" t="s">
        <v>6821</v>
      </c>
      <c r="E1273" s="7" t="s">
        <v>151</v>
      </c>
      <c r="F1273" s="7" t="s">
        <v>152</v>
      </c>
      <c r="G1273" s="7" t="s">
        <v>15774</v>
      </c>
      <c r="H1273" s="7" t="s">
        <v>153</v>
      </c>
      <c r="I1273" s="7" t="s">
        <v>15775</v>
      </c>
      <c r="J1273" s="7"/>
      <c r="K1273" s="7" t="s">
        <v>15776</v>
      </c>
    </row>
    <row r="1274" customFormat="false" ht="23.85" hidden="false" customHeight="false" outlineLevel="0" collapsed="false">
      <c r="A1274" s="7" t="n">
        <v>1273</v>
      </c>
      <c r="B1274" s="7" t="s">
        <v>6824</v>
      </c>
      <c r="C1274" s="7" t="n">
        <v>2022</v>
      </c>
      <c r="D1274" s="7" t="s">
        <v>6825</v>
      </c>
      <c r="E1274" s="7" t="s">
        <v>151</v>
      </c>
      <c r="F1274" s="7" t="s">
        <v>6826</v>
      </c>
      <c r="G1274" s="7" t="s">
        <v>145</v>
      </c>
      <c r="H1274" s="7" t="s">
        <v>387</v>
      </c>
      <c r="I1274" s="7" t="s">
        <v>6827</v>
      </c>
      <c r="J1274" s="7"/>
      <c r="K1274" s="7" t="s">
        <v>6828</v>
      </c>
    </row>
    <row r="1275" customFormat="false" ht="46.25" hidden="false" customHeight="false" outlineLevel="0" collapsed="false">
      <c r="A1275" s="7" t="n">
        <v>1274</v>
      </c>
      <c r="B1275" s="7" t="s">
        <v>15777</v>
      </c>
      <c r="C1275" s="7" t="n">
        <v>2019</v>
      </c>
      <c r="D1275" s="7" t="s">
        <v>6830</v>
      </c>
      <c r="E1275" s="7" t="s">
        <v>15528</v>
      </c>
      <c r="F1275" s="7" t="s">
        <v>15778</v>
      </c>
      <c r="G1275" s="7" t="s">
        <v>145</v>
      </c>
      <c r="H1275" s="7" t="s">
        <v>146</v>
      </c>
      <c r="I1275" s="7" t="s">
        <v>15779</v>
      </c>
      <c r="J1275" s="7"/>
      <c r="K1275" s="7" t="s">
        <v>15780</v>
      </c>
    </row>
    <row r="1276" customFormat="false" ht="35.05" hidden="false" customHeight="false" outlineLevel="0" collapsed="false">
      <c r="A1276" s="7" t="n">
        <v>1275</v>
      </c>
      <c r="B1276" s="7" t="s">
        <v>3131</v>
      </c>
      <c r="C1276" s="7" t="n">
        <v>2023</v>
      </c>
      <c r="D1276" s="7" t="s">
        <v>6836</v>
      </c>
      <c r="E1276" s="7" t="s">
        <v>151</v>
      </c>
      <c r="F1276" s="7" t="s">
        <v>6837</v>
      </c>
      <c r="G1276" s="7" t="s">
        <v>2899</v>
      </c>
      <c r="H1276" s="7" t="s">
        <v>146</v>
      </c>
      <c r="I1276" s="7" t="s">
        <v>6838</v>
      </c>
      <c r="J1276" s="7" t="s">
        <v>112</v>
      </c>
      <c r="K1276" s="7" t="s">
        <v>6839</v>
      </c>
    </row>
    <row r="1277" customFormat="false" ht="35.05" hidden="false" customHeight="false" outlineLevel="0" collapsed="false">
      <c r="A1277" s="7" t="n">
        <v>1276</v>
      </c>
      <c r="B1277" s="7" t="s">
        <v>6840</v>
      </c>
      <c r="C1277" s="7" t="n">
        <v>2024</v>
      </c>
      <c r="D1277" s="7" t="s">
        <v>6841</v>
      </c>
      <c r="E1277" s="7" t="s">
        <v>143</v>
      </c>
      <c r="F1277" s="7" t="s">
        <v>348</v>
      </c>
      <c r="G1277" s="7" t="s">
        <v>145</v>
      </c>
      <c r="H1277" s="7" t="s">
        <v>153</v>
      </c>
      <c r="I1277" s="7" t="s">
        <v>6842</v>
      </c>
      <c r="J1277" s="7"/>
      <c r="K1277" s="7" t="s">
        <v>6843</v>
      </c>
    </row>
    <row r="1278" customFormat="false" ht="46.25" hidden="false" customHeight="false" outlineLevel="0" collapsed="false">
      <c r="A1278" s="7" t="n">
        <v>1277</v>
      </c>
      <c r="B1278" s="7" t="s">
        <v>15781</v>
      </c>
      <c r="C1278" s="7" t="n">
        <v>2022</v>
      </c>
      <c r="D1278" s="7" t="s">
        <v>6845</v>
      </c>
      <c r="E1278" s="7" t="s">
        <v>143</v>
      </c>
      <c r="F1278" s="7" t="s">
        <v>15782</v>
      </c>
      <c r="G1278" s="7" t="s">
        <v>145</v>
      </c>
      <c r="H1278" s="7" t="s">
        <v>153</v>
      </c>
      <c r="I1278" s="7" t="s">
        <v>15783</v>
      </c>
      <c r="J1278" s="7" t="s">
        <v>114</v>
      </c>
      <c r="K1278" s="7" t="s">
        <v>15784</v>
      </c>
    </row>
    <row r="1279" customFormat="false" ht="35.05" hidden="false" customHeight="false" outlineLevel="0" collapsed="false">
      <c r="A1279" s="7" t="n">
        <v>1278</v>
      </c>
      <c r="B1279" s="7" t="s">
        <v>6850</v>
      </c>
      <c r="C1279" s="7" t="n">
        <v>2012</v>
      </c>
      <c r="D1279" s="7" t="s">
        <v>6851</v>
      </c>
      <c r="E1279" s="7" t="s">
        <v>143</v>
      </c>
      <c r="F1279" s="7" t="s">
        <v>152</v>
      </c>
      <c r="G1279" s="7" t="s">
        <v>145</v>
      </c>
      <c r="H1279" s="7" t="s">
        <v>153</v>
      </c>
      <c r="I1279" s="7" t="s">
        <v>6852</v>
      </c>
      <c r="J1279" s="7"/>
      <c r="K1279" s="7" t="s">
        <v>6853</v>
      </c>
    </row>
    <row r="1280" customFormat="false" ht="35.05" hidden="false" customHeight="false" outlineLevel="0" collapsed="false">
      <c r="A1280" s="7" t="n">
        <v>1279</v>
      </c>
      <c r="B1280" s="7" t="s">
        <v>6854</v>
      </c>
      <c r="C1280" s="7" t="n">
        <v>2019</v>
      </c>
      <c r="D1280" s="7" t="s">
        <v>6855</v>
      </c>
      <c r="E1280" s="7" t="s">
        <v>143</v>
      </c>
      <c r="F1280" s="7" t="s">
        <v>364</v>
      </c>
      <c r="G1280" s="7" t="s">
        <v>1373</v>
      </c>
      <c r="H1280" s="7" t="s">
        <v>153</v>
      </c>
      <c r="I1280" s="7" t="s">
        <v>6856</v>
      </c>
      <c r="J1280" s="7" t="s">
        <v>116</v>
      </c>
      <c r="K1280" s="7" t="s">
        <v>6857</v>
      </c>
    </row>
    <row r="1281" customFormat="false" ht="23.85" hidden="false" customHeight="false" outlineLevel="0" collapsed="false">
      <c r="A1281" s="7" t="n">
        <v>1280</v>
      </c>
      <c r="B1281" s="7" t="s">
        <v>6858</v>
      </c>
      <c r="C1281" s="7" t="n">
        <v>2018</v>
      </c>
      <c r="D1281" s="7" t="s">
        <v>6859</v>
      </c>
      <c r="E1281" s="7" t="s">
        <v>143</v>
      </c>
      <c r="F1281" s="7" t="s">
        <v>6860</v>
      </c>
      <c r="G1281" s="7" t="s">
        <v>145</v>
      </c>
      <c r="H1281" s="7" t="s">
        <v>153</v>
      </c>
      <c r="I1281" s="7" t="s">
        <v>6861</v>
      </c>
      <c r="J1281" s="7"/>
      <c r="K1281" s="7" t="s">
        <v>6862</v>
      </c>
    </row>
    <row r="1282" customFormat="false" ht="35.05" hidden="false" customHeight="false" outlineLevel="0" collapsed="false">
      <c r="A1282" s="7" t="n">
        <v>1281</v>
      </c>
      <c r="B1282" s="7" t="s">
        <v>6863</v>
      </c>
      <c r="C1282" s="7" t="n">
        <v>2019</v>
      </c>
      <c r="D1282" s="7" t="s">
        <v>6864</v>
      </c>
      <c r="E1282" s="7" t="s">
        <v>143</v>
      </c>
      <c r="F1282" s="7" t="s">
        <v>197</v>
      </c>
      <c r="G1282" s="7" t="s">
        <v>145</v>
      </c>
      <c r="H1282" s="7" t="s">
        <v>387</v>
      </c>
      <c r="I1282" s="7" t="s">
        <v>6865</v>
      </c>
      <c r="J1282" s="7"/>
      <c r="K1282" s="7" t="s">
        <v>6866</v>
      </c>
    </row>
    <row r="1283" customFormat="false" ht="35.05" hidden="false" customHeight="false" outlineLevel="0" collapsed="false">
      <c r="A1283" s="7" t="n">
        <v>1282</v>
      </c>
      <c r="B1283" s="7" t="s">
        <v>6867</v>
      </c>
      <c r="C1283" s="7" t="n">
        <v>2021</v>
      </c>
      <c r="D1283" s="7" t="s">
        <v>6868</v>
      </c>
      <c r="E1283" s="7" t="s">
        <v>143</v>
      </c>
      <c r="F1283" s="7" t="s">
        <v>6869</v>
      </c>
      <c r="G1283" s="7" t="s">
        <v>145</v>
      </c>
      <c r="H1283" s="7" t="s">
        <v>387</v>
      </c>
      <c r="I1283" s="7" t="s">
        <v>6870</v>
      </c>
      <c r="J1283" s="7"/>
      <c r="K1283" s="7" t="s">
        <v>6871</v>
      </c>
    </row>
    <row r="1284" customFormat="false" ht="23.85" hidden="false" customHeight="false" outlineLevel="0" collapsed="false">
      <c r="A1284" s="7" t="n">
        <v>1283</v>
      </c>
      <c r="B1284" s="7" t="s">
        <v>6872</v>
      </c>
      <c r="C1284" s="7" t="n">
        <v>2000</v>
      </c>
      <c r="D1284" s="7" t="s">
        <v>6873</v>
      </c>
      <c r="E1284" s="7" t="s">
        <v>143</v>
      </c>
      <c r="F1284" s="7" t="s">
        <v>152</v>
      </c>
      <c r="G1284" s="7" t="s">
        <v>856</v>
      </c>
      <c r="H1284" s="7" t="s">
        <v>146</v>
      </c>
      <c r="I1284" s="7" t="s">
        <v>6874</v>
      </c>
      <c r="J1284" s="7"/>
      <c r="K1284" s="7" t="s">
        <v>6875</v>
      </c>
    </row>
    <row r="1285" customFormat="false" ht="35.05" hidden="false" customHeight="false" outlineLevel="0" collapsed="false">
      <c r="A1285" s="7" t="n">
        <v>1284</v>
      </c>
      <c r="B1285" s="7" t="s">
        <v>6876</v>
      </c>
      <c r="C1285" s="7" t="n">
        <v>2018</v>
      </c>
      <c r="D1285" s="7" t="s">
        <v>6877</v>
      </c>
      <c r="E1285" s="7" t="s">
        <v>143</v>
      </c>
      <c r="F1285" s="7" t="s">
        <v>6878</v>
      </c>
      <c r="G1285" s="7" t="s">
        <v>145</v>
      </c>
      <c r="H1285" s="7" t="s">
        <v>153</v>
      </c>
      <c r="I1285" s="7" t="s">
        <v>6879</v>
      </c>
      <c r="J1285" s="7"/>
      <c r="K1285" s="7" t="s">
        <v>6880</v>
      </c>
    </row>
    <row r="1286" customFormat="false" ht="35.05" hidden="false" customHeight="false" outlineLevel="0" collapsed="false">
      <c r="A1286" s="7" t="n">
        <v>1285</v>
      </c>
      <c r="B1286" s="7" t="s">
        <v>6881</v>
      </c>
      <c r="C1286" s="7" t="n">
        <v>2009</v>
      </c>
      <c r="D1286" s="7" t="s">
        <v>6882</v>
      </c>
      <c r="E1286" s="7" t="s">
        <v>201</v>
      </c>
      <c r="F1286" s="7" t="s">
        <v>2299</v>
      </c>
      <c r="G1286" s="7" t="s">
        <v>145</v>
      </c>
      <c r="H1286" s="7" t="s">
        <v>153</v>
      </c>
      <c r="I1286" s="7" t="s">
        <v>1646</v>
      </c>
      <c r="J1286" s="7" t="s">
        <v>116</v>
      </c>
      <c r="K1286" s="7" t="s">
        <v>6883</v>
      </c>
    </row>
    <row r="1287" customFormat="false" ht="35.05" hidden="false" customHeight="false" outlineLevel="0" collapsed="false">
      <c r="A1287" s="7" t="n">
        <v>1286</v>
      </c>
      <c r="B1287" s="7" t="s">
        <v>6884</v>
      </c>
      <c r="C1287" s="7" t="n">
        <v>2020</v>
      </c>
      <c r="D1287" s="7" t="s">
        <v>6885</v>
      </c>
      <c r="E1287" s="7" t="s">
        <v>143</v>
      </c>
      <c r="F1287" s="7" t="s">
        <v>3693</v>
      </c>
      <c r="G1287" s="7" t="s">
        <v>145</v>
      </c>
      <c r="H1287" s="7" t="s">
        <v>146</v>
      </c>
      <c r="I1287" s="7" t="s">
        <v>6886</v>
      </c>
      <c r="J1287" s="7"/>
      <c r="K1287" s="7" t="s">
        <v>6887</v>
      </c>
    </row>
    <row r="1288" customFormat="false" ht="35.05" hidden="false" customHeight="false" outlineLevel="0" collapsed="false">
      <c r="A1288" s="7" t="n">
        <v>1287</v>
      </c>
      <c r="B1288" s="7" t="s">
        <v>6888</v>
      </c>
      <c r="C1288" s="7" t="n">
        <v>2008</v>
      </c>
      <c r="D1288" s="7" t="s">
        <v>6889</v>
      </c>
      <c r="E1288" s="7" t="s">
        <v>143</v>
      </c>
      <c r="F1288" s="7" t="s">
        <v>6890</v>
      </c>
      <c r="G1288" s="7" t="s">
        <v>145</v>
      </c>
      <c r="H1288" s="7" t="s">
        <v>387</v>
      </c>
      <c r="I1288" s="7" t="s">
        <v>6891</v>
      </c>
      <c r="J1288" s="7"/>
      <c r="K1288" s="7" t="s">
        <v>6892</v>
      </c>
    </row>
    <row r="1289" customFormat="false" ht="23.85" hidden="false" customHeight="false" outlineLevel="0" collapsed="false">
      <c r="A1289" s="7" t="n">
        <v>1288</v>
      </c>
      <c r="B1289" s="7" t="s">
        <v>6893</v>
      </c>
      <c r="C1289" s="7" t="n">
        <v>2019</v>
      </c>
      <c r="D1289" s="7" t="s">
        <v>6894</v>
      </c>
      <c r="E1289" s="7" t="s">
        <v>143</v>
      </c>
      <c r="F1289" s="7" t="s">
        <v>626</v>
      </c>
      <c r="G1289" s="7" t="s">
        <v>6895</v>
      </c>
      <c r="H1289" s="7" t="s">
        <v>208</v>
      </c>
      <c r="I1289" s="7" t="s">
        <v>6896</v>
      </c>
      <c r="J1289" s="7"/>
      <c r="K1289" s="7" t="s">
        <v>6897</v>
      </c>
    </row>
    <row r="1290" customFormat="false" ht="35.05" hidden="false" customHeight="false" outlineLevel="0" collapsed="false">
      <c r="A1290" s="7" t="n">
        <v>1289</v>
      </c>
      <c r="B1290" s="7" t="s">
        <v>6898</v>
      </c>
      <c r="C1290" s="7" t="n">
        <v>2005</v>
      </c>
      <c r="D1290" s="7" t="s">
        <v>6899</v>
      </c>
      <c r="E1290" s="7" t="s">
        <v>143</v>
      </c>
      <c r="F1290" s="7" t="s">
        <v>3492</v>
      </c>
      <c r="G1290" s="7" t="s">
        <v>145</v>
      </c>
      <c r="H1290" s="7" t="s">
        <v>146</v>
      </c>
      <c r="I1290" s="7" t="s">
        <v>6900</v>
      </c>
      <c r="J1290" s="7" t="s">
        <v>116</v>
      </c>
      <c r="K1290" s="7" t="s">
        <v>6901</v>
      </c>
    </row>
    <row r="1291" customFormat="false" ht="35.05" hidden="false" customHeight="false" outlineLevel="0" collapsed="false">
      <c r="A1291" s="7" t="n">
        <v>1290</v>
      </c>
      <c r="B1291" s="7" t="s">
        <v>6902</v>
      </c>
      <c r="C1291" s="7" t="n">
        <v>2015</v>
      </c>
      <c r="D1291" s="7" t="s">
        <v>6903</v>
      </c>
      <c r="E1291" s="7" t="s">
        <v>143</v>
      </c>
      <c r="F1291" s="7" t="s">
        <v>6513</v>
      </c>
      <c r="G1291" s="7" t="s">
        <v>145</v>
      </c>
      <c r="H1291" s="7" t="s">
        <v>387</v>
      </c>
      <c r="I1291" s="7" t="s">
        <v>6904</v>
      </c>
      <c r="J1291" s="7" t="s">
        <v>114</v>
      </c>
      <c r="K1291" s="7" t="s">
        <v>6905</v>
      </c>
    </row>
    <row r="1292" customFormat="false" ht="23.85" hidden="false" customHeight="false" outlineLevel="0" collapsed="false">
      <c r="A1292" s="7" t="n">
        <v>1291</v>
      </c>
      <c r="B1292" s="7" t="s">
        <v>6902</v>
      </c>
      <c r="C1292" s="7" t="n">
        <v>2018</v>
      </c>
      <c r="D1292" s="7" t="s">
        <v>6906</v>
      </c>
      <c r="E1292" s="7" t="s">
        <v>143</v>
      </c>
      <c r="F1292" s="7" t="s">
        <v>6907</v>
      </c>
      <c r="G1292" s="7" t="s">
        <v>6908</v>
      </c>
      <c r="H1292" s="7" t="s">
        <v>146</v>
      </c>
      <c r="I1292" s="7" t="s">
        <v>6909</v>
      </c>
      <c r="J1292" s="7"/>
      <c r="K1292" s="7" t="s">
        <v>6910</v>
      </c>
    </row>
    <row r="1293" customFormat="false" ht="35.05" hidden="false" customHeight="false" outlineLevel="0" collapsed="false">
      <c r="A1293" s="7" t="n">
        <v>1292</v>
      </c>
      <c r="B1293" s="7" t="s">
        <v>6902</v>
      </c>
      <c r="C1293" s="7" t="n">
        <v>2020</v>
      </c>
      <c r="D1293" s="7" t="s">
        <v>6911</v>
      </c>
      <c r="E1293" s="7" t="s">
        <v>143</v>
      </c>
      <c r="F1293" s="7" t="s">
        <v>6912</v>
      </c>
      <c r="G1293" s="7" t="s">
        <v>145</v>
      </c>
      <c r="H1293" s="7" t="s">
        <v>153</v>
      </c>
      <c r="I1293" s="7" t="s">
        <v>6913</v>
      </c>
      <c r="J1293" s="7"/>
      <c r="K1293" s="7" t="s">
        <v>6914</v>
      </c>
    </row>
    <row r="1294" customFormat="false" ht="35.05" hidden="false" customHeight="false" outlineLevel="0" collapsed="false">
      <c r="A1294" s="7" t="n">
        <v>1293</v>
      </c>
      <c r="B1294" s="7" t="s">
        <v>6915</v>
      </c>
      <c r="C1294" s="7" t="n">
        <v>2017</v>
      </c>
      <c r="D1294" s="7" t="s">
        <v>6916</v>
      </c>
      <c r="E1294" s="7" t="s">
        <v>143</v>
      </c>
      <c r="F1294" s="7" t="s">
        <v>6917</v>
      </c>
      <c r="G1294" s="7" t="s">
        <v>145</v>
      </c>
      <c r="H1294" s="7" t="s">
        <v>153</v>
      </c>
      <c r="I1294" s="7" t="s">
        <v>6918</v>
      </c>
      <c r="J1294" s="7"/>
      <c r="K1294" s="7" t="s">
        <v>6919</v>
      </c>
    </row>
    <row r="1295" customFormat="false" ht="35.05" hidden="false" customHeight="false" outlineLevel="0" collapsed="false">
      <c r="A1295" s="7" t="n">
        <v>1294</v>
      </c>
      <c r="B1295" s="7" t="s">
        <v>6915</v>
      </c>
      <c r="C1295" s="7" t="n">
        <v>2017</v>
      </c>
      <c r="D1295" s="7" t="s">
        <v>6920</v>
      </c>
      <c r="E1295" s="7" t="s">
        <v>143</v>
      </c>
      <c r="F1295" s="7" t="s">
        <v>6084</v>
      </c>
      <c r="G1295" s="7" t="s">
        <v>145</v>
      </c>
      <c r="H1295" s="7" t="s">
        <v>153</v>
      </c>
      <c r="I1295" s="7" t="s">
        <v>6921</v>
      </c>
      <c r="J1295" s="7"/>
      <c r="K1295" s="7" t="s">
        <v>6922</v>
      </c>
    </row>
    <row r="1296" customFormat="false" ht="46.25" hidden="false" customHeight="false" outlineLevel="0" collapsed="false">
      <c r="A1296" s="7" t="n">
        <v>1295</v>
      </c>
      <c r="B1296" s="7" t="s">
        <v>15785</v>
      </c>
      <c r="C1296" s="7" t="n">
        <v>2016</v>
      </c>
      <c r="D1296" s="7" t="s">
        <v>6924</v>
      </c>
      <c r="E1296" s="7" t="s">
        <v>15528</v>
      </c>
      <c r="F1296" s="7" t="s">
        <v>1619</v>
      </c>
      <c r="G1296" s="7" t="s">
        <v>145</v>
      </c>
      <c r="H1296" s="7" t="s">
        <v>153</v>
      </c>
      <c r="I1296" s="7" t="s">
        <v>15786</v>
      </c>
      <c r="J1296" s="7" t="s">
        <v>114</v>
      </c>
      <c r="K1296" s="7" t="s">
        <v>15787</v>
      </c>
    </row>
    <row r="1297" customFormat="false" ht="35.05" hidden="false" customHeight="false" outlineLevel="0" collapsed="false">
      <c r="A1297" s="7" t="n">
        <v>1296</v>
      </c>
      <c r="B1297" s="7" t="s">
        <v>6930</v>
      </c>
      <c r="C1297" s="7" t="n">
        <v>2014</v>
      </c>
      <c r="D1297" s="7" t="s">
        <v>6931</v>
      </c>
      <c r="E1297" s="7" t="s">
        <v>143</v>
      </c>
      <c r="F1297" s="7" t="s">
        <v>4903</v>
      </c>
      <c r="G1297" s="7" t="s">
        <v>6932</v>
      </c>
      <c r="H1297" s="7" t="s">
        <v>153</v>
      </c>
      <c r="I1297" s="7" t="s">
        <v>6933</v>
      </c>
      <c r="J1297" s="7" t="s">
        <v>114</v>
      </c>
      <c r="K1297" s="7" t="s">
        <v>6934</v>
      </c>
    </row>
    <row r="1298" customFormat="false" ht="35.05" hidden="false" customHeight="false" outlineLevel="0" collapsed="false">
      <c r="A1298" s="7" t="n">
        <v>1297</v>
      </c>
      <c r="B1298" s="7" t="s">
        <v>6935</v>
      </c>
      <c r="C1298" s="7" t="n">
        <v>2014</v>
      </c>
      <c r="D1298" s="7" t="s">
        <v>6936</v>
      </c>
      <c r="E1298" s="7" t="s">
        <v>143</v>
      </c>
      <c r="F1298" s="7" t="s">
        <v>1619</v>
      </c>
      <c r="G1298" s="7" t="s">
        <v>145</v>
      </c>
      <c r="H1298" s="7" t="s">
        <v>153</v>
      </c>
      <c r="I1298" s="7" t="s">
        <v>6937</v>
      </c>
      <c r="J1298" s="7" t="s">
        <v>114</v>
      </c>
      <c r="K1298" s="7" t="s">
        <v>6938</v>
      </c>
    </row>
    <row r="1299" customFormat="false" ht="35.05" hidden="false" customHeight="false" outlineLevel="0" collapsed="false">
      <c r="A1299" s="7" t="n">
        <v>1298</v>
      </c>
      <c r="B1299" s="7" t="s">
        <v>6939</v>
      </c>
      <c r="C1299" s="7" t="n">
        <v>2017</v>
      </c>
      <c r="D1299" s="7" t="s">
        <v>6940</v>
      </c>
      <c r="E1299" s="7" t="s">
        <v>143</v>
      </c>
      <c r="F1299" s="7" t="s">
        <v>6941</v>
      </c>
      <c r="G1299" s="7" t="s">
        <v>145</v>
      </c>
      <c r="H1299" s="7" t="s">
        <v>153</v>
      </c>
      <c r="I1299" s="7" t="s">
        <v>6942</v>
      </c>
      <c r="J1299" s="7"/>
      <c r="K1299" s="7" t="s">
        <v>6943</v>
      </c>
    </row>
    <row r="1300" customFormat="false" ht="35.05" hidden="false" customHeight="false" outlineLevel="0" collapsed="false">
      <c r="A1300" s="7" t="n">
        <v>1299</v>
      </c>
      <c r="B1300" s="7" t="s">
        <v>6944</v>
      </c>
      <c r="C1300" s="7" t="n">
        <v>2021</v>
      </c>
      <c r="D1300" s="7" t="s">
        <v>6945</v>
      </c>
      <c r="E1300" s="7" t="s">
        <v>143</v>
      </c>
      <c r="F1300" s="7" t="s">
        <v>6946</v>
      </c>
      <c r="G1300" s="7" t="s">
        <v>145</v>
      </c>
      <c r="H1300" s="7" t="s">
        <v>387</v>
      </c>
      <c r="I1300" s="7" t="s">
        <v>6947</v>
      </c>
      <c r="J1300" s="7"/>
      <c r="K1300" s="7" t="s">
        <v>6948</v>
      </c>
    </row>
    <row r="1301" customFormat="false" ht="35.05" hidden="false" customHeight="false" outlineLevel="0" collapsed="false">
      <c r="A1301" s="7" t="n">
        <v>1300</v>
      </c>
      <c r="B1301" s="7" t="s">
        <v>6949</v>
      </c>
      <c r="C1301" s="7" t="n">
        <v>2016</v>
      </c>
      <c r="D1301" s="7" t="s">
        <v>6950</v>
      </c>
      <c r="E1301" s="7" t="s">
        <v>143</v>
      </c>
      <c r="F1301" s="7" t="s">
        <v>6951</v>
      </c>
      <c r="G1301" s="7" t="s">
        <v>1198</v>
      </c>
      <c r="H1301" s="7" t="s">
        <v>146</v>
      </c>
      <c r="I1301" s="7" t="s">
        <v>6952</v>
      </c>
      <c r="J1301" s="7" t="s">
        <v>116</v>
      </c>
      <c r="K1301" s="7" t="s">
        <v>6953</v>
      </c>
    </row>
    <row r="1302" customFormat="false" ht="35.05" hidden="false" customHeight="false" outlineLevel="0" collapsed="false">
      <c r="A1302" s="7" t="n">
        <v>1301</v>
      </c>
      <c r="B1302" s="7" t="s">
        <v>6954</v>
      </c>
      <c r="C1302" s="7" t="n">
        <v>2019</v>
      </c>
      <c r="D1302" s="7" t="s">
        <v>6955</v>
      </c>
      <c r="E1302" s="7" t="s">
        <v>143</v>
      </c>
      <c r="F1302" s="7" t="s">
        <v>4903</v>
      </c>
      <c r="G1302" s="7" t="s">
        <v>145</v>
      </c>
      <c r="H1302" s="7" t="s">
        <v>153</v>
      </c>
      <c r="I1302" s="7" t="s">
        <v>6956</v>
      </c>
      <c r="J1302" s="7" t="s">
        <v>114</v>
      </c>
      <c r="K1302" s="7" t="s">
        <v>6957</v>
      </c>
    </row>
    <row r="1303" customFormat="false" ht="35.05" hidden="false" customHeight="false" outlineLevel="0" collapsed="false">
      <c r="A1303" s="7" t="n">
        <v>1302</v>
      </c>
      <c r="B1303" s="7" t="s">
        <v>6954</v>
      </c>
      <c r="C1303" s="7" t="n">
        <v>2014</v>
      </c>
      <c r="D1303" s="7" t="s">
        <v>6958</v>
      </c>
      <c r="E1303" s="7" t="s">
        <v>143</v>
      </c>
      <c r="F1303" s="7" t="s">
        <v>6959</v>
      </c>
      <c r="G1303" s="7" t="s">
        <v>145</v>
      </c>
      <c r="H1303" s="7" t="s">
        <v>387</v>
      </c>
      <c r="I1303" s="7" t="s">
        <v>6960</v>
      </c>
      <c r="J1303" s="7"/>
      <c r="K1303" s="7" t="s">
        <v>6961</v>
      </c>
    </row>
    <row r="1304" customFormat="false" ht="35.05" hidden="false" customHeight="false" outlineLevel="0" collapsed="false">
      <c r="A1304" s="7" t="n">
        <v>1303</v>
      </c>
      <c r="B1304" s="7" t="s">
        <v>6962</v>
      </c>
      <c r="C1304" s="7" t="n">
        <v>2013</v>
      </c>
      <c r="D1304" s="7" t="s">
        <v>6963</v>
      </c>
      <c r="E1304" s="7" t="s">
        <v>143</v>
      </c>
      <c r="F1304" s="7" t="s">
        <v>6964</v>
      </c>
      <c r="G1304" s="7" t="s">
        <v>145</v>
      </c>
      <c r="H1304" s="7" t="s">
        <v>146</v>
      </c>
      <c r="I1304" s="7" t="s">
        <v>6965</v>
      </c>
      <c r="J1304" s="7" t="s">
        <v>112</v>
      </c>
      <c r="K1304" s="7" t="s">
        <v>6966</v>
      </c>
    </row>
    <row r="1305" customFormat="false" ht="35.05" hidden="false" customHeight="false" outlineLevel="0" collapsed="false">
      <c r="A1305" s="7" t="n">
        <v>1304</v>
      </c>
      <c r="B1305" s="7" t="s">
        <v>6954</v>
      </c>
      <c r="C1305" s="7" t="n">
        <v>2020</v>
      </c>
      <c r="D1305" s="7" t="s">
        <v>6967</v>
      </c>
      <c r="E1305" s="7" t="s">
        <v>143</v>
      </c>
      <c r="F1305" s="7" t="s">
        <v>6968</v>
      </c>
      <c r="G1305" s="7" t="s">
        <v>6969</v>
      </c>
      <c r="H1305" s="7" t="s">
        <v>146</v>
      </c>
      <c r="I1305" s="7" t="s">
        <v>6970</v>
      </c>
      <c r="J1305" s="7"/>
      <c r="K1305" s="7" t="s">
        <v>6971</v>
      </c>
    </row>
    <row r="1306" customFormat="false" ht="35.05" hidden="false" customHeight="false" outlineLevel="0" collapsed="false">
      <c r="A1306" s="7" t="n">
        <v>1305</v>
      </c>
      <c r="B1306" s="7" t="s">
        <v>6972</v>
      </c>
      <c r="C1306" s="7" t="n">
        <v>1996</v>
      </c>
      <c r="D1306" s="7" t="s">
        <v>6973</v>
      </c>
      <c r="E1306" s="7" t="s">
        <v>143</v>
      </c>
      <c r="F1306" s="7" t="s">
        <v>6974</v>
      </c>
      <c r="G1306" s="7" t="s">
        <v>4711</v>
      </c>
      <c r="H1306" s="7" t="s">
        <v>146</v>
      </c>
      <c r="I1306" s="7" t="s">
        <v>6975</v>
      </c>
      <c r="J1306" s="7"/>
      <c r="K1306" s="7" t="s">
        <v>6976</v>
      </c>
    </row>
    <row r="1307" customFormat="false" ht="23.85" hidden="false" customHeight="false" outlineLevel="0" collapsed="false">
      <c r="A1307" s="7" t="n">
        <v>1306</v>
      </c>
      <c r="B1307" s="7" t="s">
        <v>6977</v>
      </c>
      <c r="C1307" s="7" t="n">
        <v>2005</v>
      </c>
      <c r="D1307" s="7" t="s">
        <v>6978</v>
      </c>
      <c r="E1307" s="7" t="s">
        <v>201</v>
      </c>
      <c r="F1307" s="7" t="s">
        <v>6979</v>
      </c>
      <c r="G1307" s="7" t="s">
        <v>145</v>
      </c>
      <c r="H1307" s="7" t="s">
        <v>146</v>
      </c>
      <c r="I1307" s="7" t="s">
        <v>6980</v>
      </c>
      <c r="J1307" s="7"/>
      <c r="K1307" s="7" t="s">
        <v>6981</v>
      </c>
    </row>
    <row r="1308" customFormat="false" ht="23.85" hidden="false" customHeight="false" outlineLevel="0" collapsed="false">
      <c r="A1308" s="7" t="n">
        <v>1307</v>
      </c>
      <c r="B1308" s="7" t="s">
        <v>6982</v>
      </c>
      <c r="C1308" s="7" t="n">
        <v>2017</v>
      </c>
      <c r="D1308" s="7" t="s">
        <v>6983</v>
      </c>
      <c r="E1308" s="7" t="s">
        <v>143</v>
      </c>
      <c r="F1308" s="7" t="s">
        <v>6984</v>
      </c>
      <c r="G1308" s="7" t="s">
        <v>145</v>
      </c>
      <c r="H1308" s="7" t="s">
        <v>153</v>
      </c>
      <c r="I1308" s="7" t="s">
        <v>6985</v>
      </c>
      <c r="J1308" s="7"/>
      <c r="K1308" s="7" t="s">
        <v>6986</v>
      </c>
    </row>
    <row r="1309" customFormat="false" ht="35.05" hidden="false" customHeight="false" outlineLevel="0" collapsed="false">
      <c r="A1309" s="7" t="n">
        <v>1308</v>
      </c>
      <c r="B1309" s="7" t="s">
        <v>6987</v>
      </c>
      <c r="C1309" s="7" t="n">
        <v>2018</v>
      </c>
      <c r="D1309" s="7" t="s">
        <v>6988</v>
      </c>
      <c r="E1309" s="7" t="s">
        <v>151</v>
      </c>
      <c r="F1309" s="7" t="s">
        <v>364</v>
      </c>
      <c r="G1309" s="7" t="s">
        <v>145</v>
      </c>
      <c r="H1309" s="7" t="s">
        <v>153</v>
      </c>
      <c r="I1309" s="7" t="s">
        <v>6989</v>
      </c>
      <c r="J1309" s="7"/>
      <c r="K1309" s="7" t="s">
        <v>6990</v>
      </c>
    </row>
    <row r="1310" customFormat="false" ht="35.05" hidden="false" customHeight="false" outlineLevel="0" collapsed="false">
      <c r="A1310" s="7" t="n">
        <v>1309</v>
      </c>
      <c r="B1310" s="7" t="s">
        <v>6991</v>
      </c>
      <c r="C1310" s="7" t="n">
        <v>2016</v>
      </c>
      <c r="D1310" s="7" t="s">
        <v>6992</v>
      </c>
      <c r="E1310" s="7" t="s">
        <v>143</v>
      </c>
      <c r="F1310" s="7" t="s">
        <v>6993</v>
      </c>
      <c r="G1310" s="7" t="s">
        <v>145</v>
      </c>
      <c r="H1310" s="7" t="s">
        <v>153</v>
      </c>
      <c r="I1310" s="7" t="s">
        <v>6994</v>
      </c>
      <c r="J1310" s="7" t="s">
        <v>116</v>
      </c>
      <c r="K1310" s="7" t="s">
        <v>6995</v>
      </c>
    </row>
    <row r="1311" customFormat="false" ht="23.85" hidden="false" customHeight="false" outlineLevel="0" collapsed="false">
      <c r="A1311" s="7" t="n">
        <v>1310</v>
      </c>
      <c r="B1311" s="7" t="s">
        <v>6996</v>
      </c>
      <c r="C1311" s="7" t="n">
        <v>2019</v>
      </c>
      <c r="D1311" s="7" t="s">
        <v>6997</v>
      </c>
      <c r="E1311" s="7" t="s">
        <v>143</v>
      </c>
      <c r="F1311" s="7" t="s">
        <v>6998</v>
      </c>
      <c r="G1311" s="7" t="s">
        <v>901</v>
      </c>
      <c r="H1311" s="7" t="s">
        <v>387</v>
      </c>
      <c r="I1311" s="7" t="s">
        <v>6999</v>
      </c>
      <c r="J1311" s="7" t="s">
        <v>114</v>
      </c>
      <c r="K1311" s="7" t="s">
        <v>7000</v>
      </c>
    </row>
    <row r="1312" customFormat="false" ht="35.05" hidden="false" customHeight="false" outlineLevel="0" collapsed="false">
      <c r="A1312" s="7" t="n">
        <v>1311</v>
      </c>
      <c r="B1312" s="7" t="s">
        <v>7001</v>
      </c>
      <c r="C1312" s="7" t="n">
        <v>2018</v>
      </c>
      <c r="D1312" s="7" t="s">
        <v>7002</v>
      </c>
      <c r="E1312" s="7" t="s">
        <v>143</v>
      </c>
      <c r="F1312" s="7" t="s">
        <v>1619</v>
      </c>
      <c r="G1312" s="7" t="s">
        <v>145</v>
      </c>
      <c r="H1312" s="7" t="s">
        <v>387</v>
      </c>
      <c r="I1312" s="7" t="s">
        <v>7003</v>
      </c>
      <c r="J1312" s="7"/>
      <c r="K1312" s="7" t="s">
        <v>7004</v>
      </c>
    </row>
    <row r="1313" customFormat="false" ht="35.05" hidden="false" customHeight="false" outlineLevel="0" collapsed="false">
      <c r="A1313" s="7" t="n">
        <v>1312</v>
      </c>
      <c r="B1313" s="7" t="s">
        <v>7005</v>
      </c>
      <c r="C1313" s="7" t="n">
        <v>2020</v>
      </c>
      <c r="D1313" s="7" t="s">
        <v>7006</v>
      </c>
      <c r="E1313" s="7" t="s">
        <v>143</v>
      </c>
      <c r="F1313" s="7" t="s">
        <v>7007</v>
      </c>
      <c r="G1313" s="7" t="s">
        <v>7008</v>
      </c>
      <c r="H1313" s="7" t="s">
        <v>146</v>
      </c>
      <c r="I1313" s="7" t="s">
        <v>7009</v>
      </c>
      <c r="J1313" s="7"/>
      <c r="K1313" s="7" t="s">
        <v>7010</v>
      </c>
    </row>
    <row r="1314" customFormat="false" ht="23.85" hidden="false" customHeight="false" outlineLevel="0" collapsed="false">
      <c r="A1314" s="7" t="n">
        <v>1313</v>
      </c>
      <c r="B1314" s="7" t="s">
        <v>7011</v>
      </c>
      <c r="C1314" s="7" t="n">
        <v>2010</v>
      </c>
      <c r="D1314" s="7" t="s">
        <v>7012</v>
      </c>
      <c r="E1314" s="7" t="s">
        <v>143</v>
      </c>
      <c r="F1314" s="7" t="s">
        <v>7013</v>
      </c>
      <c r="G1314" s="7" t="s">
        <v>145</v>
      </c>
      <c r="H1314" s="7" t="s">
        <v>146</v>
      </c>
      <c r="I1314" s="7" t="s">
        <v>7014</v>
      </c>
      <c r="J1314" s="7"/>
      <c r="K1314" s="7" t="s">
        <v>7015</v>
      </c>
    </row>
    <row r="1315" customFormat="false" ht="35.05" hidden="false" customHeight="false" outlineLevel="0" collapsed="false">
      <c r="A1315" s="7" t="n">
        <v>1314</v>
      </c>
      <c r="B1315" s="7" t="s">
        <v>7016</v>
      </c>
      <c r="C1315" s="7" t="n">
        <v>2008</v>
      </c>
      <c r="D1315" s="7" t="s">
        <v>7017</v>
      </c>
      <c r="E1315" s="7" t="s">
        <v>143</v>
      </c>
      <c r="F1315" s="7" t="s">
        <v>7018</v>
      </c>
      <c r="G1315" s="7" t="s">
        <v>3558</v>
      </c>
      <c r="H1315" s="7" t="s">
        <v>146</v>
      </c>
      <c r="I1315" s="7" t="s">
        <v>7019</v>
      </c>
      <c r="J1315" s="7" t="s">
        <v>116</v>
      </c>
      <c r="K1315" s="7" t="s">
        <v>7020</v>
      </c>
    </row>
    <row r="1316" customFormat="false" ht="35.05" hidden="false" customHeight="false" outlineLevel="0" collapsed="false">
      <c r="A1316" s="7" t="n">
        <v>1315</v>
      </c>
      <c r="B1316" s="7" t="s">
        <v>7021</v>
      </c>
      <c r="C1316" s="7" t="n">
        <v>2014</v>
      </c>
      <c r="D1316" s="7" t="s">
        <v>7022</v>
      </c>
      <c r="E1316" s="7" t="s">
        <v>143</v>
      </c>
      <c r="F1316" s="7" t="s">
        <v>7023</v>
      </c>
      <c r="G1316" s="7" t="s">
        <v>6908</v>
      </c>
      <c r="H1316" s="7" t="s">
        <v>146</v>
      </c>
      <c r="I1316" s="7" t="s">
        <v>7024</v>
      </c>
      <c r="J1316" s="7"/>
      <c r="K1316" s="7" t="s">
        <v>7025</v>
      </c>
    </row>
    <row r="1317" customFormat="false" ht="35.05" hidden="false" customHeight="false" outlineLevel="0" collapsed="false">
      <c r="A1317" s="7" t="n">
        <v>1316</v>
      </c>
      <c r="B1317" s="7" t="s">
        <v>7026</v>
      </c>
      <c r="C1317" s="7" t="n">
        <v>2018</v>
      </c>
      <c r="D1317" s="7" t="s">
        <v>7027</v>
      </c>
      <c r="E1317" s="7" t="s">
        <v>143</v>
      </c>
      <c r="F1317" s="7" t="s">
        <v>7028</v>
      </c>
      <c r="G1317" s="7" t="s">
        <v>7029</v>
      </c>
      <c r="H1317" s="7" t="s">
        <v>146</v>
      </c>
      <c r="I1317" s="7" t="s">
        <v>7030</v>
      </c>
      <c r="J1317" s="7"/>
      <c r="K1317" s="7" t="s">
        <v>7031</v>
      </c>
    </row>
    <row r="1318" customFormat="false" ht="35.05" hidden="false" customHeight="false" outlineLevel="0" collapsed="false">
      <c r="A1318" s="7" t="n">
        <v>1317</v>
      </c>
      <c r="B1318" s="7" t="s">
        <v>7032</v>
      </c>
      <c r="C1318" s="7" t="n">
        <v>2017</v>
      </c>
      <c r="D1318" s="7" t="s">
        <v>7033</v>
      </c>
      <c r="E1318" s="7" t="s">
        <v>143</v>
      </c>
      <c r="F1318" s="7" t="s">
        <v>7034</v>
      </c>
      <c r="G1318" s="7" t="s">
        <v>145</v>
      </c>
      <c r="H1318" s="7" t="s">
        <v>387</v>
      </c>
      <c r="I1318" s="7" t="s">
        <v>7035</v>
      </c>
      <c r="J1318" s="7" t="s">
        <v>114</v>
      </c>
      <c r="K1318" s="7" t="s">
        <v>7036</v>
      </c>
    </row>
    <row r="1319" customFormat="false" ht="23.85" hidden="false" customHeight="false" outlineLevel="0" collapsed="false">
      <c r="A1319" s="7" t="n">
        <v>1318</v>
      </c>
      <c r="B1319" s="7" t="s">
        <v>7037</v>
      </c>
      <c r="C1319" s="7" t="n">
        <v>2012</v>
      </c>
      <c r="D1319" s="7" t="s">
        <v>7038</v>
      </c>
      <c r="E1319" s="7" t="s">
        <v>143</v>
      </c>
      <c r="F1319" s="7" t="s">
        <v>7039</v>
      </c>
      <c r="G1319" s="7" t="s">
        <v>7008</v>
      </c>
      <c r="H1319" s="7" t="s">
        <v>146</v>
      </c>
      <c r="I1319" s="7" t="s">
        <v>7040</v>
      </c>
      <c r="J1319" s="7" t="s">
        <v>112</v>
      </c>
      <c r="K1319" s="7" t="s">
        <v>7041</v>
      </c>
    </row>
    <row r="1320" customFormat="false" ht="35.05" hidden="false" customHeight="false" outlineLevel="0" collapsed="false">
      <c r="A1320" s="7" t="n">
        <v>1319</v>
      </c>
      <c r="B1320" s="7" t="s">
        <v>7042</v>
      </c>
      <c r="C1320" s="7" t="n">
        <v>2017</v>
      </c>
      <c r="D1320" s="7" t="s">
        <v>7043</v>
      </c>
      <c r="E1320" s="7" t="s">
        <v>143</v>
      </c>
      <c r="F1320" s="7" t="s">
        <v>1597</v>
      </c>
      <c r="G1320" s="7" t="s">
        <v>145</v>
      </c>
      <c r="H1320" s="7" t="s">
        <v>146</v>
      </c>
      <c r="I1320" s="7" t="s">
        <v>7044</v>
      </c>
      <c r="J1320" s="7" t="s">
        <v>116</v>
      </c>
      <c r="K1320" s="7" t="s">
        <v>7045</v>
      </c>
    </row>
    <row r="1321" customFormat="false" ht="35.05" hidden="false" customHeight="false" outlineLevel="0" collapsed="false">
      <c r="A1321" s="7" t="n">
        <v>1320</v>
      </c>
      <c r="B1321" s="7" t="s">
        <v>7046</v>
      </c>
      <c r="C1321" s="7" t="n">
        <v>2023</v>
      </c>
      <c r="D1321" s="7" t="s">
        <v>7047</v>
      </c>
      <c r="E1321" s="7" t="s">
        <v>143</v>
      </c>
      <c r="F1321" s="7" t="s">
        <v>7048</v>
      </c>
      <c r="G1321" s="7" t="s">
        <v>7049</v>
      </c>
      <c r="H1321" s="7" t="s">
        <v>748</v>
      </c>
      <c r="I1321" s="7" t="s">
        <v>7050</v>
      </c>
      <c r="J1321" s="7"/>
      <c r="K1321" s="7" t="s">
        <v>7051</v>
      </c>
    </row>
    <row r="1322" customFormat="false" ht="23.85" hidden="false" customHeight="false" outlineLevel="0" collapsed="false">
      <c r="A1322" s="7" t="n">
        <v>1321</v>
      </c>
      <c r="B1322" s="7" t="s">
        <v>7052</v>
      </c>
      <c r="C1322" s="7" t="n">
        <v>2019</v>
      </c>
      <c r="D1322" s="7" t="s">
        <v>7053</v>
      </c>
      <c r="E1322" s="7" t="s">
        <v>143</v>
      </c>
      <c r="F1322" s="7" t="s">
        <v>7054</v>
      </c>
      <c r="G1322" s="7" t="s">
        <v>145</v>
      </c>
      <c r="H1322" s="7" t="s">
        <v>153</v>
      </c>
      <c r="I1322" s="7" t="s">
        <v>7055</v>
      </c>
      <c r="J1322" s="7"/>
      <c r="K1322" s="7" t="s">
        <v>7056</v>
      </c>
    </row>
    <row r="1323" customFormat="false" ht="23.85" hidden="false" customHeight="false" outlineLevel="0" collapsed="false">
      <c r="A1323" s="7" t="n">
        <v>1322</v>
      </c>
      <c r="B1323" s="7" t="s">
        <v>7057</v>
      </c>
      <c r="C1323" s="7" t="n">
        <v>2018</v>
      </c>
      <c r="D1323" s="7" t="s">
        <v>7058</v>
      </c>
      <c r="E1323" s="7" t="s">
        <v>143</v>
      </c>
      <c r="F1323" s="7" t="s">
        <v>7059</v>
      </c>
      <c r="G1323" s="7" t="s">
        <v>7060</v>
      </c>
      <c r="H1323" s="7" t="s">
        <v>208</v>
      </c>
      <c r="I1323" s="7" t="s">
        <v>7061</v>
      </c>
      <c r="J1323" s="7"/>
      <c r="K1323" s="7" t="s">
        <v>7062</v>
      </c>
    </row>
    <row r="1324" customFormat="false" ht="23.85" hidden="false" customHeight="false" outlineLevel="0" collapsed="false">
      <c r="A1324" s="7" t="n">
        <v>1323</v>
      </c>
      <c r="B1324" s="7" t="s">
        <v>7063</v>
      </c>
      <c r="C1324" s="7" t="n">
        <v>2020</v>
      </c>
      <c r="D1324" s="7" t="s">
        <v>7064</v>
      </c>
      <c r="E1324" s="7" t="s">
        <v>143</v>
      </c>
      <c r="F1324" s="7" t="s">
        <v>348</v>
      </c>
      <c r="G1324" s="7" t="s">
        <v>145</v>
      </c>
      <c r="H1324" s="7" t="s">
        <v>153</v>
      </c>
      <c r="I1324" s="7" t="s">
        <v>7065</v>
      </c>
      <c r="J1324" s="7"/>
      <c r="K1324" s="7" t="s">
        <v>7066</v>
      </c>
    </row>
    <row r="1325" customFormat="false" ht="35.05" hidden="false" customHeight="false" outlineLevel="0" collapsed="false">
      <c r="A1325" s="7" t="n">
        <v>1324</v>
      </c>
      <c r="B1325" s="7" t="s">
        <v>7067</v>
      </c>
      <c r="C1325" s="7" t="n">
        <v>2013</v>
      </c>
      <c r="D1325" s="7" t="s">
        <v>7068</v>
      </c>
      <c r="E1325" s="7" t="s">
        <v>143</v>
      </c>
      <c r="F1325" s="7" t="s">
        <v>798</v>
      </c>
      <c r="G1325" s="7" t="s">
        <v>145</v>
      </c>
      <c r="H1325" s="7" t="s">
        <v>146</v>
      </c>
      <c r="I1325" s="7" t="s">
        <v>7069</v>
      </c>
      <c r="J1325" s="7"/>
      <c r="K1325" s="7" t="s">
        <v>7070</v>
      </c>
    </row>
    <row r="1326" customFormat="false" ht="23.85" hidden="false" customHeight="false" outlineLevel="0" collapsed="false">
      <c r="A1326" s="7" t="n">
        <v>1325</v>
      </c>
      <c r="B1326" s="7" t="s">
        <v>7071</v>
      </c>
      <c r="C1326" s="7" t="n">
        <v>2021</v>
      </c>
      <c r="D1326" s="7" t="s">
        <v>7072</v>
      </c>
      <c r="E1326" s="7" t="s">
        <v>143</v>
      </c>
      <c r="F1326" s="7" t="s">
        <v>152</v>
      </c>
      <c r="G1326" s="7" t="s">
        <v>145</v>
      </c>
      <c r="H1326" s="7" t="s">
        <v>153</v>
      </c>
      <c r="I1326" s="7" t="s">
        <v>7073</v>
      </c>
      <c r="J1326" s="7" t="s">
        <v>114</v>
      </c>
      <c r="K1326" s="7" t="s">
        <v>7074</v>
      </c>
    </row>
    <row r="1327" customFormat="false" ht="35.05" hidden="false" customHeight="false" outlineLevel="0" collapsed="false">
      <c r="A1327" s="7" t="n">
        <v>1326</v>
      </c>
      <c r="B1327" s="7" t="s">
        <v>7075</v>
      </c>
      <c r="C1327" s="7" t="n">
        <v>2014</v>
      </c>
      <c r="D1327" s="7" t="s">
        <v>7076</v>
      </c>
      <c r="E1327" s="7" t="s">
        <v>143</v>
      </c>
      <c r="F1327" s="7" t="s">
        <v>7077</v>
      </c>
      <c r="G1327" s="7" t="s">
        <v>145</v>
      </c>
      <c r="H1327" s="7" t="s">
        <v>146</v>
      </c>
      <c r="I1327" s="7" t="s">
        <v>7078</v>
      </c>
      <c r="J1327" s="7"/>
      <c r="K1327" s="7" t="s">
        <v>7079</v>
      </c>
    </row>
    <row r="1328" customFormat="false" ht="35.05" hidden="false" customHeight="false" outlineLevel="0" collapsed="false">
      <c r="A1328" s="7" t="n">
        <v>1327</v>
      </c>
      <c r="B1328" s="7" t="s">
        <v>7080</v>
      </c>
      <c r="C1328" s="7" t="n">
        <v>2011</v>
      </c>
      <c r="D1328" s="7" t="s">
        <v>7081</v>
      </c>
      <c r="E1328" s="7" t="s">
        <v>143</v>
      </c>
      <c r="F1328" s="7" t="s">
        <v>7082</v>
      </c>
      <c r="G1328" s="7" t="s">
        <v>145</v>
      </c>
      <c r="H1328" s="7" t="s">
        <v>387</v>
      </c>
      <c r="I1328" s="7" t="s">
        <v>7083</v>
      </c>
      <c r="J1328" s="7" t="s">
        <v>114</v>
      </c>
      <c r="K1328" s="7" t="s">
        <v>7084</v>
      </c>
    </row>
    <row r="1329" customFormat="false" ht="35.05" hidden="false" customHeight="false" outlineLevel="0" collapsed="false">
      <c r="A1329" s="7" t="n">
        <v>1328</v>
      </c>
      <c r="B1329" s="7" t="s">
        <v>7080</v>
      </c>
      <c r="C1329" s="7" t="n">
        <v>2012</v>
      </c>
      <c r="D1329" s="7" t="s">
        <v>7085</v>
      </c>
      <c r="E1329" s="7" t="s">
        <v>143</v>
      </c>
      <c r="F1329" s="7" t="s">
        <v>7086</v>
      </c>
      <c r="G1329" s="7" t="s">
        <v>145</v>
      </c>
      <c r="H1329" s="7" t="s">
        <v>387</v>
      </c>
      <c r="I1329" s="7" t="s">
        <v>7087</v>
      </c>
      <c r="J1329" s="7" t="s">
        <v>114</v>
      </c>
      <c r="K1329" s="7" t="s">
        <v>7088</v>
      </c>
    </row>
    <row r="1330" customFormat="false" ht="35.05" hidden="false" customHeight="false" outlineLevel="0" collapsed="false">
      <c r="A1330" s="7" t="n">
        <v>1329</v>
      </c>
      <c r="B1330" s="7" t="s">
        <v>7089</v>
      </c>
      <c r="C1330" s="7" t="n">
        <v>2016</v>
      </c>
      <c r="D1330" s="7" t="s">
        <v>7090</v>
      </c>
      <c r="E1330" s="7" t="s">
        <v>143</v>
      </c>
      <c r="F1330" s="7" t="s">
        <v>7091</v>
      </c>
      <c r="G1330" s="7" t="s">
        <v>145</v>
      </c>
      <c r="H1330" s="7" t="s">
        <v>387</v>
      </c>
      <c r="I1330" s="7" t="s">
        <v>7092</v>
      </c>
      <c r="J1330" s="7" t="s">
        <v>116</v>
      </c>
      <c r="K1330" s="7" t="s">
        <v>7093</v>
      </c>
    </row>
    <row r="1331" customFormat="false" ht="35.05" hidden="false" customHeight="false" outlineLevel="0" collapsed="false">
      <c r="A1331" s="7" t="n">
        <v>1330</v>
      </c>
      <c r="B1331" s="7" t="s">
        <v>7094</v>
      </c>
      <c r="C1331" s="7" t="n">
        <v>2021</v>
      </c>
      <c r="D1331" s="7" t="s">
        <v>7095</v>
      </c>
      <c r="E1331" s="7" t="s">
        <v>143</v>
      </c>
      <c r="F1331" s="7" t="s">
        <v>7096</v>
      </c>
      <c r="G1331" s="7" t="s">
        <v>145</v>
      </c>
      <c r="H1331" s="7" t="s">
        <v>153</v>
      </c>
      <c r="I1331" s="7" t="s">
        <v>7097</v>
      </c>
      <c r="J1331" s="7"/>
      <c r="K1331" s="7" t="s">
        <v>7098</v>
      </c>
    </row>
    <row r="1332" customFormat="false" ht="23.85" hidden="false" customHeight="false" outlineLevel="0" collapsed="false">
      <c r="A1332" s="7" t="n">
        <v>1331</v>
      </c>
      <c r="B1332" s="7" t="s">
        <v>7094</v>
      </c>
      <c r="C1332" s="7" t="n">
        <v>2021</v>
      </c>
      <c r="D1332" s="7" t="s">
        <v>7099</v>
      </c>
      <c r="E1332" s="7" t="s">
        <v>143</v>
      </c>
      <c r="F1332" s="7" t="s">
        <v>7100</v>
      </c>
      <c r="G1332" s="7" t="s">
        <v>145</v>
      </c>
      <c r="H1332" s="7" t="s">
        <v>153</v>
      </c>
      <c r="I1332" s="7" t="s">
        <v>7101</v>
      </c>
      <c r="J1332" s="7"/>
      <c r="K1332" s="7" t="s">
        <v>7102</v>
      </c>
    </row>
    <row r="1333" customFormat="false" ht="35.05" hidden="false" customHeight="false" outlineLevel="0" collapsed="false">
      <c r="A1333" s="7" t="n">
        <v>1332</v>
      </c>
      <c r="B1333" s="7" t="s">
        <v>7103</v>
      </c>
      <c r="C1333" s="7" t="n">
        <v>2022</v>
      </c>
      <c r="D1333" s="7" t="s">
        <v>7104</v>
      </c>
      <c r="E1333" s="7" t="s">
        <v>143</v>
      </c>
      <c r="F1333" s="7" t="s">
        <v>7105</v>
      </c>
      <c r="G1333" s="7" t="s">
        <v>145</v>
      </c>
      <c r="H1333" s="7" t="s">
        <v>387</v>
      </c>
      <c r="I1333" s="7" t="s">
        <v>7106</v>
      </c>
      <c r="J1333" s="7"/>
      <c r="K1333" s="7" t="s">
        <v>7107</v>
      </c>
    </row>
    <row r="1334" customFormat="false" ht="35.05" hidden="false" customHeight="false" outlineLevel="0" collapsed="false">
      <c r="A1334" s="7" t="n">
        <v>1333</v>
      </c>
      <c r="B1334" s="7" t="s">
        <v>7108</v>
      </c>
      <c r="C1334" s="7" t="n">
        <v>2022</v>
      </c>
      <c r="D1334" s="7" t="s">
        <v>7109</v>
      </c>
      <c r="E1334" s="7" t="s">
        <v>143</v>
      </c>
      <c r="F1334" s="7" t="s">
        <v>7013</v>
      </c>
      <c r="G1334" s="7" t="s">
        <v>7110</v>
      </c>
      <c r="H1334" s="7" t="s">
        <v>153</v>
      </c>
      <c r="I1334" s="7" t="s">
        <v>7111</v>
      </c>
      <c r="J1334" s="7"/>
      <c r="K1334" s="7" t="s">
        <v>7112</v>
      </c>
    </row>
    <row r="1335" customFormat="false" ht="35.05" hidden="false" customHeight="false" outlineLevel="0" collapsed="false">
      <c r="A1335" s="7" t="n">
        <v>1334</v>
      </c>
      <c r="B1335" s="7" t="s">
        <v>7108</v>
      </c>
      <c r="C1335" s="7" t="n">
        <v>2022</v>
      </c>
      <c r="D1335" s="7" t="s">
        <v>7113</v>
      </c>
      <c r="E1335" s="7" t="s">
        <v>143</v>
      </c>
      <c r="F1335" s="7" t="s">
        <v>7013</v>
      </c>
      <c r="G1335" s="7" t="s">
        <v>145</v>
      </c>
      <c r="H1335" s="7" t="s">
        <v>153</v>
      </c>
      <c r="I1335" s="7" t="s">
        <v>7114</v>
      </c>
      <c r="J1335" s="7"/>
      <c r="K1335" s="7" t="s">
        <v>7115</v>
      </c>
    </row>
    <row r="1336" customFormat="false" ht="23.85" hidden="false" customHeight="false" outlineLevel="0" collapsed="false">
      <c r="A1336" s="7" t="n">
        <v>1335</v>
      </c>
      <c r="B1336" s="7" t="s">
        <v>2436</v>
      </c>
      <c r="C1336" s="7" t="n">
        <v>2021</v>
      </c>
      <c r="D1336" s="7" t="s">
        <v>7116</v>
      </c>
      <c r="E1336" s="7" t="s">
        <v>143</v>
      </c>
      <c r="F1336" s="7" t="s">
        <v>7117</v>
      </c>
      <c r="G1336" s="7" t="s">
        <v>145</v>
      </c>
      <c r="H1336" s="7" t="s">
        <v>387</v>
      </c>
      <c r="I1336" s="7" t="s">
        <v>7118</v>
      </c>
      <c r="J1336" s="7" t="s">
        <v>114</v>
      </c>
      <c r="K1336" s="7" t="s">
        <v>7119</v>
      </c>
    </row>
    <row r="1337" customFormat="false" ht="23.85" hidden="false" customHeight="false" outlineLevel="0" collapsed="false">
      <c r="A1337" s="7" t="n">
        <v>1336</v>
      </c>
      <c r="B1337" s="7" t="s">
        <v>7120</v>
      </c>
      <c r="C1337" s="7" t="n">
        <v>2020</v>
      </c>
      <c r="D1337" s="7" t="s">
        <v>7121</v>
      </c>
      <c r="E1337" s="7" t="s">
        <v>143</v>
      </c>
      <c r="F1337" s="7" t="s">
        <v>7122</v>
      </c>
      <c r="G1337" s="7" t="s">
        <v>7123</v>
      </c>
      <c r="H1337" s="7" t="s">
        <v>387</v>
      </c>
      <c r="I1337" s="7" t="s">
        <v>7124</v>
      </c>
      <c r="J1337" s="7"/>
      <c r="K1337" s="7" t="s">
        <v>7125</v>
      </c>
    </row>
    <row r="1338" customFormat="false" ht="35.05" hidden="false" customHeight="false" outlineLevel="0" collapsed="false">
      <c r="A1338" s="7" t="n">
        <v>1337</v>
      </c>
      <c r="B1338" s="7" t="s">
        <v>7126</v>
      </c>
      <c r="C1338" s="7" t="n">
        <v>2017</v>
      </c>
      <c r="D1338" s="7" t="s">
        <v>7127</v>
      </c>
      <c r="E1338" s="7" t="s">
        <v>151</v>
      </c>
      <c r="F1338" s="7" t="s">
        <v>1619</v>
      </c>
      <c r="G1338" s="7" t="s">
        <v>145</v>
      </c>
      <c r="H1338" s="7" t="s">
        <v>153</v>
      </c>
      <c r="I1338" s="7" t="s">
        <v>7128</v>
      </c>
      <c r="J1338" s="7"/>
      <c r="K1338" s="7" t="s">
        <v>7129</v>
      </c>
    </row>
    <row r="1339" customFormat="false" ht="46.25" hidden="false" customHeight="false" outlineLevel="0" collapsed="false">
      <c r="A1339" s="7" t="n">
        <v>1338</v>
      </c>
      <c r="B1339" s="7" t="s">
        <v>7130</v>
      </c>
      <c r="C1339" s="7" t="n">
        <v>2001</v>
      </c>
      <c r="D1339" s="7" t="s">
        <v>7131</v>
      </c>
      <c r="E1339" s="7" t="s">
        <v>143</v>
      </c>
      <c r="F1339" s="7" t="s">
        <v>7132</v>
      </c>
      <c r="G1339" s="7" t="s">
        <v>7133</v>
      </c>
      <c r="H1339" s="7" t="s">
        <v>146</v>
      </c>
      <c r="I1339" s="7" t="s">
        <v>7134</v>
      </c>
      <c r="J1339" s="7"/>
      <c r="K1339" s="7" t="s">
        <v>7135</v>
      </c>
    </row>
    <row r="1340" customFormat="false" ht="35.05" hidden="false" customHeight="false" outlineLevel="0" collapsed="false">
      <c r="A1340" s="7" t="n">
        <v>1339</v>
      </c>
      <c r="B1340" s="7" t="s">
        <v>7136</v>
      </c>
      <c r="C1340" s="7" t="n">
        <v>2017</v>
      </c>
      <c r="D1340" s="7" t="s">
        <v>7137</v>
      </c>
      <c r="E1340" s="7" t="s">
        <v>143</v>
      </c>
      <c r="F1340" s="7" t="s">
        <v>364</v>
      </c>
      <c r="G1340" s="7" t="s">
        <v>145</v>
      </c>
      <c r="H1340" s="7" t="s">
        <v>153</v>
      </c>
      <c r="I1340" s="7" t="s">
        <v>7138</v>
      </c>
      <c r="J1340" s="7" t="s">
        <v>114</v>
      </c>
      <c r="K1340" s="7" t="s">
        <v>7139</v>
      </c>
    </row>
    <row r="1341" customFormat="false" ht="35.05" hidden="false" customHeight="false" outlineLevel="0" collapsed="false">
      <c r="A1341" s="7" t="n">
        <v>1340</v>
      </c>
      <c r="B1341" s="7" t="s">
        <v>7140</v>
      </c>
      <c r="C1341" s="7" t="n">
        <v>2012</v>
      </c>
      <c r="D1341" s="7" t="s">
        <v>7141</v>
      </c>
      <c r="E1341" s="7" t="s">
        <v>143</v>
      </c>
      <c r="F1341" s="7" t="s">
        <v>626</v>
      </c>
      <c r="G1341" s="7" t="s">
        <v>145</v>
      </c>
      <c r="H1341" s="7" t="s">
        <v>387</v>
      </c>
      <c r="I1341" s="7" t="s">
        <v>7142</v>
      </c>
      <c r="J1341" s="7" t="s">
        <v>116</v>
      </c>
      <c r="K1341" s="7" t="s">
        <v>7143</v>
      </c>
    </row>
    <row r="1342" customFormat="false" ht="35.05" hidden="false" customHeight="false" outlineLevel="0" collapsed="false">
      <c r="A1342" s="7" t="n">
        <v>1341</v>
      </c>
      <c r="B1342" s="7" t="s">
        <v>7144</v>
      </c>
      <c r="C1342" s="7" t="n">
        <v>2013</v>
      </c>
      <c r="D1342" s="7" t="s">
        <v>7145</v>
      </c>
      <c r="E1342" s="7" t="s">
        <v>143</v>
      </c>
      <c r="F1342" s="7" t="s">
        <v>6890</v>
      </c>
      <c r="G1342" s="7" t="s">
        <v>7146</v>
      </c>
      <c r="H1342" s="7" t="s">
        <v>146</v>
      </c>
      <c r="I1342" s="7" t="s">
        <v>7147</v>
      </c>
      <c r="J1342" s="7"/>
      <c r="K1342" s="7" t="s">
        <v>7148</v>
      </c>
    </row>
    <row r="1343" customFormat="false" ht="35.05" hidden="false" customHeight="false" outlineLevel="0" collapsed="false">
      <c r="A1343" s="7" t="n">
        <v>1342</v>
      </c>
      <c r="B1343" s="7" t="s">
        <v>7149</v>
      </c>
      <c r="C1343" s="7" t="n">
        <v>2021</v>
      </c>
      <c r="D1343" s="7" t="s">
        <v>7150</v>
      </c>
      <c r="E1343" s="7" t="s">
        <v>143</v>
      </c>
      <c r="F1343" s="7" t="s">
        <v>6890</v>
      </c>
      <c r="G1343" s="7" t="s">
        <v>2741</v>
      </c>
      <c r="H1343" s="7" t="s">
        <v>146</v>
      </c>
      <c r="I1343" s="7" t="s">
        <v>7151</v>
      </c>
      <c r="J1343" s="7"/>
      <c r="K1343" s="7" t="s">
        <v>7152</v>
      </c>
    </row>
    <row r="1344" customFormat="false" ht="35.05" hidden="false" customHeight="false" outlineLevel="0" collapsed="false">
      <c r="A1344" s="7" t="n">
        <v>1343</v>
      </c>
      <c r="B1344" s="7" t="s">
        <v>7153</v>
      </c>
      <c r="C1344" s="7" t="n">
        <v>2016</v>
      </c>
      <c r="D1344" s="7" t="s">
        <v>7154</v>
      </c>
      <c r="E1344" s="7" t="s">
        <v>143</v>
      </c>
      <c r="F1344" s="7" t="s">
        <v>7155</v>
      </c>
      <c r="G1344" s="7" t="s">
        <v>7156</v>
      </c>
      <c r="H1344" s="7" t="s">
        <v>146</v>
      </c>
      <c r="I1344" s="7" t="s">
        <v>7157</v>
      </c>
      <c r="J1344" s="7"/>
      <c r="K1344" s="7" t="s">
        <v>7158</v>
      </c>
    </row>
    <row r="1345" customFormat="false" ht="35.05" hidden="false" customHeight="false" outlineLevel="0" collapsed="false">
      <c r="A1345" s="7" t="n">
        <v>1344</v>
      </c>
      <c r="B1345" s="7" t="s">
        <v>7159</v>
      </c>
      <c r="C1345" s="7" t="n">
        <v>1992</v>
      </c>
      <c r="D1345" s="7" t="s">
        <v>7160</v>
      </c>
      <c r="E1345" s="7" t="s">
        <v>143</v>
      </c>
      <c r="F1345" s="7" t="s">
        <v>7161</v>
      </c>
      <c r="G1345" s="7" t="s">
        <v>7146</v>
      </c>
      <c r="H1345" s="7" t="s">
        <v>146</v>
      </c>
      <c r="I1345" s="7" t="s">
        <v>7162</v>
      </c>
      <c r="J1345" s="7"/>
      <c r="K1345" s="7" t="s">
        <v>7163</v>
      </c>
    </row>
    <row r="1346" customFormat="false" ht="35.05" hidden="false" customHeight="false" outlineLevel="0" collapsed="false">
      <c r="A1346" s="7" t="n">
        <v>1345</v>
      </c>
      <c r="B1346" s="7" t="s">
        <v>7159</v>
      </c>
      <c r="C1346" s="7" t="n">
        <v>2014</v>
      </c>
      <c r="D1346" s="7" t="s">
        <v>7164</v>
      </c>
      <c r="E1346" s="7" t="s">
        <v>143</v>
      </c>
      <c r="F1346" s="7" t="s">
        <v>7165</v>
      </c>
      <c r="G1346" s="7" t="s">
        <v>7166</v>
      </c>
      <c r="H1346" s="7" t="s">
        <v>387</v>
      </c>
      <c r="I1346" s="7" t="s">
        <v>7167</v>
      </c>
      <c r="J1346" s="7"/>
      <c r="K1346" s="7" t="s">
        <v>7168</v>
      </c>
    </row>
    <row r="1347" customFormat="false" ht="23.85" hidden="false" customHeight="false" outlineLevel="0" collapsed="false">
      <c r="A1347" s="7" t="n">
        <v>1346</v>
      </c>
      <c r="B1347" s="7" t="s">
        <v>7169</v>
      </c>
      <c r="C1347" s="7" t="n">
        <v>2020</v>
      </c>
      <c r="D1347" s="7" t="s">
        <v>7170</v>
      </c>
      <c r="E1347" s="7" t="s">
        <v>143</v>
      </c>
      <c r="F1347" s="7" t="s">
        <v>7171</v>
      </c>
      <c r="G1347" s="7" t="s">
        <v>145</v>
      </c>
      <c r="H1347" s="7" t="s">
        <v>153</v>
      </c>
      <c r="I1347" s="7" t="s">
        <v>7172</v>
      </c>
      <c r="J1347" s="7"/>
      <c r="K1347" s="7" t="s">
        <v>7173</v>
      </c>
    </row>
    <row r="1348" customFormat="false" ht="35.05" hidden="false" customHeight="false" outlineLevel="0" collapsed="false">
      <c r="A1348" s="7" t="n">
        <v>1347</v>
      </c>
      <c r="B1348" s="7" t="s">
        <v>7174</v>
      </c>
      <c r="C1348" s="7" t="n">
        <v>2014</v>
      </c>
      <c r="D1348" s="7" t="s">
        <v>7175</v>
      </c>
      <c r="E1348" s="7" t="s">
        <v>143</v>
      </c>
      <c r="F1348" s="7" t="s">
        <v>7176</v>
      </c>
      <c r="G1348" s="7" t="s">
        <v>7177</v>
      </c>
      <c r="H1348" s="7" t="s">
        <v>146</v>
      </c>
      <c r="I1348" s="7" t="s">
        <v>7178</v>
      </c>
      <c r="J1348" s="7"/>
      <c r="K1348" s="7" t="s">
        <v>7179</v>
      </c>
    </row>
    <row r="1349" customFormat="false" ht="23.85" hidden="false" customHeight="false" outlineLevel="0" collapsed="false">
      <c r="A1349" s="7" t="n">
        <v>1348</v>
      </c>
      <c r="B1349" s="7" t="s">
        <v>7180</v>
      </c>
      <c r="C1349" s="7" t="n">
        <v>2012</v>
      </c>
      <c r="D1349" s="7" t="s">
        <v>7181</v>
      </c>
      <c r="E1349" s="7" t="s">
        <v>143</v>
      </c>
      <c r="F1349" s="7" t="s">
        <v>6513</v>
      </c>
      <c r="G1349" s="7" t="s">
        <v>7182</v>
      </c>
      <c r="H1349" s="7" t="s">
        <v>153</v>
      </c>
      <c r="I1349" s="7" t="s">
        <v>7183</v>
      </c>
      <c r="J1349" s="7" t="s">
        <v>114</v>
      </c>
      <c r="K1349" s="7" t="s">
        <v>7184</v>
      </c>
    </row>
    <row r="1350" customFormat="false" ht="35.05" hidden="false" customHeight="false" outlineLevel="0" collapsed="false">
      <c r="A1350" s="7" t="n">
        <v>1349</v>
      </c>
      <c r="B1350" s="7" t="s">
        <v>7185</v>
      </c>
      <c r="C1350" s="7" t="n">
        <v>2018</v>
      </c>
      <c r="D1350" s="7" t="s">
        <v>7186</v>
      </c>
      <c r="E1350" s="7" t="s">
        <v>143</v>
      </c>
      <c r="F1350" s="7" t="s">
        <v>7187</v>
      </c>
      <c r="G1350" s="7" t="s">
        <v>145</v>
      </c>
      <c r="H1350" s="7" t="s">
        <v>153</v>
      </c>
      <c r="I1350" s="7" t="s">
        <v>7188</v>
      </c>
      <c r="J1350" s="7" t="s">
        <v>114</v>
      </c>
      <c r="K1350" s="7" t="s">
        <v>7189</v>
      </c>
    </row>
    <row r="1351" customFormat="false" ht="23.85" hidden="false" customHeight="false" outlineLevel="0" collapsed="false">
      <c r="A1351" s="7" t="n">
        <v>1350</v>
      </c>
      <c r="B1351" s="7" t="s">
        <v>7190</v>
      </c>
      <c r="C1351" s="7" t="n">
        <v>2015</v>
      </c>
      <c r="D1351" s="7" t="s">
        <v>7191</v>
      </c>
      <c r="E1351" s="7" t="s">
        <v>143</v>
      </c>
      <c r="F1351" s="7" t="s">
        <v>1619</v>
      </c>
      <c r="G1351" s="7" t="s">
        <v>145</v>
      </c>
      <c r="H1351" s="7" t="s">
        <v>153</v>
      </c>
      <c r="I1351" s="7" t="s">
        <v>7192</v>
      </c>
      <c r="J1351" s="7"/>
      <c r="K1351" s="7" t="s">
        <v>7193</v>
      </c>
    </row>
    <row r="1352" customFormat="false" ht="35.05" hidden="false" customHeight="false" outlineLevel="0" collapsed="false">
      <c r="A1352" s="7" t="n">
        <v>1351</v>
      </c>
      <c r="B1352" s="7" t="s">
        <v>7194</v>
      </c>
      <c r="C1352" s="7" t="n">
        <v>2020</v>
      </c>
      <c r="D1352" s="7" t="s">
        <v>7195</v>
      </c>
      <c r="E1352" s="7" t="s">
        <v>143</v>
      </c>
      <c r="F1352" s="7" t="s">
        <v>7196</v>
      </c>
      <c r="G1352" s="7" t="s">
        <v>7197</v>
      </c>
      <c r="H1352" s="7" t="s">
        <v>387</v>
      </c>
      <c r="I1352" s="7" t="s">
        <v>7198</v>
      </c>
      <c r="J1352" s="7" t="s">
        <v>116</v>
      </c>
      <c r="K1352" s="7" t="s">
        <v>7199</v>
      </c>
    </row>
    <row r="1353" customFormat="false" ht="35.05" hidden="false" customHeight="false" outlineLevel="0" collapsed="false">
      <c r="A1353" s="7" t="n">
        <v>1352</v>
      </c>
      <c r="B1353" s="7" t="s">
        <v>7200</v>
      </c>
      <c r="C1353" s="7" t="n">
        <v>2021</v>
      </c>
      <c r="D1353" s="7" t="s">
        <v>7201</v>
      </c>
      <c r="E1353" s="7" t="s">
        <v>143</v>
      </c>
      <c r="F1353" s="7" t="s">
        <v>7202</v>
      </c>
      <c r="G1353" s="7" t="s">
        <v>7203</v>
      </c>
      <c r="H1353" s="7" t="s">
        <v>387</v>
      </c>
      <c r="I1353" s="7" t="s">
        <v>7204</v>
      </c>
      <c r="J1353" s="7"/>
      <c r="K1353" s="7" t="s">
        <v>7205</v>
      </c>
    </row>
    <row r="1354" customFormat="false" ht="35.05" hidden="false" customHeight="false" outlineLevel="0" collapsed="false">
      <c r="A1354" s="7" t="n">
        <v>1353</v>
      </c>
      <c r="B1354" s="7" t="s">
        <v>7206</v>
      </c>
      <c r="C1354" s="7" t="n">
        <v>2011</v>
      </c>
      <c r="D1354" s="7" t="s">
        <v>7207</v>
      </c>
      <c r="E1354" s="7" t="s">
        <v>201</v>
      </c>
      <c r="F1354" s="7" t="s">
        <v>1619</v>
      </c>
      <c r="G1354" s="7" t="s">
        <v>145</v>
      </c>
      <c r="H1354" s="7" t="s">
        <v>153</v>
      </c>
      <c r="I1354" s="7" t="s">
        <v>7208</v>
      </c>
      <c r="J1354" s="7" t="s">
        <v>116</v>
      </c>
      <c r="K1354" s="7" t="s">
        <v>7209</v>
      </c>
    </row>
    <row r="1355" customFormat="false" ht="35.05" hidden="false" customHeight="false" outlineLevel="0" collapsed="false">
      <c r="A1355" s="7" t="n">
        <v>1354</v>
      </c>
      <c r="B1355" s="7" t="s">
        <v>7210</v>
      </c>
      <c r="C1355" s="7" t="n">
        <v>2021</v>
      </c>
      <c r="D1355" s="7" t="s">
        <v>7211</v>
      </c>
      <c r="E1355" s="7" t="s">
        <v>143</v>
      </c>
      <c r="F1355" s="7" t="s">
        <v>7059</v>
      </c>
      <c r="G1355" s="7" t="s">
        <v>145</v>
      </c>
      <c r="H1355" s="7" t="s">
        <v>387</v>
      </c>
      <c r="I1355" s="7" t="s">
        <v>7212</v>
      </c>
      <c r="J1355" s="7"/>
      <c r="K1355" s="7" t="s">
        <v>7213</v>
      </c>
    </row>
    <row r="1356" customFormat="false" ht="35.05" hidden="false" customHeight="false" outlineLevel="0" collapsed="false">
      <c r="A1356" s="7" t="n">
        <v>1355</v>
      </c>
      <c r="B1356" s="7" t="s">
        <v>7214</v>
      </c>
      <c r="C1356" s="7" t="n">
        <v>2020</v>
      </c>
      <c r="D1356" s="7" t="s">
        <v>7215</v>
      </c>
      <c r="E1356" s="7" t="s">
        <v>579</v>
      </c>
      <c r="F1356" s="7" t="s">
        <v>7216</v>
      </c>
      <c r="G1356" s="7" t="s">
        <v>7217</v>
      </c>
      <c r="H1356" s="7" t="s">
        <v>146</v>
      </c>
      <c r="I1356" s="7" t="s">
        <v>7218</v>
      </c>
      <c r="J1356" s="7"/>
      <c r="K1356" s="7" t="s">
        <v>7219</v>
      </c>
    </row>
    <row r="1357" customFormat="false" ht="35.05" hidden="false" customHeight="false" outlineLevel="0" collapsed="false">
      <c r="A1357" s="7" t="n">
        <v>1356</v>
      </c>
      <c r="B1357" s="7" t="s">
        <v>7220</v>
      </c>
      <c r="C1357" s="7" t="n">
        <v>2014</v>
      </c>
      <c r="D1357" s="7" t="s">
        <v>7221</v>
      </c>
      <c r="E1357" s="7" t="s">
        <v>143</v>
      </c>
      <c r="F1357" s="7" t="s">
        <v>6890</v>
      </c>
      <c r="G1357" s="7" t="s">
        <v>145</v>
      </c>
      <c r="H1357" s="7" t="s">
        <v>387</v>
      </c>
      <c r="I1357" s="7" t="s">
        <v>7222</v>
      </c>
      <c r="J1357" s="7"/>
      <c r="K1357" s="7" t="s">
        <v>7223</v>
      </c>
    </row>
    <row r="1358" customFormat="false" ht="35.05" hidden="false" customHeight="false" outlineLevel="0" collapsed="false">
      <c r="A1358" s="7" t="n">
        <v>1357</v>
      </c>
      <c r="B1358" s="7" t="s">
        <v>7224</v>
      </c>
      <c r="C1358" s="7" t="n">
        <v>2022</v>
      </c>
      <c r="D1358" s="7" t="s">
        <v>7225</v>
      </c>
      <c r="E1358" s="7" t="s">
        <v>143</v>
      </c>
      <c r="F1358" s="7" t="s">
        <v>7226</v>
      </c>
      <c r="G1358" s="7" t="s">
        <v>145</v>
      </c>
      <c r="H1358" s="7" t="s">
        <v>153</v>
      </c>
      <c r="I1358" s="7" t="s">
        <v>7227</v>
      </c>
      <c r="J1358" s="7" t="s">
        <v>110</v>
      </c>
      <c r="K1358" s="7" t="s">
        <v>7228</v>
      </c>
    </row>
    <row r="1359" customFormat="false" ht="35.05" hidden="false" customHeight="false" outlineLevel="0" collapsed="false">
      <c r="A1359" s="7" t="n">
        <v>1358</v>
      </c>
      <c r="B1359" s="7" t="s">
        <v>7229</v>
      </c>
      <c r="C1359" s="7" t="n">
        <v>2012</v>
      </c>
      <c r="D1359" s="7" t="s">
        <v>7230</v>
      </c>
      <c r="E1359" s="7" t="s">
        <v>143</v>
      </c>
      <c r="F1359" s="7" t="s">
        <v>7231</v>
      </c>
      <c r="G1359" s="7" t="s">
        <v>145</v>
      </c>
      <c r="H1359" s="7" t="s">
        <v>153</v>
      </c>
      <c r="I1359" s="7" t="s">
        <v>7232</v>
      </c>
      <c r="J1359" s="7" t="s">
        <v>114</v>
      </c>
      <c r="K1359" s="7" t="s">
        <v>7233</v>
      </c>
    </row>
    <row r="1360" customFormat="false" ht="35.05" hidden="false" customHeight="false" outlineLevel="0" collapsed="false">
      <c r="A1360" s="7" t="n">
        <v>1359</v>
      </c>
      <c r="B1360" s="7" t="s">
        <v>7229</v>
      </c>
      <c r="C1360" s="7" t="n">
        <v>2013</v>
      </c>
      <c r="D1360" s="7" t="s">
        <v>7234</v>
      </c>
      <c r="E1360" s="7" t="s">
        <v>143</v>
      </c>
      <c r="F1360" s="7" t="s">
        <v>7235</v>
      </c>
      <c r="G1360" s="7" t="s">
        <v>2841</v>
      </c>
      <c r="H1360" s="7" t="s">
        <v>387</v>
      </c>
      <c r="I1360" s="7" t="s">
        <v>7236</v>
      </c>
      <c r="J1360" s="7" t="s">
        <v>112</v>
      </c>
      <c r="K1360" s="7" t="s">
        <v>7237</v>
      </c>
    </row>
    <row r="1361" customFormat="false" ht="35.05" hidden="false" customHeight="false" outlineLevel="0" collapsed="false">
      <c r="A1361" s="7" t="n">
        <v>1360</v>
      </c>
      <c r="B1361" s="7" t="s">
        <v>7238</v>
      </c>
      <c r="C1361" s="7" t="n">
        <v>2019</v>
      </c>
      <c r="D1361" s="7" t="s">
        <v>7239</v>
      </c>
      <c r="E1361" s="7" t="s">
        <v>143</v>
      </c>
      <c r="F1361" s="7" t="s">
        <v>6974</v>
      </c>
      <c r="G1361" s="7" t="s">
        <v>2741</v>
      </c>
      <c r="H1361" s="7" t="s">
        <v>153</v>
      </c>
      <c r="I1361" s="7" t="s">
        <v>7240</v>
      </c>
      <c r="J1361" s="7"/>
      <c r="K1361" s="7" t="s">
        <v>7241</v>
      </c>
    </row>
    <row r="1362" customFormat="false" ht="35.05" hidden="false" customHeight="false" outlineLevel="0" collapsed="false">
      <c r="A1362" s="7" t="n">
        <v>1361</v>
      </c>
      <c r="B1362" s="7" t="s">
        <v>7242</v>
      </c>
      <c r="C1362" s="7" t="n">
        <v>2014</v>
      </c>
      <c r="D1362" s="7" t="s">
        <v>7243</v>
      </c>
      <c r="E1362" s="7" t="s">
        <v>143</v>
      </c>
      <c r="F1362" s="7" t="s">
        <v>348</v>
      </c>
      <c r="G1362" s="7" t="s">
        <v>7244</v>
      </c>
      <c r="H1362" s="7" t="s">
        <v>146</v>
      </c>
      <c r="I1362" s="7" t="s">
        <v>7245</v>
      </c>
      <c r="J1362" s="7"/>
      <c r="K1362" s="7" t="s">
        <v>7246</v>
      </c>
    </row>
    <row r="1363" customFormat="false" ht="35.05" hidden="false" customHeight="false" outlineLevel="0" collapsed="false">
      <c r="A1363" s="7" t="n">
        <v>1362</v>
      </c>
      <c r="B1363" s="7" t="s">
        <v>7247</v>
      </c>
      <c r="C1363" s="7" t="n">
        <v>2021</v>
      </c>
      <c r="D1363" s="7" t="s">
        <v>7248</v>
      </c>
      <c r="E1363" s="7" t="s">
        <v>143</v>
      </c>
      <c r="F1363" s="7" t="s">
        <v>7249</v>
      </c>
      <c r="G1363" s="7" t="s">
        <v>145</v>
      </c>
      <c r="H1363" s="7" t="s">
        <v>387</v>
      </c>
      <c r="I1363" s="7" t="s">
        <v>7250</v>
      </c>
      <c r="J1363" s="7"/>
      <c r="K1363" s="7" t="s">
        <v>7251</v>
      </c>
    </row>
    <row r="1364" customFormat="false" ht="35.05" hidden="false" customHeight="false" outlineLevel="0" collapsed="false">
      <c r="A1364" s="7" t="n">
        <v>1363</v>
      </c>
      <c r="B1364" s="7" t="s">
        <v>7252</v>
      </c>
      <c r="C1364" s="7" t="n">
        <v>2017</v>
      </c>
      <c r="D1364" s="7" t="s">
        <v>7253</v>
      </c>
      <c r="E1364" s="7" t="s">
        <v>201</v>
      </c>
      <c r="F1364" s="7" t="s">
        <v>152</v>
      </c>
      <c r="G1364" s="7" t="s">
        <v>145</v>
      </c>
      <c r="H1364" s="7" t="s">
        <v>153</v>
      </c>
      <c r="I1364" s="7" t="s">
        <v>7254</v>
      </c>
      <c r="J1364" s="7"/>
      <c r="K1364" s="7" t="s">
        <v>7255</v>
      </c>
    </row>
    <row r="1365" customFormat="false" ht="35.05" hidden="false" customHeight="false" outlineLevel="0" collapsed="false">
      <c r="A1365" s="7" t="n">
        <v>1364</v>
      </c>
      <c r="B1365" s="7" t="s">
        <v>7256</v>
      </c>
      <c r="C1365" s="7" t="n">
        <v>2022</v>
      </c>
      <c r="D1365" s="7" t="s">
        <v>7257</v>
      </c>
      <c r="E1365" s="7" t="s">
        <v>151</v>
      </c>
      <c r="F1365" s="7" t="s">
        <v>7258</v>
      </c>
      <c r="G1365" s="7" t="s">
        <v>7259</v>
      </c>
      <c r="H1365" s="7" t="s">
        <v>146</v>
      </c>
      <c r="I1365" s="7" t="s">
        <v>7260</v>
      </c>
      <c r="J1365" s="7"/>
      <c r="K1365" s="7" t="s">
        <v>7261</v>
      </c>
    </row>
    <row r="1366" customFormat="false" ht="35.05" hidden="false" customHeight="false" outlineLevel="0" collapsed="false">
      <c r="A1366" s="7" t="n">
        <v>1365</v>
      </c>
      <c r="B1366" s="7" t="s">
        <v>7262</v>
      </c>
      <c r="C1366" s="7" t="n">
        <v>2021</v>
      </c>
      <c r="D1366" s="7" t="s">
        <v>7263</v>
      </c>
      <c r="E1366" s="7" t="s">
        <v>143</v>
      </c>
      <c r="F1366" s="7" t="s">
        <v>7264</v>
      </c>
      <c r="G1366" s="7" t="s">
        <v>3558</v>
      </c>
      <c r="H1366" s="7" t="s">
        <v>146</v>
      </c>
      <c r="I1366" s="7" t="s">
        <v>7265</v>
      </c>
      <c r="J1366" s="7"/>
      <c r="K1366" s="7" t="s">
        <v>7266</v>
      </c>
    </row>
    <row r="1367" customFormat="false" ht="35.05" hidden="false" customHeight="false" outlineLevel="0" collapsed="false">
      <c r="A1367" s="7" t="n">
        <v>1366</v>
      </c>
      <c r="B1367" s="7" t="s">
        <v>7267</v>
      </c>
      <c r="C1367" s="7" t="n">
        <v>2021</v>
      </c>
      <c r="D1367" s="7" t="s">
        <v>7268</v>
      </c>
      <c r="E1367" s="7" t="s">
        <v>143</v>
      </c>
      <c r="F1367" s="7" t="s">
        <v>7269</v>
      </c>
      <c r="G1367" s="7" t="s">
        <v>2025</v>
      </c>
      <c r="H1367" s="7" t="s">
        <v>153</v>
      </c>
      <c r="I1367" s="7" t="s">
        <v>7270</v>
      </c>
      <c r="J1367" s="7"/>
      <c r="K1367" s="7" t="s">
        <v>7271</v>
      </c>
    </row>
    <row r="1368" customFormat="false" ht="35.05" hidden="false" customHeight="false" outlineLevel="0" collapsed="false">
      <c r="A1368" s="7" t="n">
        <v>1367</v>
      </c>
      <c r="B1368" s="7" t="s">
        <v>7267</v>
      </c>
      <c r="C1368" s="7" t="n">
        <v>2021</v>
      </c>
      <c r="D1368" s="7" t="s">
        <v>7272</v>
      </c>
      <c r="E1368" s="7" t="s">
        <v>143</v>
      </c>
      <c r="F1368" s="7" t="s">
        <v>7273</v>
      </c>
      <c r="G1368" s="7" t="s">
        <v>2741</v>
      </c>
      <c r="H1368" s="7" t="s">
        <v>153</v>
      </c>
      <c r="I1368" s="7" t="s">
        <v>7274</v>
      </c>
      <c r="J1368" s="7"/>
      <c r="K1368" s="7" t="s">
        <v>7275</v>
      </c>
    </row>
    <row r="1369" customFormat="false" ht="35.05" hidden="false" customHeight="false" outlineLevel="0" collapsed="false">
      <c r="A1369" s="7" t="n">
        <v>1368</v>
      </c>
      <c r="B1369" s="7" t="s">
        <v>7276</v>
      </c>
      <c r="C1369" s="7" t="n">
        <v>2012</v>
      </c>
      <c r="D1369" s="7" t="s">
        <v>7277</v>
      </c>
      <c r="E1369" s="7" t="s">
        <v>143</v>
      </c>
      <c r="F1369" s="7" t="s">
        <v>7278</v>
      </c>
      <c r="G1369" s="7" t="s">
        <v>7244</v>
      </c>
      <c r="H1369" s="7" t="s">
        <v>146</v>
      </c>
      <c r="I1369" s="7" t="s">
        <v>7279</v>
      </c>
      <c r="J1369" s="7"/>
      <c r="K1369" s="7" t="s">
        <v>7280</v>
      </c>
    </row>
    <row r="1370" customFormat="false" ht="23.85" hidden="false" customHeight="false" outlineLevel="0" collapsed="false">
      <c r="A1370" s="7" t="n">
        <v>1369</v>
      </c>
      <c r="B1370" s="7" t="s">
        <v>2680</v>
      </c>
      <c r="C1370" s="7" t="n">
        <v>2021</v>
      </c>
      <c r="D1370" s="7" t="s">
        <v>7281</v>
      </c>
      <c r="E1370" s="7" t="s">
        <v>143</v>
      </c>
      <c r="F1370" s="7" t="s">
        <v>7282</v>
      </c>
      <c r="G1370" s="7" t="s">
        <v>145</v>
      </c>
      <c r="H1370" s="7" t="s">
        <v>153</v>
      </c>
      <c r="I1370" s="7" t="s">
        <v>7283</v>
      </c>
      <c r="J1370" s="7" t="s">
        <v>114</v>
      </c>
      <c r="K1370" s="7" t="s">
        <v>7284</v>
      </c>
    </row>
    <row r="1371" customFormat="false" ht="35.05" hidden="false" customHeight="false" outlineLevel="0" collapsed="false">
      <c r="A1371" s="7" t="n">
        <v>1370</v>
      </c>
      <c r="B1371" s="7" t="s">
        <v>5967</v>
      </c>
      <c r="C1371" s="7" t="n">
        <v>2020</v>
      </c>
      <c r="D1371" s="7" t="s">
        <v>7285</v>
      </c>
      <c r="E1371" s="7" t="s">
        <v>151</v>
      </c>
      <c r="F1371" s="7" t="s">
        <v>1264</v>
      </c>
      <c r="G1371" s="7" t="s">
        <v>145</v>
      </c>
      <c r="H1371" s="7" t="s">
        <v>387</v>
      </c>
      <c r="I1371" s="7" t="s">
        <v>7286</v>
      </c>
      <c r="J1371" s="7"/>
      <c r="K1371" s="7" t="s">
        <v>7287</v>
      </c>
    </row>
    <row r="1372" customFormat="false" ht="35.05" hidden="false" customHeight="false" outlineLevel="0" collapsed="false">
      <c r="A1372" s="7" t="n">
        <v>1371</v>
      </c>
      <c r="B1372" s="7" t="s">
        <v>7288</v>
      </c>
      <c r="C1372" s="7" t="n">
        <v>2015</v>
      </c>
      <c r="D1372" s="7" t="s">
        <v>7289</v>
      </c>
      <c r="E1372" s="7" t="s">
        <v>143</v>
      </c>
      <c r="F1372" s="7" t="s">
        <v>7290</v>
      </c>
      <c r="G1372" s="7" t="s">
        <v>7291</v>
      </c>
      <c r="H1372" s="7" t="s">
        <v>146</v>
      </c>
      <c r="I1372" s="7" t="s">
        <v>7292</v>
      </c>
      <c r="J1372" s="7" t="s">
        <v>112</v>
      </c>
      <c r="K1372" s="7" t="s">
        <v>7293</v>
      </c>
    </row>
    <row r="1373" customFormat="false" ht="35.05" hidden="false" customHeight="false" outlineLevel="0" collapsed="false">
      <c r="A1373" s="7" t="n">
        <v>1372</v>
      </c>
      <c r="B1373" s="7" t="s">
        <v>7294</v>
      </c>
      <c r="C1373" s="7" t="n">
        <v>1994</v>
      </c>
      <c r="D1373" s="7" t="s">
        <v>7295</v>
      </c>
      <c r="E1373" s="7" t="s">
        <v>143</v>
      </c>
      <c r="F1373" s="7" t="s">
        <v>7296</v>
      </c>
      <c r="G1373" s="7" t="s">
        <v>7297</v>
      </c>
      <c r="H1373" s="7" t="s">
        <v>146</v>
      </c>
      <c r="I1373" s="7" t="s">
        <v>7298</v>
      </c>
      <c r="J1373" s="7" t="s">
        <v>116</v>
      </c>
      <c r="K1373" s="7" t="s">
        <v>7299</v>
      </c>
    </row>
    <row r="1374" customFormat="false" ht="23.85" hidden="false" customHeight="false" outlineLevel="0" collapsed="false">
      <c r="A1374" s="7" t="n">
        <v>1373</v>
      </c>
      <c r="B1374" s="7" t="s">
        <v>7300</v>
      </c>
      <c r="C1374" s="7" t="n">
        <v>2009</v>
      </c>
      <c r="D1374" s="7" t="s">
        <v>7301</v>
      </c>
      <c r="E1374" s="7" t="s">
        <v>143</v>
      </c>
      <c r="F1374" s="7" t="s">
        <v>6170</v>
      </c>
      <c r="G1374" s="7" t="s">
        <v>145</v>
      </c>
      <c r="H1374" s="7" t="s">
        <v>387</v>
      </c>
      <c r="I1374" s="7" t="s">
        <v>7302</v>
      </c>
      <c r="J1374" s="7"/>
      <c r="K1374" s="7" t="s">
        <v>7303</v>
      </c>
    </row>
    <row r="1375" customFormat="false" ht="35.05" hidden="false" customHeight="false" outlineLevel="0" collapsed="false">
      <c r="A1375" s="7" t="n">
        <v>1374</v>
      </c>
      <c r="B1375" s="7" t="s">
        <v>7304</v>
      </c>
      <c r="C1375" s="7" t="n">
        <v>2017</v>
      </c>
      <c r="D1375" s="7" t="s">
        <v>7305</v>
      </c>
      <c r="E1375" s="7" t="s">
        <v>143</v>
      </c>
      <c r="F1375" s="7" t="s">
        <v>3806</v>
      </c>
      <c r="G1375" s="7" t="s">
        <v>145</v>
      </c>
      <c r="H1375" s="7" t="s">
        <v>153</v>
      </c>
      <c r="I1375" s="7" t="s">
        <v>7306</v>
      </c>
      <c r="J1375" s="7" t="s">
        <v>114</v>
      </c>
      <c r="K1375" s="7" t="s">
        <v>7307</v>
      </c>
    </row>
    <row r="1376" customFormat="false" ht="35.05" hidden="false" customHeight="false" outlineLevel="0" collapsed="false">
      <c r="A1376" s="7" t="n">
        <v>1375</v>
      </c>
      <c r="B1376" s="7" t="s">
        <v>7308</v>
      </c>
      <c r="C1376" s="7" t="n">
        <v>2019</v>
      </c>
      <c r="D1376" s="7" t="s">
        <v>7309</v>
      </c>
      <c r="E1376" s="7" t="s">
        <v>143</v>
      </c>
      <c r="F1376" s="7" t="s">
        <v>7310</v>
      </c>
      <c r="G1376" s="7" t="s">
        <v>145</v>
      </c>
      <c r="H1376" s="7" t="s">
        <v>153</v>
      </c>
      <c r="I1376" s="7" t="s">
        <v>7311</v>
      </c>
      <c r="J1376" s="7" t="s">
        <v>114</v>
      </c>
      <c r="K1376" s="7" t="s">
        <v>7312</v>
      </c>
    </row>
    <row r="1377" customFormat="false" ht="35.05" hidden="false" customHeight="false" outlineLevel="0" collapsed="false">
      <c r="A1377" s="7" t="n">
        <v>1376</v>
      </c>
      <c r="B1377" s="7" t="s">
        <v>7313</v>
      </c>
      <c r="C1377" s="7" t="n">
        <v>2016</v>
      </c>
      <c r="D1377" s="7" t="s">
        <v>7314</v>
      </c>
      <c r="E1377" s="7" t="s">
        <v>143</v>
      </c>
      <c r="F1377" s="7" t="s">
        <v>197</v>
      </c>
      <c r="G1377" s="7" t="s">
        <v>145</v>
      </c>
      <c r="H1377" s="7" t="s">
        <v>387</v>
      </c>
      <c r="I1377" s="7" t="s">
        <v>7315</v>
      </c>
      <c r="J1377" s="7"/>
      <c r="K1377" s="7" t="s">
        <v>7316</v>
      </c>
    </row>
    <row r="1378" customFormat="false" ht="35.05" hidden="false" customHeight="false" outlineLevel="0" collapsed="false">
      <c r="A1378" s="7" t="n">
        <v>1377</v>
      </c>
      <c r="B1378" s="7" t="s">
        <v>7317</v>
      </c>
      <c r="C1378" s="7" t="n">
        <v>2021</v>
      </c>
      <c r="D1378" s="7" t="s">
        <v>7318</v>
      </c>
      <c r="E1378" s="7" t="s">
        <v>143</v>
      </c>
      <c r="F1378" s="7" t="s">
        <v>7319</v>
      </c>
      <c r="G1378" s="7" t="s">
        <v>7320</v>
      </c>
      <c r="H1378" s="7" t="s">
        <v>146</v>
      </c>
      <c r="I1378" s="7" t="s">
        <v>7321</v>
      </c>
      <c r="J1378" s="7" t="s">
        <v>110</v>
      </c>
      <c r="K1378" s="7" t="s">
        <v>7322</v>
      </c>
    </row>
    <row r="1379" customFormat="false" ht="35.05" hidden="false" customHeight="false" outlineLevel="0" collapsed="false">
      <c r="A1379" s="7" t="n">
        <v>1378</v>
      </c>
      <c r="B1379" s="7" t="s">
        <v>7323</v>
      </c>
      <c r="C1379" s="7" t="n">
        <v>1963</v>
      </c>
      <c r="D1379" s="7" t="s">
        <v>7324</v>
      </c>
      <c r="E1379" s="7" t="s">
        <v>143</v>
      </c>
      <c r="F1379" s="7" t="s">
        <v>348</v>
      </c>
      <c r="G1379" s="7" t="s">
        <v>145</v>
      </c>
      <c r="H1379" s="7" t="s">
        <v>387</v>
      </c>
      <c r="I1379" s="7" t="s">
        <v>7325</v>
      </c>
      <c r="J1379" s="7"/>
      <c r="K1379" s="7" t="s">
        <v>7326</v>
      </c>
    </row>
    <row r="1380" customFormat="false" ht="35.05" hidden="false" customHeight="false" outlineLevel="0" collapsed="false">
      <c r="A1380" s="7" t="n">
        <v>1379</v>
      </c>
      <c r="B1380" s="7" t="s">
        <v>7327</v>
      </c>
      <c r="C1380" s="7" t="n">
        <v>2014</v>
      </c>
      <c r="D1380" s="7" t="s">
        <v>7328</v>
      </c>
      <c r="E1380" s="7" t="s">
        <v>151</v>
      </c>
      <c r="F1380" s="7" t="s">
        <v>152</v>
      </c>
      <c r="G1380" s="7" t="s">
        <v>145</v>
      </c>
      <c r="H1380" s="7" t="s">
        <v>146</v>
      </c>
      <c r="I1380" s="7" t="s">
        <v>7329</v>
      </c>
      <c r="J1380" s="7"/>
      <c r="K1380" s="7" t="s">
        <v>7330</v>
      </c>
    </row>
    <row r="1381" customFormat="false" ht="68.65" hidden="false" customHeight="false" outlineLevel="0" collapsed="false">
      <c r="A1381" s="7" t="n">
        <v>1380</v>
      </c>
      <c r="B1381" s="7" t="s">
        <v>15788</v>
      </c>
      <c r="C1381" s="7" t="n">
        <v>2018</v>
      </c>
      <c r="D1381" s="7" t="s">
        <v>7332</v>
      </c>
      <c r="E1381" s="7" t="s">
        <v>143</v>
      </c>
      <c r="F1381" s="7" t="s">
        <v>15789</v>
      </c>
      <c r="G1381" s="7" t="s">
        <v>145</v>
      </c>
      <c r="H1381" s="7" t="s">
        <v>153</v>
      </c>
      <c r="I1381" s="7" t="s">
        <v>1421</v>
      </c>
      <c r="J1381" s="7" t="s">
        <v>112</v>
      </c>
      <c r="K1381" s="7" t="s">
        <v>15790</v>
      </c>
    </row>
    <row r="1382" customFormat="false" ht="35.05" hidden="false" customHeight="false" outlineLevel="0" collapsed="false">
      <c r="A1382" s="7" t="n">
        <v>1381</v>
      </c>
      <c r="B1382" s="7" t="s">
        <v>1793</v>
      </c>
      <c r="C1382" s="7" t="n">
        <v>2023</v>
      </c>
      <c r="D1382" s="7" t="s">
        <v>7337</v>
      </c>
      <c r="E1382" s="7" t="s">
        <v>143</v>
      </c>
      <c r="F1382" s="7" t="s">
        <v>1636</v>
      </c>
      <c r="G1382" s="7" t="s">
        <v>145</v>
      </c>
      <c r="H1382" s="7" t="s">
        <v>153</v>
      </c>
      <c r="I1382" s="7" t="s">
        <v>1921</v>
      </c>
      <c r="J1382" s="7" t="s">
        <v>110</v>
      </c>
      <c r="K1382" s="7" t="s">
        <v>7338</v>
      </c>
    </row>
    <row r="1383" customFormat="false" ht="35.05" hidden="false" customHeight="false" outlineLevel="0" collapsed="false">
      <c r="A1383" s="7" t="n">
        <v>1382</v>
      </c>
      <c r="B1383" s="7" t="s">
        <v>7339</v>
      </c>
      <c r="C1383" s="7" t="n">
        <v>2020</v>
      </c>
      <c r="D1383" s="7" t="s">
        <v>7340</v>
      </c>
      <c r="E1383" s="7" t="s">
        <v>151</v>
      </c>
      <c r="F1383" s="7" t="s">
        <v>152</v>
      </c>
      <c r="G1383" s="7" t="s">
        <v>7341</v>
      </c>
      <c r="H1383" s="7" t="s">
        <v>208</v>
      </c>
      <c r="I1383" s="7" t="s">
        <v>7342</v>
      </c>
      <c r="J1383" s="7"/>
      <c r="K1383" s="7" t="s">
        <v>7343</v>
      </c>
    </row>
    <row r="1384" customFormat="false" ht="23.85" hidden="false" customHeight="false" outlineLevel="0" collapsed="false">
      <c r="A1384" s="7" t="n">
        <v>1383</v>
      </c>
      <c r="B1384" s="7" t="s">
        <v>6729</v>
      </c>
      <c r="C1384" s="7" t="n">
        <v>2016</v>
      </c>
      <c r="D1384" s="7" t="s">
        <v>7344</v>
      </c>
      <c r="E1384" s="7" t="s">
        <v>151</v>
      </c>
      <c r="F1384" s="7" t="s">
        <v>348</v>
      </c>
      <c r="G1384" s="7" t="s">
        <v>145</v>
      </c>
      <c r="H1384" s="7" t="s">
        <v>153</v>
      </c>
      <c r="I1384" s="7" t="s">
        <v>7345</v>
      </c>
      <c r="J1384" s="7"/>
      <c r="K1384" s="7" t="s">
        <v>7346</v>
      </c>
    </row>
    <row r="1385" customFormat="false" ht="35.05" hidden="false" customHeight="false" outlineLevel="0" collapsed="false">
      <c r="A1385" s="7" t="n">
        <v>1384</v>
      </c>
      <c r="B1385" s="7" t="s">
        <v>1166</v>
      </c>
      <c r="C1385" s="7" t="n">
        <v>2014</v>
      </c>
      <c r="D1385" s="7" t="s">
        <v>7347</v>
      </c>
      <c r="E1385" s="7" t="s">
        <v>201</v>
      </c>
      <c r="F1385" s="7" t="s">
        <v>1264</v>
      </c>
      <c r="G1385" s="7" t="s">
        <v>145</v>
      </c>
      <c r="H1385" s="7" t="s">
        <v>153</v>
      </c>
      <c r="I1385" s="7" t="s">
        <v>7348</v>
      </c>
      <c r="J1385" s="7" t="s">
        <v>112</v>
      </c>
      <c r="K1385" s="7" t="s">
        <v>7349</v>
      </c>
    </row>
    <row r="1386" customFormat="false" ht="23.85" hidden="false" customHeight="false" outlineLevel="0" collapsed="false">
      <c r="A1386" s="7" t="n">
        <v>1385</v>
      </c>
      <c r="B1386" s="7" t="s">
        <v>1166</v>
      </c>
      <c r="C1386" s="7" t="n">
        <v>2015</v>
      </c>
      <c r="D1386" s="7" t="s">
        <v>7350</v>
      </c>
      <c r="E1386" s="7" t="s">
        <v>143</v>
      </c>
      <c r="F1386" s="7" t="s">
        <v>1619</v>
      </c>
      <c r="G1386" s="7" t="s">
        <v>145</v>
      </c>
      <c r="H1386" s="7" t="s">
        <v>153</v>
      </c>
      <c r="I1386" s="7" t="s">
        <v>7351</v>
      </c>
      <c r="J1386" s="7" t="s">
        <v>112</v>
      </c>
      <c r="K1386" s="7" t="s">
        <v>7352</v>
      </c>
    </row>
    <row r="1387" customFormat="false" ht="35.05" hidden="false" customHeight="false" outlineLevel="0" collapsed="false">
      <c r="A1387" s="7" t="n">
        <v>1386</v>
      </c>
      <c r="B1387" s="7" t="s">
        <v>7353</v>
      </c>
      <c r="C1387" s="7" t="n">
        <v>2012</v>
      </c>
      <c r="D1387" s="7" t="s">
        <v>7354</v>
      </c>
      <c r="E1387" s="7" t="s">
        <v>151</v>
      </c>
      <c r="F1387" s="7" t="s">
        <v>7355</v>
      </c>
      <c r="G1387" s="7" t="s">
        <v>187</v>
      </c>
      <c r="H1387" s="7" t="s">
        <v>146</v>
      </c>
      <c r="I1387" s="7" t="s">
        <v>7356</v>
      </c>
      <c r="J1387" s="7" t="s">
        <v>116</v>
      </c>
      <c r="K1387" s="7" t="s">
        <v>7357</v>
      </c>
    </row>
    <row r="1388" customFormat="false" ht="23.85" hidden="false" customHeight="false" outlineLevel="0" collapsed="false">
      <c r="A1388" s="7" t="n">
        <v>1387</v>
      </c>
      <c r="B1388" s="7" t="s">
        <v>1672</v>
      </c>
      <c r="C1388" s="7" t="n">
        <v>2024</v>
      </c>
      <c r="D1388" s="7" t="s">
        <v>7358</v>
      </c>
      <c r="E1388" s="7" t="s">
        <v>143</v>
      </c>
      <c r="F1388" s="7" t="s">
        <v>1678</v>
      </c>
      <c r="G1388" s="7" t="s">
        <v>145</v>
      </c>
      <c r="H1388" s="7" t="s">
        <v>153</v>
      </c>
      <c r="I1388" s="7" t="s">
        <v>7359</v>
      </c>
      <c r="J1388" s="7" t="s">
        <v>114</v>
      </c>
      <c r="K1388" s="7" t="s">
        <v>7360</v>
      </c>
    </row>
    <row r="1389" customFormat="false" ht="23.85" hidden="false" customHeight="false" outlineLevel="0" collapsed="false">
      <c r="A1389" s="7" t="n">
        <v>1388</v>
      </c>
      <c r="B1389" s="7" t="s">
        <v>7361</v>
      </c>
      <c r="C1389" s="7" t="n">
        <v>2009</v>
      </c>
      <c r="D1389" s="7" t="s">
        <v>7362</v>
      </c>
      <c r="E1389" s="7" t="s">
        <v>201</v>
      </c>
      <c r="F1389" s="7" t="s">
        <v>1763</v>
      </c>
      <c r="G1389" s="7" t="s">
        <v>1117</v>
      </c>
      <c r="H1389" s="7" t="s">
        <v>146</v>
      </c>
      <c r="I1389" s="7" t="s">
        <v>7363</v>
      </c>
      <c r="J1389" s="7" t="s">
        <v>112</v>
      </c>
      <c r="K1389" s="7" t="s">
        <v>7364</v>
      </c>
    </row>
    <row r="1390" customFormat="false" ht="23.85" hidden="false" customHeight="false" outlineLevel="0" collapsed="false">
      <c r="A1390" s="7" t="n">
        <v>1389</v>
      </c>
      <c r="B1390" s="7" t="s">
        <v>7365</v>
      </c>
      <c r="C1390" s="7" t="n">
        <v>2019</v>
      </c>
      <c r="D1390" s="7" t="s">
        <v>7366</v>
      </c>
      <c r="E1390" s="7" t="s">
        <v>201</v>
      </c>
      <c r="F1390" s="7" t="s">
        <v>152</v>
      </c>
      <c r="G1390" s="7" t="s">
        <v>145</v>
      </c>
      <c r="H1390" s="7" t="s">
        <v>153</v>
      </c>
      <c r="I1390" s="7" t="s">
        <v>7367</v>
      </c>
      <c r="J1390" s="7"/>
      <c r="K1390" s="7" t="s">
        <v>7368</v>
      </c>
    </row>
    <row r="1391" customFormat="false" ht="23.85" hidden="false" customHeight="false" outlineLevel="0" collapsed="false">
      <c r="A1391" s="7" t="n">
        <v>1390</v>
      </c>
      <c r="B1391" s="7" t="s">
        <v>1940</v>
      </c>
      <c r="C1391" s="7" t="n">
        <v>2023</v>
      </c>
      <c r="D1391" s="7" t="s">
        <v>7369</v>
      </c>
      <c r="E1391" s="7" t="s">
        <v>143</v>
      </c>
      <c r="F1391" s="7" t="s">
        <v>1763</v>
      </c>
      <c r="G1391" s="7" t="s">
        <v>1213</v>
      </c>
      <c r="H1391" s="7" t="s">
        <v>146</v>
      </c>
      <c r="I1391" s="7" t="s">
        <v>7370</v>
      </c>
      <c r="J1391" s="7" t="s">
        <v>112</v>
      </c>
      <c r="K1391" s="7" t="s">
        <v>7371</v>
      </c>
    </row>
    <row r="1392" customFormat="false" ht="46.25" hidden="false" customHeight="false" outlineLevel="0" collapsed="false">
      <c r="A1392" s="7" t="n">
        <v>1391</v>
      </c>
      <c r="B1392" s="7" t="s">
        <v>1195</v>
      </c>
      <c r="C1392" s="7" t="n">
        <v>2022</v>
      </c>
      <c r="D1392" s="7" t="s">
        <v>7372</v>
      </c>
      <c r="E1392" s="7" t="s">
        <v>15791</v>
      </c>
      <c r="F1392" s="7" t="s">
        <v>15792</v>
      </c>
      <c r="G1392" s="7" t="s">
        <v>1198</v>
      </c>
      <c r="H1392" s="7" t="s">
        <v>146</v>
      </c>
      <c r="I1392" s="7" t="s">
        <v>15793</v>
      </c>
      <c r="J1392" s="7" t="s">
        <v>112</v>
      </c>
      <c r="K1392" s="7" t="s">
        <v>15794</v>
      </c>
    </row>
    <row r="1393" customFormat="false" ht="23.85" hidden="false" customHeight="false" outlineLevel="0" collapsed="false">
      <c r="A1393" s="7" t="n">
        <v>1392</v>
      </c>
      <c r="B1393" s="7" t="s">
        <v>3354</v>
      </c>
      <c r="C1393" s="7" t="n">
        <v>2020</v>
      </c>
      <c r="D1393" s="7" t="s">
        <v>7378</v>
      </c>
      <c r="E1393" s="7" t="s">
        <v>143</v>
      </c>
      <c r="F1393" s="7" t="s">
        <v>1619</v>
      </c>
      <c r="G1393" s="7" t="s">
        <v>145</v>
      </c>
      <c r="H1393" s="7" t="s">
        <v>153</v>
      </c>
      <c r="I1393" s="7" t="s">
        <v>7379</v>
      </c>
      <c r="J1393" s="7" t="s">
        <v>114</v>
      </c>
      <c r="K1393" s="7" t="s">
        <v>7380</v>
      </c>
    </row>
    <row r="1394" customFormat="false" ht="23.85" hidden="false" customHeight="false" outlineLevel="0" collapsed="false">
      <c r="A1394" s="7" t="n">
        <v>1393</v>
      </c>
      <c r="B1394" s="7" t="s">
        <v>7381</v>
      </c>
      <c r="C1394" s="7" t="n">
        <v>2023</v>
      </c>
      <c r="D1394" s="7" t="s">
        <v>7382</v>
      </c>
      <c r="E1394" s="7" t="s">
        <v>151</v>
      </c>
      <c r="F1394" s="7" t="s">
        <v>1619</v>
      </c>
      <c r="G1394" s="7" t="s">
        <v>145</v>
      </c>
      <c r="H1394" s="7" t="s">
        <v>153</v>
      </c>
      <c r="I1394" s="7" t="s">
        <v>7383</v>
      </c>
      <c r="J1394" s="7"/>
      <c r="K1394" s="7" t="s">
        <v>7384</v>
      </c>
    </row>
    <row r="1395" customFormat="false" ht="35.05" hidden="false" customHeight="false" outlineLevel="0" collapsed="false">
      <c r="A1395" s="7" t="n">
        <v>1394</v>
      </c>
      <c r="B1395" s="7" t="s">
        <v>7385</v>
      </c>
      <c r="C1395" s="7" t="n">
        <v>2023</v>
      </c>
      <c r="D1395" s="7" t="s">
        <v>7386</v>
      </c>
      <c r="E1395" s="7" t="s">
        <v>151</v>
      </c>
      <c r="F1395" s="7" t="s">
        <v>1619</v>
      </c>
      <c r="G1395" s="7" t="s">
        <v>7387</v>
      </c>
      <c r="H1395" s="7" t="s">
        <v>208</v>
      </c>
      <c r="I1395" s="7" t="s">
        <v>7388</v>
      </c>
      <c r="J1395" s="7" t="s">
        <v>112</v>
      </c>
      <c r="K1395" s="7" t="s">
        <v>7389</v>
      </c>
    </row>
    <row r="1396" customFormat="false" ht="23.85" hidden="false" customHeight="false" outlineLevel="0" collapsed="false">
      <c r="A1396" s="7" t="n">
        <v>1395</v>
      </c>
      <c r="B1396" s="7" t="s">
        <v>7390</v>
      </c>
      <c r="C1396" s="7" t="n">
        <v>2019</v>
      </c>
      <c r="D1396" s="7" t="s">
        <v>7391</v>
      </c>
      <c r="E1396" s="7" t="s">
        <v>151</v>
      </c>
      <c r="F1396" s="7" t="s">
        <v>152</v>
      </c>
      <c r="G1396" s="7" t="s">
        <v>145</v>
      </c>
      <c r="H1396" s="7" t="s">
        <v>146</v>
      </c>
      <c r="I1396" s="7" t="s">
        <v>7392</v>
      </c>
      <c r="J1396" s="7"/>
      <c r="K1396" s="7" t="s">
        <v>7393</v>
      </c>
    </row>
    <row r="1397" customFormat="false" ht="35.05" hidden="false" customHeight="false" outlineLevel="0" collapsed="false">
      <c r="A1397" s="7" t="n">
        <v>1396</v>
      </c>
      <c r="B1397" s="7" t="s">
        <v>7394</v>
      </c>
      <c r="C1397" s="7" t="n">
        <v>2021</v>
      </c>
      <c r="D1397" s="7" t="s">
        <v>7395</v>
      </c>
      <c r="E1397" s="7" t="s">
        <v>151</v>
      </c>
      <c r="F1397" s="7" t="s">
        <v>3530</v>
      </c>
      <c r="G1397" s="7" t="s">
        <v>5248</v>
      </c>
      <c r="H1397" s="7" t="s">
        <v>146</v>
      </c>
      <c r="I1397" s="7" t="s">
        <v>7396</v>
      </c>
      <c r="J1397" s="7" t="s">
        <v>112</v>
      </c>
      <c r="K1397" s="7" t="s">
        <v>7397</v>
      </c>
    </row>
    <row r="1398" customFormat="false" ht="35.05" hidden="false" customHeight="false" outlineLevel="0" collapsed="false">
      <c r="A1398" s="7" t="n">
        <v>1397</v>
      </c>
      <c r="B1398" s="7" t="s">
        <v>7398</v>
      </c>
      <c r="C1398" s="7" t="n">
        <v>2024</v>
      </c>
      <c r="D1398" s="7" t="s">
        <v>7399</v>
      </c>
      <c r="E1398" s="7" t="s">
        <v>151</v>
      </c>
      <c r="F1398" s="7" t="s">
        <v>152</v>
      </c>
      <c r="G1398" s="7" t="s">
        <v>684</v>
      </c>
      <c r="H1398" s="7" t="s">
        <v>146</v>
      </c>
      <c r="I1398" s="7" t="s">
        <v>7400</v>
      </c>
      <c r="J1398" s="7"/>
      <c r="K1398" s="7" t="s">
        <v>7401</v>
      </c>
    </row>
    <row r="1399" customFormat="false" ht="23.85" hidden="false" customHeight="false" outlineLevel="0" collapsed="false">
      <c r="A1399" s="7" t="n">
        <v>1398</v>
      </c>
      <c r="B1399" s="7" t="s">
        <v>7402</v>
      </c>
      <c r="C1399" s="7" t="n">
        <v>2015</v>
      </c>
      <c r="D1399" s="7" t="s">
        <v>7403</v>
      </c>
      <c r="E1399" s="7" t="s">
        <v>151</v>
      </c>
      <c r="F1399" s="7" t="s">
        <v>152</v>
      </c>
      <c r="G1399" s="7" t="s">
        <v>145</v>
      </c>
      <c r="H1399" s="7" t="s">
        <v>146</v>
      </c>
      <c r="I1399" s="7" t="s">
        <v>7404</v>
      </c>
      <c r="J1399" s="7"/>
      <c r="K1399" s="7" t="s">
        <v>7405</v>
      </c>
    </row>
    <row r="1400" customFormat="false" ht="23.85" hidden="false" customHeight="false" outlineLevel="0" collapsed="false">
      <c r="A1400" s="7" t="n">
        <v>1399</v>
      </c>
      <c r="B1400" s="7" t="s">
        <v>7406</v>
      </c>
      <c r="C1400" s="7" t="n">
        <v>2022</v>
      </c>
      <c r="D1400" s="7" t="s">
        <v>7407</v>
      </c>
      <c r="E1400" s="7" t="s">
        <v>143</v>
      </c>
      <c r="F1400" s="7" t="s">
        <v>152</v>
      </c>
      <c r="G1400" s="7" t="s">
        <v>145</v>
      </c>
      <c r="H1400" s="7" t="s">
        <v>153</v>
      </c>
      <c r="I1400" s="7" t="s">
        <v>7408</v>
      </c>
      <c r="J1400" s="7" t="s">
        <v>114</v>
      </c>
      <c r="K1400" s="7" t="s">
        <v>7409</v>
      </c>
    </row>
    <row r="1401" customFormat="false" ht="23.85" hidden="false" customHeight="false" outlineLevel="0" collapsed="false">
      <c r="A1401" s="7" t="n">
        <v>1400</v>
      </c>
      <c r="B1401" s="7" t="s">
        <v>7410</v>
      </c>
      <c r="C1401" s="7" t="n">
        <v>2019</v>
      </c>
      <c r="D1401" s="7" t="s">
        <v>7411</v>
      </c>
      <c r="E1401" s="7" t="s">
        <v>151</v>
      </c>
      <c r="F1401" s="7" t="s">
        <v>348</v>
      </c>
      <c r="G1401" s="7" t="s">
        <v>145</v>
      </c>
      <c r="H1401" s="7" t="s">
        <v>153</v>
      </c>
      <c r="I1401" s="7" t="s">
        <v>7412</v>
      </c>
      <c r="J1401" s="7"/>
      <c r="K1401" s="7" t="s">
        <v>7413</v>
      </c>
    </row>
    <row r="1402" customFormat="false" ht="23.85" hidden="false" customHeight="false" outlineLevel="0" collapsed="false">
      <c r="A1402" s="7" t="n">
        <v>1401</v>
      </c>
      <c r="B1402" s="7" t="s">
        <v>7416</v>
      </c>
      <c r="C1402" s="7" t="n">
        <v>2021</v>
      </c>
      <c r="D1402" s="7" t="s">
        <v>7417</v>
      </c>
      <c r="E1402" s="7" t="s">
        <v>151</v>
      </c>
      <c r="F1402" s="7" t="s">
        <v>152</v>
      </c>
      <c r="G1402" s="7" t="s">
        <v>145</v>
      </c>
      <c r="H1402" s="7" t="s">
        <v>208</v>
      </c>
      <c r="I1402" s="7" t="s">
        <v>7418</v>
      </c>
      <c r="J1402" s="7"/>
      <c r="K1402" s="7" t="s">
        <v>7419</v>
      </c>
    </row>
    <row r="1403" customFormat="false" ht="35.05" hidden="false" customHeight="false" outlineLevel="0" collapsed="false">
      <c r="A1403" s="7" t="n">
        <v>1402</v>
      </c>
      <c r="B1403" s="7" t="s">
        <v>7420</v>
      </c>
      <c r="C1403" s="7" t="n">
        <v>2012</v>
      </c>
      <c r="D1403" s="7" t="s">
        <v>7421</v>
      </c>
      <c r="E1403" s="7" t="s">
        <v>151</v>
      </c>
      <c r="F1403" s="7" t="s">
        <v>4464</v>
      </c>
      <c r="G1403" s="7" t="s">
        <v>5455</v>
      </c>
      <c r="H1403" s="7" t="s">
        <v>146</v>
      </c>
      <c r="I1403" s="7" t="s">
        <v>7422</v>
      </c>
      <c r="J1403" s="7" t="s">
        <v>116</v>
      </c>
      <c r="K1403" s="7" t="s">
        <v>7423</v>
      </c>
    </row>
    <row r="1404" customFormat="false" ht="35.05" hidden="false" customHeight="false" outlineLevel="0" collapsed="false">
      <c r="A1404" s="7" t="n">
        <v>1403</v>
      </c>
      <c r="B1404" s="7" t="s">
        <v>7424</v>
      </c>
      <c r="C1404" s="7" t="n">
        <v>2021</v>
      </c>
      <c r="D1404" s="7" t="s">
        <v>7425</v>
      </c>
      <c r="E1404" s="7" t="s">
        <v>151</v>
      </c>
      <c r="F1404" s="7" t="s">
        <v>4464</v>
      </c>
      <c r="G1404" s="7" t="s">
        <v>2262</v>
      </c>
      <c r="H1404" s="7" t="s">
        <v>146</v>
      </c>
      <c r="I1404" s="7" t="s">
        <v>617</v>
      </c>
      <c r="J1404" s="7"/>
      <c r="K1404" s="7" t="s">
        <v>7426</v>
      </c>
    </row>
    <row r="1405" customFormat="false" ht="23.85" hidden="false" customHeight="false" outlineLevel="0" collapsed="false">
      <c r="A1405" s="7" t="n">
        <v>1404</v>
      </c>
      <c r="B1405" s="7" t="s">
        <v>7427</v>
      </c>
      <c r="C1405" s="7" t="n">
        <v>2014</v>
      </c>
      <c r="D1405" s="7" t="s">
        <v>7428</v>
      </c>
      <c r="E1405" s="7" t="s">
        <v>143</v>
      </c>
      <c r="F1405" s="7" t="s">
        <v>1619</v>
      </c>
      <c r="G1405" s="7" t="s">
        <v>145</v>
      </c>
      <c r="H1405" s="7" t="s">
        <v>153</v>
      </c>
      <c r="I1405" s="7" t="s">
        <v>6742</v>
      </c>
      <c r="J1405" s="7" t="s">
        <v>114</v>
      </c>
      <c r="K1405" s="7" t="s">
        <v>7429</v>
      </c>
    </row>
    <row r="1406" customFormat="false" ht="23.85" hidden="false" customHeight="false" outlineLevel="0" collapsed="false">
      <c r="A1406" s="7" t="n">
        <v>1405</v>
      </c>
      <c r="B1406" s="7" t="s">
        <v>7190</v>
      </c>
      <c r="C1406" s="7" t="n">
        <v>2020</v>
      </c>
      <c r="D1406" s="7" t="s">
        <v>7430</v>
      </c>
      <c r="E1406" s="7" t="s">
        <v>143</v>
      </c>
      <c r="F1406" s="7" t="s">
        <v>7431</v>
      </c>
      <c r="G1406" s="7" t="s">
        <v>145</v>
      </c>
      <c r="H1406" s="7" t="s">
        <v>153</v>
      </c>
      <c r="I1406" s="7" t="s">
        <v>7432</v>
      </c>
      <c r="J1406" s="7" t="s">
        <v>114</v>
      </c>
      <c r="K1406" s="7" t="s">
        <v>7433</v>
      </c>
    </row>
    <row r="1407" customFormat="false" ht="35.05" hidden="false" customHeight="false" outlineLevel="0" collapsed="false">
      <c r="A1407" s="7" t="n">
        <v>1406</v>
      </c>
      <c r="B1407" s="7" t="s">
        <v>7434</v>
      </c>
      <c r="C1407" s="7" t="n">
        <v>2008</v>
      </c>
      <c r="D1407" s="7" t="s">
        <v>7435</v>
      </c>
      <c r="E1407" s="7" t="s">
        <v>151</v>
      </c>
      <c r="F1407" s="7" t="s">
        <v>348</v>
      </c>
      <c r="G1407" s="7" t="s">
        <v>145</v>
      </c>
      <c r="H1407" s="7" t="s">
        <v>146</v>
      </c>
      <c r="I1407" s="7" t="s">
        <v>7436</v>
      </c>
      <c r="J1407" s="7"/>
      <c r="K1407" s="7" t="s">
        <v>7437</v>
      </c>
    </row>
    <row r="1408" customFormat="false" ht="35.05" hidden="false" customHeight="false" outlineLevel="0" collapsed="false">
      <c r="A1408" s="7" t="n">
        <v>1407</v>
      </c>
      <c r="B1408" s="7" t="s">
        <v>7438</v>
      </c>
      <c r="C1408" s="7" t="n">
        <v>2021</v>
      </c>
      <c r="D1408" s="7" t="s">
        <v>7439</v>
      </c>
      <c r="E1408" s="7" t="s">
        <v>201</v>
      </c>
      <c r="F1408" s="7" t="s">
        <v>1619</v>
      </c>
      <c r="G1408" s="7" t="s">
        <v>145</v>
      </c>
      <c r="H1408" s="7" t="s">
        <v>153</v>
      </c>
      <c r="I1408" s="7" t="s">
        <v>6571</v>
      </c>
      <c r="J1408" s="7" t="s">
        <v>114</v>
      </c>
      <c r="K1408" s="7" t="s">
        <v>7440</v>
      </c>
    </row>
    <row r="1409" customFormat="false" ht="35.05" hidden="false" customHeight="false" outlineLevel="0" collapsed="false">
      <c r="A1409" s="7" t="n">
        <v>1408</v>
      </c>
      <c r="B1409" s="7" t="s">
        <v>7441</v>
      </c>
      <c r="C1409" s="7" t="n">
        <v>2023</v>
      </c>
      <c r="D1409" s="7" t="s">
        <v>7442</v>
      </c>
      <c r="E1409" s="7" t="s">
        <v>143</v>
      </c>
      <c r="F1409" s="7" t="s">
        <v>7443</v>
      </c>
      <c r="G1409" s="7" t="s">
        <v>684</v>
      </c>
      <c r="H1409" s="7" t="s">
        <v>146</v>
      </c>
      <c r="I1409" s="7" t="s">
        <v>7444</v>
      </c>
      <c r="J1409" s="7"/>
      <c r="K1409" s="7" t="s">
        <v>7445</v>
      </c>
    </row>
    <row r="1410" customFormat="false" ht="23.85" hidden="false" customHeight="false" outlineLevel="0" collapsed="false">
      <c r="A1410" s="7" t="n">
        <v>1409</v>
      </c>
      <c r="B1410" s="7" t="s">
        <v>7446</v>
      </c>
      <c r="C1410" s="7" t="n">
        <v>2001</v>
      </c>
      <c r="D1410" s="7" t="s">
        <v>7447</v>
      </c>
      <c r="E1410" s="7" t="s">
        <v>201</v>
      </c>
      <c r="F1410" s="7" t="s">
        <v>7448</v>
      </c>
      <c r="G1410" s="7" t="s">
        <v>187</v>
      </c>
      <c r="H1410" s="7" t="s">
        <v>208</v>
      </c>
      <c r="I1410" s="7" t="s">
        <v>7449</v>
      </c>
      <c r="J1410" s="7" t="s">
        <v>112</v>
      </c>
      <c r="K1410" s="7" t="s">
        <v>7450</v>
      </c>
    </row>
    <row r="1411" customFormat="false" ht="23.85" hidden="false" customHeight="false" outlineLevel="0" collapsed="false">
      <c r="A1411" s="7" t="n">
        <v>1410</v>
      </c>
      <c r="B1411" s="7" t="s">
        <v>7451</v>
      </c>
      <c r="C1411" s="7" t="n">
        <v>2022</v>
      </c>
      <c r="D1411" s="7" t="s">
        <v>7452</v>
      </c>
      <c r="E1411" s="7" t="s">
        <v>151</v>
      </c>
      <c r="F1411" s="7" t="s">
        <v>1763</v>
      </c>
      <c r="G1411" s="7" t="s">
        <v>1117</v>
      </c>
      <c r="H1411" s="7" t="s">
        <v>146</v>
      </c>
      <c r="I1411" s="7" t="s">
        <v>7453</v>
      </c>
      <c r="J1411" s="7" t="s">
        <v>112</v>
      </c>
      <c r="K1411" s="7" t="s">
        <v>7454</v>
      </c>
    </row>
    <row r="1412" customFormat="false" ht="35.05" hidden="false" customHeight="false" outlineLevel="0" collapsed="false">
      <c r="A1412" s="7" t="n">
        <v>1411</v>
      </c>
      <c r="B1412" s="7" t="s">
        <v>7455</v>
      </c>
      <c r="C1412" s="7" t="n">
        <v>1996</v>
      </c>
      <c r="D1412" s="7" t="s">
        <v>7456</v>
      </c>
      <c r="E1412" s="7" t="s">
        <v>201</v>
      </c>
      <c r="F1412" s="7" t="s">
        <v>152</v>
      </c>
      <c r="G1412" s="7" t="s">
        <v>145</v>
      </c>
      <c r="H1412" s="7" t="s">
        <v>153</v>
      </c>
      <c r="I1412" s="7" t="s">
        <v>7457</v>
      </c>
      <c r="J1412" s="7"/>
      <c r="K1412" s="7" t="s">
        <v>7458</v>
      </c>
    </row>
    <row r="1413" customFormat="false" ht="23.85" hidden="false" customHeight="false" outlineLevel="0" collapsed="false">
      <c r="A1413" s="7" t="n">
        <v>1412</v>
      </c>
      <c r="B1413" s="7" t="s">
        <v>7459</v>
      </c>
      <c r="C1413" s="7" t="n">
        <v>2009</v>
      </c>
      <c r="D1413" s="7" t="s">
        <v>7460</v>
      </c>
      <c r="E1413" s="7" t="s">
        <v>143</v>
      </c>
      <c r="F1413" s="7" t="s">
        <v>626</v>
      </c>
      <c r="G1413" s="7" t="s">
        <v>1319</v>
      </c>
      <c r="H1413" s="7" t="s">
        <v>748</v>
      </c>
      <c r="I1413" s="7" t="s">
        <v>7461</v>
      </c>
      <c r="J1413" s="7" t="s">
        <v>112</v>
      </c>
      <c r="K1413" s="7" t="s">
        <v>7462</v>
      </c>
    </row>
    <row r="1414" customFormat="false" ht="35.05" hidden="false" customHeight="false" outlineLevel="0" collapsed="false">
      <c r="A1414" s="7" t="n">
        <v>1413</v>
      </c>
      <c r="B1414" s="7" t="s">
        <v>3624</v>
      </c>
      <c r="C1414" s="7" t="n">
        <v>2021</v>
      </c>
      <c r="D1414" s="7" t="s">
        <v>7463</v>
      </c>
      <c r="E1414" s="7" t="s">
        <v>143</v>
      </c>
      <c r="F1414" s="7" t="s">
        <v>6084</v>
      </c>
      <c r="G1414" s="7" t="s">
        <v>145</v>
      </c>
      <c r="H1414" s="7" t="s">
        <v>153</v>
      </c>
      <c r="I1414" s="7" t="s">
        <v>7464</v>
      </c>
      <c r="J1414" s="7"/>
      <c r="K1414" s="7" t="s">
        <v>7465</v>
      </c>
    </row>
    <row r="1415" customFormat="false" ht="23.85" hidden="false" customHeight="false" outlineLevel="0" collapsed="false">
      <c r="A1415" s="7" t="n">
        <v>1414</v>
      </c>
      <c r="B1415" s="7" t="s">
        <v>7466</v>
      </c>
      <c r="C1415" s="7" t="n">
        <v>2011</v>
      </c>
      <c r="D1415" s="7" t="s">
        <v>7467</v>
      </c>
      <c r="E1415" s="7" t="s">
        <v>143</v>
      </c>
      <c r="F1415" s="7" t="s">
        <v>1264</v>
      </c>
      <c r="G1415" s="7" t="s">
        <v>5248</v>
      </c>
      <c r="H1415" s="7" t="s">
        <v>146</v>
      </c>
      <c r="I1415" s="7" t="s">
        <v>7348</v>
      </c>
      <c r="J1415" s="7" t="s">
        <v>112</v>
      </c>
      <c r="K1415" s="7" t="s">
        <v>7468</v>
      </c>
    </row>
    <row r="1416" customFormat="false" ht="35.05" hidden="false" customHeight="false" outlineLevel="0" collapsed="false">
      <c r="A1416" s="7" t="n">
        <v>1415</v>
      </c>
      <c r="B1416" s="7" t="s">
        <v>7469</v>
      </c>
      <c r="C1416" s="7" t="n">
        <v>2018</v>
      </c>
      <c r="D1416" s="7" t="s">
        <v>7470</v>
      </c>
      <c r="E1416" s="7" t="s">
        <v>151</v>
      </c>
      <c r="F1416" s="7" t="s">
        <v>348</v>
      </c>
      <c r="G1416" s="7" t="s">
        <v>684</v>
      </c>
      <c r="H1416" s="7" t="s">
        <v>146</v>
      </c>
      <c r="I1416" s="7" t="s">
        <v>7471</v>
      </c>
      <c r="J1416" s="7"/>
      <c r="K1416" s="7" t="s">
        <v>7472</v>
      </c>
    </row>
    <row r="1417" customFormat="false" ht="23.85" hidden="false" customHeight="false" outlineLevel="0" collapsed="false">
      <c r="A1417" s="7" t="n">
        <v>1416</v>
      </c>
      <c r="B1417" s="7" t="s">
        <v>7473</v>
      </c>
      <c r="C1417" s="7" t="n">
        <v>2020</v>
      </c>
      <c r="D1417" s="7" t="s">
        <v>7474</v>
      </c>
      <c r="E1417" s="7" t="s">
        <v>151</v>
      </c>
      <c r="F1417" s="7" t="s">
        <v>348</v>
      </c>
      <c r="G1417" s="7" t="s">
        <v>145</v>
      </c>
      <c r="H1417" s="7" t="s">
        <v>146</v>
      </c>
      <c r="I1417" s="7" t="s">
        <v>7475</v>
      </c>
      <c r="J1417" s="7"/>
      <c r="K1417" s="7" t="s">
        <v>7476</v>
      </c>
    </row>
    <row r="1418" customFormat="false" ht="35.05" hidden="false" customHeight="false" outlineLevel="0" collapsed="false">
      <c r="A1418" s="7" t="n">
        <v>1417</v>
      </c>
      <c r="B1418" s="7" t="s">
        <v>7477</v>
      </c>
      <c r="C1418" s="7" t="n">
        <v>2023</v>
      </c>
      <c r="D1418" s="7" t="s">
        <v>7478</v>
      </c>
      <c r="E1418" s="7" t="s">
        <v>151</v>
      </c>
      <c r="F1418" s="7" t="s">
        <v>1619</v>
      </c>
      <c r="G1418" s="7" t="s">
        <v>7479</v>
      </c>
      <c r="H1418" s="7" t="s">
        <v>153</v>
      </c>
      <c r="I1418" s="7" t="s">
        <v>7480</v>
      </c>
      <c r="J1418" s="7" t="s">
        <v>114</v>
      </c>
      <c r="K1418" s="7" t="s">
        <v>7481</v>
      </c>
    </row>
    <row r="1419" customFormat="false" ht="35.05" hidden="false" customHeight="false" outlineLevel="0" collapsed="false">
      <c r="A1419" s="7" t="n">
        <v>1418</v>
      </c>
      <c r="B1419" s="7" t="s">
        <v>1314</v>
      </c>
      <c r="C1419" s="7" t="n">
        <v>2022</v>
      </c>
      <c r="D1419" s="7" t="s">
        <v>7482</v>
      </c>
      <c r="E1419" s="7" t="s">
        <v>143</v>
      </c>
      <c r="F1419" s="7" t="s">
        <v>3530</v>
      </c>
      <c r="G1419" s="7" t="s">
        <v>145</v>
      </c>
      <c r="H1419" s="7" t="s">
        <v>153</v>
      </c>
      <c r="I1419" s="7" t="s">
        <v>7483</v>
      </c>
      <c r="J1419" s="7" t="s">
        <v>112</v>
      </c>
      <c r="K1419" s="7" t="s">
        <v>7484</v>
      </c>
    </row>
    <row r="1420" customFormat="false" ht="23.85" hidden="false" customHeight="false" outlineLevel="0" collapsed="false">
      <c r="A1420" s="7" t="n">
        <v>1419</v>
      </c>
      <c r="B1420" s="7" t="s">
        <v>7485</v>
      </c>
      <c r="C1420" s="7" t="n">
        <v>2021</v>
      </c>
      <c r="D1420" s="7" t="s">
        <v>7486</v>
      </c>
      <c r="E1420" s="7" t="s">
        <v>151</v>
      </c>
      <c r="F1420" s="7" t="s">
        <v>1619</v>
      </c>
      <c r="G1420" s="7" t="s">
        <v>7487</v>
      </c>
      <c r="H1420" s="7" t="s">
        <v>153</v>
      </c>
      <c r="I1420" s="7" t="s">
        <v>7488</v>
      </c>
      <c r="J1420" s="7" t="s">
        <v>114</v>
      </c>
      <c r="K1420" s="7" t="s">
        <v>7489</v>
      </c>
    </row>
    <row r="1421" customFormat="false" ht="23.85" hidden="false" customHeight="false" outlineLevel="0" collapsed="false">
      <c r="A1421" s="7" t="n">
        <v>1420</v>
      </c>
      <c r="B1421" s="7" t="s">
        <v>7490</v>
      </c>
      <c r="C1421" s="7" t="n">
        <v>2021</v>
      </c>
      <c r="D1421" s="7" t="s">
        <v>7491</v>
      </c>
      <c r="E1421" s="7" t="s">
        <v>143</v>
      </c>
      <c r="F1421" s="7" t="s">
        <v>348</v>
      </c>
      <c r="G1421" s="7" t="s">
        <v>145</v>
      </c>
      <c r="H1421" s="7" t="s">
        <v>153</v>
      </c>
      <c r="I1421" s="7" t="s">
        <v>7492</v>
      </c>
      <c r="J1421" s="7"/>
      <c r="K1421" s="7" t="s">
        <v>7493</v>
      </c>
    </row>
    <row r="1422" customFormat="false" ht="35.05" hidden="false" customHeight="false" outlineLevel="0" collapsed="false">
      <c r="A1422" s="7" t="n">
        <v>1421</v>
      </c>
      <c r="B1422" s="7" t="s">
        <v>7494</v>
      </c>
      <c r="C1422" s="7" t="n">
        <v>2013</v>
      </c>
      <c r="D1422" s="7" t="s">
        <v>7495</v>
      </c>
      <c r="E1422" s="7" t="s">
        <v>201</v>
      </c>
      <c r="F1422" s="7" t="s">
        <v>7496</v>
      </c>
      <c r="G1422" s="7" t="s">
        <v>7497</v>
      </c>
      <c r="H1422" s="7" t="s">
        <v>208</v>
      </c>
      <c r="I1422" s="7" t="s">
        <v>7449</v>
      </c>
      <c r="J1422" s="7" t="s">
        <v>112</v>
      </c>
      <c r="K1422" s="7" t="s">
        <v>7498</v>
      </c>
    </row>
    <row r="1423" customFormat="false" ht="23.85" hidden="false" customHeight="false" outlineLevel="0" collapsed="false">
      <c r="A1423" s="7" t="n">
        <v>1422</v>
      </c>
      <c r="B1423" s="7" t="s">
        <v>7499</v>
      </c>
      <c r="C1423" s="7" t="n">
        <v>2018</v>
      </c>
      <c r="D1423" s="7" t="s">
        <v>7500</v>
      </c>
      <c r="E1423" s="7" t="s">
        <v>151</v>
      </c>
      <c r="F1423" s="7" t="s">
        <v>152</v>
      </c>
      <c r="G1423" s="7" t="s">
        <v>684</v>
      </c>
      <c r="H1423" s="7" t="s">
        <v>387</v>
      </c>
      <c r="I1423" s="7" t="s">
        <v>7501</v>
      </c>
      <c r="J1423" s="7"/>
      <c r="K1423" s="7" t="s">
        <v>7502</v>
      </c>
    </row>
    <row r="1424" customFormat="false" ht="35.05" hidden="false" customHeight="false" outlineLevel="0" collapsed="false">
      <c r="A1424" s="7" t="n">
        <v>1423</v>
      </c>
      <c r="B1424" s="7" t="s">
        <v>6780</v>
      </c>
      <c r="C1424" s="7" t="n">
        <v>2018</v>
      </c>
      <c r="D1424" s="7" t="s">
        <v>7503</v>
      </c>
      <c r="E1424" s="7" t="s">
        <v>151</v>
      </c>
      <c r="F1424" s="7" t="s">
        <v>152</v>
      </c>
      <c r="G1424" s="7" t="s">
        <v>3028</v>
      </c>
      <c r="H1424" s="7" t="s">
        <v>153</v>
      </c>
      <c r="I1424" s="7" t="s">
        <v>7504</v>
      </c>
      <c r="J1424" s="7" t="s">
        <v>116</v>
      </c>
      <c r="K1424" s="7" t="s">
        <v>7505</v>
      </c>
    </row>
    <row r="1425" customFormat="false" ht="35.05" hidden="false" customHeight="false" outlineLevel="0" collapsed="false">
      <c r="A1425" s="7" t="n">
        <v>1424</v>
      </c>
      <c r="B1425" s="7" t="s">
        <v>6780</v>
      </c>
      <c r="C1425" s="7" t="n">
        <v>2020</v>
      </c>
      <c r="D1425" s="7" t="s">
        <v>7506</v>
      </c>
      <c r="E1425" s="7" t="s">
        <v>151</v>
      </c>
      <c r="F1425" s="7" t="s">
        <v>7507</v>
      </c>
      <c r="G1425" s="7" t="s">
        <v>684</v>
      </c>
      <c r="H1425" s="7" t="s">
        <v>146</v>
      </c>
      <c r="I1425" s="7" t="s">
        <v>2001</v>
      </c>
      <c r="J1425" s="7" t="s">
        <v>116</v>
      </c>
      <c r="K1425" s="7" t="s">
        <v>7508</v>
      </c>
    </row>
    <row r="1426" customFormat="false" ht="35.05" hidden="false" customHeight="false" outlineLevel="0" collapsed="false">
      <c r="A1426" s="7" t="n">
        <v>1425</v>
      </c>
      <c r="B1426" s="7" t="s">
        <v>7509</v>
      </c>
      <c r="C1426" s="7" t="n">
        <v>2020</v>
      </c>
      <c r="D1426" s="7" t="s">
        <v>7510</v>
      </c>
      <c r="E1426" s="7" t="s">
        <v>151</v>
      </c>
      <c r="F1426" s="7" t="s">
        <v>152</v>
      </c>
      <c r="G1426" s="7" t="s">
        <v>7511</v>
      </c>
      <c r="H1426" s="7" t="s">
        <v>146</v>
      </c>
      <c r="I1426" s="7" t="s">
        <v>7512</v>
      </c>
      <c r="J1426" s="7"/>
      <c r="K1426" s="7" t="s">
        <v>7513</v>
      </c>
    </row>
    <row r="1427" customFormat="false" ht="23.85" hidden="false" customHeight="false" outlineLevel="0" collapsed="false">
      <c r="A1427" s="7" t="n">
        <v>1426</v>
      </c>
      <c r="B1427" s="7" t="s">
        <v>983</v>
      </c>
      <c r="C1427" s="7" t="n">
        <v>2024</v>
      </c>
      <c r="D1427" s="7" t="s">
        <v>7514</v>
      </c>
      <c r="E1427" s="7" t="s">
        <v>201</v>
      </c>
      <c r="F1427" s="7" t="s">
        <v>348</v>
      </c>
      <c r="G1427" s="7" t="s">
        <v>145</v>
      </c>
      <c r="H1427" s="7" t="s">
        <v>153</v>
      </c>
      <c r="I1427" s="7" t="s">
        <v>7515</v>
      </c>
      <c r="J1427" s="7"/>
      <c r="K1427" s="7" t="s">
        <v>7516</v>
      </c>
    </row>
    <row r="1428" customFormat="false" ht="23.85" hidden="false" customHeight="false" outlineLevel="0" collapsed="false">
      <c r="A1428" s="7" t="n">
        <v>1427</v>
      </c>
      <c r="B1428" s="7" t="s">
        <v>7517</v>
      </c>
      <c r="C1428" s="7" t="n">
        <v>2020</v>
      </c>
      <c r="D1428" s="7" t="s">
        <v>7518</v>
      </c>
      <c r="E1428" s="7" t="s">
        <v>151</v>
      </c>
      <c r="F1428" s="7" t="s">
        <v>7519</v>
      </c>
      <c r="G1428" s="7" t="s">
        <v>684</v>
      </c>
      <c r="H1428" s="7" t="s">
        <v>146</v>
      </c>
      <c r="I1428" s="7" t="s">
        <v>7520</v>
      </c>
      <c r="J1428" s="7"/>
      <c r="K1428" s="7" t="s">
        <v>7521</v>
      </c>
    </row>
    <row r="1429" customFormat="false" ht="23.85" hidden="false" customHeight="false" outlineLevel="0" collapsed="false">
      <c r="A1429" s="7" t="n">
        <v>1428</v>
      </c>
      <c r="B1429" s="7" t="s">
        <v>7522</v>
      </c>
      <c r="C1429" s="7" t="n">
        <v>2021</v>
      </c>
      <c r="D1429" s="7" t="s">
        <v>7523</v>
      </c>
      <c r="E1429" s="7" t="s">
        <v>151</v>
      </c>
      <c r="F1429" s="7" t="s">
        <v>152</v>
      </c>
      <c r="G1429" s="7" t="s">
        <v>684</v>
      </c>
      <c r="H1429" s="7" t="s">
        <v>387</v>
      </c>
      <c r="I1429" s="7" t="s">
        <v>7524</v>
      </c>
      <c r="J1429" s="7"/>
      <c r="K1429" s="7" t="s">
        <v>7525</v>
      </c>
    </row>
    <row r="1430" customFormat="false" ht="23.85" hidden="false" customHeight="false" outlineLevel="0" collapsed="false">
      <c r="A1430" s="7" t="n">
        <v>1429</v>
      </c>
      <c r="B1430" s="7" t="s">
        <v>7526</v>
      </c>
      <c r="C1430" s="7" t="n">
        <v>2005</v>
      </c>
      <c r="D1430" s="7" t="s">
        <v>7527</v>
      </c>
      <c r="E1430" s="7" t="s">
        <v>151</v>
      </c>
      <c r="F1430" s="7" t="s">
        <v>348</v>
      </c>
      <c r="G1430" s="7" t="s">
        <v>145</v>
      </c>
      <c r="H1430" s="7" t="s">
        <v>4353</v>
      </c>
      <c r="I1430" s="7" t="s">
        <v>7528</v>
      </c>
      <c r="J1430" s="7"/>
      <c r="K1430" s="7" t="s">
        <v>7529</v>
      </c>
    </row>
    <row r="1431" customFormat="false" ht="23.85" hidden="false" customHeight="false" outlineLevel="0" collapsed="false">
      <c r="A1431" s="7" t="n">
        <v>1430</v>
      </c>
      <c r="B1431" s="7" t="s">
        <v>7530</v>
      </c>
      <c r="C1431" s="7" t="n">
        <v>2010</v>
      </c>
      <c r="D1431" s="7" t="s">
        <v>7531</v>
      </c>
      <c r="E1431" s="7" t="s">
        <v>151</v>
      </c>
      <c r="F1431" s="7" t="s">
        <v>348</v>
      </c>
      <c r="G1431" s="7" t="s">
        <v>145</v>
      </c>
      <c r="H1431" s="7" t="s">
        <v>7532</v>
      </c>
      <c r="I1431" s="7" t="s">
        <v>7533</v>
      </c>
      <c r="J1431" s="7"/>
      <c r="K1431" s="7" t="s">
        <v>7534</v>
      </c>
    </row>
    <row r="1432" customFormat="false" ht="23.85" hidden="false" customHeight="false" outlineLevel="0" collapsed="false">
      <c r="A1432" s="7" t="n">
        <v>1431</v>
      </c>
      <c r="B1432" s="7" t="s">
        <v>7535</v>
      </c>
      <c r="C1432" s="7" t="n">
        <v>1994</v>
      </c>
      <c r="D1432" s="7" t="s">
        <v>7536</v>
      </c>
      <c r="E1432" s="7" t="s">
        <v>151</v>
      </c>
      <c r="F1432" s="7" t="s">
        <v>348</v>
      </c>
      <c r="G1432" s="7" t="s">
        <v>145</v>
      </c>
      <c r="H1432" s="7" t="s">
        <v>7537</v>
      </c>
      <c r="I1432" s="7" t="s">
        <v>7538</v>
      </c>
      <c r="J1432" s="7"/>
      <c r="K1432" s="7" t="s">
        <v>7539</v>
      </c>
    </row>
    <row r="1433" customFormat="false" ht="23.85" hidden="false" customHeight="false" outlineLevel="0" collapsed="false">
      <c r="A1433" s="7" t="n">
        <v>1432</v>
      </c>
      <c r="B1433" s="7" t="s">
        <v>7540</v>
      </c>
      <c r="C1433" s="7" t="n">
        <v>2022</v>
      </c>
      <c r="D1433" s="7" t="s">
        <v>7541</v>
      </c>
      <c r="E1433" s="7" t="s">
        <v>151</v>
      </c>
      <c r="F1433" s="7" t="s">
        <v>348</v>
      </c>
      <c r="G1433" s="7" t="s">
        <v>145</v>
      </c>
      <c r="H1433" s="7" t="s">
        <v>7542</v>
      </c>
      <c r="I1433" s="7" t="s">
        <v>7543</v>
      </c>
      <c r="J1433" s="7"/>
      <c r="K1433" s="7" t="s">
        <v>7544</v>
      </c>
    </row>
    <row r="1434" customFormat="false" ht="23.85" hidden="false" customHeight="false" outlineLevel="0" collapsed="false">
      <c r="A1434" s="7" t="n">
        <v>1433</v>
      </c>
      <c r="B1434" s="7" t="s">
        <v>7545</v>
      </c>
      <c r="C1434" s="7" t="n">
        <v>2012</v>
      </c>
      <c r="D1434" s="7" t="s">
        <v>7546</v>
      </c>
      <c r="E1434" s="7" t="s">
        <v>151</v>
      </c>
      <c r="F1434" s="7" t="s">
        <v>4650</v>
      </c>
      <c r="G1434" s="7" t="s">
        <v>7547</v>
      </c>
      <c r="H1434" s="7" t="s">
        <v>146</v>
      </c>
      <c r="I1434" s="7" t="s">
        <v>7548</v>
      </c>
      <c r="J1434" s="7"/>
      <c r="K1434" s="7" t="s">
        <v>7549</v>
      </c>
    </row>
    <row r="1435" customFormat="false" ht="35.05" hidden="false" customHeight="false" outlineLevel="0" collapsed="false">
      <c r="A1435" s="7" t="n">
        <v>1434</v>
      </c>
      <c r="B1435" s="7" t="s">
        <v>7554</v>
      </c>
      <c r="C1435" s="7" t="n">
        <v>2018</v>
      </c>
      <c r="D1435" s="7" t="s">
        <v>7555</v>
      </c>
      <c r="E1435" s="7" t="s">
        <v>151</v>
      </c>
      <c r="F1435" s="7" t="s">
        <v>364</v>
      </c>
      <c r="G1435" s="7" t="s">
        <v>145</v>
      </c>
      <c r="H1435" s="7" t="s">
        <v>153</v>
      </c>
      <c r="I1435" s="7" t="s">
        <v>7556</v>
      </c>
      <c r="J1435" s="7"/>
      <c r="K1435" s="7" t="s">
        <v>7557</v>
      </c>
    </row>
    <row r="1436" customFormat="false" ht="35.05" hidden="false" customHeight="false" outlineLevel="0" collapsed="false">
      <c r="A1436" s="7" t="n">
        <v>1435</v>
      </c>
      <c r="B1436" s="7" t="s">
        <v>7558</v>
      </c>
      <c r="C1436" s="7" t="n">
        <v>2016</v>
      </c>
      <c r="D1436" s="7" t="s">
        <v>7559</v>
      </c>
      <c r="E1436" s="7" t="s">
        <v>201</v>
      </c>
      <c r="F1436" s="7" t="s">
        <v>197</v>
      </c>
      <c r="G1436" s="7" t="s">
        <v>145</v>
      </c>
      <c r="H1436" s="7" t="s">
        <v>153</v>
      </c>
      <c r="I1436" s="7" t="s">
        <v>2675</v>
      </c>
      <c r="J1436" s="7"/>
      <c r="K1436" s="7" t="s">
        <v>7560</v>
      </c>
    </row>
    <row r="1437" customFormat="false" ht="35.05" hidden="false" customHeight="false" outlineLevel="0" collapsed="false">
      <c r="A1437" s="7" t="n">
        <v>1436</v>
      </c>
      <c r="B1437" s="7" t="s">
        <v>7561</v>
      </c>
      <c r="C1437" s="7" t="n">
        <v>2009</v>
      </c>
      <c r="D1437" s="7" t="s">
        <v>7562</v>
      </c>
      <c r="E1437" s="7" t="s">
        <v>143</v>
      </c>
      <c r="F1437" s="7" t="s">
        <v>7563</v>
      </c>
      <c r="G1437" s="7" t="s">
        <v>145</v>
      </c>
      <c r="H1437" s="7" t="s">
        <v>153</v>
      </c>
      <c r="I1437" s="7" t="s">
        <v>7564</v>
      </c>
      <c r="J1437" s="7"/>
      <c r="K1437" s="7" t="s">
        <v>7565</v>
      </c>
    </row>
    <row r="1438" customFormat="false" ht="35.05" hidden="false" customHeight="false" outlineLevel="0" collapsed="false">
      <c r="A1438" s="7" t="n">
        <v>1437</v>
      </c>
      <c r="B1438" s="7" t="s">
        <v>1572</v>
      </c>
      <c r="C1438" s="7" t="n">
        <v>2012</v>
      </c>
      <c r="D1438" s="7" t="s">
        <v>7566</v>
      </c>
      <c r="E1438" s="7" t="s">
        <v>143</v>
      </c>
      <c r="F1438" s="7" t="s">
        <v>7567</v>
      </c>
      <c r="G1438" s="7" t="s">
        <v>4310</v>
      </c>
      <c r="H1438" s="7" t="s">
        <v>146</v>
      </c>
      <c r="I1438" s="7" t="s">
        <v>7568</v>
      </c>
      <c r="J1438" s="7"/>
      <c r="K1438" s="7" t="s">
        <v>7569</v>
      </c>
    </row>
    <row r="1439" customFormat="false" ht="35.05" hidden="false" customHeight="false" outlineLevel="0" collapsed="false">
      <c r="A1439" s="7" t="n">
        <v>1438</v>
      </c>
      <c r="B1439" s="7" t="s">
        <v>7570</v>
      </c>
      <c r="C1439" s="7" t="n">
        <v>2013</v>
      </c>
      <c r="D1439" s="7" t="s">
        <v>7571</v>
      </c>
      <c r="E1439" s="7" t="s">
        <v>143</v>
      </c>
      <c r="F1439" s="7" t="s">
        <v>7572</v>
      </c>
      <c r="G1439" s="7" t="s">
        <v>4711</v>
      </c>
      <c r="H1439" s="7" t="s">
        <v>153</v>
      </c>
      <c r="I1439" s="7" t="s">
        <v>7573</v>
      </c>
      <c r="J1439" s="7"/>
      <c r="K1439" s="7" t="s">
        <v>7574</v>
      </c>
    </row>
    <row r="1440" customFormat="false" ht="35.05" hidden="false" customHeight="false" outlineLevel="0" collapsed="false">
      <c r="A1440" s="7" t="n">
        <v>1439</v>
      </c>
      <c r="B1440" s="7" t="s">
        <v>7575</v>
      </c>
      <c r="C1440" s="7" t="n">
        <v>2014</v>
      </c>
      <c r="D1440" s="7" t="s">
        <v>7576</v>
      </c>
      <c r="E1440" s="7" t="s">
        <v>201</v>
      </c>
      <c r="F1440" s="7" t="s">
        <v>2454</v>
      </c>
      <c r="G1440" s="7" t="s">
        <v>7577</v>
      </c>
      <c r="H1440" s="7" t="s">
        <v>146</v>
      </c>
      <c r="I1440" s="7" t="s">
        <v>7578</v>
      </c>
      <c r="J1440" s="7"/>
      <c r="K1440" s="7" t="s">
        <v>7579</v>
      </c>
    </row>
    <row r="1441" customFormat="false" ht="46.25" hidden="false" customHeight="false" outlineLevel="0" collapsed="false">
      <c r="A1441" s="7" t="n">
        <v>1440</v>
      </c>
      <c r="B1441" s="7" t="s">
        <v>7580</v>
      </c>
      <c r="C1441" s="7" t="n">
        <v>2017</v>
      </c>
      <c r="D1441" s="7" t="s">
        <v>7581</v>
      </c>
      <c r="E1441" s="7" t="s">
        <v>143</v>
      </c>
      <c r="F1441" s="7" t="s">
        <v>7582</v>
      </c>
      <c r="G1441" s="7" t="s">
        <v>255</v>
      </c>
      <c r="H1441" s="7" t="s">
        <v>146</v>
      </c>
      <c r="I1441" s="7" t="s">
        <v>7583</v>
      </c>
      <c r="J1441" s="7" t="s">
        <v>116</v>
      </c>
      <c r="K1441" s="7" t="s">
        <v>7584</v>
      </c>
    </row>
    <row r="1442" customFormat="false" ht="35.05" hidden="false" customHeight="false" outlineLevel="0" collapsed="false">
      <c r="A1442" s="7" t="n">
        <v>1441</v>
      </c>
      <c r="B1442" s="7" t="s">
        <v>7585</v>
      </c>
      <c r="C1442" s="7" t="n">
        <v>2017</v>
      </c>
      <c r="D1442" s="7" t="s">
        <v>7586</v>
      </c>
      <c r="E1442" s="7" t="s">
        <v>201</v>
      </c>
      <c r="F1442" s="7" t="s">
        <v>364</v>
      </c>
      <c r="G1442" s="7" t="s">
        <v>145</v>
      </c>
      <c r="H1442" s="7" t="s">
        <v>153</v>
      </c>
      <c r="I1442" s="7" t="s">
        <v>7587</v>
      </c>
      <c r="J1442" s="7"/>
      <c r="K1442" s="7" t="s">
        <v>7588</v>
      </c>
    </row>
    <row r="1443" customFormat="false" ht="35.05" hidden="false" customHeight="false" outlineLevel="0" collapsed="false">
      <c r="A1443" s="7" t="n">
        <v>1442</v>
      </c>
      <c r="B1443" s="7" t="s">
        <v>7589</v>
      </c>
      <c r="C1443" s="7" t="n">
        <v>2016</v>
      </c>
      <c r="D1443" s="7" t="s">
        <v>7590</v>
      </c>
      <c r="E1443" s="7" t="s">
        <v>143</v>
      </c>
      <c r="F1443" s="7" t="s">
        <v>7591</v>
      </c>
      <c r="G1443" s="7" t="s">
        <v>255</v>
      </c>
      <c r="H1443" s="7" t="s">
        <v>146</v>
      </c>
      <c r="I1443" s="7" t="s">
        <v>7592</v>
      </c>
      <c r="J1443" s="7"/>
      <c r="K1443" s="7" t="s">
        <v>7593</v>
      </c>
    </row>
    <row r="1444" customFormat="false" ht="35.05" hidden="false" customHeight="false" outlineLevel="0" collapsed="false">
      <c r="A1444" s="7" t="n">
        <v>1443</v>
      </c>
      <c r="B1444" s="7" t="s">
        <v>7594</v>
      </c>
      <c r="C1444" s="7" t="n">
        <v>2013</v>
      </c>
      <c r="D1444" s="7" t="s">
        <v>7595</v>
      </c>
      <c r="E1444" s="7" t="s">
        <v>201</v>
      </c>
      <c r="F1444" s="7" t="s">
        <v>7596</v>
      </c>
      <c r="G1444" s="7" t="s">
        <v>7597</v>
      </c>
      <c r="H1444" s="7" t="s">
        <v>146</v>
      </c>
      <c r="I1444" s="7" t="s">
        <v>7598</v>
      </c>
      <c r="J1444" s="7"/>
      <c r="K1444" s="7" t="s">
        <v>7599</v>
      </c>
    </row>
    <row r="1445" customFormat="false" ht="35.05" hidden="false" customHeight="false" outlineLevel="0" collapsed="false">
      <c r="A1445" s="7" t="n">
        <v>1444</v>
      </c>
      <c r="B1445" s="7" t="s">
        <v>7600</v>
      </c>
      <c r="C1445" s="7" t="n">
        <v>2013</v>
      </c>
      <c r="D1445" s="7" t="s">
        <v>7601</v>
      </c>
      <c r="E1445" s="7" t="s">
        <v>143</v>
      </c>
      <c r="F1445" s="7" t="s">
        <v>2454</v>
      </c>
      <c r="G1445" s="7" t="s">
        <v>7244</v>
      </c>
      <c r="H1445" s="7" t="s">
        <v>146</v>
      </c>
      <c r="I1445" s="7" t="s">
        <v>7602</v>
      </c>
      <c r="J1445" s="7"/>
      <c r="K1445" s="7" t="s">
        <v>7603</v>
      </c>
    </row>
    <row r="1446" customFormat="false" ht="35.05" hidden="false" customHeight="false" outlineLevel="0" collapsed="false">
      <c r="A1446" s="7" t="n">
        <v>1445</v>
      </c>
      <c r="B1446" s="7" t="s">
        <v>7604</v>
      </c>
      <c r="C1446" s="7" t="n">
        <v>2016</v>
      </c>
      <c r="D1446" s="7" t="s">
        <v>7605</v>
      </c>
      <c r="E1446" s="7" t="s">
        <v>579</v>
      </c>
      <c r="F1446" s="7" t="s">
        <v>7606</v>
      </c>
      <c r="G1446" s="7" t="s">
        <v>4310</v>
      </c>
      <c r="H1446" s="7" t="s">
        <v>146</v>
      </c>
      <c r="I1446" s="7" t="s">
        <v>7607</v>
      </c>
      <c r="J1446" s="7"/>
      <c r="K1446" s="7" t="s">
        <v>7608</v>
      </c>
    </row>
    <row r="1447" customFormat="false" ht="35.05" hidden="false" customHeight="false" outlineLevel="0" collapsed="false">
      <c r="A1447" s="7" t="n">
        <v>1446</v>
      </c>
      <c r="B1447" s="7" t="s">
        <v>7609</v>
      </c>
      <c r="C1447" s="7" t="n">
        <v>2011</v>
      </c>
      <c r="D1447" s="7" t="s">
        <v>7610</v>
      </c>
      <c r="E1447" s="7" t="s">
        <v>201</v>
      </c>
      <c r="F1447" s="7" t="s">
        <v>7611</v>
      </c>
      <c r="G1447" s="7" t="s">
        <v>4711</v>
      </c>
      <c r="H1447" s="7" t="s">
        <v>146</v>
      </c>
      <c r="I1447" s="7" t="s">
        <v>7612</v>
      </c>
      <c r="J1447" s="7"/>
      <c r="K1447" s="7" t="s">
        <v>7613</v>
      </c>
    </row>
    <row r="1448" customFormat="false" ht="57.45" hidden="false" customHeight="false" outlineLevel="0" collapsed="false">
      <c r="A1448" s="7" t="n">
        <v>1447</v>
      </c>
      <c r="B1448" s="7" t="s">
        <v>7614</v>
      </c>
      <c r="C1448" s="7" t="n">
        <v>2010</v>
      </c>
      <c r="D1448" s="7" t="s">
        <v>7615</v>
      </c>
      <c r="E1448" s="7" t="s">
        <v>15465</v>
      </c>
      <c r="F1448" s="7" t="s">
        <v>7616</v>
      </c>
      <c r="G1448" s="7" t="s">
        <v>4711</v>
      </c>
      <c r="H1448" s="7" t="s">
        <v>146</v>
      </c>
      <c r="I1448" s="7" t="s">
        <v>15795</v>
      </c>
      <c r="J1448" s="7"/>
      <c r="K1448" s="7" t="s">
        <v>15796</v>
      </c>
    </row>
    <row r="1449" customFormat="false" ht="35.05" hidden="false" customHeight="false" outlineLevel="0" collapsed="false">
      <c r="A1449" s="7" t="n">
        <v>1448</v>
      </c>
      <c r="B1449" s="7" t="s">
        <v>7621</v>
      </c>
      <c r="C1449" s="7" t="n">
        <v>2016</v>
      </c>
      <c r="D1449" s="7" t="s">
        <v>7622</v>
      </c>
      <c r="E1449" s="7" t="s">
        <v>143</v>
      </c>
      <c r="F1449" s="7" t="s">
        <v>197</v>
      </c>
      <c r="G1449" s="7" t="s">
        <v>145</v>
      </c>
      <c r="H1449" s="7" t="s">
        <v>146</v>
      </c>
      <c r="I1449" s="7" t="s">
        <v>7623</v>
      </c>
      <c r="J1449" s="7"/>
      <c r="K1449" s="7" t="s">
        <v>7624</v>
      </c>
    </row>
    <row r="1450" customFormat="false" ht="35.05" hidden="false" customHeight="false" outlineLevel="0" collapsed="false">
      <c r="A1450" s="7" t="n">
        <v>1449</v>
      </c>
      <c r="B1450" s="7" t="s">
        <v>7625</v>
      </c>
      <c r="C1450" s="7" t="n">
        <v>2016</v>
      </c>
      <c r="D1450" s="7" t="s">
        <v>7626</v>
      </c>
      <c r="E1450" s="7" t="s">
        <v>143</v>
      </c>
      <c r="F1450" s="7" t="s">
        <v>6974</v>
      </c>
      <c r="G1450" s="7" t="s">
        <v>145</v>
      </c>
      <c r="H1450" s="7" t="s">
        <v>146</v>
      </c>
      <c r="I1450" s="7" t="s">
        <v>7627</v>
      </c>
      <c r="J1450" s="7"/>
      <c r="K1450" s="7" t="s">
        <v>7628</v>
      </c>
    </row>
    <row r="1451" customFormat="false" ht="35.05" hidden="false" customHeight="false" outlineLevel="0" collapsed="false">
      <c r="A1451" s="7" t="n">
        <v>1450</v>
      </c>
      <c r="B1451" s="7" t="s">
        <v>2499</v>
      </c>
      <c r="C1451" s="7" t="n">
        <v>2016</v>
      </c>
      <c r="D1451" s="7" t="s">
        <v>7629</v>
      </c>
      <c r="E1451" s="7" t="s">
        <v>143</v>
      </c>
      <c r="F1451" s="7" t="s">
        <v>7630</v>
      </c>
      <c r="G1451" s="7" t="s">
        <v>145</v>
      </c>
      <c r="H1451" s="7" t="s">
        <v>153</v>
      </c>
      <c r="I1451" s="7" t="s">
        <v>3104</v>
      </c>
      <c r="J1451" s="7"/>
      <c r="K1451" s="7" t="s">
        <v>7631</v>
      </c>
    </row>
    <row r="1452" customFormat="false" ht="35.05" hidden="false" customHeight="false" outlineLevel="0" collapsed="false">
      <c r="A1452" s="7" t="n">
        <v>1451</v>
      </c>
      <c r="B1452" s="7" t="s">
        <v>7632</v>
      </c>
      <c r="C1452" s="7" t="n">
        <v>2017</v>
      </c>
      <c r="D1452" s="7" t="s">
        <v>7633</v>
      </c>
      <c r="E1452" s="7" t="s">
        <v>143</v>
      </c>
      <c r="F1452" s="7" t="s">
        <v>7634</v>
      </c>
      <c r="G1452" s="7" t="s">
        <v>145</v>
      </c>
      <c r="H1452" s="7" t="s">
        <v>153</v>
      </c>
      <c r="I1452" s="7" t="s">
        <v>7635</v>
      </c>
      <c r="J1452" s="7"/>
      <c r="K1452" s="7" t="s">
        <v>7636</v>
      </c>
    </row>
    <row r="1453" customFormat="false" ht="35.05" hidden="false" customHeight="false" outlineLevel="0" collapsed="false">
      <c r="A1453" s="7" t="n">
        <v>1452</v>
      </c>
      <c r="B1453" s="7" t="s">
        <v>7580</v>
      </c>
      <c r="C1453" s="7" t="n">
        <v>2017</v>
      </c>
      <c r="D1453" s="7" t="s">
        <v>7637</v>
      </c>
      <c r="E1453" s="7" t="s">
        <v>143</v>
      </c>
      <c r="F1453" s="7" t="s">
        <v>7638</v>
      </c>
      <c r="G1453" s="7" t="s">
        <v>2886</v>
      </c>
      <c r="H1453" s="7" t="s">
        <v>146</v>
      </c>
      <c r="I1453" s="7" t="s">
        <v>7639</v>
      </c>
      <c r="J1453" s="7"/>
      <c r="K1453" s="7" t="s">
        <v>7640</v>
      </c>
    </row>
    <row r="1454" customFormat="false" ht="35.05" hidden="false" customHeight="false" outlineLevel="0" collapsed="false">
      <c r="A1454" s="7" t="n">
        <v>1453</v>
      </c>
      <c r="B1454" s="7" t="s">
        <v>7641</v>
      </c>
      <c r="C1454" s="7" t="n">
        <v>2014</v>
      </c>
      <c r="D1454" s="7" t="s">
        <v>7642</v>
      </c>
      <c r="E1454" s="7" t="s">
        <v>143</v>
      </c>
      <c r="F1454" s="7" t="s">
        <v>7643</v>
      </c>
      <c r="G1454" s="7" t="s">
        <v>145</v>
      </c>
      <c r="H1454" s="7" t="s">
        <v>146</v>
      </c>
      <c r="I1454" s="7" t="s">
        <v>7644</v>
      </c>
      <c r="J1454" s="7"/>
      <c r="K1454" s="7" t="s">
        <v>7645</v>
      </c>
    </row>
    <row r="1455" customFormat="false" ht="35.05" hidden="false" customHeight="false" outlineLevel="0" collapsed="false">
      <c r="A1455" s="7" t="n">
        <v>1454</v>
      </c>
      <c r="B1455" s="7" t="s">
        <v>6497</v>
      </c>
      <c r="C1455" s="7" t="n">
        <v>2015</v>
      </c>
      <c r="D1455" s="7" t="s">
        <v>7646</v>
      </c>
      <c r="E1455" s="7" t="s">
        <v>143</v>
      </c>
      <c r="F1455" s="7" t="s">
        <v>7647</v>
      </c>
      <c r="G1455" s="7" t="s">
        <v>145</v>
      </c>
      <c r="H1455" s="7" t="s">
        <v>153</v>
      </c>
      <c r="I1455" s="7" t="s">
        <v>7648</v>
      </c>
      <c r="J1455" s="7"/>
      <c r="K1455" s="7" t="s">
        <v>7649</v>
      </c>
    </row>
    <row r="1456" customFormat="false" ht="35.05" hidden="false" customHeight="false" outlineLevel="0" collapsed="false">
      <c r="A1456" s="7" t="n">
        <v>1455</v>
      </c>
      <c r="B1456" s="7" t="s">
        <v>7650</v>
      </c>
      <c r="C1456" s="7" t="n">
        <v>2014</v>
      </c>
      <c r="D1456" s="7" t="s">
        <v>7651</v>
      </c>
      <c r="E1456" s="7" t="s">
        <v>143</v>
      </c>
      <c r="F1456" s="7" t="s">
        <v>7652</v>
      </c>
      <c r="G1456" s="7" t="s">
        <v>7653</v>
      </c>
      <c r="H1456" s="7" t="s">
        <v>146</v>
      </c>
      <c r="I1456" s="7" t="s">
        <v>7654</v>
      </c>
      <c r="J1456" s="7"/>
      <c r="K1456" s="7" t="s">
        <v>7655</v>
      </c>
    </row>
    <row r="1457" customFormat="false" ht="35.05" hidden="false" customHeight="false" outlineLevel="0" collapsed="false">
      <c r="A1457" s="7" t="n">
        <v>1456</v>
      </c>
      <c r="B1457" s="7" t="s">
        <v>7656</v>
      </c>
      <c r="C1457" s="7" t="n">
        <v>2014</v>
      </c>
      <c r="D1457" s="7" t="s">
        <v>7657</v>
      </c>
      <c r="E1457" s="7" t="s">
        <v>579</v>
      </c>
      <c r="F1457" s="7" t="s">
        <v>7658</v>
      </c>
      <c r="G1457" s="7" t="s">
        <v>4310</v>
      </c>
      <c r="H1457" s="7" t="s">
        <v>146</v>
      </c>
      <c r="I1457" s="7" t="s">
        <v>7659</v>
      </c>
      <c r="J1457" s="7"/>
      <c r="K1457" s="7" t="s">
        <v>7660</v>
      </c>
    </row>
    <row r="1458" customFormat="false" ht="35.05" hidden="false" customHeight="false" outlineLevel="0" collapsed="false">
      <c r="A1458" s="7" t="n">
        <v>1457</v>
      </c>
      <c r="B1458" s="7" t="s">
        <v>7661</v>
      </c>
      <c r="C1458" s="7" t="n">
        <v>2014</v>
      </c>
      <c r="D1458" s="7" t="s">
        <v>7662</v>
      </c>
      <c r="E1458" s="7" t="s">
        <v>151</v>
      </c>
      <c r="F1458" s="7" t="s">
        <v>152</v>
      </c>
      <c r="G1458" s="7" t="s">
        <v>145</v>
      </c>
      <c r="H1458" s="7" t="s">
        <v>153</v>
      </c>
      <c r="I1458" s="7" t="s">
        <v>6921</v>
      </c>
      <c r="J1458" s="7"/>
      <c r="K1458" s="7" t="s">
        <v>7663</v>
      </c>
    </row>
    <row r="1459" customFormat="false" ht="35.05" hidden="false" customHeight="false" outlineLevel="0" collapsed="false">
      <c r="A1459" s="7" t="n">
        <v>1458</v>
      </c>
      <c r="B1459" s="7" t="s">
        <v>7664</v>
      </c>
      <c r="C1459" s="7" t="n">
        <v>2015</v>
      </c>
      <c r="D1459" s="7" t="s">
        <v>7665</v>
      </c>
      <c r="E1459" s="7" t="s">
        <v>201</v>
      </c>
      <c r="F1459" s="7" t="s">
        <v>7355</v>
      </c>
      <c r="G1459" s="7" t="s">
        <v>7666</v>
      </c>
      <c r="H1459" s="7" t="s">
        <v>146</v>
      </c>
      <c r="I1459" s="7" t="s">
        <v>7667</v>
      </c>
      <c r="J1459" s="7"/>
      <c r="K1459" s="7" t="s">
        <v>7668</v>
      </c>
    </row>
    <row r="1460" customFormat="false" ht="46.25" hidden="false" customHeight="false" outlineLevel="0" collapsed="false">
      <c r="A1460" s="7" t="n">
        <v>1459</v>
      </c>
      <c r="B1460" s="7" t="s">
        <v>7669</v>
      </c>
      <c r="C1460" s="7" t="n">
        <v>2013</v>
      </c>
      <c r="D1460" s="7" t="s">
        <v>7670</v>
      </c>
      <c r="E1460" s="7" t="s">
        <v>201</v>
      </c>
      <c r="F1460" s="7" t="s">
        <v>7671</v>
      </c>
      <c r="G1460" s="7" t="s">
        <v>7672</v>
      </c>
      <c r="H1460" s="7" t="s">
        <v>146</v>
      </c>
      <c r="I1460" s="7" t="s">
        <v>7673</v>
      </c>
      <c r="J1460" s="7"/>
      <c r="K1460" s="7" t="s">
        <v>7674</v>
      </c>
    </row>
    <row r="1461" customFormat="false" ht="35.05" hidden="false" customHeight="false" outlineLevel="0" collapsed="false">
      <c r="A1461" s="7" t="n">
        <v>1460</v>
      </c>
      <c r="B1461" s="7" t="s">
        <v>7675</v>
      </c>
      <c r="C1461" s="7" t="n">
        <v>2004</v>
      </c>
      <c r="D1461" s="7" t="s">
        <v>7676</v>
      </c>
      <c r="E1461" s="7" t="s">
        <v>143</v>
      </c>
      <c r="F1461" s="7" t="s">
        <v>152</v>
      </c>
      <c r="G1461" s="7" t="s">
        <v>145</v>
      </c>
      <c r="H1461" s="7" t="s">
        <v>153</v>
      </c>
      <c r="I1461" s="7" t="s">
        <v>7564</v>
      </c>
      <c r="J1461" s="7"/>
      <c r="K1461" s="7" t="s">
        <v>7677</v>
      </c>
    </row>
    <row r="1462" customFormat="false" ht="35.05" hidden="false" customHeight="false" outlineLevel="0" collapsed="false">
      <c r="A1462" s="7" t="n">
        <v>1461</v>
      </c>
      <c r="B1462" s="7" t="s">
        <v>7580</v>
      </c>
      <c r="C1462" s="7" t="n">
        <v>2012</v>
      </c>
      <c r="D1462" s="7" t="s">
        <v>7678</v>
      </c>
      <c r="E1462" s="7" t="s">
        <v>143</v>
      </c>
      <c r="F1462" s="7" t="s">
        <v>7679</v>
      </c>
      <c r="G1462" s="7" t="s">
        <v>6262</v>
      </c>
      <c r="H1462" s="7" t="s">
        <v>146</v>
      </c>
      <c r="I1462" s="7" t="s">
        <v>7680</v>
      </c>
      <c r="J1462" s="7"/>
      <c r="K1462" s="7" t="s">
        <v>7681</v>
      </c>
    </row>
    <row r="1463" customFormat="false" ht="23.85" hidden="false" customHeight="false" outlineLevel="0" collapsed="false">
      <c r="A1463" s="7" t="n">
        <v>1462</v>
      </c>
      <c r="B1463" s="7" t="s">
        <v>7682</v>
      </c>
      <c r="C1463" s="7" t="n">
        <v>2013</v>
      </c>
      <c r="D1463" s="7" t="s">
        <v>7683</v>
      </c>
      <c r="E1463" s="7" t="s">
        <v>579</v>
      </c>
      <c r="F1463" s="7" t="s">
        <v>7684</v>
      </c>
      <c r="G1463" s="7" t="s">
        <v>7685</v>
      </c>
      <c r="H1463" s="7" t="s">
        <v>208</v>
      </c>
      <c r="I1463" s="7" t="s">
        <v>7686</v>
      </c>
      <c r="J1463" s="7"/>
      <c r="K1463" s="7" t="s">
        <v>7687</v>
      </c>
    </row>
    <row r="1464" customFormat="false" ht="35.05" hidden="false" customHeight="false" outlineLevel="0" collapsed="false">
      <c r="A1464" s="7" t="n">
        <v>1463</v>
      </c>
      <c r="B1464" s="7" t="s">
        <v>7688</v>
      </c>
      <c r="C1464" s="7" t="n">
        <v>2012</v>
      </c>
      <c r="D1464" s="7" t="s">
        <v>7689</v>
      </c>
      <c r="E1464" s="7" t="s">
        <v>579</v>
      </c>
      <c r="F1464" s="7" t="s">
        <v>7690</v>
      </c>
      <c r="G1464" s="7" t="s">
        <v>2812</v>
      </c>
      <c r="H1464" s="7" t="s">
        <v>208</v>
      </c>
      <c r="I1464" s="7" t="s">
        <v>7691</v>
      </c>
      <c r="J1464" s="7"/>
      <c r="K1464" s="7" t="s">
        <v>7692</v>
      </c>
    </row>
    <row r="1465" customFormat="false" ht="35.05" hidden="false" customHeight="false" outlineLevel="0" collapsed="false">
      <c r="A1465" s="7" t="n">
        <v>1464</v>
      </c>
      <c r="B1465" s="7" t="s">
        <v>7693</v>
      </c>
      <c r="C1465" s="7" t="n">
        <v>2011</v>
      </c>
      <c r="D1465" s="7" t="s">
        <v>7694</v>
      </c>
      <c r="E1465" s="7" t="s">
        <v>579</v>
      </c>
      <c r="F1465" s="7" t="s">
        <v>7695</v>
      </c>
      <c r="G1465" s="7" t="s">
        <v>7696</v>
      </c>
      <c r="H1465" s="7" t="s">
        <v>146</v>
      </c>
      <c r="I1465" s="7" t="s">
        <v>7697</v>
      </c>
      <c r="J1465" s="7"/>
      <c r="K1465" s="7" t="s">
        <v>7698</v>
      </c>
    </row>
    <row r="1466" customFormat="false" ht="35.05" hidden="false" customHeight="false" outlineLevel="0" collapsed="false">
      <c r="A1466" s="7" t="n">
        <v>1465</v>
      </c>
      <c r="B1466" s="7" t="s">
        <v>7699</v>
      </c>
      <c r="C1466" s="7" t="n">
        <v>2013</v>
      </c>
      <c r="D1466" s="7" t="s">
        <v>7700</v>
      </c>
      <c r="E1466" s="7" t="s">
        <v>151</v>
      </c>
      <c r="F1466" s="7" t="s">
        <v>7701</v>
      </c>
      <c r="G1466" s="7" t="s">
        <v>4711</v>
      </c>
      <c r="H1466" s="7" t="s">
        <v>146</v>
      </c>
      <c r="I1466" s="7" t="s">
        <v>7702</v>
      </c>
      <c r="J1466" s="7"/>
      <c r="K1466" s="7" t="s">
        <v>7703</v>
      </c>
    </row>
    <row r="1467" customFormat="false" ht="23.85" hidden="false" customHeight="false" outlineLevel="0" collapsed="false">
      <c r="A1467" s="7" t="n">
        <v>1466</v>
      </c>
      <c r="B1467" s="7" t="s">
        <v>7704</v>
      </c>
      <c r="C1467" s="7" t="n">
        <v>2016</v>
      </c>
      <c r="D1467" s="7" t="s">
        <v>7705</v>
      </c>
      <c r="E1467" s="7" t="s">
        <v>151</v>
      </c>
      <c r="F1467" s="7" t="s">
        <v>7706</v>
      </c>
      <c r="G1467" s="7" t="s">
        <v>4310</v>
      </c>
      <c r="H1467" s="7" t="s">
        <v>208</v>
      </c>
      <c r="I1467" s="7" t="s">
        <v>7707</v>
      </c>
      <c r="J1467" s="7"/>
      <c r="K1467" s="7" t="s">
        <v>7708</v>
      </c>
    </row>
    <row r="1468" customFormat="false" ht="35.05" hidden="false" customHeight="false" outlineLevel="0" collapsed="false">
      <c r="A1468" s="7" t="n">
        <v>1467</v>
      </c>
      <c r="B1468" s="7" t="s">
        <v>7709</v>
      </c>
      <c r="C1468" s="7" t="n">
        <v>2011</v>
      </c>
      <c r="D1468" s="7" t="s">
        <v>7710</v>
      </c>
      <c r="E1468" s="7" t="s">
        <v>151</v>
      </c>
      <c r="F1468" s="7" t="s">
        <v>7711</v>
      </c>
      <c r="G1468" s="7" t="s">
        <v>255</v>
      </c>
      <c r="H1468" s="7" t="s">
        <v>208</v>
      </c>
      <c r="I1468" s="7" t="s">
        <v>7712</v>
      </c>
      <c r="J1468" s="7"/>
      <c r="K1468" s="7" t="s">
        <v>7713</v>
      </c>
    </row>
    <row r="1469" customFormat="false" ht="35.05" hidden="false" customHeight="false" outlineLevel="0" collapsed="false">
      <c r="A1469" s="7" t="n">
        <v>1468</v>
      </c>
      <c r="B1469" s="7" t="s">
        <v>7580</v>
      </c>
      <c r="C1469" s="7" t="n">
        <v>2014</v>
      </c>
      <c r="D1469" s="7" t="s">
        <v>7714</v>
      </c>
      <c r="E1469" s="7" t="s">
        <v>151</v>
      </c>
      <c r="F1469" s="7" t="s">
        <v>7715</v>
      </c>
      <c r="G1469" s="7" t="s">
        <v>255</v>
      </c>
      <c r="H1469" s="7" t="s">
        <v>146</v>
      </c>
      <c r="I1469" s="7" t="s">
        <v>7716</v>
      </c>
      <c r="J1469" s="7"/>
      <c r="K1469" s="7" t="s">
        <v>7717</v>
      </c>
    </row>
    <row r="1470" customFormat="false" ht="35.05" hidden="false" customHeight="false" outlineLevel="0" collapsed="false">
      <c r="A1470" s="7" t="n">
        <v>1469</v>
      </c>
      <c r="B1470" s="7" t="s">
        <v>7718</v>
      </c>
      <c r="C1470" s="7" t="n">
        <v>2016</v>
      </c>
      <c r="D1470" s="7" t="s">
        <v>7719</v>
      </c>
      <c r="E1470" s="7" t="s">
        <v>201</v>
      </c>
      <c r="F1470" s="7" t="s">
        <v>7720</v>
      </c>
      <c r="G1470" s="7" t="s">
        <v>7721</v>
      </c>
      <c r="H1470" s="7" t="s">
        <v>208</v>
      </c>
      <c r="I1470" s="7" t="s">
        <v>7722</v>
      </c>
      <c r="J1470" s="7"/>
      <c r="K1470" s="7" t="s">
        <v>7723</v>
      </c>
    </row>
    <row r="1471" customFormat="false" ht="46.25" hidden="false" customHeight="false" outlineLevel="0" collapsed="false">
      <c r="A1471" s="7" t="n">
        <v>1470</v>
      </c>
      <c r="B1471" s="7" t="s">
        <v>7724</v>
      </c>
      <c r="C1471" s="7" t="n">
        <v>2010</v>
      </c>
      <c r="D1471" s="7" t="s">
        <v>7725</v>
      </c>
      <c r="E1471" s="7" t="s">
        <v>151</v>
      </c>
      <c r="F1471" s="7" t="s">
        <v>7726</v>
      </c>
      <c r="G1471" s="7" t="s">
        <v>7727</v>
      </c>
      <c r="H1471" s="7" t="s">
        <v>208</v>
      </c>
      <c r="I1471" s="7" t="s">
        <v>7728</v>
      </c>
      <c r="J1471" s="7"/>
      <c r="K1471" s="7" t="s">
        <v>7729</v>
      </c>
    </row>
    <row r="1472" customFormat="false" ht="35.05" hidden="false" customHeight="false" outlineLevel="0" collapsed="false">
      <c r="A1472" s="7" t="n">
        <v>1471</v>
      </c>
      <c r="B1472" s="7" t="s">
        <v>7730</v>
      </c>
      <c r="C1472" s="7" t="n">
        <v>2007</v>
      </c>
      <c r="D1472" s="7" t="s">
        <v>7731</v>
      </c>
      <c r="E1472" s="7" t="s">
        <v>201</v>
      </c>
      <c r="F1472" s="7" t="s">
        <v>7732</v>
      </c>
      <c r="G1472" s="7" t="s">
        <v>7733</v>
      </c>
      <c r="H1472" s="7" t="s">
        <v>146</v>
      </c>
      <c r="I1472" s="7" t="s">
        <v>7734</v>
      </c>
      <c r="J1472" s="7"/>
      <c r="K1472" s="7" t="s">
        <v>7735</v>
      </c>
    </row>
    <row r="1473" customFormat="false" ht="35.05" hidden="false" customHeight="false" outlineLevel="0" collapsed="false">
      <c r="A1473" s="7" t="n">
        <v>1472</v>
      </c>
      <c r="B1473" s="7" t="s">
        <v>7736</v>
      </c>
      <c r="C1473" s="7" t="n">
        <v>2016</v>
      </c>
      <c r="D1473" s="7" t="s">
        <v>7737</v>
      </c>
      <c r="E1473" s="7" t="s">
        <v>579</v>
      </c>
      <c r="F1473" s="7" t="s">
        <v>7738</v>
      </c>
      <c r="G1473" s="7" t="s">
        <v>7739</v>
      </c>
      <c r="H1473" s="7" t="s">
        <v>146</v>
      </c>
      <c r="I1473" s="7" t="s">
        <v>7740</v>
      </c>
      <c r="J1473" s="7"/>
      <c r="K1473" s="7" t="s">
        <v>7741</v>
      </c>
    </row>
    <row r="1474" customFormat="false" ht="23.85" hidden="false" customHeight="false" outlineLevel="0" collapsed="false">
      <c r="A1474" s="7" t="n">
        <v>1473</v>
      </c>
      <c r="B1474" s="7" t="s">
        <v>7742</v>
      </c>
      <c r="C1474" s="7" t="n">
        <v>2013</v>
      </c>
      <c r="D1474" s="7" t="s">
        <v>7743</v>
      </c>
      <c r="E1474" s="7" t="s">
        <v>143</v>
      </c>
      <c r="F1474" s="7" t="s">
        <v>7744</v>
      </c>
      <c r="G1474" s="7" t="s">
        <v>4711</v>
      </c>
      <c r="H1474" s="7" t="s">
        <v>153</v>
      </c>
      <c r="I1474" s="7" t="s">
        <v>7745</v>
      </c>
      <c r="J1474" s="7"/>
      <c r="K1474" s="7" t="s">
        <v>7746</v>
      </c>
    </row>
    <row r="1475" customFormat="false" ht="35.05" hidden="false" customHeight="false" outlineLevel="0" collapsed="false">
      <c r="A1475" s="7" t="n">
        <v>1474</v>
      </c>
      <c r="B1475" s="7" t="s">
        <v>7747</v>
      </c>
      <c r="C1475" s="7" t="n">
        <v>2009</v>
      </c>
      <c r="D1475" s="7" t="s">
        <v>7748</v>
      </c>
      <c r="E1475" s="7" t="s">
        <v>143</v>
      </c>
      <c r="F1475" s="7" t="s">
        <v>7749</v>
      </c>
      <c r="G1475" s="7" t="s">
        <v>4711</v>
      </c>
      <c r="H1475" s="7" t="s">
        <v>153</v>
      </c>
      <c r="I1475" s="7" t="s">
        <v>7750</v>
      </c>
      <c r="J1475" s="7"/>
      <c r="K1475" s="7" t="s">
        <v>7751</v>
      </c>
    </row>
    <row r="1476" customFormat="false" ht="35.05" hidden="false" customHeight="false" outlineLevel="0" collapsed="false">
      <c r="A1476" s="7" t="n">
        <v>1475</v>
      </c>
      <c r="B1476" s="7" t="s">
        <v>7752</v>
      </c>
      <c r="C1476" s="7" t="n">
        <v>2012</v>
      </c>
      <c r="D1476" s="7" t="s">
        <v>7753</v>
      </c>
      <c r="E1476" s="7" t="s">
        <v>143</v>
      </c>
      <c r="F1476" s="7" t="s">
        <v>7355</v>
      </c>
      <c r="G1476" s="7" t="s">
        <v>255</v>
      </c>
      <c r="H1476" s="7" t="s">
        <v>146</v>
      </c>
      <c r="I1476" s="7" t="s">
        <v>7754</v>
      </c>
      <c r="J1476" s="7"/>
      <c r="K1476" s="7" t="s">
        <v>7755</v>
      </c>
    </row>
    <row r="1477" customFormat="false" ht="23.85" hidden="false" customHeight="false" outlineLevel="0" collapsed="false">
      <c r="A1477" s="7" t="n">
        <v>1476</v>
      </c>
      <c r="B1477" s="7" t="s">
        <v>7756</v>
      </c>
      <c r="C1477" s="7" t="n">
        <v>2012</v>
      </c>
      <c r="D1477" s="7" t="s">
        <v>7757</v>
      </c>
      <c r="E1477" s="7" t="s">
        <v>151</v>
      </c>
      <c r="F1477" s="7" t="s">
        <v>7758</v>
      </c>
      <c r="G1477" s="7" t="s">
        <v>5248</v>
      </c>
      <c r="H1477" s="7" t="s">
        <v>146</v>
      </c>
      <c r="I1477" s="7" t="s">
        <v>7759</v>
      </c>
      <c r="J1477" s="7" t="s">
        <v>116</v>
      </c>
      <c r="K1477" s="7" t="s">
        <v>7760</v>
      </c>
    </row>
    <row r="1478" customFormat="false" ht="35.05" hidden="false" customHeight="false" outlineLevel="0" collapsed="false">
      <c r="A1478" s="7" t="n">
        <v>1477</v>
      </c>
      <c r="B1478" s="7" t="s">
        <v>7761</v>
      </c>
      <c r="C1478" s="7" t="n">
        <v>2009</v>
      </c>
      <c r="D1478" s="7" t="s">
        <v>7762</v>
      </c>
      <c r="E1478" s="7" t="s">
        <v>201</v>
      </c>
      <c r="F1478" s="7" t="s">
        <v>7763</v>
      </c>
      <c r="G1478" s="7" t="s">
        <v>7764</v>
      </c>
      <c r="H1478" s="7" t="s">
        <v>146</v>
      </c>
      <c r="I1478" s="7" t="s">
        <v>7765</v>
      </c>
      <c r="J1478" s="7"/>
      <c r="K1478" s="7" t="s">
        <v>7766</v>
      </c>
    </row>
    <row r="1479" customFormat="false" ht="35.05" hidden="false" customHeight="false" outlineLevel="0" collapsed="false">
      <c r="A1479" s="7" t="n">
        <v>1478</v>
      </c>
      <c r="B1479" s="7" t="s">
        <v>7767</v>
      </c>
      <c r="C1479" s="7" t="n">
        <v>2012</v>
      </c>
      <c r="D1479" s="7" t="s">
        <v>7768</v>
      </c>
      <c r="E1479" s="7" t="s">
        <v>143</v>
      </c>
      <c r="F1479" s="7" t="s">
        <v>3552</v>
      </c>
      <c r="G1479" s="7" t="s">
        <v>5924</v>
      </c>
      <c r="H1479" s="7" t="s">
        <v>146</v>
      </c>
      <c r="I1479" s="7" t="s">
        <v>7769</v>
      </c>
      <c r="J1479" s="7"/>
      <c r="K1479" s="7" t="s">
        <v>7770</v>
      </c>
    </row>
    <row r="1480" customFormat="false" ht="35.05" hidden="false" customHeight="false" outlineLevel="0" collapsed="false">
      <c r="A1480" s="7" t="n">
        <v>1479</v>
      </c>
      <c r="B1480" s="7" t="s">
        <v>7771</v>
      </c>
      <c r="C1480" s="7" t="n">
        <v>2014</v>
      </c>
      <c r="D1480" s="7" t="s">
        <v>7772</v>
      </c>
      <c r="E1480" s="7" t="s">
        <v>201</v>
      </c>
      <c r="F1480" s="7" t="s">
        <v>7732</v>
      </c>
      <c r="G1480" s="7" t="s">
        <v>7666</v>
      </c>
      <c r="H1480" s="7" t="s">
        <v>146</v>
      </c>
      <c r="I1480" s="7" t="s">
        <v>7773</v>
      </c>
      <c r="J1480" s="7"/>
      <c r="K1480" s="7" t="s">
        <v>7774</v>
      </c>
    </row>
    <row r="1481" customFormat="false" ht="35.05" hidden="false" customHeight="false" outlineLevel="0" collapsed="false">
      <c r="A1481" s="7" t="n">
        <v>1480</v>
      </c>
      <c r="B1481" s="7" t="s">
        <v>7775</v>
      </c>
      <c r="C1481" s="7" t="n">
        <v>2011</v>
      </c>
      <c r="D1481" s="7" t="s">
        <v>7776</v>
      </c>
      <c r="E1481" s="7" t="s">
        <v>579</v>
      </c>
      <c r="F1481" s="7" t="s">
        <v>7777</v>
      </c>
      <c r="G1481" s="7" t="s">
        <v>7685</v>
      </c>
      <c r="H1481" s="7" t="s">
        <v>146</v>
      </c>
      <c r="I1481" s="7" t="s">
        <v>7778</v>
      </c>
      <c r="J1481" s="7"/>
      <c r="K1481" s="7" t="s">
        <v>7779</v>
      </c>
    </row>
    <row r="1482" customFormat="false" ht="35.05" hidden="false" customHeight="false" outlineLevel="0" collapsed="false">
      <c r="A1482" s="7" t="n">
        <v>1481</v>
      </c>
      <c r="B1482" s="7" t="s">
        <v>7780</v>
      </c>
      <c r="C1482" s="7" t="n">
        <v>2012</v>
      </c>
      <c r="D1482" s="7" t="s">
        <v>7781</v>
      </c>
      <c r="E1482" s="7" t="s">
        <v>579</v>
      </c>
      <c r="F1482" s="7" t="s">
        <v>7782</v>
      </c>
      <c r="G1482" s="7" t="s">
        <v>7783</v>
      </c>
      <c r="H1482" s="7" t="s">
        <v>146</v>
      </c>
      <c r="I1482" s="7" t="s">
        <v>7784</v>
      </c>
      <c r="J1482" s="7"/>
      <c r="K1482" s="7" t="s">
        <v>7785</v>
      </c>
    </row>
    <row r="1483" customFormat="false" ht="35.05" hidden="false" customHeight="false" outlineLevel="0" collapsed="false">
      <c r="A1483" s="7" t="n">
        <v>1482</v>
      </c>
      <c r="B1483" s="7" t="s">
        <v>7786</v>
      </c>
      <c r="C1483" s="7" t="n">
        <v>2014</v>
      </c>
      <c r="D1483" s="7" t="s">
        <v>7787</v>
      </c>
      <c r="E1483" s="7" t="s">
        <v>151</v>
      </c>
      <c r="F1483" s="7" t="s">
        <v>7788</v>
      </c>
      <c r="G1483" s="7" t="s">
        <v>1904</v>
      </c>
      <c r="H1483" s="7" t="s">
        <v>146</v>
      </c>
      <c r="I1483" s="7" t="s">
        <v>7789</v>
      </c>
      <c r="J1483" s="7"/>
      <c r="K1483" s="7" t="s">
        <v>7790</v>
      </c>
    </row>
    <row r="1484" customFormat="false" ht="35.05" hidden="false" customHeight="false" outlineLevel="0" collapsed="false">
      <c r="A1484" s="7" t="n">
        <v>1483</v>
      </c>
      <c r="B1484" s="7" t="s">
        <v>7791</v>
      </c>
      <c r="C1484" s="7" t="n">
        <v>2015</v>
      </c>
      <c r="D1484" s="7" t="s">
        <v>7792</v>
      </c>
      <c r="E1484" s="7" t="s">
        <v>151</v>
      </c>
      <c r="F1484" s="7" t="s">
        <v>7793</v>
      </c>
      <c r="G1484" s="7" t="s">
        <v>7577</v>
      </c>
      <c r="H1484" s="7" t="s">
        <v>146</v>
      </c>
      <c r="I1484" s="7" t="s">
        <v>7794</v>
      </c>
      <c r="J1484" s="7"/>
      <c r="K1484" s="7" t="s">
        <v>7795</v>
      </c>
    </row>
    <row r="1485" customFormat="false" ht="35.05" hidden="false" customHeight="false" outlineLevel="0" collapsed="false">
      <c r="A1485" s="7" t="n">
        <v>1484</v>
      </c>
      <c r="B1485" s="7" t="s">
        <v>7796</v>
      </c>
      <c r="C1485" s="7" t="n">
        <v>2013</v>
      </c>
      <c r="D1485" s="7" t="s">
        <v>7797</v>
      </c>
      <c r="E1485" s="7" t="s">
        <v>143</v>
      </c>
      <c r="F1485" s="7" t="s">
        <v>7798</v>
      </c>
      <c r="G1485" s="7" t="s">
        <v>678</v>
      </c>
      <c r="H1485" s="7" t="s">
        <v>146</v>
      </c>
      <c r="I1485" s="7" t="s">
        <v>7799</v>
      </c>
      <c r="J1485" s="7"/>
      <c r="K1485" s="7" t="s">
        <v>7800</v>
      </c>
    </row>
    <row r="1486" customFormat="false" ht="23.85" hidden="false" customHeight="false" outlineLevel="0" collapsed="false">
      <c r="A1486" s="7" t="n">
        <v>1485</v>
      </c>
      <c r="B1486" s="7" t="s">
        <v>7801</v>
      </c>
      <c r="C1486" s="7" t="n">
        <v>2015</v>
      </c>
      <c r="D1486" s="7" t="s">
        <v>7802</v>
      </c>
      <c r="E1486" s="7" t="s">
        <v>151</v>
      </c>
      <c r="F1486" s="7" t="s">
        <v>7803</v>
      </c>
      <c r="G1486" s="7" t="s">
        <v>7804</v>
      </c>
      <c r="H1486" s="7" t="s">
        <v>146</v>
      </c>
      <c r="I1486" s="7" t="s">
        <v>7805</v>
      </c>
      <c r="J1486" s="7"/>
      <c r="K1486" s="7" t="s">
        <v>7806</v>
      </c>
    </row>
    <row r="1487" customFormat="false" ht="35.05" hidden="false" customHeight="false" outlineLevel="0" collapsed="false">
      <c r="A1487" s="7" t="n">
        <v>1486</v>
      </c>
      <c r="B1487" s="7" t="s">
        <v>7807</v>
      </c>
      <c r="C1487" s="7" t="n">
        <v>2015</v>
      </c>
      <c r="D1487" s="7" t="s">
        <v>7808</v>
      </c>
      <c r="E1487" s="7" t="s">
        <v>201</v>
      </c>
      <c r="F1487" s="7" t="s">
        <v>7809</v>
      </c>
      <c r="G1487" s="7" t="s">
        <v>7666</v>
      </c>
      <c r="H1487" s="7" t="s">
        <v>146</v>
      </c>
      <c r="I1487" s="7" t="s">
        <v>7810</v>
      </c>
      <c r="J1487" s="7"/>
      <c r="K1487" s="7" t="s">
        <v>7811</v>
      </c>
    </row>
    <row r="1488" customFormat="false" ht="35.05" hidden="false" customHeight="false" outlineLevel="0" collapsed="false">
      <c r="A1488" s="7" t="n">
        <v>1487</v>
      </c>
      <c r="B1488" s="7" t="s">
        <v>7693</v>
      </c>
      <c r="C1488" s="7" t="n">
        <v>2011</v>
      </c>
      <c r="D1488" s="7" t="s">
        <v>7812</v>
      </c>
      <c r="E1488" s="7" t="s">
        <v>579</v>
      </c>
      <c r="F1488" s="7" t="s">
        <v>7813</v>
      </c>
      <c r="G1488" s="7" t="s">
        <v>255</v>
      </c>
      <c r="H1488" s="7" t="s">
        <v>208</v>
      </c>
      <c r="I1488" s="7" t="s">
        <v>7814</v>
      </c>
      <c r="J1488" s="7"/>
      <c r="K1488" s="7" t="s">
        <v>7815</v>
      </c>
    </row>
    <row r="1489" customFormat="false" ht="35.05" hidden="false" customHeight="false" outlineLevel="0" collapsed="false">
      <c r="A1489" s="7" t="n">
        <v>1488</v>
      </c>
      <c r="B1489" s="7" t="s">
        <v>7816</v>
      </c>
      <c r="C1489" s="7" t="n">
        <v>2015</v>
      </c>
      <c r="D1489" s="7" t="s">
        <v>7817</v>
      </c>
      <c r="E1489" s="7" t="s">
        <v>151</v>
      </c>
      <c r="F1489" s="7" t="s">
        <v>7818</v>
      </c>
      <c r="G1489" s="7" t="s">
        <v>7819</v>
      </c>
      <c r="H1489" s="7" t="s">
        <v>208</v>
      </c>
      <c r="I1489" s="7" t="s">
        <v>7820</v>
      </c>
      <c r="J1489" s="7"/>
      <c r="K1489" s="7" t="s">
        <v>7821</v>
      </c>
    </row>
    <row r="1490" customFormat="false" ht="35.05" hidden="false" customHeight="false" outlineLevel="0" collapsed="false">
      <c r="A1490" s="7" t="n">
        <v>1489</v>
      </c>
      <c r="B1490" s="7" t="s">
        <v>7822</v>
      </c>
      <c r="C1490" s="7" t="n">
        <v>2017</v>
      </c>
      <c r="D1490" s="7" t="s">
        <v>7823</v>
      </c>
      <c r="E1490" s="7" t="s">
        <v>579</v>
      </c>
      <c r="F1490" s="7" t="s">
        <v>7824</v>
      </c>
      <c r="G1490" s="7" t="s">
        <v>5673</v>
      </c>
      <c r="H1490" s="7" t="s">
        <v>208</v>
      </c>
      <c r="I1490" s="7" t="s">
        <v>7825</v>
      </c>
      <c r="J1490" s="7"/>
      <c r="K1490" s="7" t="s">
        <v>7826</v>
      </c>
    </row>
    <row r="1491" customFormat="false" ht="35.05" hidden="false" customHeight="false" outlineLevel="0" collapsed="false">
      <c r="A1491" s="7" t="n">
        <v>1490</v>
      </c>
      <c r="B1491" s="7" t="s">
        <v>7827</v>
      </c>
      <c r="C1491" s="7" t="n">
        <v>2014</v>
      </c>
      <c r="D1491" s="7" t="s">
        <v>7828</v>
      </c>
      <c r="E1491" s="7" t="s">
        <v>143</v>
      </c>
      <c r="F1491" s="7" t="s">
        <v>7829</v>
      </c>
      <c r="G1491" s="7" t="s">
        <v>678</v>
      </c>
      <c r="H1491" s="7" t="s">
        <v>146</v>
      </c>
      <c r="I1491" s="7" t="s">
        <v>7830</v>
      </c>
      <c r="J1491" s="7"/>
      <c r="K1491" s="7" t="s">
        <v>7831</v>
      </c>
    </row>
    <row r="1492" customFormat="false" ht="35.05" hidden="false" customHeight="false" outlineLevel="0" collapsed="false">
      <c r="A1492" s="7" t="n">
        <v>1491</v>
      </c>
      <c r="B1492" s="7" t="s">
        <v>7832</v>
      </c>
      <c r="C1492" s="7" t="n">
        <v>2014</v>
      </c>
      <c r="D1492" s="7" t="s">
        <v>7833</v>
      </c>
      <c r="E1492" s="7" t="s">
        <v>151</v>
      </c>
      <c r="F1492" s="7" t="s">
        <v>7834</v>
      </c>
      <c r="G1492" s="7" t="s">
        <v>7835</v>
      </c>
      <c r="H1492" s="7" t="s">
        <v>146</v>
      </c>
      <c r="I1492" s="7" t="s">
        <v>7836</v>
      </c>
      <c r="J1492" s="7"/>
      <c r="K1492" s="7" t="s">
        <v>7837</v>
      </c>
    </row>
    <row r="1493" customFormat="false" ht="35.05" hidden="false" customHeight="false" outlineLevel="0" collapsed="false">
      <c r="A1493" s="7" t="n">
        <v>1492</v>
      </c>
      <c r="B1493" s="7" t="s">
        <v>7838</v>
      </c>
      <c r="C1493" s="7" t="n">
        <v>1996</v>
      </c>
      <c r="D1493" s="7" t="s">
        <v>7839</v>
      </c>
      <c r="E1493" s="7" t="s">
        <v>143</v>
      </c>
      <c r="F1493" s="7" t="s">
        <v>7840</v>
      </c>
      <c r="G1493" s="7" t="s">
        <v>2025</v>
      </c>
      <c r="H1493" s="7" t="s">
        <v>146</v>
      </c>
      <c r="I1493" s="7" t="s">
        <v>7841</v>
      </c>
      <c r="J1493" s="7"/>
      <c r="K1493" s="7" t="s">
        <v>7842</v>
      </c>
    </row>
    <row r="1494" customFormat="false" ht="35.05" hidden="false" customHeight="false" outlineLevel="0" collapsed="false">
      <c r="A1494" s="7" t="n">
        <v>1493</v>
      </c>
      <c r="B1494" s="7" t="s">
        <v>7843</v>
      </c>
      <c r="C1494" s="7" t="n">
        <v>2013</v>
      </c>
      <c r="D1494" s="7" t="s">
        <v>7844</v>
      </c>
      <c r="E1494" s="7" t="s">
        <v>201</v>
      </c>
      <c r="F1494" s="7" t="s">
        <v>7845</v>
      </c>
      <c r="G1494" s="7" t="s">
        <v>255</v>
      </c>
      <c r="H1494" s="7" t="s">
        <v>208</v>
      </c>
      <c r="I1494" s="7" t="s">
        <v>7846</v>
      </c>
      <c r="J1494" s="7"/>
      <c r="K1494" s="7" t="s">
        <v>7847</v>
      </c>
    </row>
    <row r="1495" customFormat="false" ht="23.85" hidden="false" customHeight="false" outlineLevel="0" collapsed="false">
      <c r="A1495" s="7" t="n">
        <v>1494</v>
      </c>
      <c r="B1495" s="7" t="s">
        <v>7669</v>
      </c>
      <c r="C1495" s="7" t="n">
        <v>2013</v>
      </c>
      <c r="D1495" s="7" t="s">
        <v>7848</v>
      </c>
      <c r="E1495" s="7" t="s">
        <v>143</v>
      </c>
      <c r="F1495" s="7" t="s">
        <v>7849</v>
      </c>
      <c r="G1495" s="7" t="s">
        <v>4711</v>
      </c>
      <c r="H1495" s="7" t="s">
        <v>208</v>
      </c>
      <c r="I1495" s="7" t="s">
        <v>7850</v>
      </c>
      <c r="J1495" s="7"/>
      <c r="K1495" s="7" t="s">
        <v>7851</v>
      </c>
    </row>
    <row r="1496" customFormat="false" ht="35.05" hidden="false" customHeight="false" outlineLevel="0" collapsed="false">
      <c r="A1496" s="7" t="n">
        <v>1495</v>
      </c>
      <c r="B1496" s="7" t="s">
        <v>7852</v>
      </c>
      <c r="C1496" s="7" t="n">
        <v>2005</v>
      </c>
      <c r="D1496" s="7" t="s">
        <v>7853</v>
      </c>
      <c r="E1496" s="7" t="s">
        <v>143</v>
      </c>
      <c r="F1496" s="7" t="s">
        <v>1619</v>
      </c>
      <c r="G1496" s="7" t="s">
        <v>4310</v>
      </c>
      <c r="H1496" s="7" t="s">
        <v>153</v>
      </c>
      <c r="I1496" s="7" t="s">
        <v>7854</v>
      </c>
      <c r="J1496" s="7"/>
      <c r="K1496" s="7" t="s">
        <v>7855</v>
      </c>
    </row>
    <row r="1497" customFormat="false" ht="35.05" hidden="false" customHeight="false" outlineLevel="0" collapsed="false">
      <c r="A1497" s="7" t="n">
        <v>1496</v>
      </c>
      <c r="B1497" s="7" t="s">
        <v>7580</v>
      </c>
      <c r="C1497" s="7" t="n">
        <v>2015</v>
      </c>
      <c r="D1497" s="7" t="s">
        <v>7856</v>
      </c>
      <c r="E1497" s="7" t="s">
        <v>201</v>
      </c>
      <c r="F1497" s="7" t="s">
        <v>7857</v>
      </c>
      <c r="G1497" s="7" t="s">
        <v>2886</v>
      </c>
      <c r="H1497" s="7" t="s">
        <v>146</v>
      </c>
      <c r="I1497" s="7" t="s">
        <v>7858</v>
      </c>
      <c r="J1497" s="7"/>
      <c r="K1497" s="7" t="s">
        <v>7859</v>
      </c>
    </row>
    <row r="1498" customFormat="false" ht="35.05" hidden="false" customHeight="false" outlineLevel="0" collapsed="false">
      <c r="A1498" s="7" t="n">
        <v>1497</v>
      </c>
      <c r="B1498" s="7" t="s">
        <v>7860</v>
      </c>
      <c r="C1498" s="7" t="n">
        <v>2011</v>
      </c>
      <c r="D1498" s="7" t="s">
        <v>7861</v>
      </c>
      <c r="E1498" s="7" t="s">
        <v>201</v>
      </c>
      <c r="F1498" s="7" t="s">
        <v>152</v>
      </c>
      <c r="G1498" s="7" t="s">
        <v>2886</v>
      </c>
      <c r="H1498" s="7" t="s">
        <v>153</v>
      </c>
      <c r="I1498" s="7" t="s">
        <v>7862</v>
      </c>
      <c r="J1498" s="7"/>
      <c r="K1498" s="7" t="s">
        <v>7863</v>
      </c>
    </row>
    <row r="1499" customFormat="false" ht="35.05" hidden="false" customHeight="false" outlineLevel="0" collapsed="false">
      <c r="A1499" s="7" t="n">
        <v>1498</v>
      </c>
      <c r="B1499" s="7" t="s">
        <v>7864</v>
      </c>
      <c r="C1499" s="7" t="n">
        <v>2016</v>
      </c>
      <c r="D1499" s="7" t="s">
        <v>7865</v>
      </c>
      <c r="E1499" s="7" t="s">
        <v>143</v>
      </c>
      <c r="F1499" s="7" t="s">
        <v>7355</v>
      </c>
      <c r="G1499" s="7" t="s">
        <v>678</v>
      </c>
      <c r="H1499" s="7" t="s">
        <v>146</v>
      </c>
      <c r="I1499" s="7" t="s">
        <v>7866</v>
      </c>
      <c r="J1499" s="7"/>
      <c r="K1499" s="7" t="s">
        <v>7867</v>
      </c>
    </row>
    <row r="1500" customFormat="false" ht="35.05" hidden="false" customHeight="false" outlineLevel="0" collapsed="false">
      <c r="A1500" s="7" t="n">
        <v>1499</v>
      </c>
      <c r="B1500" s="7" t="s">
        <v>7868</v>
      </c>
      <c r="C1500" s="7" t="n">
        <v>2013</v>
      </c>
      <c r="D1500" s="7" t="s">
        <v>7869</v>
      </c>
      <c r="E1500" s="7" t="s">
        <v>151</v>
      </c>
      <c r="F1500" s="7" t="s">
        <v>7870</v>
      </c>
      <c r="G1500" s="7" t="s">
        <v>7871</v>
      </c>
      <c r="H1500" s="7" t="s">
        <v>146</v>
      </c>
      <c r="I1500" s="7" t="s">
        <v>7872</v>
      </c>
      <c r="J1500" s="7"/>
      <c r="K1500" s="7" t="s">
        <v>7873</v>
      </c>
    </row>
    <row r="1501" customFormat="false" ht="35.05" hidden="false" customHeight="false" outlineLevel="0" collapsed="false">
      <c r="A1501" s="7" t="n">
        <v>1500</v>
      </c>
      <c r="B1501" s="7" t="s">
        <v>7874</v>
      </c>
      <c r="C1501" s="7" t="n">
        <v>2013</v>
      </c>
      <c r="D1501" s="7" t="s">
        <v>7875</v>
      </c>
      <c r="E1501" s="7" t="s">
        <v>201</v>
      </c>
      <c r="F1501" s="7" t="s">
        <v>7876</v>
      </c>
      <c r="G1501" s="7" t="s">
        <v>255</v>
      </c>
      <c r="H1501" s="7" t="s">
        <v>208</v>
      </c>
      <c r="I1501" s="7" t="s">
        <v>7877</v>
      </c>
      <c r="J1501" s="7"/>
      <c r="K1501" s="7" t="s">
        <v>7878</v>
      </c>
    </row>
    <row r="1502" customFormat="false" ht="35.05" hidden="false" customHeight="false" outlineLevel="0" collapsed="false">
      <c r="A1502" s="7" t="n">
        <v>1501</v>
      </c>
      <c r="B1502" s="7" t="s">
        <v>7879</v>
      </c>
      <c r="C1502" s="7" t="n">
        <v>2015</v>
      </c>
      <c r="D1502" s="7" t="s">
        <v>7880</v>
      </c>
      <c r="E1502" s="7" t="s">
        <v>151</v>
      </c>
      <c r="F1502" s="7" t="s">
        <v>152</v>
      </c>
      <c r="G1502" s="7" t="s">
        <v>7881</v>
      </c>
      <c r="H1502" s="7" t="s">
        <v>146</v>
      </c>
      <c r="I1502" s="7" t="s">
        <v>7882</v>
      </c>
      <c r="J1502" s="7"/>
      <c r="K1502" s="7" t="s">
        <v>7883</v>
      </c>
    </row>
    <row r="1503" customFormat="false" ht="35.05" hidden="false" customHeight="false" outlineLevel="0" collapsed="false">
      <c r="A1503" s="7" t="n">
        <v>1502</v>
      </c>
      <c r="B1503" s="7" t="s">
        <v>7884</v>
      </c>
      <c r="C1503" s="7" t="n">
        <v>2013</v>
      </c>
      <c r="D1503" s="7" t="s">
        <v>7885</v>
      </c>
      <c r="E1503" s="7" t="s">
        <v>151</v>
      </c>
      <c r="F1503" s="7" t="s">
        <v>7886</v>
      </c>
      <c r="G1503" s="7" t="s">
        <v>7685</v>
      </c>
      <c r="H1503" s="7" t="s">
        <v>146</v>
      </c>
      <c r="I1503" s="7" t="s">
        <v>7887</v>
      </c>
      <c r="J1503" s="7"/>
      <c r="K1503" s="7" t="s">
        <v>7888</v>
      </c>
    </row>
    <row r="1504" customFormat="false" ht="35.05" hidden="false" customHeight="false" outlineLevel="0" collapsed="false">
      <c r="A1504" s="7" t="n">
        <v>1503</v>
      </c>
      <c r="B1504" s="7" t="s">
        <v>4467</v>
      </c>
      <c r="C1504" s="7" t="n">
        <v>2010</v>
      </c>
      <c r="D1504" s="7" t="s">
        <v>7889</v>
      </c>
      <c r="E1504" s="7" t="s">
        <v>143</v>
      </c>
      <c r="F1504" s="7" t="s">
        <v>7840</v>
      </c>
      <c r="G1504" s="7" t="s">
        <v>255</v>
      </c>
      <c r="H1504" s="7" t="s">
        <v>153</v>
      </c>
      <c r="I1504" s="7" t="s">
        <v>7890</v>
      </c>
      <c r="J1504" s="7"/>
      <c r="K1504" s="7" t="s">
        <v>7891</v>
      </c>
    </row>
    <row r="1505" customFormat="false" ht="35.05" hidden="false" customHeight="false" outlineLevel="0" collapsed="false">
      <c r="A1505" s="7" t="n">
        <v>1504</v>
      </c>
      <c r="B1505" s="7" t="s">
        <v>7892</v>
      </c>
      <c r="C1505" s="7" t="n">
        <v>2012</v>
      </c>
      <c r="D1505" s="7" t="s">
        <v>7893</v>
      </c>
      <c r="E1505" s="7" t="s">
        <v>151</v>
      </c>
      <c r="F1505" s="7" t="s">
        <v>7894</v>
      </c>
      <c r="G1505" s="7" t="s">
        <v>7895</v>
      </c>
      <c r="H1505" s="7" t="s">
        <v>146</v>
      </c>
      <c r="I1505" s="7" t="s">
        <v>7896</v>
      </c>
      <c r="J1505" s="7" t="s">
        <v>116</v>
      </c>
      <c r="K1505" s="7" t="s">
        <v>7897</v>
      </c>
    </row>
    <row r="1506" customFormat="false" ht="23.85" hidden="false" customHeight="false" outlineLevel="0" collapsed="false">
      <c r="A1506" s="7" t="n">
        <v>1505</v>
      </c>
      <c r="B1506" s="7" t="s">
        <v>7898</v>
      </c>
      <c r="C1506" s="7" t="n">
        <v>2012</v>
      </c>
      <c r="D1506" s="7" t="s">
        <v>7899</v>
      </c>
      <c r="E1506" s="7" t="s">
        <v>143</v>
      </c>
      <c r="F1506" s="7" t="s">
        <v>152</v>
      </c>
      <c r="G1506" s="7" t="s">
        <v>145</v>
      </c>
      <c r="H1506" s="7" t="s">
        <v>146</v>
      </c>
      <c r="I1506" s="7" t="s">
        <v>7900</v>
      </c>
      <c r="J1506" s="7"/>
      <c r="K1506" s="7" t="s">
        <v>7901</v>
      </c>
    </row>
    <row r="1507" customFormat="false" ht="35.05" hidden="false" customHeight="false" outlineLevel="0" collapsed="false">
      <c r="A1507" s="7" t="n">
        <v>1506</v>
      </c>
      <c r="B1507" s="7" t="s">
        <v>7693</v>
      </c>
      <c r="C1507" s="7" t="n">
        <v>2010</v>
      </c>
      <c r="D1507" s="7" t="s">
        <v>7902</v>
      </c>
      <c r="E1507" s="7" t="s">
        <v>151</v>
      </c>
      <c r="F1507" s="7" t="s">
        <v>7813</v>
      </c>
      <c r="G1507" s="7" t="s">
        <v>7696</v>
      </c>
      <c r="H1507" s="7" t="s">
        <v>146</v>
      </c>
      <c r="I1507" s="7" t="s">
        <v>7903</v>
      </c>
      <c r="J1507" s="7"/>
      <c r="K1507" s="7" t="s">
        <v>7904</v>
      </c>
    </row>
    <row r="1508" customFormat="false" ht="35.05" hidden="false" customHeight="false" outlineLevel="0" collapsed="false">
      <c r="A1508" s="7" t="n">
        <v>1507</v>
      </c>
      <c r="B1508" s="7" t="s">
        <v>7905</v>
      </c>
      <c r="C1508" s="7" t="n">
        <v>2015</v>
      </c>
      <c r="D1508" s="7" t="s">
        <v>7906</v>
      </c>
      <c r="E1508" s="7" t="s">
        <v>201</v>
      </c>
      <c r="F1508" s="7" t="s">
        <v>7907</v>
      </c>
      <c r="G1508" s="7" t="s">
        <v>7666</v>
      </c>
      <c r="H1508" s="7" t="s">
        <v>146</v>
      </c>
      <c r="I1508" s="7" t="s">
        <v>7908</v>
      </c>
      <c r="J1508" s="7"/>
      <c r="K1508" s="7" t="s">
        <v>7909</v>
      </c>
    </row>
    <row r="1509" customFormat="false" ht="35.05" hidden="false" customHeight="false" outlineLevel="0" collapsed="false">
      <c r="A1509" s="7" t="n">
        <v>1508</v>
      </c>
      <c r="B1509" s="7" t="s">
        <v>7910</v>
      </c>
      <c r="C1509" s="7" t="n">
        <v>2014</v>
      </c>
      <c r="D1509" s="7" t="s">
        <v>7911</v>
      </c>
      <c r="E1509" s="7" t="s">
        <v>151</v>
      </c>
      <c r="F1509" s="7" t="s">
        <v>7912</v>
      </c>
      <c r="G1509" s="7" t="s">
        <v>4310</v>
      </c>
      <c r="H1509" s="7" t="s">
        <v>146</v>
      </c>
      <c r="I1509" s="7" t="s">
        <v>7913</v>
      </c>
      <c r="J1509" s="7"/>
      <c r="K1509" s="7" t="s">
        <v>7914</v>
      </c>
    </row>
    <row r="1510" customFormat="false" ht="35.05" hidden="false" customHeight="false" outlineLevel="0" collapsed="false">
      <c r="A1510" s="7" t="n">
        <v>1509</v>
      </c>
      <c r="B1510" s="7" t="s">
        <v>7915</v>
      </c>
      <c r="C1510" s="7" t="n">
        <v>2013</v>
      </c>
      <c r="D1510" s="7" t="s">
        <v>7916</v>
      </c>
      <c r="E1510" s="7" t="s">
        <v>151</v>
      </c>
      <c r="F1510" s="7" t="s">
        <v>7917</v>
      </c>
      <c r="G1510" s="7" t="s">
        <v>7918</v>
      </c>
      <c r="H1510" s="7" t="s">
        <v>146</v>
      </c>
      <c r="I1510" s="7" t="s">
        <v>7919</v>
      </c>
      <c r="J1510" s="7"/>
      <c r="K1510" s="7" t="s">
        <v>7920</v>
      </c>
    </row>
    <row r="1511" customFormat="false" ht="23.85" hidden="false" customHeight="false" outlineLevel="0" collapsed="false">
      <c r="A1511" s="7" t="n">
        <v>1510</v>
      </c>
      <c r="B1511" s="7" t="s">
        <v>7921</v>
      </c>
      <c r="C1511" s="7" t="n">
        <v>2015</v>
      </c>
      <c r="D1511" s="7" t="s">
        <v>7922</v>
      </c>
      <c r="E1511" s="7" t="s">
        <v>579</v>
      </c>
      <c r="F1511" s="7" t="s">
        <v>7840</v>
      </c>
      <c r="G1511" s="7" t="s">
        <v>6262</v>
      </c>
      <c r="H1511" s="7" t="s">
        <v>146</v>
      </c>
      <c r="I1511" s="7" t="s">
        <v>7923</v>
      </c>
      <c r="J1511" s="7"/>
      <c r="K1511" s="7" t="s">
        <v>7924</v>
      </c>
    </row>
    <row r="1512" customFormat="false" ht="35.05" hidden="false" customHeight="false" outlineLevel="0" collapsed="false">
      <c r="A1512" s="7" t="n">
        <v>1511</v>
      </c>
      <c r="B1512" s="7" t="s">
        <v>7925</v>
      </c>
      <c r="C1512" s="7" t="n">
        <v>2015</v>
      </c>
      <c r="D1512" s="7" t="s">
        <v>7926</v>
      </c>
      <c r="E1512" s="7" t="s">
        <v>579</v>
      </c>
      <c r="F1512" s="7" t="s">
        <v>197</v>
      </c>
      <c r="G1512" s="7" t="s">
        <v>7927</v>
      </c>
      <c r="H1512" s="7" t="s">
        <v>208</v>
      </c>
      <c r="I1512" s="7" t="s">
        <v>7928</v>
      </c>
      <c r="J1512" s="7"/>
      <c r="K1512" s="7" t="s">
        <v>7929</v>
      </c>
    </row>
    <row r="1513" customFormat="false" ht="35.05" hidden="false" customHeight="false" outlineLevel="0" collapsed="false">
      <c r="A1513" s="7" t="n">
        <v>1512</v>
      </c>
      <c r="B1513" s="7" t="s">
        <v>7930</v>
      </c>
      <c r="C1513" s="7" t="n">
        <v>2013</v>
      </c>
      <c r="D1513" s="7" t="s">
        <v>7931</v>
      </c>
      <c r="E1513" s="7" t="s">
        <v>151</v>
      </c>
      <c r="F1513" s="7" t="s">
        <v>152</v>
      </c>
      <c r="G1513" s="7" t="s">
        <v>285</v>
      </c>
      <c r="H1513" s="7" t="s">
        <v>146</v>
      </c>
      <c r="I1513" s="7" t="s">
        <v>7932</v>
      </c>
      <c r="J1513" s="7"/>
      <c r="K1513" s="7" t="s">
        <v>7933</v>
      </c>
    </row>
    <row r="1514" customFormat="false" ht="35.05" hidden="false" customHeight="false" outlineLevel="0" collapsed="false">
      <c r="A1514" s="7" t="n">
        <v>1513</v>
      </c>
      <c r="B1514" s="7" t="s">
        <v>7934</v>
      </c>
      <c r="C1514" s="7" t="n">
        <v>2017</v>
      </c>
      <c r="D1514" s="7" t="s">
        <v>7935</v>
      </c>
      <c r="E1514" s="7" t="s">
        <v>143</v>
      </c>
      <c r="F1514" s="7" t="s">
        <v>197</v>
      </c>
      <c r="G1514" s="7" t="s">
        <v>145</v>
      </c>
      <c r="H1514" s="7" t="s">
        <v>146</v>
      </c>
      <c r="I1514" s="7" t="s">
        <v>7936</v>
      </c>
      <c r="J1514" s="7"/>
      <c r="K1514" s="7" t="s">
        <v>7937</v>
      </c>
    </row>
    <row r="1515" customFormat="false" ht="35.05" hidden="false" customHeight="false" outlineLevel="0" collapsed="false">
      <c r="A1515" s="7" t="n">
        <v>1514</v>
      </c>
      <c r="B1515" s="7" t="s">
        <v>7938</v>
      </c>
      <c r="C1515" s="7" t="n">
        <v>2015</v>
      </c>
      <c r="D1515" s="7" t="s">
        <v>7939</v>
      </c>
      <c r="E1515" s="7" t="s">
        <v>151</v>
      </c>
      <c r="F1515" s="7" t="s">
        <v>7870</v>
      </c>
      <c r="G1515" s="7" t="s">
        <v>7940</v>
      </c>
      <c r="H1515" s="7" t="s">
        <v>146</v>
      </c>
      <c r="I1515" s="7" t="s">
        <v>7941</v>
      </c>
      <c r="J1515" s="7"/>
      <c r="K1515" s="7" t="s">
        <v>7942</v>
      </c>
    </row>
    <row r="1516" customFormat="false" ht="35.05" hidden="false" customHeight="false" outlineLevel="0" collapsed="false">
      <c r="A1516" s="7" t="n">
        <v>1515</v>
      </c>
      <c r="B1516" s="7" t="s">
        <v>7943</v>
      </c>
      <c r="C1516" s="7" t="n">
        <v>2009</v>
      </c>
      <c r="D1516" s="7" t="s">
        <v>7944</v>
      </c>
      <c r="E1516" s="7" t="s">
        <v>151</v>
      </c>
      <c r="F1516" s="7" t="s">
        <v>3552</v>
      </c>
      <c r="G1516" s="7" t="s">
        <v>4310</v>
      </c>
      <c r="H1516" s="7" t="s">
        <v>146</v>
      </c>
      <c r="I1516" s="7" t="s">
        <v>7945</v>
      </c>
      <c r="J1516" s="7"/>
      <c r="K1516" s="7" t="s">
        <v>7946</v>
      </c>
    </row>
    <row r="1517" customFormat="false" ht="35.05" hidden="false" customHeight="false" outlineLevel="0" collapsed="false">
      <c r="A1517" s="7" t="n">
        <v>1516</v>
      </c>
      <c r="B1517" s="7" t="s">
        <v>7947</v>
      </c>
      <c r="C1517" s="7" t="n">
        <v>2015</v>
      </c>
      <c r="D1517" s="7" t="s">
        <v>7948</v>
      </c>
      <c r="E1517" s="7" t="s">
        <v>151</v>
      </c>
      <c r="F1517" s="7" t="s">
        <v>7949</v>
      </c>
      <c r="G1517" s="7" t="s">
        <v>285</v>
      </c>
      <c r="H1517" s="7" t="s">
        <v>146</v>
      </c>
      <c r="I1517" s="7" t="s">
        <v>7950</v>
      </c>
      <c r="J1517" s="7"/>
      <c r="K1517" s="7" t="s">
        <v>7951</v>
      </c>
    </row>
    <row r="1518" customFormat="false" ht="35.05" hidden="false" customHeight="false" outlineLevel="0" collapsed="false">
      <c r="A1518" s="7" t="n">
        <v>1517</v>
      </c>
      <c r="B1518" s="7" t="s">
        <v>7952</v>
      </c>
      <c r="C1518" s="7" t="n">
        <v>2009</v>
      </c>
      <c r="D1518" s="7" t="s">
        <v>7953</v>
      </c>
      <c r="E1518" s="7" t="s">
        <v>143</v>
      </c>
      <c r="F1518" s="7" t="s">
        <v>7954</v>
      </c>
      <c r="G1518" s="7" t="s">
        <v>181</v>
      </c>
      <c r="H1518" s="7" t="s">
        <v>153</v>
      </c>
      <c r="I1518" s="7" t="s">
        <v>7955</v>
      </c>
      <c r="J1518" s="7"/>
      <c r="K1518" s="7" t="s">
        <v>7956</v>
      </c>
    </row>
    <row r="1519" customFormat="false" ht="35.05" hidden="false" customHeight="false" outlineLevel="0" collapsed="false">
      <c r="A1519" s="7" t="n">
        <v>1518</v>
      </c>
      <c r="B1519" s="7" t="s">
        <v>7957</v>
      </c>
      <c r="C1519" s="7" t="n">
        <v>2009</v>
      </c>
      <c r="D1519" s="7" t="s">
        <v>7958</v>
      </c>
      <c r="E1519" s="7" t="s">
        <v>579</v>
      </c>
      <c r="F1519" s="7" t="s">
        <v>152</v>
      </c>
      <c r="G1519" s="7" t="s">
        <v>145</v>
      </c>
      <c r="H1519" s="7" t="s">
        <v>146</v>
      </c>
      <c r="I1519" s="7" t="s">
        <v>7959</v>
      </c>
      <c r="J1519" s="7"/>
      <c r="K1519" s="7" t="s">
        <v>7960</v>
      </c>
    </row>
    <row r="1520" customFormat="false" ht="35.05" hidden="false" customHeight="false" outlineLevel="0" collapsed="false">
      <c r="A1520" s="7" t="n">
        <v>1519</v>
      </c>
      <c r="B1520" s="7" t="s">
        <v>6585</v>
      </c>
      <c r="C1520" s="7" t="n">
        <v>2017</v>
      </c>
      <c r="D1520" s="7" t="s">
        <v>7961</v>
      </c>
      <c r="E1520" s="7" t="s">
        <v>143</v>
      </c>
      <c r="F1520" s="7" t="s">
        <v>7962</v>
      </c>
      <c r="G1520" s="7" t="s">
        <v>145</v>
      </c>
      <c r="H1520" s="7" t="s">
        <v>153</v>
      </c>
      <c r="I1520" s="7" t="s">
        <v>7963</v>
      </c>
      <c r="J1520" s="7"/>
      <c r="K1520" s="7" t="s">
        <v>7964</v>
      </c>
    </row>
    <row r="1521" customFormat="false" ht="35.05" hidden="false" customHeight="false" outlineLevel="0" collapsed="false">
      <c r="A1521" s="7" t="n">
        <v>1520</v>
      </c>
      <c r="B1521" s="7" t="s">
        <v>7965</v>
      </c>
      <c r="C1521" s="7" t="n">
        <v>2016</v>
      </c>
      <c r="D1521" s="7" t="s">
        <v>7966</v>
      </c>
      <c r="E1521" s="7" t="s">
        <v>201</v>
      </c>
      <c r="F1521" s="7" t="s">
        <v>1619</v>
      </c>
      <c r="G1521" s="7" t="s">
        <v>145</v>
      </c>
      <c r="H1521" s="7" t="s">
        <v>153</v>
      </c>
      <c r="I1521" s="7" t="s">
        <v>7967</v>
      </c>
      <c r="J1521" s="7"/>
      <c r="K1521" s="7" t="s">
        <v>7968</v>
      </c>
    </row>
    <row r="1522" customFormat="false" ht="35.05" hidden="false" customHeight="false" outlineLevel="0" collapsed="false">
      <c r="A1522" s="7" t="n">
        <v>1521</v>
      </c>
      <c r="B1522" s="7" t="s">
        <v>7969</v>
      </c>
      <c r="C1522" s="7" t="n">
        <v>2017</v>
      </c>
      <c r="D1522" s="7" t="s">
        <v>7970</v>
      </c>
      <c r="E1522" s="7" t="s">
        <v>579</v>
      </c>
      <c r="F1522" s="7" t="s">
        <v>1619</v>
      </c>
      <c r="G1522" s="7" t="s">
        <v>145</v>
      </c>
      <c r="H1522" s="7" t="s">
        <v>153</v>
      </c>
      <c r="I1522" s="7" t="s">
        <v>7971</v>
      </c>
      <c r="J1522" s="7"/>
      <c r="K1522" s="7" t="s">
        <v>7972</v>
      </c>
    </row>
    <row r="1523" customFormat="false" ht="35.05" hidden="false" customHeight="false" outlineLevel="0" collapsed="false">
      <c r="A1523" s="7" t="n">
        <v>1522</v>
      </c>
      <c r="B1523" s="7" t="s">
        <v>399</v>
      </c>
      <c r="C1523" s="7" t="n">
        <v>2016</v>
      </c>
      <c r="D1523" s="7" t="s">
        <v>7973</v>
      </c>
      <c r="E1523" s="7" t="s">
        <v>151</v>
      </c>
      <c r="F1523" s="7" t="s">
        <v>152</v>
      </c>
      <c r="G1523" s="7" t="s">
        <v>145</v>
      </c>
      <c r="H1523" s="7" t="s">
        <v>146</v>
      </c>
      <c r="I1523" s="7" t="s">
        <v>7974</v>
      </c>
      <c r="J1523" s="7"/>
      <c r="K1523" s="7" t="s">
        <v>7975</v>
      </c>
    </row>
    <row r="1524" customFormat="false" ht="35.05" hidden="false" customHeight="false" outlineLevel="0" collapsed="false">
      <c r="A1524" s="7" t="n">
        <v>1523</v>
      </c>
      <c r="B1524" s="7" t="s">
        <v>7976</v>
      </c>
      <c r="C1524" s="7" t="n">
        <v>2018</v>
      </c>
      <c r="D1524" s="7" t="s">
        <v>7977</v>
      </c>
      <c r="E1524" s="7" t="s">
        <v>201</v>
      </c>
      <c r="F1524" s="7" t="s">
        <v>7978</v>
      </c>
      <c r="G1524" s="7" t="s">
        <v>2886</v>
      </c>
      <c r="H1524" s="7" t="s">
        <v>146</v>
      </c>
      <c r="I1524" s="7" t="s">
        <v>7979</v>
      </c>
      <c r="J1524" s="7"/>
      <c r="K1524" s="7" t="s">
        <v>7980</v>
      </c>
    </row>
    <row r="1525" customFormat="false" ht="35.05" hidden="false" customHeight="false" outlineLevel="0" collapsed="false">
      <c r="A1525" s="7" t="n">
        <v>1524</v>
      </c>
      <c r="B1525" s="7" t="s">
        <v>7981</v>
      </c>
      <c r="C1525" s="7" t="n">
        <v>2015</v>
      </c>
      <c r="D1525" s="7" t="s">
        <v>7982</v>
      </c>
      <c r="E1525" s="7" t="s">
        <v>143</v>
      </c>
      <c r="F1525" s="7" t="s">
        <v>7983</v>
      </c>
      <c r="G1525" s="7" t="s">
        <v>512</v>
      </c>
      <c r="H1525" s="7" t="s">
        <v>146</v>
      </c>
      <c r="I1525" s="7" t="s">
        <v>7984</v>
      </c>
      <c r="J1525" s="7" t="s">
        <v>116</v>
      </c>
      <c r="K1525" s="7" t="s">
        <v>7985</v>
      </c>
    </row>
    <row r="1526" customFormat="false" ht="23.85" hidden="false" customHeight="false" outlineLevel="0" collapsed="false">
      <c r="A1526" s="7" t="n">
        <v>1525</v>
      </c>
      <c r="B1526" s="7" t="s">
        <v>7986</v>
      </c>
      <c r="C1526" s="7" t="n">
        <v>2017</v>
      </c>
      <c r="D1526" s="7" t="s">
        <v>7987</v>
      </c>
      <c r="E1526" s="7" t="s">
        <v>151</v>
      </c>
      <c r="F1526" s="7" t="s">
        <v>1619</v>
      </c>
      <c r="G1526" s="7" t="s">
        <v>145</v>
      </c>
      <c r="H1526" s="7" t="s">
        <v>146</v>
      </c>
      <c r="I1526" s="7" t="s">
        <v>7988</v>
      </c>
      <c r="J1526" s="7"/>
      <c r="K1526" s="7" t="s">
        <v>7989</v>
      </c>
    </row>
    <row r="1527" customFormat="false" ht="35.05" hidden="false" customHeight="false" outlineLevel="0" collapsed="false">
      <c r="A1527" s="7" t="n">
        <v>1526</v>
      </c>
      <c r="B1527" s="7" t="s">
        <v>7990</v>
      </c>
      <c r="C1527" s="7" t="n">
        <v>2014</v>
      </c>
      <c r="D1527" s="7" t="s">
        <v>7991</v>
      </c>
      <c r="E1527" s="7" t="s">
        <v>201</v>
      </c>
      <c r="F1527" s="7" t="s">
        <v>7992</v>
      </c>
      <c r="G1527" s="7" t="s">
        <v>145</v>
      </c>
      <c r="H1527" s="7" t="s">
        <v>146</v>
      </c>
      <c r="I1527" s="7" t="s">
        <v>7993</v>
      </c>
      <c r="J1527" s="7"/>
      <c r="K1527" s="7" t="s">
        <v>7994</v>
      </c>
    </row>
    <row r="1528" customFormat="false" ht="35.05" hidden="false" customHeight="false" outlineLevel="0" collapsed="false">
      <c r="A1528" s="7" t="n">
        <v>1527</v>
      </c>
      <c r="B1528" s="7" t="s">
        <v>7995</v>
      </c>
      <c r="C1528" s="7" t="n">
        <v>2016</v>
      </c>
      <c r="D1528" s="7" t="s">
        <v>7996</v>
      </c>
      <c r="E1528" s="7" t="s">
        <v>151</v>
      </c>
      <c r="F1528" s="7" t="s">
        <v>152</v>
      </c>
      <c r="G1528" s="7" t="s">
        <v>255</v>
      </c>
      <c r="H1528" s="7" t="s">
        <v>146</v>
      </c>
      <c r="I1528" s="7" t="s">
        <v>7997</v>
      </c>
      <c r="J1528" s="7"/>
      <c r="K1528" s="7" t="s">
        <v>7998</v>
      </c>
    </row>
    <row r="1529" customFormat="false" ht="35.05" hidden="false" customHeight="false" outlineLevel="0" collapsed="false">
      <c r="A1529" s="7" t="n">
        <v>1528</v>
      </c>
      <c r="B1529" s="7" t="s">
        <v>7999</v>
      </c>
      <c r="C1529" s="7" t="n">
        <v>2017</v>
      </c>
      <c r="D1529" s="7" t="s">
        <v>8000</v>
      </c>
      <c r="E1529" s="7" t="s">
        <v>201</v>
      </c>
      <c r="F1529" s="7" t="s">
        <v>7643</v>
      </c>
      <c r="G1529" s="7" t="s">
        <v>145</v>
      </c>
      <c r="H1529" s="7" t="s">
        <v>153</v>
      </c>
      <c r="I1529" s="7" t="s">
        <v>8001</v>
      </c>
      <c r="J1529" s="7"/>
      <c r="K1529" s="7" t="s">
        <v>8002</v>
      </c>
    </row>
    <row r="1530" customFormat="false" ht="35.05" hidden="false" customHeight="false" outlineLevel="0" collapsed="false">
      <c r="A1530" s="7" t="n">
        <v>1529</v>
      </c>
      <c r="B1530" s="7" t="s">
        <v>8003</v>
      </c>
      <c r="C1530" s="7" t="n">
        <v>2016</v>
      </c>
      <c r="D1530" s="7" t="s">
        <v>8004</v>
      </c>
      <c r="E1530" s="7" t="s">
        <v>201</v>
      </c>
      <c r="F1530" s="7" t="s">
        <v>2574</v>
      </c>
      <c r="G1530" s="7" t="s">
        <v>145</v>
      </c>
      <c r="H1530" s="7" t="s">
        <v>153</v>
      </c>
      <c r="I1530" s="7" t="s">
        <v>5693</v>
      </c>
      <c r="J1530" s="7"/>
      <c r="K1530" s="7" t="s">
        <v>8005</v>
      </c>
    </row>
    <row r="1531" customFormat="false" ht="46.25" hidden="false" customHeight="false" outlineLevel="0" collapsed="false">
      <c r="A1531" s="7" t="n">
        <v>1530</v>
      </c>
      <c r="B1531" s="7" t="s">
        <v>8006</v>
      </c>
      <c r="C1531" s="7" t="n">
        <v>2019</v>
      </c>
      <c r="D1531" s="7" t="s">
        <v>8007</v>
      </c>
      <c r="E1531" s="7" t="s">
        <v>579</v>
      </c>
      <c r="F1531" s="7" t="s">
        <v>8008</v>
      </c>
      <c r="G1531" s="7" t="s">
        <v>145</v>
      </c>
      <c r="H1531" s="7" t="s">
        <v>208</v>
      </c>
      <c r="I1531" s="7" t="s">
        <v>1240</v>
      </c>
      <c r="J1531" s="7" t="s">
        <v>114</v>
      </c>
      <c r="K1531" s="7" t="s">
        <v>8009</v>
      </c>
    </row>
    <row r="1532" customFormat="false" ht="35.05" hidden="false" customHeight="false" outlineLevel="0" collapsed="false">
      <c r="A1532" s="7" t="n">
        <v>1531</v>
      </c>
      <c r="B1532" s="7" t="s">
        <v>8010</v>
      </c>
      <c r="C1532" s="7" t="n">
        <v>2017</v>
      </c>
      <c r="D1532" s="7" t="s">
        <v>8011</v>
      </c>
      <c r="E1532" s="7" t="s">
        <v>143</v>
      </c>
      <c r="F1532" s="7" t="s">
        <v>8012</v>
      </c>
      <c r="G1532" s="7" t="s">
        <v>2841</v>
      </c>
      <c r="H1532" s="7" t="s">
        <v>153</v>
      </c>
      <c r="I1532" s="7" t="s">
        <v>8013</v>
      </c>
      <c r="J1532" s="7" t="s">
        <v>114</v>
      </c>
      <c r="K1532" s="7" t="s">
        <v>8014</v>
      </c>
    </row>
    <row r="1533" customFormat="false" ht="35.05" hidden="false" customHeight="false" outlineLevel="0" collapsed="false">
      <c r="A1533" s="7" t="n">
        <v>1532</v>
      </c>
      <c r="B1533" s="7" t="s">
        <v>8015</v>
      </c>
      <c r="C1533" s="7" t="n">
        <v>2009</v>
      </c>
      <c r="D1533" s="7" t="s">
        <v>8016</v>
      </c>
      <c r="E1533" s="7" t="s">
        <v>143</v>
      </c>
      <c r="F1533" s="7" t="s">
        <v>8017</v>
      </c>
      <c r="G1533" s="7" t="s">
        <v>145</v>
      </c>
      <c r="H1533" s="7" t="s">
        <v>153</v>
      </c>
      <c r="I1533" s="7" t="s">
        <v>8018</v>
      </c>
      <c r="J1533" s="7" t="s">
        <v>116</v>
      </c>
      <c r="K1533" s="7" t="s">
        <v>8019</v>
      </c>
    </row>
    <row r="1534" customFormat="false" ht="35.05" hidden="false" customHeight="false" outlineLevel="0" collapsed="false">
      <c r="A1534" s="7" t="n">
        <v>1533</v>
      </c>
      <c r="B1534" s="7" t="s">
        <v>8020</v>
      </c>
      <c r="C1534" s="7" t="n">
        <v>2016</v>
      </c>
      <c r="D1534" s="7" t="s">
        <v>8021</v>
      </c>
      <c r="E1534" s="7" t="s">
        <v>143</v>
      </c>
      <c r="F1534" s="7" t="s">
        <v>8022</v>
      </c>
      <c r="G1534" s="7" t="s">
        <v>145</v>
      </c>
      <c r="H1534" s="7" t="s">
        <v>153</v>
      </c>
      <c r="I1534" s="7" t="s">
        <v>8023</v>
      </c>
      <c r="J1534" s="7" t="s">
        <v>114</v>
      </c>
      <c r="K1534" s="7" t="s">
        <v>8024</v>
      </c>
    </row>
    <row r="1535" customFormat="false" ht="35.05" hidden="false" customHeight="false" outlineLevel="0" collapsed="false">
      <c r="A1535" s="7" t="n">
        <v>1534</v>
      </c>
      <c r="B1535" s="7" t="s">
        <v>8025</v>
      </c>
      <c r="C1535" s="7" t="n">
        <v>2020</v>
      </c>
      <c r="D1535" s="7" t="s">
        <v>8026</v>
      </c>
      <c r="E1535" s="7" t="s">
        <v>143</v>
      </c>
      <c r="F1535" s="7" t="s">
        <v>2192</v>
      </c>
      <c r="G1535" s="7" t="s">
        <v>145</v>
      </c>
      <c r="H1535" s="7" t="s">
        <v>208</v>
      </c>
      <c r="I1535" s="7" t="s">
        <v>8027</v>
      </c>
      <c r="J1535" s="7" t="s">
        <v>116</v>
      </c>
      <c r="K1535" s="7" t="s">
        <v>8028</v>
      </c>
    </row>
    <row r="1536" customFormat="false" ht="35.05" hidden="false" customHeight="false" outlineLevel="0" collapsed="false">
      <c r="A1536" s="7" t="n">
        <v>1535</v>
      </c>
      <c r="B1536" s="7" t="s">
        <v>8029</v>
      </c>
      <c r="C1536" s="7" t="n">
        <v>2013</v>
      </c>
      <c r="D1536" s="7" t="s">
        <v>8030</v>
      </c>
      <c r="E1536" s="7" t="s">
        <v>151</v>
      </c>
      <c r="F1536" s="7" t="s">
        <v>8031</v>
      </c>
      <c r="G1536" s="7" t="s">
        <v>1075</v>
      </c>
      <c r="H1536" s="7" t="s">
        <v>208</v>
      </c>
      <c r="I1536" s="7" t="s">
        <v>8032</v>
      </c>
      <c r="J1536" s="7" t="s">
        <v>116</v>
      </c>
      <c r="K1536" s="7" t="s">
        <v>8033</v>
      </c>
    </row>
    <row r="1537" customFormat="false" ht="35.05" hidden="false" customHeight="false" outlineLevel="0" collapsed="false">
      <c r="A1537" s="7" t="n">
        <v>1536</v>
      </c>
      <c r="B1537" s="7" t="s">
        <v>8034</v>
      </c>
      <c r="C1537" s="7" t="n">
        <v>2011</v>
      </c>
      <c r="D1537" s="7" t="s">
        <v>8035</v>
      </c>
      <c r="E1537" s="7" t="s">
        <v>579</v>
      </c>
      <c r="F1537" s="7" t="s">
        <v>1523</v>
      </c>
      <c r="G1537" s="7" t="s">
        <v>145</v>
      </c>
      <c r="H1537" s="7" t="s">
        <v>153</v>
      </c>
      <c r="I1537" s="7" t="s">
        <v>8036</v>
      </c>
      <c r="J1537" s="7"/>
      <c r="K1537" s="7" t="s">
        <v>8037</v>
      </c>
    </row>
    <row r="1538" customFormat="false" ht="35.05" hidden="false" customHeight="false" outlineLevel="0" collapsed="false">
      <c r="A1538" s="7" t="n">
        <v>1537</v>
      </c>
      <c r="B1538" s="7" t="s">
        <v>8038</v>
      </c>
      <c r="C1538" s="7" t="n">
        <v>2018</v>
      </c>
      <c r="D1538" s="7" t="s">
        <v>8039</v>
      </c>
      <c r="E1538" s="7" t="s">
        <v>143</v>
      </c>
      <c r="F1538" s="7" t="s">
        <v>8040</v>
      </c>
      <c r="G1538" s="7" t="s">
        <v>145</v>
      </c>
      <c r="H1538" s="7" t="s">
        <v>153</v>
      </c>
      <c r="I1538" s="7" t="s">
        <v>8041</v>
      </c>
      <c r="J1538" s="7" t="s">
        <v>114</v>
      </c>
      <c r="K1538" s="7" t="s">
        <v>8042</v>
      </c>
    </row>
    <row r="1539" customFormat="false" ht="35.05" hidden="false" customHeight="false" outlineLevel="0" collapsed="false">
      <c r="A1539" s="7" t="n">
        <v>1538</v>
      </c>
      <c r="B1539" s="7" t="s">
        <v>8043</v>
      </c>
      <c r="C1539" s="7" t="n">
        <v>1994</v>
      </c>
      <c r="D1539" s="7" t="s">
        <v>8044</v>
      </c>
      <c r="E1539" s="7" t="s">
        <v>143</v>
      </c>
      <c r="F1539" s="7" t="s">
        <v>8045</v>
      </c>
      <c r="G1539" s="7" t="s">
        <v>8046</v>
      </c>
      <c r="H1539" s="7" t="s">
        <v>146</v>
      </c>
      <c r="I1539" s="7" t="s">
        <v>8047</v>
      </c>
      <c r="J1539" s="7" t="s">
        <v>116</v>
      </c>
      <c r="K1539" s="7" t="s">
        <v>8048</v>
      </c>
    </row>
    <row r="1540" customFormat="false" ht="35.05" hidden="false" customHeight="false" outlineLevel="0" collapsed="false">
      <c r="A1540" s="7" t="n">
        <v>1539</v>
      </c>
      <c r="B1540" s="7" t="s">
        <v>8049</v>
      </c>
      <c r="C1540" s="7" t="n">
        <v>2005</v>
      </c>
      <c r="D1540" s="7" t="s">
        <v>8050</v>
      </c>
      <c r="E1540" s="7" t="s">
        <v>201</v>
      </c>
      <c r="F1540" s="7" t="s">
        <v>364</v>
      </c>
      <c r="G1540" s="7" t="s">
        <v>145</v>
      </c>
      <c r="H1540" s="7" t="s">
        <v>153</v>
      </c>
      <c r="I1540" s="7" t="s">
        <v>8051</v>
      </c>
      <c r="J1540" s="7"/>
      <c r="K1540" s="7" t="s">
        <v>8052</v>
      </c>
    </row>
    <row r="1541" customFormat="false" ht="35.05" hidden="false" customHeight="false" outlineLevel="0" collapsed="false">
      <c r="A1541" s="7" t="n">
        <v>1540</v>
      </c>
      <c r="B1541" s="7" t="s">
        <v>8053</v>
      </c>
      <c r="C1541" s="7" t="n">
        <v>2021</v>
      </c>
      <c r="D1541" s="7" t="s">
        <v>8054</v>
      </c>
      <c r="E1541" s="7" t="s">
        <v>579</v>
      </c>
      <c r="F1541" s="7" t="s">
        <v>8055</v>
      </c>
      <c r="G1541" s="7" t="s">
        <v>145</v>
      </c>
      <c r="H1541" s="7" t="s">
        <v>208</v>
      </c>
      <c r="I1541" s="7" t="s">
        <v>8056</v>
      </c>
      <c r="J1541" s="7" t="s">
        <v>116</v>
      </c>
      <c r="K1541" s="7" t="s">
        <v>8057</v>
      </c>
    </row>
    <row r="1542" customFormat="false" ht="35.05" hidden="false" customHeight="false" outlineLevel="0" collapsed="false">
      <c r="A1542" s="7" t="n">
        <v>1541</v>
      </c>
      <c r="B1542" s="7" t="s">
        <v>8058</v>
      </c>
      <c r="C1542" s="7" t="n">
        <v>2005</v>
      </c>
      <c r="D1542" s="7" t="s">
        <v>8059</v>
      </c>
      <c r="E1542" s="7" t="s">
        <v>201</v>
      </c>
      <c r="F1542" s="7" t="s">
        <v>8060</v>
      </c>
      <c r="G1542" s="7" t="s">
        <v>145</v>
      </c>
      <c r="H1542" s="7" t="s">
        <v>153</v>
      </c>
      <c r="I1542" s="7" t="s">
        <v>8061</v>
      </c>
      <c r="J1542" s="7" t="s">
        <v>114</v>
      </c>
      <c r="K1542" s="7" t="s">
        <v>8062</v>
      </c>
    </row>
    <row r="1543" customFormat="false" ht="35.05" hidden="false" customHeight="false" outlineLevel="0" collapsed="false">
      <c r="A1543" s="7" t="n">
        <v>1542</v>
      </c>
      <c r="B1543" s="7" t="s">
        <v>8063</v>
      </c>
      <c r="C1543" s="7" t="n">
        <v>2021</v>
      </c>
      <c r="D1543" s="7" t="s">
        <v>8064</v>
      </c>
      <c r="E1543" s="7" t="s">
        <v>201</v>
      </c>
      <c r="F1543" s="7" t="s">
        <v>8065</v>
      </c>
      <c r="G1543" s="7" t="s">
        <v>145</v>
      </c>
      <c r="H1543" s="7" t="s">
        <v>153</v>
      </c>
      <c r="I1543" s="7" t="s">
        <v>2675</v>
      </c>
      <c r="J1543" s="7"/>
      <c r="K1543" s="7" t="s">
        <v>8066</v>
      </c>
    </row>
    <row r="1544" customFormat="false" ht="35.05" hidden="false" customHeight="false" outlineLevel="0" collapsed="false">
      <c r="A1544" s="7" t="n">
        <v>1543</v>
      </c>
      <c r="B1544" s="7" t="s">
        <v>8067</v>
      </c>
      <c r="C1544" s="7" t="n">
        <v>2020</v>
      </c>
      <c r="D1544" s="7" t="s">
        <v>8068</v>
      </c>
      <c r="E1544" s="7" t="s">
        <v>579</v>
      </c>
      <c r="F1544" s="7" t="s">
        <v>8069</v>
      </c>
      <c r="G1544" s="7" t="s">
        <v>8070</v>
      </c>
      <c r="H1544" s="7" t="s">
        <v>208</v>
      </c>
      <c r="I1544" s="7" t="s">
        <v>8071</v>
      </c>
      <c r="J1544" s="7" t="s">
        <v>116</v>
      </c>
      <c r="K1544" s="7" t="s">
        <v>8072</v>
      </c>
    </row>
    <row r="1545" customFormat="false" ht="35.05" hidden="false" customHeight="false" outlineLevel="0" collapsed="false">
      <c r="A1545" s="7" t="n">
        <v>1544</v>
      </c>
      <c r="B1545" s="7" t="s">
        <v>8073</v>
      </c>
      <c r="C1545" s="7" t="n">
        <v>1994</v>
      </c>
      <c r="D1545" s="7" t="s">
        <v>8074</v>
      </c>
      <c r="E1545" s="7" t="s">
        <v>143</v>
      </c>
      <c r="F1545" s="7" t="s">
        <v>8075</v>
      </c>
      <c r="G1545" s="7" t="s">
        <v>1373</v>
      </c>
      <c r="H1545" s="7" t="s">
        <v>146</v>
      </c>
      <c r="I1545" s="7" t="s">
        <v>8076</v>
      </c>
      <c r="J1545" s="7" t="s">
        <v>116</v>
      </c>
      <c r="K1545" s="7" t="s">
        <v>8077</v>
      </c>
    </row>
    <row r="1546" customFormat="false" ht="57.45" hidden="false" customHeight="false" outlineLevel="0" collapsed="false">
      <c r="A1546" s="7" t="n">
        <v>1545</v>
      </c>
      <c r="B1546" s="7" t="s">
        <v>8078</v>
      </c>
      <c r="C1546" s="7" t="n">
        <v>2018</v>
      </c>
      <c r="D1546" s="7" t="s">
        <v>8079</v>
      </c>
      <c r="E1546" s="7" t="s">
        <v>15797</v>
      </c>
      <c r="F1546" s="7" t="s">
        <v>15798</v>
      </c>
      <c r="G1546" s="7" t="s">
        <v>8081</v>
      </c>
      <c r="H1546" s="7" t="s">
        <v>153</v>
      </c>
      <c r="I1546" s="7" t="s">
        <v>15799</v>
      </c>
      <c r="J1546" s="7" t="s">
        <v>116</v>
      </c>
      <c r="K1546" s="7" t="s">
        <v>15800</v>
      </c>
    </row>
    <row r="1547" customFormat="false" ht="35.05" hidden="false" customHeight="false" outlineLevel="0" collapsed="false">
      <c r="A1547" s="7" t="n">
        <v>1546</v>
      </c>
      <c r="B1547" s="7" t="s">
        <v>8088</v>
      </c>
      <c r="C1547" s="7" t="n">
        <v>2021</v>
      </c>
      <c r="D1547" s="7" t="s">
        <v>8089</v>
      </c>
      <c r="E1547" s="7" t="s">
        <v>143</v>
      </c>
      <c r="F1547" s="7" t="s">
        <v>8090</v>
      </c>
      <c r="G1547" s="7" t="s">
        <v>145</v>
      </c>
      <c r="H1547" s="7" t="s">
        <v>153</v>
      </c>
      <c r="I1547" s="7" t="s">
        <v>8091</v>
      </c>
      <c r="J1547" s="7" t="s">
        <v>114</v>
      </c>
      <c r="K1547" s="7" t="s">
        <v>8092</v>
      </c>
    </row>
    <row r="1548" customFormat="false" ht="57.45" hidden="false" customHeight="false" outlineLevel="0" collapsed="false">
      <c r="A1548" s="7" t="n">
        <v>1547</v>
      </c>
      <c r="B1548" s="7" t="s">
        <v>8093</v>
      </c>
      <c r="C1548" s="7" t="n">
        <v>2001</v>
      </c>
      <c r="D1548" s="7" t="s">
        <v>8094</v>
      </c>
      <c r="E1548" s="7" t="s">
        <v>143</v>
      </c>
      <c r="F1548" s="7" t="s">
        <v>15801</v>
      </c>
      <c r="G1548" s="7" t="s">
        <v>145</v>
      </c>
      <c r="H1548" s="7" t="s">
        <v>153</v>
      </c>
      <c r="I1548" s="7" t="s">
        <v>15802</v>
      </c>
      <c r="J1548" s="7" t="s">
        <v>15120</v>
      </c>
      <c r="K1548" s="7" t="s">
        <v>15803</v>
      </c>
    </row>
    <row r="1549" customFormat="false" ht="35.05" hidden="false" customHeight="false" outlineLevel="0" collapsed="false">
      <c r="A1549" s="7" t="n">
        <v>1548</v>
      </c>
      <c r="B1549" s="7" t="s">
        <v>8098</v>
      </c>
      <c r="C1549" s="7" t="n">
        <v>2019</v>
      </c>
      <c r="D1549" s="7" t="s">
        <v>8099</v>
      </c>
      <c r="E1549" s="7" t="s">
        <v>151</v>
      </c>
      <c r="F1549" s="7" t="s">
        <v>8100</v>
      </c>
      <c r="G1549" s="7" t="s">
        <v>8101</v>
      </c>
      <c r="H1549" s="7" t="s">
        <v>146</v>
      </c>
      <c r="I1549" s="7" t="s">
        <v>8102</v>
      </c>
      <c r="J1549" s="7"/>
      <c r="K1549" s="7" t="s">
        <v>8103</v>
      </c>
    </row>
    <row r="1550" customFormat="false" ht="35.05" hidden="false" customHeight="false" outlineLevel="0" collapsed="false">
      <c r="A1550" s="7" t="n">
        <v>1549</v>
      </c>
      <c r="B1550" s="7" t="s">
        <v>8104</v>
      </c>
      <c r="C1550" s="7" t="n">
        <v>1994</v>
      </c>
      <c r="D1550" s="7" t="s">
        <v>8105</v>
      </c>
      <c r="E1550" s="7" t="s">
        <v>143</v>
      </c>
      <c r="F1550" s="7" t="s">
        <v>8106</v>
      </c>
      <c r="G1550" s="7" t="s">
        <v>1373</v>
      </c>
      <c r="H1550" s="7" t="s">
        <v>387</v>
      </c>
      <c r="I1550" s="7" t="s">
        <v>8107</v>
      </c>
      <c r="J1550" s="7"/>
      <c r="K1550" s="7" t="s">
        <v>8108</v>
      </c>
    </row>
    <row r="1551" customFormat="false" ht="35.05" hidden="false" customHeight="false" outlineLevel="0" collapsed="false">
      <c r="A1551" s="7" t="n">
        <v>1550</v>
      </c>
      <c r="B1551" s="7" t="s">
        <v>8109</v>
      </c>
      <c r="C1551" s="7" t="n">
        <v>2008</v>
      </c>
      <c r="D1551" s="7" t="s">
        <v>8110</v>
      </c>
      <c r="E1551" s="7" t="s">
        <v>143</v>
      </c>
      <c r="F1551" s="7" t="s">
        <v>152</v>
      </c>
      <c r="G1551" s="7" t="s">
        <v>145</v>
      </c>
      <c r="H1551" s="7" t="s">
        <v>153</v>
      </c>
      <c r="I1551" s="7" t="s">
        <v>8111</v>
      </c>
      <c r="J1551" s="7"/>
      <c r="K1551" s="7" t="s">
        <v>8112</v>
      </c>
    </row>
    <row r="1552" customFormat="false" ht="35.05" hidden="false" customHeight="false" outlineLevel="0" collapsed="false">
      <c r="A1552" s="7" t="n">
        <v>1551</v>
      </c>
      <c r="B1552" s="7" t="s">
        <v>8113</v>
      </c>
      <c r="C1552" s="7" t="n">
        <v>2018</v>
      </c>
      <c r="D1552" s="7" t="s">
        <v>8114</v>
      </c>
      <c r="E1552" s="7" t="s">
        <v>201</v>
      </c>
      <c r="F1552" s="7" t="s">
        <v>8115</v>
      </c>
      <c r="G1552" s="7" t="s">
        <v>8116</v>
      </c>
      <c r="H1552" s="7" t="s">
        <v>153</v>
      </c>
      <c r="I1552" s="7" t="s">
        <v>8117</v>
      </c>
      <c r="J1552" s="7" t="s">
        <v>114</v>
      </c>
      <c r="K1552" s="7" t="s">
        <v>8118</v>
      </c>
    </row>
    <row r="1553" customFormat="false" ht="35.05" hidden="false" customHeight="false" outlineLevel="0" collapsed="false">
      <c r="A1553" s="7" t="n">
        <v>1552</v>
      </c>
      <c r="B1553" s="7" t="s">
        <v>8119</v>
      </c>
      <c r="C1553" s="7" t="n">
        <v>2009</v>
      </c>
      <c r="D1553" s="7" t="s">
        <v>8120</v>
      </c>
      <c r="E1553" s="7" t="s">
        <v>143</v>
      </c>
      <c r="F1553" s="7" t="s">
        <v>8121</v>
      </c>
      <c r="G1553" s="7" t="s">
        <v>145</v>
      </c>
      <c r="H1553" s="7" t="s">
        <v>153</v>
      </c>
      <c r="I1553" s="7" t="s">
        <v>8122</v>
      </c>
      <c r="J1553" s="7" t="s">
        <v>116</v>
      </c>
      <c r="K1553" s="7" t="s">
        <v>8123</v>
      </c>
    </row>
    <row r="1554" customFormat="false" ht="23.85" hidden="false" customHeight="false" outlineLevel="0" collapsed="false">
      <c r="A1554" s="7" t="n">
        <v>1553</v>
      </c>
      <c r="B1554" s="7" t="s">
        <v>8124</v>
      </c>
      <c r="C1554" s="7" t="n">
        <v>2023</v>
      </c>
      <c r="D1554" s="7" t="s">
        <v>8126</v>
      </c>
      <c r="E1554" s="7" t="s">
        <v>143</v>
      </c>
      <c r="F1554" s="7" t="s">
        <v>3463</v>
      </c>
      <c r="G1554" s="7" t="s">
        <v>145</v>
      </c>
      <c r="H1554" s="7" t="s">
        <v>153</v>
      </c>
      <c r="I1554" s="7" t="s">
        <v>8127</v>
      </c>
      <c r="J1554" s="7" t="s">
        <v>114</v>
      </c>
      <c r="K1554" s="7" t="s">
        <v>8128</v>
      </c>
    </row>
    <row r="1555" customFormat="false" ht="23.85" hidden="false" customHeight="false" outlineLevel="0" collapsed="false">
      <c r="A1555" s="7" t="n">
        <v>1554</v>
      </c>
      <c r="B1555" s="7" t="s">
        <v>2011</v>
      </c>
      <c r="C1555" s="7" t="n">
        <v>2023</v>
      </c>
      <c r="D1555" s="7" t="s">
        <v>8129</v>
      </c>
      <c r="E1555" s="7" t="s">
        <v>143</v>
      </c>
      <c r="F1555" s="7" t="s">
        <v>8130</v>
      </c>
      <c r="G1555" s="7" t="s">
        <v>145</v>
      </c>
      <c r="H1555" s="7" t="s">
        <v>153</v>
      </c>
      <c r="I1555" s="7" t="s">
        <v>8131</v>
      </c>
      <c r="J1555" s="7" t="s">
        <v>114</v>
      </c>
      <c r="K1555" s="7" t="s">
        <v>8132</v>
      </c>
    </row>
    <row r="1556" customFormat="false" ht="23.85" hidden="false" customHeight="false" outlineLevel="0" collapsed="false">
      <c r="A1556" s="7" t="n">
        <v>1555</v>
      </c>
      <c r="B1556" s="7" t="s">
        <v>8133</v>
      </c>
      <c r="C1556" s="7" t="n">
        <v>2022</v>
      </c>
      <c r="D1556" s="7" t="s">
        <v>8135</v>
      </c>
      <c r="E1556" s="7" t="s">
        <v>151</v>
      </c>
      <c r="F1556" s="7" t="s">
        <v>8136</v>
      </c>
      <c r="G1556" s="7" t="s">
        <v>145</v>
      </c>
      <c r="H1556" s="7" t="s">
        <v>153</v>
      </c>
      <c r="I1556" s="7" t="s">
        <v>8137</v>
      </c>
      <c r="J1556" s="7" t="s">
        <v>114</v>
      </c>
      <c r="K1556" s="7" t="s">
        <v>8138</v>
      </c>
    </row>
    <row r="1557" customFormat="false" ht="23.85" hidden="false" customHeight="false" outlineLevel="0" collapsed="false">
      <c r="A1557" s="7" t="n">
        <v>1556</v>
      </c>
      <c r="B1557" s="7" t="s">
        <v>8139</v>
      </c>
      <c r="C1557" s="7" t="n">
        <v>2021</v>
      </c>
      <c r="D1557" s="7" t="s">
        <v>8141</v>
      </c>
      <c r="E1557" s="7" t="s">
        <v>143</v>
      </c>
      <c r="F1557" s="7" t="s">
        <v>8142</v>
      </c>
      <c r="G1557" s="7" t="s">
        <v>145</v>
      </c>
      <c r="H1557" s="7" t="s">
        <v>153</v>
      </c>
      <c r="I1557" s="7" t="s">
        <v>3700</v>
      </c>
      <c r="J1557" s="7" t="s">
        <v>112</v>
      </c>
      <c r="K1557" s="7" t="s">
        <v>8143</v>
      </c>
    </row>
    <row r="1558" customFormat="false" ht="23.85" hidden="false" customHeight="false" outlineLevel="0" collapsed="false">
      <c r="A1558" s="7" t="n">
        <v>1557</v>
      </c>
      <c r="B1558" s="7" t="s">
        <v>8144</v>
      </c>
      <c r="C1558" s="7" t="n">
        <v>2021</v>
      </c>
      <c r="D1558" s="7" t="s">
        <v>8145</v>
      </c>
      <c r="E1558" s="7" t="s">
        <v>143</v>
      </c>
      <c r="F1558" s="7" t="s">
        <v>8146</v>
      </c>
      <c r="G1558" s="7" t="s">
        <v>145</v>
      </c>
      <c r="H1558" s="7" t="s">
        <v>153</v>
      </c>
      <c r="I1558" s="7" t="s">
        <v>8147</v>
      </c>
      <c r="J1558" s="7" t="s">
        <v>112</v>
      </c>
      <c r="K1558" s="7" t="s">
        <v>8148</v>
      </c>
    </row>
    <row r="1559" customFormat="false" ht="23.85" hidden="false" customHeight="false" outlineLevel="0" collapsed="false">
      <c r="A1559" s="7" t="n">
        <v>1558</v>
      </c>
      <c r="B1559" s="7" t="s">
        <v>8149</v>
      </c>
      <c r="C1559" s="7" t="n">
        <v>2022</v>
      </c>
      <c r="D1559" s="7" t="s">
        <v>8150</v>
      </c>
      <c r="E1559" s="7" t="s">
        <v>143</v>
      </c>
      <c r="F1559" s="7" t="s">
        <v>1080</v>
      </c>
      <c r="G1559" s="7" t="s">
        <v>145</v>
      </c>
      <c r="H1559" s="7" t="s">
        <v>153</v>
      </c>
      <c r="I1559" s="7" t="s">
        <v>8151</v>
      </c>
      <c r="J1559" s="7" t="s">
        <v>114</v>
      </c>
      <c r="K1559" s="7" t="s">
        <v>8152</v>
      </c>
    </row>
    <row r="1560" customFormat="false" ht="23.85" hidden="false" customHeight="false" outlineLevel="0" collapsed="false">
      <c r="A1560" s="7" t="n">
        <v>1559</v>
      </c>
      <c r="B1560" s="7" t="s">
        <v>8153</v>
      </c>
      <c r="C1560" s="7" t="n">
        <v>2022</v>
      </c>
      <c r="D1560" s="7" t="s">
        <v>8154</v>
      </c>
      <c r="E1560" s="7" t="s">
        <v>201</v>
      </c>
      <c r="F1560" s="7" t="s">
        <v>8155</v>
      </c>
      <c r="G1560" s="7" t="s">
        <v>145</v>
      </c>
      <c r="H1560" s="7" t="s">
        <v>4353</v>
      </c>
      <c r="I1560" s="7" t="s">
        <v>8156</v>
      </c>
      <c r="J1560" s="7" t="s">
        <v>112</v>
      </c>
      <c r="K1560" s="7" t="s">
        <v>8157</v>
      </c>
    </row>
    <row r="1561" customFormat="false" ht="23.85" hidden="false" customHeight="false" outlineLevel="0" collapsed="false">
      <c r="A1561" s="7" t="n">
        <v>1560</v>
      </c>
      <c r="B1561" s="7" t="s">
        <v>8158</v>
      </c>
      <c r="C1561" s="7" t="n">
        <v>2022</v>
      </c>
      <c r="D1561" s="7" t="s">
        <v>8159</v>
      </c>
      <c r="E1561" s="7" t="s">
        <v>579</v>
      </c>
      <c r="F1561" s="7" t="s">
        <v>8160</v>
      </c>
      <c r="G1561" s="7" t="s">
        <v>145</v>
      </c>
      <c r="H1561" s="7" t="s">
        <v>153</v>
      </c>
      <c r="I1561" s="7" t="s">
        <v>1747</v>
      </c>
      <c r="J1561" s="7" t="s">
        <v>114</v>
      </c>
      <c r="K1561" s="7" t="s">
        <v>8161</v>
      </c>
    </row>
    <row r="1562" customFormat="false" ht="23.85" hidden="false" customHeight="false" outlineLevel="0" collapsed="false">
      <c r="A1562" s="7" t="n">
        <v>1561</v>
      </c>
      <c r="B1562" s="7" t="s">
        <v>8162</v>
      </c>
      <c r="C1562" s="7" t="n">
        <v>2021</v>
      </c>
      <c r="D1562" s="7" t="s">
        <v>8163</v>
      </c>
      <c r="E1562" s="7" t="s">
        <v>143</v>
      </c>
      <c r="F1562" s="7" t="s">
        <v>8164</v>
      </c>
      <c r="G1562" s="7" t="s">
        <v>145</v>
      </c>
      <c r="H1562" s="7" t="s">
        <v>153</v>
      </c>
      <c r="I1562" s="7" t="s">
        <v>8165</v>
      </c>
      <c r="J1562" s="7" t="s">
        <v>112</v>
      </c>
      <c r="K1562" s="7" t="s">
        <v>8166</v>
      </c>
    </row>
    <row r="1563" customFormat="false" ht="23.85" hidden="false" customHeight="false" outlineLevel="0" collapsed="false">
      <c r="A1563" s="7" t="n">
        <v>1562</v>
      </c>
      <c r="B1563" s="7" t="s">
        <v>8167</v>
      </c>
      <c r="C1563" s="7" t="n">
        <v>2022</v>
      </c>
      <c r="D1563" s="7" t="s">
        <v>8168</v>
      </c>
      <c r="E1563" s="7" t="s">
        <v>151</v>
      </c>
      <c r="F1563" s="7" t="s">
        <v>8169</v>
      </c>
      <c r="G1563" s="7" t="s">
        <v>1373</v>
      </c>
      <c r="H1563" s="7" t="s">
        <v>146</v>
      </c>
      <c r="I1563" s="7" t="s">
        <v>3420</v>
      </c>
      <c r="J1563" s="7" t="s">
        <v>116</v>
      </c>
      <c r="K1563" s="7" t="s">
        <v>8170</v>
      </c>
    </row>
    <row r="1564" customFormat="false" ht="23.85" hidden="false" customHeight="false" outlineLevel="0" collapsed="false">
      <c r="A1564" s="7" t="n">
        <v>1563</v>
      </c>
      <c r="B1564" s="7" t="s">
        <v>8171</v>
      </c>
      <c r="C1564" s="7" t="n">
        <v>2019</v>
      </c>
      <c r="D1564" s="7" t="s">
        <v>8173</v>
      </c>
      <c r="E1564" s="7" t="s">
        <v>143</v>
      </c>
      <c r="F1564" s="7" t="s">
        <v>8174</v>
      </c>
      <c r="G1564" s="7" t="s">
        <v>145</v>
      </c>
      <c r="H1564" s="7" t="s">
        <v>153</v>
      </c>
      <c r="I1564" s="7" t="s">
        <v>8175</v>
      </c>
      <c r="J1564" s="7" t="s">
        <v>112</v>
      </c>
      <c r="K1564" s="7" t="s">
        <v>8176</v>
      </c>
    </row>
    <row r="1565" customFormat="false" ht="23.85" hidden="false" customHeight="false" outlineLevel="0" collapsed="false">
      <c r="A1565" s="7" t="n">
        <v>1564</v>
      </c>
      <c r="B1565" s="7" t="s">
        <v>8177</v>
      </c>
      <c r="C1565" s="7" t="n">
        <v>2019</v>
      </c>
      <c r="D1565" s="7" t="s">
        <v>8178</v>
      </c>
      <c r="E1565" s="7" t="s">
        <v>143</v>
      </c>
      <c r="F1565" s="7" t="s">
        <v>8174</v>
      </c>
      <c r="G1565" s="7" t="s">
        <v>145</v>
      </c>
      <c r="H1565" s="7" t="s">
        <v>153</v>
      </c>
      <c r="I1565" s="7" t="s">
        <v>8179</v>
      </c>
      <c r="J1565" s="7" t="s">
        <v>112</v>
      </c>
      <c r="K1565" s="7" t="s">
        <v>8180</v>
      </c>
    </row>
    <row r="1566" customFormat="false" ht="23.85" hidden="false" customHeight="false" outlineLevel="0" collapsed="false">
      <c r="A1566" s="7" t="n">
        <v>1565</v>
      </c>
      <c r="B1566" s="7" t="s">
        <v>8181</v>
      </c>
      <c r="C1566" s="7" t="n">
        <v>2020</v>
      </c>
      <c r="D1566" s="7" t="s">
        <v>8183</v>
      </c>
      <c r="E1566" s="7" t="s">
        <v>151</v>
      </c>
      <c r="F1566" s="7" t="s">
        <v>6640</v>
      </c>
      <c r="G1566" s="7" t="s">
        <v>2248</v>
      </c>
      <c r="H1566" s="7" t="s">
        <v>146</v>
      </c>
      <c r="I1566" s="7" t="s">
        <v>3553</v>
      </c>
      <c r="J1566" s="7" t="s">
        <v>116</v>
      </c>
      <c r="K1566" s="7" t="s">
        <v>8184</v>
      </c>
    </row>
    <row r="1567" customFormat="false" ht="23.85" hidden="false" customHeight="false" outlineLevel="0" collapsed="false">
      <c r="A1567" s="7" t="n">
        <v>1566</v>
      </c>
      <c r="B1567" s="7" t="s">
        <v>2034</v>
      </c>
      <c r="C1567" s="7" t="n">
        <v>2020</v>
      </c>
      <c r="D1567" s="7" t="s">
        <v>8185</v>
      </c>
      <c r="E1567" s="7" t="s">
        <v>151</v>
      </c>
      <c r="F1567" s="7" t="s">
        <v>8186</v>
      </c>
      <c r="G1567" s="7" t="s">
        <v>2037</v>
      </c>
      <c r="H1567" s="7" t="s">
        <v>146</v>
      </c>
      <c r="I1567" s="7" t="s">
        <v>8187</v>
      </c>
      <c r="J1567" s="7" t="s">
        <v>116</v>
      </c>
      <c r="K1567" s="7" t="s">
        <v>8188</v>
      </c>
    </row>
    <row r="1568" customFormat="false" ht="23.85" hidden="false" customHeight="false" outlineLevel="0" collapsed="false">
      <c r="A1568" s="7" t="n">
        <v>1567</v>
      </c>
      <c r="B1568" s="7" t="s">
        <v>3569</v>
      </c>
      <c r="C1568" s="7" t="n">
        <v>2019</v>
      </c>
      <c r="D1568" s="7" t="s">
        <v>8189</v>
      </c>
      <c r="E1568" s="7" t="s">
        <v>143</v>
      </c>
      <c r="F1568" s="7" t="s">
        <v>3571</v>
      </c>
      <c r="G1568" s="7" t="s">
        <v>145</v>
      </c>
      <c r="H1568" s="7" t="s">
        <v>153</v>
      </c>
      <c r="I1568" s="7" t="s">
        <v>8190</v>
      </c>
      <c r="J1568" s="7" t="s">
        <v>112</v>
      </c>
      <c r="K1568" s="7" t="s">
        <v>8191</v>
      </c>
    </row>
    <row r="1569" customFormat="false" ht="23.85" hidden="false" customHeight="false" outlineLevel="0" collapsed="false">
      <c r="A1569" s="7" t="n">
        <v>1568</v>
      </c>
      <c r="B1569" s="7" t="s">
        <v>8192</v>
      </c>
      <c r="C1569" s="7" t="n">
        <v>2020</v>
      </c>
      <c r="D1569" s="7" t="s">
        <v>8193</v>
      </c>
      <c r="E1569" s="7" t="s">
        <v>151</v>
      </c>
      <c r="F1569" s="7" t="s">
        <v>8194</v>
      </c>
      <c r="G1569" s="7" t="s">
        <v>145</v>
      </c>
      <c r="H1569" s="7" t="s">
        <v>146</v>
      </c>
      <c r="I1569" s="7" t="s">
        <v>8195</v>
      </c>
      <c r="J1569" s="7" t="s">
        <v>112</v>
      </c>
      <c r="K1569" s="7" t="s">
        <v>8196</v>
      </c>
    </row>
    <row r="1570" customFormat="false" ht="23.85" hidden="false" customHeight="false" outlineLevel="0" collapsed="false">
      <c r="A1570" s="7" t="n">
        <v>1569</v>
      </c>
      <c r="B1570" s="7" t="s">
        <v>8197</v>
      </c>
      <c r="C1570" s="7" t="n">
        <v>2022</v>
      </c>
      <c r="D1570" s="7" t="s">
        <v>8198</v>
      </c>
      <c r="E1570" s="7" t="s">
        <v>151</v>
      </c>
      <c r="F1570" s="7" t="s">
        <v>8199</v>
      </c>
      <c r="G1570" s="7" t="s">
        <v>423</v>
      </c>
      <c r="H1570" s="7" t="s">
        <v>522</v>
      </c>
      <c r="I1570" s="7" t="s">
        <v>8200</v>
      </c>
      <c r="J1570" s="7" t="s">
        <v>114</v>
      </c>
      <c r="K1570" s="7" t="s">
        <v>8201</v>
      </c>
    </row>
    <row r="1571" customFormat="false" ht="23.85" hidden="false" customHeight="false" outlineLevel="0" collapsed="false">
      <c r="A1571" s="7" t="n">
        <v>1570</v>
      </c>
      <c r="B1571" s="7" t="s">
        <v>8202</v>
      </c>
      <c r="C1571" s="7" t="n">
        <v>2019</v>
      </c>
      <c r="D1571" s="7" t="s">
        <v>8203</v>
      </c>
      <c r="E1571" s="7" t="s">
        <v>143</v>
      </c>
      <c r="F1571" s="7" t="s">
        <v>3932</v>
      </c>
      <c r="G1571" s="7" t="s">
        <v>145</v>
      </c>
      <c r="H1571" s="7" t="s">
        <v>153</v>
      </c>
      <c r="I1571" s="7" t="s">
        <v>8204</v>
      </c>
      <c r="J1571" s="7" t="s">
        <v>112</v>
      </c>
      <c r="K1571" s="7" t="s">
        <v>8205</v>
      </c>
    </row>
    <row r="1572" customFormat="false" ht="46.25" hidden="false" customHeight="false" outlineLevel="0" collapsed="false">
      <c r="A1572" s="7" t="n">
        <v>1571</v>
      </c>
      <c r="B1572" s="7" t="s">
        <v>15804</v>
      </c>
      <c r="C1572" s="7" t="n">
        <v>2020</v>
      </c>
      <c r="D1572" s="7" t="s">
        <v>8207</v>
      </c>
      <c r="E1572" s="7" t="s">
        <v>143</v>
      </c>
      <c r="F1572" s="7" t="s">
        <v>15805</v>
      </c>
      <c r="G1572" s="7" t="s">
        <v>1373</v>
      </c>
      <c r="H1572" s="7" t="s">
        <v>146</v>
      </c>
      <c r="I1572" s="7" t="s">
        <v>3553</v>
      </c>
      <c r="J1572" s="7" t="s">
        <v>116</v>
      </c>
      <c r="K1572" s="7" t="s">
        <v>15806</v>
      </c>
    </row>
    <row r="1573" customFormat="false" ht="35.05" hidden="false" customHeight="false" outlineLevel="0" collapsed="false">
      <c r="A1573" s="7" t="n">
        <v>1572</v>
      </c>
      <c r="B1573" s="7" t="s">
        <v>8213</v>
      </c>
      <c r="C1573" s="7" t="n">
        <v>2022</v>
      </c>
      <c r="D1573" s="7" t="s">
        <v>8214</v>
      </c>
      <c r="E1573" s="7" t="s">
        <v>143</v>
      </c>
      <c r="F1573" s="7" t="s">
        <v>8215</v>
      </c>
      <c r="G1573" s="7" t="s">
        <v>145</v>
      </c>
      <c r="H1573" s="7" t="s">
        <v>153</v>
      </c>
      <c r="I1573" s="7" t="s">
        <v>8216</v>
      </c>
      <c r="J1573" s="7" t="s">
        <v>114</v>
      </c>
      <c r="K1573" s="7" t="s">
        <v>8217</v>
      </c>
    </row>
    <row r="1574" customFormat="false" ht="23.85" hidden="false" customHeight="false" outlineLevel="0" collapsed="false">
      <c r="A1574" s="7" t="n">
        <v>1573</v>
      </c>
      <c r="B1574" s="7" t="s">
        <v>8218</v>
      </c>
      <c r="C1574" s="7" t="n">
        <v>2019</v>
      </c>
      <c r="D1574" s="7" t="s">
        <v>8219</v>
      </c>
      <c r="E1574" s="7" t="s">
        <v>143</v>
      </c>
      <c r="F1574" s="7" t="s">
        <v>8220</v>
      </c>
      <c r="G1574" s="7" t="s">
        <v>145</v>
      </c>
      <c r="H1574" s="7" t="s">
        <v>153</v>
      </c>
      <c r="I1574" s="7" t="s">
        <v>8147</v>
      </c>
      <c r="J1574" s="7" t="s">
        <v>112</v>
      </c>
      <c r="K1574" s="7" t="s">
        <v>8221</v>
      </c>
    </row>
    <row r="1575" customFormat="false" ht="23.85" hidden="false" customHeight="false" outlineLevel="0" collapsed="false">
      <c r="A1575" s="7" t="n">
        <v>1574</v>
      </c>
      <c r="B1575" s="7" t="s">
        <v>8139</v>
      </c>
      <c r="C1575" s="7" t="n">
        <v>2021</v>
      </c>
      <c r="D1575" s="7" t="s">
        <v>8222</v>
      </c>
      <c r="E1575" s="7" t="s">
        <v>143</v>
      </c>
      <c r="F1575" s="7" t="s">
        <v>8174</v>
      </c>
      <c r="G1575" s="7" t="s">
        <v>145</v>
      </c>
      <c r="H1575" s="7" t="s">
        <v>153</v>
      </c>
      <c r="I1575" s="7" t="s">
        <v>8223</v>
      </c>
      <c r="J1575" s="7" t="s">
        <v>114</v>
      </c>
      <c r="K1575" s="7" t="s">
        <v>8224</v>
      </c>
    </row>
    <row r="1576" customFormat="false" ht="23.85" hidden="false" customHeight="false" outlineLevel="0" collapsed="false">
      <c r="A1576" s="7" t="n">
        <v>1575</v>
      </c>
      <c r="B1576" s="7" t="s">
        <v>8225</v>
      </c>
      <c r="C1576" s="7" t="n">
        <v>2022</v>
      </c>
      <c r="D1576" s="7" t="s">
        <v>8226</v>
      </c>
      <c r="E1576" s="7" t="s">
        <v>151</v>
      </c>
      <c r="F1576" s="7" t="s">
        <v>8227</v>
      </c>
      <c r="G1576" s="7" t="s">
        <v>145</v>
      </c>
      <c r="H1576" s="7" t="s">
        <v>153</v>
      </c>
      <c r="I1576" s="7" t="s">
        <v>8228</v>
      </c>
      <c r="J1576" s="7" t="s">
        <v>112</v>
      </c>
      <c r="K1576" s="7" t="s">
        <v>8229</v>
      </c>
    </row>
    <row r="1577" customFormat="false" ht="23.85" hidden="false" customHeight="false" outlineLevel="0" collapsed="false">
      <c r="A1577" s="7" t="n">
        <v>1576</v>
      </c>
      <c r="B1577" s="7" t="s">
        <v>8230</v>
      </c>
      <c r="C1577" s="7" t="n">
        <v>2022</v>
      </c>
      <c r="D1577" s="7" t="s">
        <v>8231</v>
      </c>
      <c r="E1577" s="7" t="s">
        <v>143</v>
      </c>
      <c r="F1577" s="7" t="s">
        <v>8232</v>
      </c>
      <c r="G1577" s="7" t="s">
        <v>5410</v>
      </c>
      <c r="H1577" s="7" t="s">
        <v>153</v>
      </c>
      <c r="I1577" s="7" t="s">
        <v>8233</v>
      </c>
      <c r="J1577" s="7" t="s">
        <v>114</v>
      </c>
      <c r="K1577" s="7" t="s">
        <v>8234</v>
      </c>
    </row>
    <row r="1578" customFormat="false" ht="23.85" hidden="false" customHeight="false" outlineLevel="0" collapsed="false">
      <c r="A1578" s="7" t="n">
        <v>1577</v>
      </c>
      <c r="B1578" s="7" t="s">
        <v>8235</v>
      </c>
      <c r="C1578" s="7" t="n">
        <v>2018</v>
      </c>
      <c r="D1578" s="7" t="s">
        <v>8237</v>
      </c>
      <c r="E1578" s="7" t="s">
        <v>151</v>
      </c>
      <c r="F1578" s="7" t="s">
        <v>944</v>
      </c>
      <c r="G1578" s="7" t="s">
        <v>145</v>
      </c>
      <c r="H1578" s="7" t="s">
        <v>153</v>
      </c>
      <c r="I1578" s="7" t="s">
        <v>8238</v>
      </c>
      <c r="J1578" s="7"/>
      <c r="K1578" s="7" t="s">
        <v>8239</v>
      </c>
    </row>
    <row r="1579" customFormat="false" ht="23.85" hidden="false" customHeight="false" outlineLevel="0" collapsed="false">
      <c r="A1579" s="7" t="n">
        <v>1578</v>
      </c>
      <c r="B1579" s="7" t="s">
        <v>635</v>
      </c>
      <c r="C1579" s="7" t="n">
        <v>2011</v>
      </c>
      <c r="D1579" s="7" t="s">
        <v>8241</v>
      </c>
      <c r="E1579" s="7" t="s">
        <v>143</v>
      </c>
      <c r="F1579" s="7" t="s">
        <v>8242</v>
      </c>
      <c r="G1579" s="7" t="s">
        <v>8243</v>
      </c>
      <c r="H1579" s="7" t="s">
        <v>153</v>
      </c>
      <c r="I1579" s="7" t="s">
        <v>8244</v>
      </c>
      <c r="J1579" s="7" t="s">
        <v>114</v>
      </c>
      <c r="K1579" s="7" t="s">
        <v>8245</v>
      </c>
    </row>
    <row r="1580" customFormat="false" ht="23.85" hidden="false" customHeight="false" outlineLevel="0" collapsed="false">
      <c r="A1580" s="7" t="n">
        <v>1579</v>
      </c>
      <c r="B1580" s="7" t="s">
        <v>8246</v>
      </c>
      <c r="C1580" s="7" t="n">
        <v>1993</v>
      </c>
      <c r="D1580" s="7" t="s">
        <v>8248</v>
      </c>
      <c r="E1580" s="7" t="s">
        <v>143</v>
      </c>
      <c r="F1580" s="7" t="s">
        <v>8249</v>
      </c>
      <c r="G1580" s="7" t="s">
        <v>1319</v>
      </c>
      <c r="H1580" s="7" t="s">
        <v>153</v>
      </c>
      <c r="I1580" s="7" t="s">
        <v>8250</v>
      </c>
      <c r="J1580" s="7" t="s">
        <v>114</v>
      </c>
      <c r="K1580" s="7" t="s">
        <v>8251</v>
      </c>
    </row>
    <row r="1581" customFormat="false" ht="23.85" hidden="false" customHeight="false" outlineLevel="0" collapsed="false">
      <c r="A1581" s="7" t="n">
        <v>1580</v>
      </c>
      <c r="B1581" s="7" t="s">
        <v>8252</v>
      </c>
      <c r="C1581" s="7" t="n">
        <v>2016</v>
      </c>
      <c r="D1581" s="7" t="s">
        <v>8254</v>
      </c>
      <c r="E1581" s="7" t="s">
        <v>143</v>
      </c>
      <c r="F1581" s="7" t="s">
        <v>8255</v>
      </c>
      <c r="G1581" s="7" t="s">
        <v>145</v>
      </c>
      <c r="H1581" s="7" t="s">
        <v>153</v>
      </c>
      <c r="I1581" s="7" t="s">
        <v>8256</v>
      </c>
      <c r="J1581" s="7" t="s">
        <v>114</v>
      </c>
      <c r="K1581" s="7" t="s">
        <v>8257</v>
      </c>
    </row>
    <row r="1582" customFormat="false" ht="23.85" hidden="false" customHeight="false" outlineLevel="0" collapsed="false">
      <c r="A1582" s="7" t="n">
        <v>1581</v>
      </c>
      <c r="B1582" s="7" t="s">
        <v>8258</v>
      </c>
      <c r="C1582" s="7" t="n">
        <v>2017</v>
      </c>
      <c r="D1582" s="7" t="s">
        <v>8260</v>
      </c>
      <c r="E1582" s="7" t="s">
        <v>151</v>
      </c>
      <c r="F1582" s="7" t="s">
        <v>8261</v>
      </c>
      <c r="G1582" s="7" t="s">
        <v>145</v>
      </c>
      <c r="H1582" s="7" t="s">
        <v>153</v>
      </c>
      <c r="I1582" s="7" t="s">
        <v>8262</v>
      </c>
      <c r="J1582" s="7" t="s">
        <v>114</v>
      </c>
      <c r="K1582" s="7" t="s">
        <v>8263</v>
      </c>
    </row>
    <row r="1583" customFormat="false" ht="23.85" hidden="false" customHeight="false" outlineLevel="0" collapsed="false">
      <c r="A1583" s="7" t="n">
        <v>1582</v>
      </c>
      <c r="B1583" s="7" t="s">
        <v>8264</v>
      </c>
      <c r="C1583" s="7" t="n">
        <v>2017</v>
      </c>
      <c r="D1583" s="7" t="s">
        <v>8265</v>
      </c>
      <c r="E1583" s="7" t="s">
        <v>143</v>
      </c>
      <c r="F1583" s="7" t="s">
        <v>8266</v>
      </c>
      <c r="G1583" s="7" t="s">
        <v>145</v>
      </c>
      <c r="H1583" s="7" t="s">
        <v>153</v>
      </c>
      <c r="I1583" s="7" t="s">
        <v>8267</v>
      </c>
      <c r="J1583" s="7"/>
      <c r="K1583" s="7" t="s">
        <v>8268</v>
      </c>
    </row>
    <row r="1584" customFormat="false" ht="23.85" hidden="false" customHeight="false" outlineLevel="0" collapsed="false">
      <c r="A1584" s="7" t="n">
        <v>1583</v>
      </c>
      <c r="B1584" s="7" t="s">
        <v>8269</v>
      </c>
      <c r="C1584" s="7" t="n">
        <v>2017</v>
      </c>
      <c r="D1584" s="7" t="s">
        <v>8270</v>
      </c>
      <c r="E1584" s="7" t="s">
        <v>151</v>
      </c>
      <c r="F1584" s="7" t="s">
        <v>8271</v>
      </c>
      <c r="G1584" s="7" t="s">
        <v>145</v>
      </c>
      <c r="H1584" s="7" t="s">
        <v>153</v>
      </c>
      <c r="I1584" s="7" t="s">
        <v>8272</v>
      </c>
      <c r="J1584" s="7" t="s">
        <v>114</v>
      </c>
      <c r="K1584" s="7" t="s">
        <v>8273</v>
      </c>
    </row>
    <row r="1585" customFormat="false" ht="23.85" hidden="false" customHeight="false" outlineLevel="0" collapsed="false">
      <c r="A1585" s="7" t="n">
        <v>1584</v>
      </c>
      <c r="B1585" s="7" t="s">
        <v>8274</v>
      </c>
      <c r="C1585" s="7" t="n">
        <v>2019</v>
      </c>
      <c r="D1585" s="7" t="s">
        <v>8275</v>
      </c>
      <c r="E1585" s="7" t="s">
        <v>143</v>
      </c>
      <c r="F1585" s="7" t="s">
        <v>8266</v>
      </c>
      <c r="G1585" s="7" t="s">
        <v>145</v>
      </c>
      <c r="H1585" s="7" t="s">
        <v>153</v>
      </c>
      <c r="I1585" s="7" t="s">
        <v>8276</v>
      </c>
      <c r="J1585" s="7" t="s">
        <v>112</v>
      </c>
      <c r="K1585" s="7" t="s">
        <v>8277</v>
      </c>
    </row>
    <row r="1586" customFormat="false" ht="23.85" hidden="false" customHeight="false" outlineLevel="0" collapsed="false">
      <c r="A1586" s="7" t="n">
        <v>1585</v>
      </c>
      <c r="B1586" s="7" t="s">
        <v>8278</v>
      </c>
      <c r="C1586" s="7" t="n">
        <v>2020</v>
      </c>
      <c r="D1586" s="7" t="s">
        <v>8279</v>
      </c>
      <c r="E1586" s="7" t="s">
        <v>143</v>
      </c>
      <c r="F1586" s="7" t="s">
        <v>8280</v>
      </c>
      <c r="G1586" s="7" t="s">
        <v>145</v>
      </c>
      <c r="H1586" s="7" t="s">
        <v>153</v>
      </c>
      <c r="I1586" s="7" t="s">
        <v>8281</v>
      </c>
      <c r="J1586" s="7" t="s">
        <v>112</v>
      </c>
      <c r="K1586" s="7" t="s">
        <v>8282</v>
      </c>
    </row>
    <row r="1587" customFormat="false" ht="23.85" hidden="false" customHeight="false" outlineLevel="0" collapsed="false">
      <c r="A1587" s="7" t="n">
        <v>1586</v>
      </c>
      <c r="B1587" s="7" t="s">
        <v>8283</v>
      </c>
      <c r="C1587" s="7" t="n">
        <v>2012</v>
      </c>
      <c r="D1587" s="7" t="s">
        <v>8285</v>
      </c>
      <c r="E1587" s="7" t="s">
        <v>143</v>
      </c>
      <c r="F1587" s="7" t="s">
        <v>1311</v>
      </c>
      <c r="G1587" s="7" t="s">
        <v>145</v>
      </c>
      <c r="H1587" s="7" t="s">
        <v>153</v>
      </c>
      <c r="I1587" s="7" t="s">
        <v>8286</v>
      </c>
      <c r="J1587" s="7" t="s">
        <v>112</v>
      </c>
      <c r="K1587" s="7" t="s">
        <v>8287</v>
      </c>
    </row>
    <row r="1588" customFormat="false" ht="23.85" hidden="false" customHeight="false" outlineLevel="0" collapsed="false">
      <c r="A1588" s="7" t="n">
        <v>1587</v>
      </c>
      <c r="B1588" s="7" t="s">
        <v>8288</v>
      </c>
      <c r="C1588" s="7" t="n">
        <v>2011</v>
      </c>
      <c r="D1588" s="7" t="s">
        <v>8289</v>
      </c>
      <c r="E1588" s="7" t="s">
        <v>143</v>
      </c>
      <c r="F1588" s="7" t="s">
        <v>798</v>
      </c>
      <c r="G1588" s="7" t="s">
        <v>145</v>
      </c>
      <c r="H1588" s="7" t="s">
        <v>146</v>
      </c>
      <c r="I1588" s="7" t="s">
        <v>8290</v>
      </c>
      <c r="J1588" s="7" t="s">
        <v>112</v>
      </c>
      <c r="K1588" s="7" t="s">
        <v>8291</v>
      </c>
    </row>
    <row r="1589" customFormat="false" ht="23.85" hidden="false" customHeight="false" outlineLevel="0" collapsed="false">
      <c r="A1589" s="7" t="n">
        <v>1588</v>
      </c>
      <c r="B1589" s="7" t="s">
        <v>8292</v>
      </c>
      <c r="C1589" s="7" t="n">
        <v>2010</v>
      </c>
      <c r="D1589" s="7" t="s">
        <v>8294</v>
      </c>
      <c r="E1589" s="7" t="s">
        <v>143</v>
      </c>
      <c r="F1589" s="7" t="s">
        <v>3359</v>
      </c>
      <c r="G1589" s="7" t="s">
        <v>145</v>
      </c>
      <c r="H1589" s="7" t="s">
        <v>153</v>
      </c>
      <c r="I1589" s="7" t="s">
        <v>8295</v>
      </c>
      <c r="J1589" s="7"/>
      <c r="K1589" s="7" t="s">
        <v>8296</v>
      </c>
    </row>
    <row r="1590" customFormat="false" ht="23.85" hidden="false" customHeight="false" outlineLevel="0" collapsed="false">
      <c r="A1590" s="7" t="n">
        <v>1589</v>
      </c>
      <c r="B1590" s="7" t="s">
        <v>8297</v>
      </c>
      <c r="C1590" s="7" t="n">
        <v>2015</v>
      </c>
      <c r="D1590" s="7" t="s">
        <v>8299</v>
      </c>
      <c r="E1590" s="7" t="s">
        <v>143</v>
      </c>
      <c r="F1590" s="7" t="s">
        <v>4170</v>
      </c>
      <c r="G1590" s="7" t="s">
        <v>145</v>
      </c>
      <c r="H1590" s="7" t="s">
        <v>153</v>
      </c>
      <c r="I1590" s="7" t="s">
        <v>8300</v>
      </c>
      <c r="J1590" s="7" t="s">
        <v>112</v>
      </c>
      <c r="K1590" s="7" t="s">
        <v>8301</v>
      </c>
    </row>
    <row r="1591" customFormat="false" ht="23.85" hidden="false" customHeight="false" outlineLevel="0" collapsed="false">
      <c r="A1591" s="7" t="n">
        <v>1590</v>
      </c>
      <c r="B1591" s="7" t="s">
        <v>8302</v>
      </c>
      <c r="C1591" s="7" t="n">
        <v>2014</v>
      </c>
      <c r="D1591" s="7" t="s">
        <v>8304</v>
      </c>
      <c r="E1591" s="7" t="s">
        <v>143</v>
      </c>
      <c r="F1591" s="7" t="s">
        <v>6974</v>
      </c>
      <c r="G1591" s="7" t="s">
        <v>145</v>
      </c>
      <c r="H1591" s="7" t="s">
        <v>153</v>
      </c>
      <c r="I1591" s="7" t="s">
        <v>8305</v>
      </c>
      <c r="J1591" s="7" t="s">
        <v>112</v>
      </c>
      <c r="K1591" s="7" t="s">
        <v>8306</v>
      </c>
    </row>
    <row r="1592" customFormat="false" ht="23.85" hidden="false" customHeight="false" outlineLevel="0" collapsed="false">
      <c r="A1592" s="7" t="n">
        <v>1591</v>
      </c>
      <c r="B1592" s="7" t="s">
        <v>8307</v>
      </c>
      <c r="C1592" s="7" t="n">
        <v>2022</v>
      </c>
      <c r="D1592" s="7" t="s">
        <v>8308</v>
      </c>
      <c r="E1592" s="7" t="s">
        <v>143</v>
      </c>
      <c r="F1592" s="7" t="s">
        <v>8309</v>
      </c>
      <c r="G1592" s="7" t="s">
        <v>2248</v>
      </c>
      <c r="H1592" s="7" t="s">
        <v>146</v>
      </c>
      <c r="I1592" s="7" t="s">
        <v>8310</v>
      </c>
      <c r="J1592" s="7" t="s">
        <v>116</v>
      </c>
      <c r="K1592" s="7" t="s">
        <v>8311</v>
      </c>
    </row>
    <row r="1593" customFormat="false" ht="23.85" hidden="false" customHeight="false" outlineLevel="0" collapsed="false">
      <c r="A1593" s="7" t="n">
        <v>1592</v>
      </c>
      <c r="B1593" s="7" t="s">
        <v>8312</v>
      </c>
      <c r="C1593" s="7" t="n">
        <v>2011</v>
      </c>
      <c r="D1593" s="7" t="s">
        <v>8313</v>
      </c>
      <c r="E1593" s="7" t="s">
        <v>143</v>
      </c>
      <c r="F1593" s="7" t="s">
        <v>152</v>
      </c>
      <c r="G1593" s="7" t="s">
        <v>145</v>
      </c>
      <c r="H1593" s="7" t="s">
        <v>153</v>
      </c>
      <c r="I1593" s="7" t="s">
        <v>8314</v>
      </c>
      <c r="J1593" s="7"/>
      <c r="K1593" s="7" t="s">
        <v>8315</v>
      </c>
    </row>
    <row r="1594" customFormat="false" ht="35.05" hidden="false" customHeight="false" outlineLevel="0" collapsed="false">
      <c r="A1594" s="7" t="n">
        <v>1593</v>
      </c>
      <c r="B1594" s="7" t="s">
        <v>8316</v>
      </c>
      <c r="C1594" s="7" t="n">
        <v>2006</v>
      </c>
      <c r="D1594" s="7" t="s">
        <v>8318</v>
      </c>
      <c r="E1594" s="7" t="s">
        <v>143</v>
      </c>
      <c r="F1594" s="7" t="s">
        <v>213</v>
      </c>
      <c r="G1594" s="7" t="s">
        <v>145</v>
      </c>
      <c r="H1594" s="7" t="s">
        <v>153</v>
      </c>
      <c r="I1594" s="7" t="s">
        <v>8319</v>
      </c>
      <c r="J1594" s="7"/>
      <c r="K1594" s="7" t="s">
        <v>8320</v>
      </c>
    </row>
    <row r="1595" customFormat="false" ht="23.85" hidden="false" customHeight="false" outlineLevel="0" collapsed="false">
      <c r="A1595" s="7" t="n">
        <v>1594</v>
      </c>
      <c r="B1595" s="7" t="s">
        <v>8321</v>
      </c>
      <c r="C1595" s="7" t="n">
        <v>2021</v>
      </c>
      <c r="D1595" s="7" t="s">
        <v>8322</v>
      </c>
      <c r="E1595" s="7" t="s">
        <v>143</v>
      </c>
      <c r="F1595" s="7" t="s">
        <v>626</v>
      </c>
      <c r="G1595" s="7" t="s">
        <v>145</v>
      </c>
      <c r="H1595" s="7" t="s">
        <v>153</v>
      </c>
      <c r="I1595" s="7" t="s">
        <v>8323</v>
      </c>
      <c r="J1595" s="7" t="s">
        <v>114</v>
      </c>
      <c r="K1595" s="7" t="s">
        <v>8324</v>
      </c>
    </row>
    <row r="1596" customFormat="false" ht="23.85" hidden="false" customHeight="false" outlineLevel="0" collapsed="false">
      <c r="A1596" s="7" t="n">
        <v>1595</v>
      </c>
      <c r="B1596" s="7" t="s">
        <v>2051</v>
      </c>
      <c r="C1596" s="7" t="n">
        <v>2016</v>
      </c>
      <c r="D1596" s="7" t="s">
        <v>8325</v>
      </c>
      <c r="E1596" s="7" t="s">
        <v>143</v>
      </c>
      <c r="F1596" s="7" t="s">
        <v>8326</v>
      </c>
      <c r="G1596" s="7" t="s">
        <v>145</v>
      </c>
      <c r="H1596" s="7" t="s">
        <v>153</v>
      </c>
      <c r="I1596" s="7" t="s">
        <v>8327</v>
      </c>
      <c r="J1596" s="7" t="s">
        <v>112</v>
      </c>
      <c r="K1596" s="7" t="s">
        <v>8328</v>
      </c>
    </row>
    <row r="1597" customFormat="false" ht="23.85" hidden="false" customHeight="false" outlineLevel="0" collapsed="false">
      <c r="A1597" s="7" t="n">
        <v>1596</v>
      </c>
      <c r="B1597" s="7" t="s">
        <v>8329</v>
      </c>
      <c r="C1597" s="7" t="n">
        <v>2020</v>
      </c>
      <c r="D1597" s="7" t="s">
        <v>8330</v>
      </c>
      <c r="E1597" s="7" t="s">
        <v>143</v>
      </c>
      <c r="F1597" s="7" t="s">
        <v>8249</v>
      </c>
      <c r="G1597" s="7" t="s">
        <v>145</v>
      </c>
      <c r="H1597" s="7" t="s">
        <v>153</v>
      </c>
      <c r="I1597" s="7" t="s">
        <v>8331</v>
      </c>
      <c r="J1597" s="7" t="s">
        <v>114</v>
      </c>
      <c r="K1597" s="7" t="s">
        <v>8332</v>
      </c>
    </row>
    <row r="1598" customFormat="false" ht="23.85" hidden="false" customHeight="false" outlineLevel="0" collapsed="false">
      <c r="A1598" s="7" t="n">
        <v>1597</v>
      </c>
      <c r="B1598" s="7" t="s">
        <v>8333</v>
      </c>
      <c r="C1598" s="7" t="n">
        <v>2019</v>
      </c>
      <c r="D1598" s="7" t="s">
        <v>8334</v>
      </c>
      <c r="E1598" s="7" t="s">
        <v>579</v>
      </c>
      <c r="F1598" s="7" t="s">
        <v>8335</v>
      </c>
      <c r="G1598" s="7" t="s">
        <v>8336</v>
      </c>
      <c r="H1598" s="7" t="s">
        <v>146</v>
      </c>
      <c r="I1598" s="7" t="s">
        <v>3553</v>
      </c>
      <c r="J1598" s="7" t="s">
        <v>116</v>
      </c>
      <c r="K1598" s="7" t="s">
        <v>8337</v>
      </c>
    </row>
    <row r="1599" customFormat="false" ht="23.85" hidden="false" customHeight="false" outlineLevel="0" collapsed="false">
      <c r="A1599" s="7" t="n">
        <v>1598</v>
      </c>
      <c r="B1599" s="7" t="s">
        <v>8338</v>
      </c>
      <c r="C1599" s="7" t="n">
        <v>2020</v>
      </c>
      <c r="D1599" s="7" t="s">
        <v>8339</v>
      </c>
      <c r="E1599" s="7" t="s">
        <v>143</v>
      </c>
      <c r="F1599" s="7" t="s">
        <v>8261</v>
      </c>
      <c r="G1599" s="7" t="s">
        <v>145</v>
      </c>
      <c r="H1599" s="7" t="s">
        <v>153</v>
      </c>
      <c r="I1599" s="7" t="s">
        <v>8340</v>
      </c>
      <c r="J1599" s="7" t="s">
        <v>114</v>
      </c>
      <c r="K1599" s="7" t="s">
        <v>8341</v>
      </c>
    </row>
    <row r="1600" customFormat="false" ht="23.85" hidden="false" customHeight="false" outlineLevel="0" collapsed="false">
      <c r="A1600" s="7" t="n">
        <v>1599</v>
      </c>
      <c r="B1600" s="7" t="s">
        <v>8342</v>
      </c>
      <c r="C1600" s="7" t="n">
        <v>2022</v>
      </c>
      <c r="D1600" s="7" t="s">
        <v>8343</v>
      </c>
      <c r="E1600" s="7" t="s">
        <v>143</v>
      </c>
      <c r="F1600" s="7" t="s">
        <v>3359</v>
      </c>
      <c r="G1600" s="7" t="s">
        <v>145</v>
      </c>
      <c r="H1600" s="7" t="s">
        <v>153</v>
      </c>
      <c r="I1600" s="7" t="s">
        <v>8344</v>
      </c>
      <c r="J1600" s="7" t="s">
        <v>114</v>
      </c>
      <c r="K1600" s="7" t="s">
        <v>8345</v>
      </c>
    </row>
    <row r="1601" customFormat="false" ht="23.85" hidden="false" customHeight="false" outlineLevel="0" collapsed="false">
      <c r="A1601" s="7" t="n">
        <v>1600</v>
      </c>
      <c r="B1601" s="7" t="s">
        <v>8346</v>
      </c>
      <c r="C1601" s="7" t="n">
        <v>2011</v>
      </c>
      <c r="D1601" s="7" t="s">
        <v>8347</v>
      </c>
      <c r="E1601" s="7" t="s">
        <v>151</v>
      </c>
      <c r="F1601" s="7" t="s">
        <v>8348</v>
      </c>
      <c r="G1601" s="7" t="s">
        <v>901</v>
      </c>
      <c r="H1601" s="7" t="s">
        <v>153</v>
      </c>
      <c r="I1601" s="7" t="s">
        <v>8349</v>
      </c>
      <c r="J1601" s="7" t="s">
        <v>114</v>
      </c>
      <c r="K1601" s="7" t="s">
        <v>8350</v>
      </c>
    </row>
    <row r="1602" customFormat="false" ht="35.05" hidden="false" customHeight="false" outlineLevel="0" collapsed="false">
      <c r="A1602" s="7" t="n">
        <v>1601</v>
      </c>
      <c r="B1602" s="7" t="s">
        <v>8351</v>
      </c>
      <c r="C1602" s="7" t="n">
        <v>2021</v>
      </c>
      <c r="D1602" s="7" t="s">
        <v>8352</v>
      </c>
      <c r="E1602" s="7" t="s">
        <v>151</v>
      </c>
      <c r="F1602" s="7" t="s">
        <v>8353</v>
      </c>
      <c r="G1602" s="7" t="s">
        <v>145</v>
      </c>
      <c r="H1602" s="7" t="s">
        <v>153</v>
      </c>
      <c r="I1602" s="7" t="s">
        <v>8354</v>
      </c>
      <c r="J1602" s="7" t="s">
        <v>112</v>
      </c>
      <c r="K1602" s="7" t="s">
        <v>8355</v>
      </c>
    </row>
    <row r="1603" customFormat="false" ht="23.85" hidden="false" customHeight="false" outlineLevel="0" collapsed="false">
      <c r="A1603" s="7" t="n">
        <v>1602</v>
      </c>
      <c r="B1603" s="7" t="s">
        <v>8356</v>
      </c>
      <c r="C1603" s="7" t="n">
        <v>2015</v>
      </c>
      <c r="D1603" s="7" t="s">
        <v>8357</v>
      </c>
      <c r="E1603" s="7" t="s">
        <v>143</v>
      </c>
      <c r="F1603" s="7" t="s">
        <v>8249</v>
      </c>
      <c r="G1603" s="7" t="s">
        <v>145</v>
      </c>
      <c r="H1603" s="7" t="s">
        <v>153</v>
      </c>
      <c r="I1603" s="7" t="s">
        <v>8358</v>
      </c>
      <c r="J1603" s="7" t="s">
        <v>114</v>
      </c>
      <c r="K1603" s="7" t="s">
        <v>8359</v>
      </c>
    </row>
    <row r="1604" customFormat="false" ht="23.85" hidden="false" customHeight="false" outlineLevel="0" collapsed="false">
      <c r="A1604" s="7" t="n">
        <v>1603</v>
      </c>
      <c r="B1604" s="7" t="s">
        <v>8360</v>
      </c>
      <c r="C1604" s="7" t="n">
        <v>2017</v>
      </c>
      <c r="D1604" s="7" t="s">
        <v>8361</v>
      </c>
      <c r="E1604" s="7" t="s">
        <v>143</v>
      </c>
      <c r="F1604" s="7" t="s">
        <v>8266</v>
      </c>
      <c r="G1604" s="7" t="s">
        <v>145</v>
      </c>
      <c r="H1604" s="7" t="s">
        <v>153</v>
      </c>
      <c r="I1604" s="7" t="s">
        <v>8362</v>
      </c>
      <c r="J1604" s="7" t="s">
        <v>114</v>
      </c>
      <c r="K1604" s="7" t="s">
        <v>8363</v>
      </c>
    </row>
    <row r="1605" customFormat="false" ht="23.85" hidden="false" customHeight="false" outlineLevel="0" collapsed="false">
      <c r="A1605" s="7" t="n">
        <v>1604</v>
      </c>
      <c r="B1605" s="7" t="s">
        <v>8364</v>
      </c>
      <c r="C1605" s="7" t="n">
        <v>2017</v>
      </c>
      <c r="D1605" s="7" t="s">
        <v>8365</v>
      </c>
      <c r="E1605" s="7" t="s">
        <v>143</v>
      </c>
      <c r="F1605" s="7" t="s">
        <v>8366</v>
      </c>
      <c r="G1605" s="7" t="s">
        <v>145</v>
      </c>
      <c r="H1605" s="7" t="s">
        <v>153</v>
      </c>
      <c r="I1605" s="7" t="s">
        <v>8367</v>
      </c>
      <c r="J1605" s="7"/>
      <c r="K1605" s="7" t="s">
        <v>8368</v>
      </c>
    </row>
    <row r="1606" customFormat="false" ht="23.85" hidden="false" customHeight="false" outlineLevel="0" collapsed="false">
      <c r="A1606" s="7" t="n">
        <v>1605</v>
      </c>
      <c r="B1606" s="7" t="s">
        <v>8369</v>
      </c>
      <c r="C1606" s="7" t="n">
        <v>2021</v>
      </c>
      <c r="D1606" s="7" t="s">
        <v>8370</v>
      </c>
      <c r="E1606" s="7" t="s">
        <v>143</v>
      </c>
      <c r="F1606" s="7" t="s">
        <v>8371</v>
      </c>
      <c r="G1606" s="7" t="s">
        <v>1319</v>
      </c>
      <c r="H1606" s="7" t="s">
        <v>153</v>
      </c>
      <c r="I1606" s="7" t="s">
        <v>8372</v>
      </c>
      <c r="J1606" s="7" t="s">
        <v>114</v>
      </c>
      <c r="K1606" s="7" t="s">
        <v>8373</v>
      </c>
    </row>
    <row r="1607" customFormat="false" ht="23.85" hidden="false" customHeight="false" outlineLevel="0" collapsed="false">
      <c r="A1607" s="7" t="n">
        <v>1606</v>
      </c>
      <c r="B1607" s="7" t="s">
        <v>8374</v>
      </c>
      <c r="C1607" s="7" t="n">
        <v>2021</v>
      </c>
      <c r="D1607" s="7" t="s">
        <v>8375</v>
      </c>
      <c r="E1607" s="7" t="s">
        <v>143</v>
      </c>
      <c r="F1607" s="7" t="s">
        <v>944</v>
      </c>
      <c r="G1607" s="7" t="s">
        <v>721</v>
      </c>
      <c r="H1607" s="7" t="s">
        <v>153</v>
      </c>
      <c r="I1607" s="7" t="s">
        <v>8376</v>
      </c>
      <c r="J1607" s="7" t="s">
        <v>114</v>
      </c>
      <c r="K1607" s="7" t="s">
        <v>8377</v>
      </c>
    </row>
    <row r="1608" customFormat="false" ht="23.85" hidden="false" customHeight="false" outlineLevel="0" collapsed="false">
      <c r="A1608" s="7" t="n">
        <v>1607</v>
      </c>
      <c r="B1608" s="7" t="s">
        <v>8378</v>
      </c>
      <c r="C1608" s="7" t="n">
        <v>2021</v>
      </c>
      <c r="D1608" s="7" t="s">
        <v>8379</v>
      </c>
      <c r="E1608" s="7" t="s">
        <v>143</v>
      </c>
      <c r="F1608" s="7" t="s">
        <v>850</v>
      </c>
      <c r="G1608" s="7" t="s">
        <v>145</v>
      </c>
      <c r="H1608" s="7" t="s">
        <v>153</v>
      </c>
      <c r="I1608" s="7" t="s">
        <v>8380</v>
      </c>
      <c r="J1608" s="7" t="s">
        <v>114</v>
      </c>
      <c r="K1608" s="7" t="s">
        <v>8381</v>
      </c>
    </row>
    <row r="1609" customFormat="false" ht="23.85" hidden="false" customHeight="false" outlineLevel="0" collapsed="false">
      <c r="A1609" s="7" t="n">
        <v>1608</v>
      </c>
      <c r="B1609" s="7" t="s">
        <v>8382</v>
      </c>
      <c r="C1609" s="7" t="n">
        <v>2021</v>
      </c>
      <c r="D1609" s="7" t="s">
        <v>8383</v>
      </c>
      <c r="E1609" s="7" t="s">
        <v>143</v>
      </c>
      <c r="F1609" s="7" t="s">
        <v>8384</v>
      </c>
      <c r="G1609" s="7" t="s">
        <v>145</v>
      </c>
      <c r="H1609" s="7" t="s">
        <v>153</v>
      </c>
      <c r="I1609" s="7" t="s">
        <v>8385</v>
      </c>
      <c r="J1609" s="7" t="s">
        <v>114</v>
      </c>
      <c r="K1609" s="7" t="s">
        <v>8386</v>
      </c>
    </row>
    <row r="1610" customFormat="false" ht="23.85" hidden="false" customHeight="false" outlineLevel="0" collapsed="false">
      <c r="A1610" s="7" t="n">
        <v>1609</v>
      </c>
      <c r="B1610" s="7" t="s">
        <v>8387</v>
      </c>
      <c r="C1610" s="7" t="n">
        <v>2021</v>
      </c>
      <c r="D1610" s="7" t="s">
        <v>8388</v>
      </c>
      <c r="E1610" s="7" t="s">
        <v>143</v>
      </c>
      <c r="F1610" s="7" t="s">
        <v>8389</v>
      </c>
      <c r="G1610" s="7" t="s">
        <v>187</v>
      </c>
      <c r="H1610" s="7" t="s">
        <v>153</v>
      </c>
      <c r="I1610" s="7" t="s">
        <v>8390</v>
      </c>
      <c r="J1610" s="7" t="s">
        <v>114</v>
      </c>
      <c r="K1610" s="7" t="s">
        <v>8391</v>
      </c>
    </row>
    <row r="1611" customFormat="false" ht="23.85" hidden="false" customHeight="false" outlineLevel="0" collapsed="false">
      <c r="A1611" s="7" t="n">
        <v>1610</v>
      </c>
      <c r="B1611" s="7" t="s">
        <v>8392</v>
      </c>
      <c r="C1611" s="7" t="n">
        <v>2020</v>
      </c>
      <c r="D1611" s="7" t="s">
        <v>8393</v>
      </c>
      <c r="E1611" s="7" t="s">
        <v>143</v>
      </c>
      <c r="F1611" s="7" t="s">
        <v>8394</v>
      </c>
      <c r="G1611" s="7" t="s">
        <v>187</v>
      </c>
      <c r="H1611" s="7" t="s">
        <v>153</v>
      </c>
      <c r="I1611" s="7" t="s">
        <v>8395</v>
      </c>
      <c r="J1611" s="7" t="s">
        <v>114</v>
      </c>
      <c r="K1611" s="7" t="s">
        <v>8396</v>
      </c>
    </row>
    <row r="1612" customFormat="false" ht="23.85" hidden="false" customHeight="false" outlineLevel="0" collapsed="false">
      <c r="A1612" s="7" t="n">
        <v>1611</v>
      </c>
      <c r="B1612" s="7" t="s">
        <v>8397</v>
      </c>
      <c r="C1612" s="7" t="n">
        <v>2019</v>
      </c>
      <c r="D1612" s="7" t="s">
        <v>8398</v>
      </c>
      <c r="E1612" s="7" t="s">
        <v>143</v>
      </c>
      <c r="F1612" s="7" t="s">
        <v>8399</v>
      </c>
      <c r="G1612" s="7" t="s">
        <v>187</v>
      </c>
      <c r="H1612" s="7" t="s">
        <v>153</v>
      </c>
      <c r="I1612" s="7" t="s">
        <v>8400</v>
      </c>
      <c r="J1612" s="7" t="s">
        <v>114</v>
      </c>
      <c r="K1612" s="7" t="s">
        <v>8401</v>
      </c>
    </row>
    <row r="1613" customFormat="false" ht="23.85" hidden="false" customHeight="false" outlineLevel="0" collapsed="false">
      <c r="A1613" s="7" t="n">
        <v>1612</v>
      </c>
      <c r="B1613" s="7" t="s">
        <v>8402</v>
      </c>
      <c r="C1613" s="7" t="n">
        <v>2021</v>
      </c>
      <c r="D1613" s="7" t="s">
        <v>8403</v>
      </c>
      <c r="E1613" s="7" t="s">
        <v>143</v>
      </c>
      <c r="F1613" s="7" t="s">
        <v>8404</v>
      </c>
      <c r="G1613" s="7" t="s">
        <v>255</v>
      </c>
      <c r="H1613" s="7" t="s">
        <v>522</v>
      </c>
      <c r="I1613" s="7" t="s">
        <v>8405</v>
      </c>
      <c r="J1613" s="7" t="s">
        <v>114</v>
      </c>
      <c r="K1613" s="7" t="s">
        <v>8406</v>
      </c>
    </row>
    <row r="1614" customFormat="false" ht="23.85" hidden="false" customHeight="false" outlineLevel="0" collapsed="false">
      <c r="A1614" s="7" t="n">
        <v>1613</v>
      </c>
      <c r="B1614" s="7" t="s">
        <v>8407</v>
      </c>
      <c r="C1614" s="7" t="n">
        <v>2021</v>
      </c>
      <c r="D1614" s="7" t="s">
        <v>8408</v>
      </c>
      <c r="E1614" s="7" t="s">
        <v>143</v>
      </c>
      <c r="F1614" s="7" t="s">
        <v>8409</v>
      </c>
      <c r="G1614" s="7" t="s">
        <v>721</v>
      </c>
      <c r="H1614" s="7" t="s">
        <v>146</v>
      </c>
      <c r="I1614" s="7" t="s">
        <v>8410</v>
      </c>
      <c r="J1614" s="7" t="s">
        <v>114</v>
      </c>
      <c r="K1614" s="7" t="s">
        <v>8411</v>
      </c>
    </row>
    <row r="1615" customFormat="false" ht="35.05" hidden="false" customHeight="false" outlineLevel="0" collapsed="false">
      <c r="A1615" s="7" t="n">
        <v>1614</v>
      </c>
      <c r="B1615" s="7" t="s">
        <v>8412</v>
      </c>
      <c r="C1615" s="7" t="n">
        <v>2021</v>
      </c>
      <c r="D1615" s="7" t="s">
        <v>8413</v>
      </c>
      <c r="E1615" s="7" t="s">
        <v>143</v>
      </c>
      <c r="F1615" s="7" t="s">
        <v>8414</v>
      </c>
      <c r="G1615" s="7" t="s">
        <v>817</v>
      </c>
      <c r="H1615" s="7" t="s">
        <v>522</v>
      </c>
      <c r="I1615" s="7" t="s">
        <v>8415</v>
      </c>
      <c r="J1615" s="7" t="s">
        <v>112</v>
      </c>
      <c r="K1615" s="7" t="s">
        <v>8416</v>
      </c>
    </row>
    <row r="1616" customFormat="false" ht="23.85" hidden="false" customHeight="false" outlineLevel="0" collapsed="false">
      <c r="A1616" s="7" t="n">
        <v>1615</v>
      </c>
      <c r="B1616" s="7" t="s">
        <v>8417</v>
      </c>
      <c r="C1616" s="7" t="n">
        <v>2021</v>
      </c>
      <c r="D1616" s="7" t="s">
        <v>8418</v>
      </c>
      <c r="E1616" s="7" t="s">
        <v>143</v>
      </c>
      <c r="F1616" s="7" t="s">
        <v>8419</v>
      </c>
      <c r="G1616" s="7" t="s">
        <v>817</v>
      </c>
      <c r="H1616" s="7" t="s">
        <v>153</v>
      </c>
      <c r="I1616" s="7" t="s">
        <v>8420</v>
      </c>
      <c r="J1616" s="7" t="s">
        <v>112</v>
      </c>
      <c r="K1616" s="7" t="s">
        <v>8421</v>
      </c>
    </row>
    <row r="1617" customFormat="false" ht="23.85" hidden="false" customHeight="false" outlineLevel="0" collapsed="false">
      <c r="A1617" s="7" t="n">
        <v>1616</v>
      </c>
      <c r="B1617" s="7" t="s">
        <v>1622</v>
      </c>
      <c r="C1617" s="7" t="n">
        <v>2021</v>
      </c>
      <c r="D1617" s="7" t="s">
        <v>8422</v>
      </c>
      <c r="E1617" s="7" t="s">
        <v>143</v>
      </c>
      <c r="F1617" s="7" t="s">
        <v>8242</v>
      </c>
      <c r="G1617" s="7" t="s">
        <v>327</v>
      </c>
      <c r="H1617" s="7" t="s">
        <v>153</v>
      </c>
      <c r="I1617" s="7" t="s">
        <v>8423</v>
      </c>
      <c r="J1617" s="7" t="s">
        <v>114</v>
      </c>
      <c r="K1617" s="7" t="s">
        <v>8424</v>
      </c>
    </row>
    <row r="1618" customFormat="false" ht="23.85" hidden="false" customHeight="false" outlineLevel="0" collapsed="false">
      <c r="A1618" s="7" t="n">
        <v>1617</v>
      </c>
      <c r="B1618" s="7" t="s">
        <v>8425</v>
      </c>
      <c r="C1618" s="7" t="n">
        <v>2021</v>
      </c>
      <c r="D1618" s="7" t="s">
        <v>8426</v>
      </c>
      <c r="E1618" s="7" t="s">
        <v>143</v>
      </c>
      <c r="F1618" s="7" t="s">
        <v>8427</v>
      </c>
      <c r="G1618" s="7" t="s">
        <v>826</v>
      </c>
      <c r="H1618" s="7" t="s">
        <v>153</v>
      </c>
      <c r="I1618" s="7" t="s">
        <v>8428</v>
      </c>
      <c r="J1618" s="7" t="s">
        <v>114</v>
      </c>
      <c r="K1618" s="7" t="s">
        <v>8429</v>
      </c>
    </row>
    <row r="1619" customFormat="false" ht="23.85" hidden="false" customHeight="false" outlineLevel="0" collapsed="false">
      <c r="A1619" s="7" t="n">
        <v>1618</v>
      </c>
      <c r="B1619" s="7" t="s">
        <v>8430</v>
      </c>
      <c r="C1619" s="7" t="n">
        <v>2021</v>
      </c>
      <c r="D1619" s="7" t="s">
        <v>8431</v>
      </c>
      <c r="E1619" s="7" t="s">
        <v>143</v>
      </c>
      <c r="F1619" s="7" t="s">
        <v>8242</v>
      </c>
      <c r="G1619" s="7" t="s">
        <v>327</v>
      </c>
      <c r="H1619" s="7" t="s">
        <v>153</v>
      </c>
      <c r="I1619" s="7" t="s">
        <v>8432</v>
      </c>
      <c r="J1619" s="7" t="s">
        <v>114</v>
      </c>
      <c r="K1619" s="7" t="s">
        <v>8433</v>
      </c>
    </row>
    <row r="1620" customFormat="false" ht="23.85" hidden="false" customHeight="false" outlineLevel="0" collapsed="false">
      <c r="A1620" s="7" t="n">
        <v>1619</v>
      </c>
      <c r="B1620" s="7" t="s">
        <v>8434</v>
      </c>
      <c r="C1620" s="7" t="n">
        <v>2021</v>
      </c>
      <c r="D1620" s="7" t="s">
        <v>8435</v>
      </c>
      <c r="E1620" s="7" t="s">
        <v>143</v>
      </c>
      <c r="F1620" s="7" t="s">
        <v>8436</v>
      </c>
      <c r="G1620" s="7" t="s">
        <v>8437</v>
      </c>
      <c r="H1620" s="7" t="s">
        <v>153</v>
      </c>
      <c r="I1620" s="7" t="s">
        <v>8438</v>
      </c>
      <c r="J1620" s="7" t="s">
        <v>114</v>
      </c>
      <c r="K1620" s="7" t="s">
        <v>8439</v>
      </c>
    </row>
    <row r="1621" customFormat="false" ht="23.85" hidden="false" customHeight="false" outlineLevel="0" collapsed="false">
      <c r="A1621" s="7" t="n">
        <v>1620</v>
      </c>
      <c r="B1621" s="7" t="s">
        <v>8440</v>
      </c>
      <c r="C1621" s="7" t="n">
        <v>2021</v>
      </c>
      <c r="D1621" s="7" t="s">
        <v>8441</v>
      </c>
      <c r="E1621" s="7" t="s">
        <v>143</v>
      </c>
      <c r="F1621" s="7" t="s">
        <v>8442</v>
      </c>
      <c r="G1621" s="7" t="s">
        <v>871</v>
      </c>
      <c r="H1621" s="7" t="s">
        <v>153</v>
      </c>
      <c r="I1621" s="7" t="s">
        <v>8395</v>
      </c>
      <c r="J1621" s="7" t="s">
        <v>114</v>
      </c>
      <c r="K1621" s="7" t="s">
        <v>8443</v>
      </c>
    </row>
    <row r="1622" customFormat="false" ht="23.85" hidden="false" customHeight="false" outlineLevel="0" collapsed="false">
      <c r="A1622" s="7" t="n">
        <v>1621</v>
      </c>
      <c r="B1622" s="7" t="s">
        <v>8444</v>
      </c>
      <c r="C1622" s="7" t="n">
        <v>2021</v>
      </c>
      <c r="D1622" s="7" t="s">
        <v>8445</v>
      </c>
      <c r="E1622" s="7" t="s">
        <v>143</v>
      </c>
      <c r="F1622" s="7" t="s">
        <v>8446</v>
      </c>
      <c r="G1622" s="7" t="s">
        <v>145</v>
      </c>
      <c r="H1622" s="7" t="s">
        <v>153</v>
      </c>
      <c r="I1622" s="7" t="s">
        <v>8447</v>
      </c>
      <c r="J1622" s="7" t="s">
        <v>114</v>
      </c>
      <c r="K1622" s="7" t="s">
        <v>8448</v>
      </c>
    </row>
    <row r="1623" customFormat="false" ht="23.85" hidden="false" customHeight="false" outlineLevel="0" collapsed="false">
      <c r="A1623" s="7" t="n">
        <v>1622</v>
      </c>
      <c r="B1623" s="7" t="s">
        <v>8449</v>
      </c>
      <c r="C1623" s="7" t="n">
        <v>2021</v>
      </c>
      <c r="D1623" s="7" t="s">
        <v>8450</v>
      </c>
      <c r="E1623" s="7" t="s">
        <v>143</v>
      </c>
      <c r="F1623" s="7" t="s">
        <v>8451</v>
      </c>
      <c r="G1623" s="7" t="s">
        <v>244</v>
      </c>
      <c r="H1623" s="7" t="s">
        <v>153</v>
      </c>
      <c r="I1623" s="7" t="s">
        <v>8244</v>
      </c>
      <c r="J1623" s="7" t="s">
        <v>114</v>
      </c>
      <c r="K1623" s="7" t="s">
        <v>8452</v>
      </c>
    </row>
    <row r="1624" customFormat="false" ht="23.85" hidden="false" customHeight="false" outlineLevel="0" collapsed="false">
      <c r="A1624" s="7" t="n">
        <v>1623</v>
      </c>
      <c r="B1624" s="7" t="s">
        <v>8453</v>
      </c>
      <c r="C1624" s="7" t="n">
        <v>2021</v>
      </c>
      <c r="D1624" s="7" t="s">
        <v>8454</v>
      </c>
      <c r="E1624" s="7" t="s">
        <v>143</v>
      </c>
      <c r="F1624" s="7" t="s">
        <v>8455</v>
      </c>
      <c r="G1624" s="7" t="s">
        <v>255</v>
      </c>
      <c r="H1624" s="7" t="s">
        <v>153</v>
      </c>
      <c r="I1624" s="7" t="s">
        <v>8456</v>
      </c>
      <c r="J1624" s="7" t="s">
        <v>114</v>
      </c>
      <c r="K1624" s="7" t="s">
        <v>8457</v>
      </c>
    </row>
    <row r="1625" customFormat="false" ht="35.05" hidden="false" customHeight="false" outlineLevel="0" collapsed="false">
      <c r="A1625" s="7" t="n">
        <v>1624</v>
      </c>
      <c r="B1625" s="7" t="s">
        <v>8458</v>
      </c>
      <c r="C1625" s="7" t="n">
        <v>2022</v>
      </c>
      <c r="D1625" s="7" t="s">
        <v>8459</v>
      </c>
      <c r="E1625" s="7" t="s">
        <v>143</v>
      </c>
      <c r="F1625" s="7" t="s">
        <v>8460</v>
      </c>
      <c r="G1625" s="7" t="s">
        <v>327</v>
      </c>
      <c r="H1625" s="7" t="s">
        <v>153</v>
      </c>
      <c r="I1625" s="7" t="s">
        <v>8461</v>
      </c>
      <c r="J1625" s="7" t="s">
        <v>114</v>
      </c>
      <c r="K1625" s="7" t="s">
        <v>8462</v>
      </c>
    </row>
    <row r="1626" customFormat="false" ht="35.05" hidden="false" customHeight="false" outlineLevel="0" collapsed="false">
      <c r="A1626" s="7" t="n">
        <v>1625</v>
      </c>
      <c r="B1626" s="7" t="s">
        <v>8463</v>
      </c>
      <c r="C1626" s="7" t="n">
        <v>2022</v>
      </c>
      <c r="D1626" s="7" t="s">
        <v>8464</v>
      </c>
      <c r="E1626" s="7" t="s">
        <v>143</v>
      </c>
      <c r="F1626" s="7" t="s">
        <v>8465</v>
      </c>
      <c r="G1626" s="7" t="s">
        <v>4711</v>
      </c>
      <c r="H1626" s="7" t="s">
        <v>153</v>
      </c>
      <c r="I1626" s="7" t="s">
        <v>8466</v>
      </c>
      <c r="J1626" s="7" t="s">
        <v>114</v>
      </c>
      <c r="K1626" s="7" t="s">
        <v>8467</v>
      </c>
    </row>
    <row r="1627" customFormat="false" ht="35.05" hidden="false" customHeight="false" outlineLevel="0" collapsed="false">
      <c r="A1627" s="7" t="n">
        <v>1626</v>
      </c>
      <c r="B1627" s="7" t="s">
        <v>2924</v>
      </c>
      <c r="C1627" s="7" t="n">
        <v>2022</v>
      </c>
      <c r="D1627" s="7" t="s">
        <v>8468</v>
      </c>
      <c r="E1627" s="7" t="s">
        <v>143</v>
      </c>
      <c r="F1627" s="7" t="s">
        <v>8469</v>
      </c>
      <c r="G1627" s="7" t="s">
        <v>145</v>
      </c>
      <c r="H1627" s="7" t="s">
        <v>153</v>
      </c>
      <c r="I1627" s="7" t="s">
        <v>8470</v>
      </c>
      <c r="J1627" s="7" t="s">
        <v>114</v>
      </c>
      <c r="K1627" s="7" t="s">
        <v>8471</v>
      </c>
    </row>
    <row r="1628" customFormat="false" ht="23.85" hidden="false" customHeight="false" outlineLevel="0" collapsed="false">
      <c r="A1628" s="7" t="n">
        <v>1627</v>
      </c>
      <c r="B1628" s="7" t="s">
        <v>2104</v>
      </c>
      <c r="C1628" s="7" t="n">
        <v>2022</v>
      </c>
      <c r="D1628" s="7" t="s">
        <v>8472</v>
      </c>
      <c r="E1628" s="7" t="s">
        <v>143</v>
      </c>
      <c r="F1628" s="7" t="s">
        <v>8473</v>
      </c>
      <c r="G1628" s="7" t="s">
        <v>145</v>
      </c>
      <c r="H1628" s="7" t="s">
        <v>153</v>
      </c>
      <c r="I1628" s="7" t="s">
        <v>8474</v>
      </c>
      <c r="J1628" s="7" t="s">
        <v>114</v>
      </c>
      <c r="K1628" s="7" t="s">
        <v>8475</v>
      </c>
    </row>
    <row r="1629" customFormat="false" ht="23.85" hidden="false" customHeight="false" outlineLevel="0" collapsed="false">
      <c r="A1629" s="7" t="n">
        <v>1628</v>
      </c>
      <c r="B1629" s="7" t="s">
        <v>8252</v>
      </c>
      <c r="C1629" s="7" t="n">
        <v>2022</v>
      </c>
      <c r="D1629" s="7" t="s">
        <v>8476</v>
      </c>
      <c r="E1629" s="7" t="s">
        <v>143</v>
      </c>
      <c r="F1629" s="7" t="s">
        <v>8477</v>
      </c>
      <c r="G1629" s="7" t="s">
        <v>145</v>
      </c>
      <c r="H1629" s="7" t="s">
        <v>153</v>
      </c>
      <c r="I1629" s="7" t="s">
        <v>8478</v>
      </c>
      <c r="J1629" s="7" t="s">
        <v>114</v>
      </c>
      <c r="K1629" s="7" t="s">
        <v>8479</v>
      </c>
    </row>
    <row r="1630" customFormat="false" ht="23.85" hidden="false" customHeight="false" outlineLevel="0" collapsed="false">
      <c r="A1630" s="7" t="n">
        <v>1629</v>
      </c>
      <c r="B1630" s="7" t="s">
        <v>8252</v>
      </c>
      <c r="C1630" s="7" t="n">
        <v>2022</v>
      </c>
      <c r="D1630" s="7" t="s">
        <v>8480</v>
      </c>
      <c r="E1630" s="7" t="s">
        <v>143</v>
      </c>
      <c r="F1630" s="7" t="s">
        <v>8255</v>
      </c>
      <c r="G1630" s="7" t="s">
        <v>145</v>
      </c>
      <c r="H1630" s="7" t="s">
        <v>153</v>
      </c>
      <c r="I1630" s="7" t="s">
        <v>8481</v>
      </c>
      <c r="J1630" s="7" t="s">
        <v>114</v>
      </c>
      <c r="K1630" s="7" t="s">
        <v>8482</v>
      </c>
    </row>
    <row r="1631" customFormat="false" ht="23.85" hidden="false" customHeight="false" outlineLevel="0" collapsed="false">
      <c r="A1631" s="7" t="n">
        <v>1630</v>
      </c>
      <c r="B1631" s="7" t="s">
        <v>8483</v>
      </c>
      <c r="C1631" s="7" t="n">
        <v>2022</v>
      </c>
      <c r="D1631" s="7" t="s">
        <v>8484</v>
      </c>
      <c r="E1631" s="7" t="s">
        <v>143</v>
      </c>
      <c r="F1631" s="7" t="s">
        <v>8485</v>
      </c>
      <c r="G1631" s="7" t="s">
        <v>2841</v>
      </c>
      <c r="H1631" s="7" t="s">
        <v>153</v>
      </c>
      <c r="I1631" s="7" t="s">
        <v>8486</v>
      </c>
      <c r="J1631" s="7" t="s">
        <v>114</v>
      </c>
      <c r="K1631" s="7" t="s">
        <v>8487</v>
      </c>
    </row>
    <row r="1632" customFormat="false" ht="23.85" hidden="false" customHeight="false" outlineLevel="0" collapsed="false">
      <c r="A1632" s="7" t="n">
        <v>1631</v>
      </c>
      <c r="B1632" s="7" t="s">
        <v>8488</v>
      </c>
      <c r="C1632" s="7" t="n">
        <v>2023</v>
      </c>
      <c r="D1632" s="7" t="s">
        <v>8489</v>
      </c>
      <c r="E1632" s="7" t="s">
        <v>151</v>
      </c>
      <c r="F1632" s="7" t="s">
        <v>8490</v>
      </c>
      <c r="G1632" s="7" t="s">
        <v>145</v>
      </c>
      <c r="H1632" s="7" t="s">
        <v>153</v>
      </c>
      <c r="I1632" s="7" t="s">
        <v>8491</v>
      </c>
      <c r="J1632" s="7" t="s">
        <v>112</v>
      </c>
      <c r="K1632" s="7" t="s">
        <v>8492</v>
      </c>
    </row>
    <row r="1633" customFormat="false" ht="35.05" hidden="false" customHeight="false" outlineLevel="0" collapsed="false">
      <c r="A1633" s="7" t="n">
        <v>1632</v>
      </c>
      <c r="B1633" s="7" t="s">
        <v>6015</v>
      </c>
      <c r="C1633" s="7" t="n">
        <v>2018</v>
      </c>
      <c r="D1633" s="7" t="s">
        <v>8493</v>
      </c>
      <c r="E1633" s="7" t="s">
        <v>201</v>
      </c>
      <c r="F1633" s="7" t="s">
        <v>197</v>
      </c>
      <c r="G1633" s="7" t="s">
        <v>145</v>
      </c>
      <c r="H1633" s="7" t="s">
        <v>153</v>
      </c>
      <c r="I1633" s="7" t="s">
        <v>8494</v>
      </c>
      <c r="J1633" s="7" t="s">
        <v>114</v>
      </c>
      <c r="K1633" s="7" t="s">
        <v>8495</v>
      </c>
    </row>
    <row r="1634" customFormat="false" ht="23.85" hidden="false" customHeight="false" outlineLevel="0" collapsed="false">
      <c r="A1634" s="7" t="n">
        <v>1633</v>
      </c>
      <c r="B1634" s="7" t="s">
        <v>6015</v>
      </c>
      <c r="C1634" s="7" t="n">
        <v>2018</v>
      </c>
      <c r="D1634" s="7" t="s">
        <v>8496</v>
      </c>
      <c r="E1634" s="7" t="s">
        <v>151</v>
      </c>
      <c r="F1634" s="7" t="s">
        <v>152</v>
      </c>
      <c r="G1634" s="7" t="s">
        <v>145</v>
      </c>
      <c r="H1634" s="7" t="s">
        <v>153</v>
      </c>
      <c r="I1634" s="7" t="s">
        <v>8497</v>
      </c>
      <c r="J1634" s="7" t="s">
        <v>114</v>
      </c>
      <c r="K1634" s="7" t="s">
        <v>8498</v>
      </c>
    </row>
    <row r="1635" customFormat="false" ht="23.85" hidden="false" customHeight="false" outlineLevel="0" collapsed="false">
      <c r="A1635" s="7" t="n">
        <v>1634</v>
      </c>
      <c r="B1635" s="7" t="s">
        <v>8499</v>
      </c>
      <c r="C1635" s="7" t="n">
        <v>2022</v>
      </c>
      <c r="D1635" s="7" t="s">
        <v>8500</v>
      </c>
      <c r="E1635" s="7" t="s">
        <v>143</v>
      </c>
      <c r="F1635" s="7" t="s">
        <v>3359</v>
      </c>
      <c r="G1635" s="7" t="s">
        <v>145</v>
      </c>
      <c r="H1635" s="7" t="s">
        <v>522</v>
      </c>
      <c r="I1635" s="7" t="s">
        <v>8501</v>
      </c>
      <c r="J1635" s="7" t="s">
        <v>112</v>
      </c>
      <c r="K1635" s="7" t="s">
        <v>8502</v>
      </c>
    </row>
    <row r="1636" customFormat="false" ht="23.85" hidden="false" customHeight="false" outlineLevel="0" collapsed="false">
      <c r="A1636" s="7" t="n">
        <v>1635</v>
      </c>
      <c r="B1636" s="7" t="s">
        <v>8503</v>
      </c>
      <c r="C1636" s="7" t="n">
        <v>2020</v>
      </c>
      <c r="D1636" s="7" t="s">
        <v>8504</v>
      </c>
      <c r="E1636" s="7" t="s">
        <v>151</v>
      </c>
      <c r="F1636" s="7" t="s">
        <v>944</v>
      </c>
      <c r="G1636" s="7" t="s">
        <v>7387</v>
      </c>
      <c r="H1636" s="7" t="s">
        <v>153</v>
      </c>
      <c r="I1636" s="7" t="s">
        <v>8505</v>
      </c>
      <c r="J1636" s="7" t="s">
        <v>114</v>
      </c>
      <c r="K1636" s="7" t="s">
        <v>8506</v>
      </c>
    </row>
    <row r="1637" customFormat="false" ht="23.85" hidden="false" customHeight="false" outlineLevel="0" collapsed="false">
      <c r="A1637" s="7" t="n">
        <v>1636</v>
      </c>
      <c r="B1637" s="7" t="s">
        <v>8507</v>
      </c>
      <c r="C1637" s="7" t="n">
        <v>2021</v>
      </c>
      <c r="D1637" s="7" t="s">
        <v>8508</v>
      </c>
      <c r="E1637" s="7" t="s">
        <v>143</v>
      </c>
      <c r="F1637" s="7" t="s">
        <v>8509</v>
      </c>
      <c r="G1637" s="7" t="s">
        <v>8510</v>
      </c>
      <c r="H1637" s="7" t="s">
        <v>146</v>
      </c>
      <c r="I1637" s="7" t="s">
        <v>8511</v>
      </c>
      <c r="J1637" s="7" t="s">
        <v>112</v>
      </c>
      <c r="K1637" s="7" t="s">
        <v>8512</v>
      </c>
    </row>
    <row r="1638" customFormat="false" ht="23.85" hidden="false" customHeight="false" outlineLevel="0" collapsed="false">
      <c r="A1638" s="7" t="n">
        <v>1637</v>
      </c>
      <c r="B1638" s="7" t="s">
        <v>8513</v>
      </c>
      <c r="C1638" s="7" t="n">
        <v>2021</v>
      </c>
      <c r="D1638" s="7" t="s">
        <v>8514</v>
      </c>
      <c r="E1638" s="7" t="s">
        <v>151</v>
      </c>
      <c r="F1638" s="7" t="s">
        <v>8515</v>
      </c>
      <c r="G1638" s="7" t="s">
        <v>8516</v>
      </c>
      <c r="H1638" s="7" t="s">
        <v>146</v>
      </c>
      <c r="I1638" s="7" t="s">
        <v>8517</v>
      </c>
      <c r="J1638" s="7" t="s">
        <v>114</v>
      </c>
      <c r="K1638" s="7" t="s">
        <v>8518</v>
      </c>
    </row>
    <row r="1639" customFormat="false" ht="23.85" hidden="false" customHeight="false" outlineLevel="0" collapsed="false">
      <c r="A1639" s="7" t="n">
        <v>1638</v>
      </c>
      <c r="B1639" s="7" t="s">
        <v>8519</v>
      </c>
      <c r="C1639" s="7" t="n">
        <v>2021</v>
      </c>
      <c r="D1639" s="7" t="s">
        <v>8520</v>
      </c>
      <c r="E1639" s="7" t="s">
        <v>201</v>
      </c>
      <c r="F1639" s="7" t="s">
        <v>8521</v>
      </c>
      <c r="G1639" s="7" t="s">
        <v>8522</v>
      </c>
      <c r="H1639" s="7" t="s">
        <v>146</v>
      </c>
      <c r="I1639" s="7" t="s">
        <v>8523</v>
      </c>
      <c r="J1639" s="7" t="s">
        <v>112</v>
      </c>
      <c r="K1639" s="7" t="s">
        <v>8524</v>
      </c>
    </row>
    <row r="1640" customFormat="false" ht="23.85" hidden="false" customHeight="false" outlineLevel="0" collapsed="false">
      <c r="A1640" s="7" t="n">
        <v>1639</v>
      </c>
      <c r="B1640" s="7" t="s">
        <v>8525</v>
      </c>
      <c r="C1640" s="7" t="n">
        <v>2021</v>
      </c>
      <c r="D1640" s="7" t="s">
        <v>8526</v>
      </c>
      <c r="E1640" s="7" t="s">
        <v>151</v>
      </c>
      <c r="F1640" s="7" t="s">
        <v>8527</v>
      </c>
      <c r="G1640" s="7" t="s">
        <v>145</v>
      </c>
      <c r="H1640" s="7" t="s">
        <v>146</v>
      </c>
      <c r="I1640" s="7" t="s">
        <v>8528</v>
      </c>
      <c r="J1640" s="7" t="s">
        <v>112</v>
      </c>
      <c r="K1640" s="7" t="s">
        <v>8529</v>
      </c>
    </row>
    <row r="1641" customFormat="false" ht="23.85" hidden="false" customHeight="false" outlineLevel="0" collapsed="false">
      <c r="A1641" s="7" t="n">
        <v>1640</v>
      </c>
      <c r="B1641" s="7" t="s">
        <v>8530</v>
      </c>
      <c r="C1641" s="7" t="n">
        <v>2020</v>
      </c>
      <c r="D1641" s="7" t="s">
        <v>8531</v>
      </c>
      <c r="E1641" s="7" t="s">
        <v>579</v>
      </c>
      <c r="F1641" s="7" t="s">
        <v>8532</v>
      </c>
      <c r="G1641" s="7" t="s">
        <v>145</v>
      </c>
      <c r="H1641" s="7" t="s">
        <v>146</v>
      </c>
      <c r="I1641" s="7" t="s">
        <v>8533</v>
      </c>
      <c r="J1641" s="7" t="s">
        <v>112</v>
      </c>
      <c r="K1641" s="7" t="s">
        <v>8534</v>
      </c>
    </row>
    <row r="1642" customFormat="false" ht="35.05" hidden="false" customHeight="false" outlineLevel="0" collapsed="false">
      <c r="A1642" s="7" t="n">
        <v>1641</v>
      </c>
      <c r="B1642" s="7" t="s">
        <v>8535</v>
      </c>
      <c r="C1642" s="7" t="n">
        <v>2021</v>
      </c>
      <c r="D1642" s="7" t="s">
        <v>8536</v>
      </c>
      <c r="E1642" s="7" t="s">
        <v>151</v>
      </c>
      <c r="F1642" s="7" t="s">
        <v>8537</v>
      </c>
      <c r="G1642" s="7" t="s">
        <v>3028</v>
      </c>
      <c r="H1642" s="7" t="s">
        <v>4353</v>
      </c>
      <c r="I1642" s="7" t="s">
        <v>8538</v>
      </c>
      <c r="J1642" s="7" t="s">
        <v>112</v>
      </c>
      <c r="K1642" s="7" t="s">
        <v>8539</v>
      </c>
    </row>
    <row r="1643" customFormat="false" ht="23.85" hidden="false" customHeight="false" outlineLevel="0" collapsed="false">
      <c r="A1643" s="7" t="n">
        <v>1642</v>
      </c>
      <c r="B1643" s="7" t="s">
        <v>8540</v>
      </c>
      <c r="C1643" s="7" t="n">
        <v>2021</v>
      </c>
      <c r="D1643" s="7" t="s">
        <v>8541</v>
      </c>
      <c r="E1643" s="7" t="s">
        <v>151</v>
      </c>
      <c r="F1643" s="7" t="s">
        <v>5376</v>
      </c>
      <c r="G1643" s="7" t="s">
        <v>145</v>
      </c>
      <c r="H1643" s="7" t="s">
        <v>7537</v>
      </c>
      <c r="I1643" s="7" t="s">
        <v>8542</v>
      </c>
      <c r="J1643" s="7" t="s">
        <v>112</v>
      </c>
      <c r="K1643" s="7" t="s">
        <v>8543</v>
      </c>
    </row>
    <row r="1644" customFormat="false" ht="23.85" hidden="false" customHeight="false" outlineLevel="0" collapsed="false">
      <c r="A1644" s="7" t="n">
        <v>1643</v>
      </c>
      <c r="B1644" s="7" t="s">
        <v>8544</v>
      </c>
      <c r="C1644" s="7" t="n">
        <v>2020</v>
      </c>
      <c r="D1644" s="7" t="s">
        <v>8545</v>
      </c>
      <c r="E1644" s="7" t="s">
        <v>151</v>
      </c>
      <c r="F1644" s="7" t="s">
        <v>944</v>
      </c>
      <c r="G1644" s="7" t="s">
        <v>8522</v>
      </c>
      <c r="H1644" s="7" t="s">
        <v>8546</v>
      </c>
      <c r="I1644" s="7" t="s">
        <v>8547</v>
      </c>
      <c r="J1644" s="7" t="s">
        <v>112</v>
      </c>
      <c r="K1644" s="7" t="s">
        <v>8548</v>
      </c>
    </row>
    <row r="1645" customFormat="false" ht="23.85" hidden="false" customHeight="false" outlineLevel="0" collapsed="false">
      <c r="A1645" s="7" t="n">
        <v>1644</v>
      </c>
      <c r="B1645" s="7" t="s">
        <v>8549</v>
      </c>
      <c r="C1645" s="7" t="n">
        <v>2020</v>
      </c>
      <c r="D1645" s="7" t="s">
        <v>8550</v>
      </c>
      <c r="E1645" s="7" t="s">
        <v>151</v>
      </c>
      <c r="F1645" s="7" t="s">
        <v>8551</v>
      </c>
      <c r="G1645" s="7" t="s">
        <v>423</v>
      </c>
      <c r="H1645" s="7" t="s">
        <v>146</v>
      </c>
      <c r="I1645" s="7" t="s">
        <v>8552</v>
      </c>
      <c r="J1645" s="7" t="s">
        <v>112</v>
      </c>
      <c r="K1645" s="7" t="s">
        <v>8553</v>
      </c>
    </row>
    <row r="1646" customFormat="false" ht="23.85" hidden="false" customHeight="false" outlineLevel="0" collapsed="false">
      <c r="A1646" s="7" t="n">
        <v>1645</v>
      </c>
      <c r="B1646" s="7" t="s">
        <v>8554</v>
      </c>
      <c r="C1646" s="7" t="n">
        <v>2017</v>
      </c>
      <c r="D1646" s="7" t="s">
        <v>8555</v>
      </c>
      <c r="E1646" s="7" t="s">
        <v>143</v>
      </c>
      <c r="F1646" s="7" t="s">
        <v>8556</v>
      </c>
      <c r="G1646" s="7" t="s">
        <v>4341</v>
      </c>
      <c r="H1646" s="7" t="s">
        <v>146</v>
      </c>
      <c r="I1646" s="7" t="s">
        <v>8557</v>
      </c>
      <c r="J1646" s="7" t="s">
        <v>116</v>
      </c>
      <c r="K1646" s="7" t="s">
        <v>8558</v>
      </c>
    </row>
    <row r="1647" customFormat="false" ht="23.85" hidden="false" customHeight="false" outlineLevel="0" collapsed="false">
      <c r="A1647" s="7" t="n">
        <v>1646</v>
      </c>
      <c r="B1647" s="7" t="s">
        <v>8559</v>
      </c>
      <c r="C1647" s="7" t="n">
        <v>2020</v>
      </c>
      <c r="D1647" s="7" t="s">
        <v>8560</v>
      </c>
      <c r="E1647" s="7" t="s">
        <v>143</v>
      </c>
      <c r="F1647" s="7" t="s">
        <v>4118</v>
      </c>
      <c r="G1647" s="7" t="s">
        <v>145</v>
      </c>
      <c r="H1647" s="7" t="s">
        <v>153</v>
      </c>
      <c r="I1647" s="7" t="s">
        <v>8561</v>
      </c>
      <c r="J1647" s="7" t="s">
        <v>112</v>
      </c>
      <c r="K1647" s="7" t="s">
        <v>8562</v>
      </c>
    </row>
    <row r="1648" customFormat="false" ht="23.85" hidden="false" customHeight="false" outlineLevel="0" collapsed="false">
      <c r="A1648" s="7" t="n">
        <v>1647</v>
      </c>
      <c r="B1648" s="7" t="s">
        <v>8563</v>
      </c>
      <c r="C1648" s="7" t="n">
        <v>2015</v>
      </c>
      <c r="D1648" s="7" t="s">
        <v>8564</v>
      </c>
      <c r="E1648" s="7" t="s">
        <v>143</v>
      </c>
      <c r="F1648" s="7" t="s">
        <v>8565</v>
      </c>
      <c r="G1648" s="7" t="s">
        <v>145</v>
      </c>
      <c r="H1648" s="7" t="s">
        <v>153</v>
      </c>
      <c r="I1648" s="7" t="s">
        <v>8566</v>
      </c>
      <c r="J1648" s="7" t="s">
        <v>112</v>
      </c>
      <c r="K1648" s="7" t="s">
        <v>8567</v>
      </c>
    </row>
    <row r="1649" customFormat="false" ht="23.85" hidden="false" customHeight="false" outlineLevel="0" collapsed="false">
      <c r="A1649" s="7" t="n">
        <v>1648</v>
      </c>
      <c r="B1649" s="7" t="s">
        <v>8162</v>
      </c>
      <c r="C1649" s="7" t="n">
        <v>2021</v>
      </c>
      <c r="D1649" s="7" t="s">
        <v>8568</v>
      </c>
      <c r="E1649" s="7" t="s">
        <v>143</v>
      </c>
      <c r="F1649" s="7" t="s">
        <v>3973</v>
      </c>
      <c r="G1649" s="7" t="s">
        <v>145</v>
      </c>
      <c r="H1649" s="7" t="s">
        <v>153</v>
      </c>
      <c r="I1649" s="7" t="s">
        <v>8216</v>
      </c>
      <c r="J1649" s="7" t="s">
        <v>112</v>
      </c>
      <c r="K1649" s="7" t="s">
        <v>8569</v>
      </c>
    </row>
    <row r="1650" customFormat="false" ht="23.85" hidden="false" customHeight="false" outlineLevel="0" collapsed="false">
      <c r="A1650" s="7" t="n">
        <v>1649</v>
      </c>
      <c r="B1650" s="7" t="s">
        <v>8570</v>
      </c>
      <c r="C1650" s="7" t="n">
        <v>2019</v>
      </c>
      <c r="D1650" s="7" t="s">
        <v>8571</v>
      </c>
      <c r="E1650" s="7" t="s">
        <v>143</v>
      </c>
      <c r="F1650" s="7" t="s">
        <v>626</v>
      </c>
      <c r="G1650" s="7" t="s">
        <v>145</v>
      </c>
      <c r="H1650" s="7" t="s">
        <v>153</v>
      </c>
      <c r="I1650" s="7" t="s">
        <v>8572</v>
      </c>
      <c r="J1650" s="7" t="s">
        <v>112</v>
      </c>
      <c r="K1650" s="7" t="s">
        <v>8573</v>
      </c>
    </row>
    <row r="1651" customFormat="false" ht="23.85" hidden="false" customHeight="false" outlineLevel="0" collapsed="false">
      <c r="A1651" s="7" t="n">
        <v>1650</v>
      </c>
      <c r="B1651" s="7" t="s">
        <v>8574</v>
      </c>
      <c r="C1651" s="7" t="n">
        <v>2020</v>
      </c>
      <c r="D1651" s="7" t="s">
        <v>8575</v>
      </c>
      <c r="E1651" s="7" t="s">
        <v>143</v>
      </c>
      <c r="F1651" s="7" t="s">
        <v>8576</v>
      </c>
      <c r="G1651" s="7" t="s">
        <v>5248</v>
      </c>
      <c r="H1651" s="7" t="s">
        <v>153</v>
      </c>
      <c r="I1651" s="7" t="s">
        <v>8577</v>
      </c>
      <c r="J1651" s="7" t="s">
        <v>114</v>
      </c>
      <c r="K1651" s="7" t="s">
        <v>8578</v>
      </c>
    </row>
    <row r="1652" customFormat="false" ht="23.85" hidden="false" customHeight="false" outlineLevel="0" collapsed="false">
      <c r="A1652" s="7" t="n">
        <v>1651</v>
      </c>
      <c r="B1652" s="7" t="s">
        <v>8579</v>
      </c>
      <c r="C1652" s="7" t="n">
        <v>2021</v>
      </c>
      <c r="D1652" s="7" t="s">
        <v>8580</v>
      </c>
      <c r="E1652" s="7" t="s">
        <v>143</v>
      </c>
      <c r="F1652" s="7" t="s">
        <v>8581</v>
      </c>
      <c r="G1652" s="7" t="s">
        <v>145</v>
      </c>
      <c r="H1652" s="7" t="s">
        <v>153</v>
      </c>
      <c r="I1652" s="7" t="s">
        <v>8582</v>
      </c>
      <c r="J1652" s="7" t="s">
        <v>114</v>
      </c>
      <c r="K1652" s="7" t="s">
        <v>8583</v>
      </c>
    </row>
    <row r="1653" customFormat="false" ht="23.85" hidden="false" customHeight="false" outlineLevel="0" collapsed="false">
      <c r="A1653" s="7" t="n">
        <v>1652</v>
      </c>
      <c r="B1653" s="7" t="s">
        <v>8584</v>
      </c>
      <c r="C1653" s="7" t="n">
        <v>2021</v>
      </c>
      <c r="D1653" s="7" t="s">
        <v>8585</v>
      </c>
      <c r="E1653" s="7" t="s">
        <v>143</v>
      </c>
      <c r="F1653" s="7" t="s">
        <v>8586</v>
      </c>
      <c r="G1653" s="7" t="s">
        <v>145</v>
      </c>
      <c r="H1653" s="7" t="s">
        <v>153</v>
      </c>
      <c r="I1653" s="7" t="s">
        <v>8587</v>
      </c>
      <c r="J1653" s="7" t="s">
        <v>114</v>
      </c>
      <c r="K1653" s="7" t="s">
        <v>8588</v>
      </c>
    </row>
    <row r="1654" customFormat="false" ht="23.85" hidden="false" customHeight="false" outlineLevel="0" collapsed="false">
      <c r="A1654" s="7" t="n">
        <v>1653</v>
      </c>
      <c r="B1654" s="7" t="s">
        <v>8589</v>
      </c>
      <c r="C1654" s="7" t="n">
        <v>2021</v>
      </c>
      <c r="D1654" s="7" t="s">
        <v>8590</v>
      </c>
      <c r="E1654" s="7" t="s">
        <v>143</v>
      </c>
      <c r="F1654" s="7" t="s">
        <v>8446</v>
      </c>
      <c r="G1654" s="7" t="s">
        <v>145</v>
      </c>
      <c r="H1654" s="7" t="s">
        <v>153</v>
      </c>
      <c r="I1654" s="7" t="s">
        <v>8591</v>
      </c>
      <c r="J1654" s="7" t="s">
        <v>114</v>
      </c>
      <c r="K1654" s="7" t="s">
        <v>8592</v>
      </c>
    </row>
    <row r="1655" customFormat="false" ht="23.85" hidden="false" customHeight="false" outlineLevel="0" collapsed="false">
      <c r="A1655" s="7" t="n">
        <v>1654</v>
      </c>
      <c r="B1655" s="7" t="s">
        <v>8579</v>
      </c>
      <c r="C1655" s="7" t="n">
        <v>2022</v>
      </c>
      <c r="D1655" s="7" t="s">
        <v>8593</v>
      </c>
      <c r="E1655" s="7" t="s">
        <v>143</v>
      </c>
      <c r="F1655" s="7" t="s">
        <v>8581</v>
      </c>
      <c r="G1655" s="7" t="s">
        <v>145</v>
      </c>
      <c r="H1655" s="7" t="s">
        <v>153</v>
      </c>
      <c r="I1655" s="7" t="s">
        <v>8594</v>
      </c>
      <c r="J1655" s="7" t="s">
        <v>114</v>
      </c>
      <c r="K1655" s="7" t="s">
        <v>8595</v>
      </c>
    </row>
    <row r="1656" customFormat="false" ht="35.05" hidden="false" customHeight="false" outlineLevel="0" collapsed="false">
      <c r="A1656" s="7" t="n">
        <v>1655</v>
      </c>
      <c r="B1656" s="7" t="s">
        <v>8596</v>
      </c>
      <c r="C1656" s="7" t="n">
        <v>2022</v>
      </c>
      <c r="D1656" s="7" t="s">
        <v>8597</v>
      </c>
      <c r="E1656" s="7" t="s">
        <v>143</v>
      </c>
      <c r="F1656" s="7" t="s">
        <v>8598</v>
      </c>
      <c r="G1656" s="7" t="s">
        <v>145</v>
      </c>
      <c r="H1656" s="7" t="s">
        <v>153</v>
      </c>
      <c r="I1656" s="7" t="s">
        <v>8599</v>
      </c>
      <c r="J1656" s="7" t="s">
        <v>114</v>
      </c>
      <c r="K1656" s="7" t="s">
        <v>8600</v>
      </c>
    </row>
    <row r="1657" customFormat="false" ht="23.85" hidden="false" customHeight="false" outlineLevel="0" collapsed="false">
      <c r="A1657" s="7" t="n">
        <v>1656</v>
      </c>
      <c r="B1657" s="7" t="s">
        <v>2633</v>
      </c>
      <c r="C1657" s="7" t="n">
        <v>2019</v>
      </c>
      <c r="D1657" s="7" t="s">
        <v>8601</v>
      </c>
      <c r="E1657" s="7" t="s">
        <v>143</v>
      </c>
      <c r="F1657" s="7" t="s">
        <v>8602</v>
      </c>
      <c r="G1657" s="7" t="s">
        <v>145</v>
      </c>
      <c r="H1657" s="7" t="s">
        <v>153</v>
      </c>
      <c r="I1657" s="7" t="s">
        <v>8603</v>
      </c>
      <c r="J1657" s="7" t="s">
        <v>114</v>
      </c>
      <c r="K1657" s="7" t="s">
        <v>8604</v>
      </c>
    </row>
    <row r="1658" customFormat="false" ht="23.85" hidden="false" customHeight="false" outlineLevel="0" collapsed="false">
      <c r="A1658" s="7" t="n">
        <v>1657</v>
      </c>
      <c r="B1658" s="7" t="s">
        <v>8605</v>
      </c>
      <c r="C1658" s="7" t="n">
        <v>2021</v>
      </c>
      <c r="D1658" s="7" t="s">
        <v>8606</v>
      </c>
      <c r="E1658" s="7" t="s">
        <v>143</v>
      </c>
      <c r="F1658" s="7" t="s">
        <v>8607</v>
      </c>
      <c r="G1658" s="7" t="s">
        <v>145</v>
      </c>
      <c r="H1658" s="7" t="s">
        <v>153</v>
      </c>
      <c r="I1658" s="7" t="s">
        <v>8608</v>
      </c>
      <c r="J1658" s="7" t="s">
        <v>112</v>
      </c>
      <c r="K1658" s="7" t="s">
        <v>8609</v>
      </c>
    </row>
    <row r="1659" customFormat="false" ht="23.85" hidden="false" customHeight="false" outlineLevel="0" collapsed="false">
      <c r="A1659" s="7" t="n">
        <v>1658</v>
      </c>
      <c r="B1659" s="7" t="s">
        <v>2011</v>
      </c>
      <c r="C1659" s="7" t="n">
        <v>2021</v>
      </c>
      <c r="D1659" s="7" t="s">
        <v>8610</v>
      </c>
      <c r="E1659" s="7" t="s">
        <v>143</v>
      </c>
      <c r="F1659" s="7" t="s">
        <v>8611</v>
      </c>
      <c r="G1659" s="7" t="s">
        <v>145</v>
      </c>
      <c r="H1659" s="7" t="s">
        <v>153</v>
      </c>
      <c r="I1659" s="7" t="s">
        <v>8612</v>
      </c>
      <c r="J1659" s="7" t="s">
        <v>114</v>
      </c>
      <c r="K1659" s="7" t="s">
        <v>8613</v>
      </c>
    </row>
    <row r="1660" customFormat="false" ht="23.85" hidden="false" customHeight="false" outlineLevel="0" collapsed="false">
      <c r="A1660" s="7" t="n">
        <v>1659</v>
      </c>
      <c r="B1660" s="7" t="s">
        <v>8614</v>
      </c>
      <c r="C1660" s="7" t="n">
        <v>2022</v>
      </c>
      <c r="D1660" s="7" t="s">
        <v>8615</v>
      </c>
      <c r="E1660" s="7" t="s">
        <v>143</v>
      </c>
      <c r="F1660" s="7" t="s">
        <v>8616</v>
      </c>
      <c r="G1660" s="7" t="s">
        <v>8617</v>
      </c>
      <c r="H1660" s="7" t="s">
        <v>153</v>
      </c>
      <c r="I1660" s="7" t="s">
        <v>8618</v>
      </c>
      <c r="J1660" s="7" t="s">
        <v>114</v>
      </c>
      <c r="K1660" s="7" t="s">
        <v>8619</v>
      </c>
    </row>
    <row r="1661" customFormat="false" ht="23.85" hidden="false" customHeight="false" outlineLevel="0" collapsed="false">
      <c r="A1661" s="7" t="n">
        <v>1660</v>
      </c>
      <c r="B1661" s="7" t="s">
        <v>8620</v>
      </c>
      <c r="C1661" s="7" t="n">
        <v>2020</v>
      </c>
      <c r="D1661" s="7" t="s">
        <v>8621</v>
      </c>
      <c r="E1661" s="7" t="s">
        <v>143</v>
      </c>
      <c r="F1661" s="7" t="s">
        <v>8622</v>
      </c>
      <c r="G1661" s="7" t="s">
        <v>3464</v>
      </c>
      <c r="H1661" s="7" t="s">
        <v>153</v>
      </c>
      <c r="I1661" s="7" t="s">
        <v>8623</v>
      </c>
      <c r="J1661" s="7" t="s">
        <v>112</v>
      </c>
      <c r="K1661" s="7" t="s">
        <v>8624</v>
      </c>
    </row>
    <row r="1662" customFormat="false" ht="23.85" hidden="false" customHeight="false" outlineLevel="0" collapsed="false">
      <c r="A1662" s="7" t="n">
        <v>1661</v>
      </c>
      <c r="B1662" s="7" t="s">
        <v>8625</v>
      </c>
      <c r="C1662" s="7" t="n">
        <v>2023</v>
      </c>
      <c r="D1662" s="7" t="s">
        <v>8626</v>
      </c>
      <c r="E1662" s="7" t="s">
        <v>143</v>
      </c>
      <c r="F1662" s="7" t="s">
        <v>8627</v>
      </c>
      <c r="G1662" s="7" t="s">
        <v>721</v>
      </c>
      <c r="H1662" s="7" t="s">
        <v>153</v>
      </c>
      <c r="I1662" s="7" t="s">
        <v>8628</v>
      </c>
      <c r="J1662" s="7" t="s">
        <v>114</v>
      </c>
      <c r="K1662" s="7" t="s">
        <v>8629</v>
      </c>
    </row>
    <row r="1663" customFormat="false" ht="23.85" hidden="false" customHeight="false" outlineLevel="0" collapsed="false">
      <c r="A1663" s="7" t="n">
        <v>1662</v>
      </c>
      <c r="B1663" s="7" t="s">
        <v>8630</v>
      </c>
      <c r="C1663" s="7" t="n">
        <v>2023</v>
      </c>
      <c r="D1663" s="7" t="s">
        <v>8631</v>
      </c>
      <c r="E1663" s="7" t="s">
        <v>143</v>
      </c>
      <c r="F1663" s="7" t="s">
        <v>8632</v>
      </c>
      <c r="G1663" s="7" t="s">
        <v>145</v>
      </c>
      <c r="H1663" s="7" t="s">
        <v>153</v>
      </c>
      <c r="I1663" s="7" t="s">
        <v>8633</v>
      </c>
      <c r="J1663" s="7" t="s">
        <v>114</v>
      </c>
      <c r="K1663" s="7" t="s">
        <v>8634</v>
      </c>
    </row>
    <row r="1664" customFormat="false" ht="23.85" hidden="false" customHeight="false" outlineLevel="0" collapsed="false">
      <c r="A1664" s="7" t="n">
        <v>1663</v>
      </c>
      <c r="B1664" s="7" t="s">
        <v>8635</v>
      </c>
      <c r="C1664" s="7" t="n">
        <v>2023</v>
      </c>
      <c r="D1664" s="7" t="s">
        <v>8636</v>
      </c>
      <c r="E1664" s="7" t="s">
        <v>143</v>
      </c>
      <c r="F1664" s="7" t="s">
        <v>8637</v>
      </c>
      <c r="G1664" s="7" t="s">
        <v>1319</v>
      </c>
      <c r="H1664" s="7" t="s">
        <v>153</v>
      </c>
      <c r="I1664" s="7" t="s">
        <v>8638</v>
      </c>
      <c r="J1664" s="7" t="s">
        <v>114</v>
      </c>
      <c r="K1664" s="7" t="s">
        <v>8639</v>
      </c>
    </row>
    <row r="1665" customFormat="false" ht="35.05" hidden="false" customHeight="false" outlineLevel="0" collapsed="false">
      <c r="A1665" s="7" t="n">
        <v>1664</v>
      </c>
      <c r="B1665" s="7" t="s">
        <v>8640</v>
      </c>
      <c r="C1665" s="7" t="n">
        <v>2020</v>
      </c>
      <c r="D1665" s="7" t="s">
        <v>8641</v>
      </c>
      <c r="E1665" s="7" t="s">
        <v>143</v>
      </c>
      <c r="F1665" s="7" t="s">
        <v>8642</v>
      </c>
      <c r="G1665" s="7" t="s">
        <v>423</v>
      </c>
      <c r="H1665" s="7" t="s">
        <v>153</v>
      </c>
      <c r="I1665" s="7" t="s">
        <v>8643</v>
      </c>
      <c r="J1665" s="7" t="s">
        <v>114</v>
      </c>
      <c r="K1665" s="7" t="s">
        <v>8644</v>
      </c>
    </row>
    <row r="1666" customFormat="false" ht="23.85" hidden="false" customHeight="false" outlineLevel="0" collapsed="false">
      <c r="A1666" s="7" t="n">
        <v>1665</v>
      </c>
      <c r="B1666" s="7" t="s">
        <v>8635</v>
      </c>
      <c r="C1666" s="7" t="n">
        <v>2022</v>
      </c>
      <c r="D1666" s="7" t="s">
        <v>8645</v>
      </c>
      <c r="E1666" s="7" t="s">
        <v>143</v>
      </c>
      <c r="F1666" s="7" t="s">
        <v>8646</v>
      </c>
      <c r="G1666" s="7" t="s">
        <v>145</v>
      </c>
      <c r="H1666" s="7" t="s">
        <v>153</v>
      </c>
      <c r="I1666" s="7" t="s">
        <v>8647</v>
      </c>
      <c r="J1666" s="7" t="s">
        <v>114</v>
      </c>
      <c r="K1666" s="7" t="s">
        <v>8648</v>
      </c>
    </row>
    <row r="1667" customFormat="false" ht="23.85" hidden="false" customHeight="false" outlineLevel="0" collapsed="false">
      <c r="A1667" s="7" t="n">
        <v>1666</v>
      </c>
      <c r="B1667" s="7" t="s">
        <v>2693</v>
      </c>
      <c r="C1667" s="7" t="n">
        <v>2022</v>
      </c>
      <c r="D1667" s="7" t="s">
        <v>8649</v>
      </c>
      <c r="E1667" s="7" t="s">
        <v>143</v>
      </c>
      <c r="F1667" s="7" t="s">
        <v>8650</v>
      </c>
      <c r="G1667" s="7" t="s">
        <v>145</v>
      </c>
      <c r="H1667" s="7" t="s">
        <v>153</v>
      </c>
      <c r="I1667" s="7" t="s">
        <v>8651</v>
      </c>
      <c r="J1667" s="7" t="s">
        <v>112</v>
      </c>
      <c r="K1667" s="7" t="s">
        <v>8652</v>
      </c>
    </row>
    <row r="1668" customFormat="false" ht="23.85" hidden="false" customHeight="false" outlineLevel="0" collapsed="false">
      <c r="A1668" s="7" t="n">
        <v>1667</v>
      </c>
      <c r="B1668" s="7" t="s">
        <v>2693</v>
      </c>
      <c r="C1668" s="7" t="n">
        <v>2021</v>
      </c>
      <c r="D1668" s="7" t="s">
        <v>8653</v>
      </c>
      <c r="E1668" s="7" t="s">
        <v>143</v>
      </c>
      <c r="F1668" s="7" t="s">
        <v>8650</v>
      </c>
      <c r="G1668" s="7" t="s">
        <v>145</v>
      </c>
      <c r="H1668" s="7" t="s">
        <v>153</v>
      </c>
      <c r="I1668" s="7" t="s">
        <v>8654</v>
      </c>
      <c r="J1668" s="7" t="s">
        <v>112</v>
      </c>
      <c r="K1668" s="7" t="s">
        <v>8655</v>
      </c>
    </row>
    <row r="1669" customFormat="false" ht="35.05" hidden="false" customHeight="false" outlineLevel="0" collapsed="false">
      <c r="A1669" s="7" t="n">
        <v>1668</v>
      </c>
      <c r="B1669" s="7" t="s">
        <v>8656</v>
      </c>
      <c r="C1669" s="7" t="n">
        <v>2019</v>
      </c>
      <c r="D1669" s="7" t="s">
        <v>8657</v>
      </c>
      <c r="E1669" s="7" t="s">
        <v>201</v>
      </c>
      <c r="F1669" s="7" t="s">
        <v>152</v>
      </c>
      <c r="G1669" s="7" t="s">
        <v>145</v>
      </c>
      <c r="H1669" s="7" t="s">
        <v>153</v>
      </c>
      <c r="I1669" s="7" t="s">
        <v>8175</v>
      </c>
      <c r="J1669" s="7" t="s">
        <v>112</v>
      </c>
      <c r="K1669" s="7" t="s">
        <v>8658</v>
      </c>
    </row>
    <row r="1670" customFormat="false" ht="35.05" hidden="false" customHeight="false" outlineLevel="0" collapsed="false">
      <c r="A1670" s="7" t="n">
        <v>1669</v>
      </c>
      <c r="B1670" s="7" t="s">
        <v>8659</v>
      </c>
      <c r="C1670" s="7" t="n">
        <v>2019</v>
      </c>
      <c r="D1670" s="7" t="s">
        <v>8660</v>
      </c>
      <c r="E1670" s="7" t="s">
        <v>143</v>
      </c>
      <c r="F1670" s="7" t="s">
        <v>4394</v>
      </c>
      <c r="G1670" s="7" t="s">
        <v>145</v>
      </c>
      <c r="H1670" s="7" t="s">
        <v>146</v>
      </c>
      <c r="I1670" s="7" t="s">
        <v>491</v>
      </c>
      <c r="J1670" s="7" t="s">
        <v>116</v>
      </c>
      <c r="K1670" s="7" t="s">
        <v>8661</v>
      </c>
    </row>
    <row r="1671" customFormat="false" ht="23.85" hidden="false" customHeight="false" outlineLevel="0" collapsed="false">
      <c r="A1671" s="7" t="n">
        <v>1670</v>
      </c>
      <c r="B1671" s="7" t="s">
        <v>8662</v>
      </c>
      <c r="C1671" s="7" t="n">
        <v>2021</v>
      </c>
      <c r="D1671" s="7" t="s">
        <v>8663</v>
      </c>
      <c r="E1671" s="7" t="s">
        <v>143</v>
      </c>
      <c r="F1671" s="7" t="s">
        <v>8664</v>
      </c>
      <c r="G1671" s="7" t="s">
        <v>8665</v>
      </c>
      <c r="H1671" s="7" t="s">
        <v>146</v>
      </c>
      <c r="I1671" s="7" t="s">
        <v>8666</v>
      </c>
      <c r="J1671" s="7" t="s">
        <v>114</v>
      </c>
      <c r="K1671" s="7" t="s">
        <v>8667</v>
      </c>
    </row>
    <row r="1672" customFormat="false" ht="35.05" hidden="false" customHeight="false" outlineLevel="0" collapsed="false">
      <c r="A1672" s="7" t="n">
        <v>1671</v>
      </c>
      <c r="B1672" s="7" t="s">
        <v>8668</v>
      </c>
      <c r="C1672" s="7" t="n">
        <v>2021</v>
      </c>
      <c r="D1672" s="7" t="s">
        <v>8669</v>
      </c>
      <c r="E1672" s="7" t="s">
        <v>201</v>
      </c>
      <c r="F1672" s="7" t="s">
        <v>8670</v>
      </c>
      <c r="G1672" s="7" t="s">
        <v>3749</v>
      </c>
      <c r="H1672" s="7" t="s">
        <v>146</v>
      </c>
      <c r="I1672" s="7" t="s">
        <v>8671</v>
      </c>
      <c r="J1672" s="7" t="s">
        <v>116</v>
      </c>
      <c r="K1672" s="7" t="s">
        <v>8672</v>
      </c>
    </row>
    <row r="1673" customFormat="false" ht="35.05" hidden="false" customHeight="false" outlineLevel="0" collapsed="false">
      <c r="A1673" s="7" t="n">
        <v>1672</v>
      </c>
      <c r="B1673" s="7" t="s">
        <v>8673</v>
      </c>
      <c r="C1673" s="7" t="n">
        <v>2019</v>
      </c>
      <c r="D1673" s="7" t="s">
        <v>8674</v>
      </c>
      <c r="E1673" s="7" t="s">
        <v>579</v>
      </c>
      <c r="F1673" s="7" t="s">
        <v>8675</v>
      </c>
      <c r="G1673" s="7" t="s">
        <v>8676</v>
      </c>
      <c r="H1673" s="7" t="s">
        <v>146</v>
      </c>
      <c r="I1673" s="7" t="s">
        <v>8677</v>
      </c>
      <c r="J1673" s="7" t="s">
        <v>114</v>
      </c>
      <c r="K1673" s="7" t="s">
        <v>8678</v>
      </c>
    </row>
    <row r="1674" customFormat="false" ht="35.05" hidden="false" customHeight="false" outlineLevel="0" collapsed="false">
      <c r="A1674" s="7" t="n">
        <v>1673</v>
      </c>
      <c r="B1674" s="7" t="s">
        <v>8679</v>
      </c>
      <c r="C1674" s="7" t="n">
        <v>2021</v>
      </c>
      <c r="D1674" s="7" t="s">
        <v>8680</v>
      </c>
      <c r="E1674" s="7" t="s">
        <v>143</v>
      </c>
      <c r="F1674" s="7" t="s">
        <v>8681</v>
      </c>
      <c r="G1674" s="7" t="s">
        <v>145</v>
      </c>
      <c r="H1674" s="7" t="s">
        <v>146</v>
      </c>
      <c r="I1674" s="7" t="s">
        <v>8682</v>
      </c>
      <c r="J1674" s="7" t="s">
        <v>110</v>
      </c>
      <c r="K1674" s="7" t="s">
        <v>8683</v>
      </c>
    </row>
    <row r="1675" customFormat="false" ht="23.85" hidden="false" customHeight="false" outlineLevel="0" collapsed="false">
      <c r="A1675" s="7" t="n">
        <v>1674</v>
      </c>
      <c r="B1675" s="7" t="s">
        <v>1558</v>
      </c>
      <c r="C1675" s="7" t="n">
        <v>2019</v>
      </c>
      <c r="D1675" s="7" t="s">
        <v>8684</v>
      </c>
      <c r="E1675" s="7" t="s">
        <v>579</v>
      </c>
      <c r="F1675" s="7" t="s">
        <v>832</v>
      </c>
      <c r="G1675" s="7" t="s">
        <v>8685</v>
      </c>
      <c r="H1675" s="7" t="s">
        <v>146</v>
      </c>
      <c r="I1675" s="7" t="s">
        <v>8686</v>
      </c>
      <c r="J1675" s="7" t="s">
        <v>116</v>
      </c>
      <c r="K1675" s="7" t="s">
        <v>8687</v>
      </c>
    </row>
    <row r="1676" customFormat="false" ht="35.05" hidden="false" customHeight="false" outlineLevel="0" collapsed="false">
      <c r="A1676" s="7" t="n">
        <v>1675</v>
      </c>
      <c r="B1676" s="7" t="s">
        <v>8688</v>
      </c>
      <c r="C1676" s="7" t="n">
        <v>2016</v>
      </c>
      <c r="D1676" s="7" t="s">
        <v>8689</v>
      </c>
      <c r="E1676" s="7" t="s">
        <v>151</v>
      </c>
      <c r="F1676" s="7" t="s">
        <v>8690</v>
      </c>
      <c r="G1676" s="7" t="s">
        <v>684</v>
      </c>
      <c r="H1676" s="7" t="s">
        <v>146</v>
      </c>
      <c r="I1676" s="7" t="s">
        <v>8691</v>
      </c>
      <c r="J1676" s="7" t="s">
        <v>116</v>
      </c>
      <c r="K1676" s="7" t="s">
        <v>8692</v>
      </c>
    </row>
    <row r="1677" customFormat="false" ht="23.85" hidden="false" customHeight="false" outlineLevel="0" collapsed="false">
      <c r="A1677" s="7" t="n">
        <v>1676</v>
      </c>
      <c r="B1677" s="7" t="s">
        <v>8693</v>
      </c>
      <c r="C1677" s="7" t="n">
        <v>2019</v>
      </c>
      <c r="D1677" s="7" t="s">
        <v>8694</v>
      </c>
      <c r="E1677" s="7" t="s">
        <v>201</v>
      </c>
      <c r="F1677" s="7" t="s">
        <v>3863</v>
      </c>
      <c r="G1677" s="7" t="s">
        <v>8695</v>
      </c>
      <c r="H1677" s="7" t="s">
        <v>146</v>
      </c>
      <c r="I1677" s="7" t="s">
        <v>8696</v>
      </c>
      <c r="J1677" s="7" t="s">
        <v>116</v>
      </c>
      <c r="K1677" s="7" t="s">
        <v>8697</v>
      </c>
    </row>
    <row r="1678" customFormat="false" ht="23.85" hidden="false" customHeight="false" outlineLevel="0" collapsed="false">
      <c r="A1678" s="7" t="n">
        <v>1677</v>
      </c>
      <c r="B1678" s="7" t="s">
        <v>8698</v>
      </c>
      <c r="C1678" s="7" t="n">
        <v>2007</v>
      </c>
      <c r="D1678" s="7" t="s">
        <v>8699</v>
      </c>
      <c r="E1678" s="7" t="s">
        <v>143</v>
      </c>
      <c r="F1678" s="7" t="s">
        <v>8700</v>
      </c>
      <c r="G1678" s="7" t="s">
        <v>684</v>
      </c>
      <c r="H1678" s="7" t="s">
        <v>146</v>
      </c>
      <c r="I1678" s="7" t="s">
        <v>8701</v>
      </c>
      <c r="J1678" s="7"/>
      <c r="K1678" s="7" t="s">
        <v>8702</v>
      </c>
    </row>
    <row r="1679" customFormat="false" ht="35.05" hidden="false" customHeight="false" outlineLevel="0" collapsed="false">
      <c r="A1679" s="7" t="n">
        <v>1678</v>
      </c>
      <c r="B1679" s="7" t="s">
        <v>8703</v>
      </c>
      <c r="C1679" s="7" t="n">
        <v>2018</v>
      </c>
      <c r="D1679" s="7" t="s">
        <v>8704</v>
      </c>
      <c r="E1679" s="7" t="s">
        <v>151</v>
      </c>
      <c r="F1679" s="7" t="s">
        <v>152</v>
      </c>
      <c r="G1679" s="7" t="s">
        <v>145</v>
      </c>
      <c r="H1679" s="7" t="s">
        <v>146</v>
      </c>
      <c r="I1679" s="7" t="s">
        <v>8705</v>
      </c>
      <c r="J1679" s="7"/>
      <c r="K1679" s="7" t="s">
        <v>8706</v>
      </c>
    </row>
    <row r="1680" customFormat="false" ht="23.85" hidden="false" customHeight="false" outlineLevel="0" collapsed="false">
      <c r="A1680" s="7" t="n">
        <v>1679</v>
      </c>
      <c r="B1680" s="7" t="s">
        <v>8707</v>
      </c>
      <c r="C1680" s="7" t="n">
        <v>2008</v>
      </c>
      <c r="D1680" s="7" t="s">
        <v>8708</v>
      </c>
      <c r="E1680" s="7" t="s">
        <v>143</v>
      </c>
      <c r="F1680" s="7" t="s">
        <v>8709</v>
      </c>
      <c r="G1680" s="7" t="s">
        <v>145</v>
      </c>
      <c r="H1680" s="7" t="s">
        <v>146</v>
      </c>
      <c r="I1680" s="7" t="s">
        <v>8710</v>
      </c>
      <c r="J1680" s="7"/>
      <c r="K1680" s="7" t="s">
        <v>8711</v>
      </c>
    </row>
    <row r="1681" customFormat="false" ht="35.05" hidden="false" customHeight="false" outlineLevel="0" collapsed="false">
      <c r="A1681" s="7" t="n">
        <v>1680</v>
      </c>
      <c r="B1681" s="7" t="s">
        <v>8712</v>
      </c>
      <c r="C1681" s="7" t="n">
        <v>2019</v>
      </c>
      <c r="D1681" s="7" t="s">
        <v>8713</v>
      </c>
      <c r="E1681" s="7" t="s">
        <v>201</v>
      </c>
      <c r="F1681" s="7" t="s">
        <v>364</v>
      </c>
      <c r="G1681" s="7" t="s">
        <v>145</v>
      </c>
      <c r="H1681" s="7" t="s">
        <v>153</v>
      </c>
      <c r="I1681" s="7" t="s">
        <v>8714</v>
      </c>
      <c r="J1681" s="7" t="s">
        <v>114</v>
      </c>
      <c r="K1681" s="7" t="s">
        <v>8715</v>
      </c>
    </row>
    <row r="1682" customFormat="false" ht="57.45" hidden="false" customHeight="false" outlineLevel="0" collapsed="false">
      <c r="A1682" s="7" t="n">
        <v>1681</v>
      </c>
      <c r="B1682" s="7" t="s">
        <v>15807</v>
      </c>
      <c r="C1682" s="7" t="n">
        <v>2019</v>
      </c>
      <c r="D1682" s="7" t="s">
        <v>8717</v>
      </c>
      <c r="E1682" s="7" t="s">
        <v>15808</v>
      </c>
      <c r="F1682" s="7" t="s">
        <v>15809</v>
      </c>
      <c r="G1682" s="7" t="s">
        <v>145</v>
      </c>
      <c r="H1682" s="7" t="s">
        <v>153</v>
      </c>
      <c r="I1682" s="7" t="s">
        <v>15810</v>
      </c>
      <c r="J1682" s="7"/>
      <c r="K1682" s="7" t="s">
        <v>15811</v>
      </c>
    </row>
    <row r="1683" customFormat="false" ht="23.85" hidden="false" customHeight="false" outlineLevel="0" collapsed="false">
      <c r="A1683" s="7" t="n">
        <v>1682</v>
      </c>
      <c r="B1683" s="7" t="s">
        <v>8724</v>
      </c>
      <c r="C1683" s="7" t="n">
        <v>2011</v>
      </c>
      <c r="D1683" s="7" t="s">
        <v>8725</v>
      </c>
      <c r="E1683" s="7" t="s">
        <v>151</v>
      </c>
      <c r="F1683" s="7" t="s">
        <v>152</v>
      </c>
      <c r="G1683" s="7" t="s">
        <v>3749</v>
      </c>
      <c r="H1683" s="7" t="s">
        <v>146</v>
      </c>
      <c r="I1683" s="7" t="s">
        <v>8726</v>
      </c>
      <c r="J1683" s="7"/>
      <c r="K1683" s="7" t="s">
        <v>8727</v>
      </c>
    </row>
    <row r="1684" customFormat="false" ht="23.85" hidden="false" customHeight="false" outlineLevel="0" collapsed="false">
      <c r="A1684" s="7" t="n">
        <v>1683</v>
      </c>
      <c r="B1684" s="7" t="s">
        <v>8728</v>
      </c>
      <c r="C1684" s="7" t="n">
        <v>2001</v>
      </c>
      <c r="D1684" s="7" t="s">
        <v>8729</v>
      </c>
      <c r="E1684" s="7" t="s">
        <v>579</v>
      </c>
      <c r="F1684" s="7" t="s">
        <v>348</v>
      </c>
      <c r="G1684" s="7" t="s">
        <v>145</v>
      </c>
      <c r="H1684" s="7" t="s">
        <v>146</v>
      </c>
      <c r="I1684" s="7" t="s">
        <v>8730</v>
      </c>
      <c r="J1684" s="7"/>
      <c r="K1684" s="7" t="s">
        <v>8731</v>
      </c>
    </row>
    <row r="1685" customFormat="false" ht="35.05" hidden="false" customHeight="false" outlineLevel="0" collapsed="false">
      <c r="A1685" s="7" t="n">
        <v>1684</v>
      </c>
      <c r="B1685" s="7" t="s">
        <v>8732</v>
      </c>
      <c r="C1685" s="7" t="n">
        <v>2015</v>
      </c>
      <c r="D1685" s="7" t="s">
        <v>8733</v>
      </c>
      <c r="E1685" s="7" t="s">
        <v>151</v>
      </c>
      <c r="F1685" s="7" t="s">
        <v>348</v>
      </c>
      <c r="G1685" s="7" t="s">
        <v>145</v>
      </c>
      <c r="H1685" s="7" t="s">
        <v>153</v>
      </c>
      <c r="I1685" s="7" t="s">
        <v>8734</v>
      </c>
      <c r="J1685" s="7"/>
      <c r="K1685" s="7" t="s">
        <v>8735</v>
      </c>
    </row>
    <row r="1686" customFormat="false" ht="35.05" hidden="false" customHeight="false" outlineLevel="0" collapsed="false">
      <c r="A1686" s="7" t="n">
        <v>1685</v>
      </c>
      <c r="B1686" s="7" t="s">
        <v>8736</v>
      </c>
      <c r="C1686" s="7" t="n">
        <v>1982</v>
      </c>
      <c r="D1686" s="7" t="s">
        <v>8737</v>
      </c>
      <c r="E1686" s="7" t="s">
        <v>151</v>
      </c>
      <c r="F1686" s="7" t="s">
        <v>8738</v>
      </c>
      <c r="G1686" s="7" t="s">
        <v>8739</v>
      </c>
      <c r="H1686" s="7" t="s">
        <v>748</v>
      </c>
      <c r="I1686" s="7" t="s">
        <v>8740</v>
      </c>
      <c r="J1686" s="7"/>
      <c r="K1686" s="7" t="s">
        <v>8741</v>
      </c>
    </row>
    <row r="1687" customFormat="false" ht="35.05" hidden="false" customHeight="false" outlineLevel="0" collapsed="false">
      <c r="A1687" s="7" t="n">
        <v>1686</v>
      </c>
      <c r="B1687" s="7" t="s">
        <v>6729</v>
      </c>
      <c r="C1687" s="7" t="n">
        <v>2020</v>
      </c>
      <c r="D1687" s="7" t="s">
        <v>8742</v>
      </c>
      <c r="E1687" s="7" t="s">
        <v>151</v>
      </c>
      <c r="F1687" s="7" t="s">
        <v>1568</v>
      </c>
      <c r="G1687" s="7" t="s">
        <v>8743</v>
      </c>
      <c r="H1687" s="7" t="s">
        <v>146</v>
      </c>
      <c r="I1687" s="7" t="s">
        <v>8744</v>
      </c>
      <c r="J1687" s="7"/>
      <c r="K1687" s="7" t="s">
        <v>8745</v>
      </c>
    </row>
    <row r="1688" customFormat="false" ht="23.85" hidden="false" customHeight="false" outlineLevel="0" collapsed="false">
      <c r="A1688" s="7" t="n">
        <v>1687</v>
      </c>
      <c r="B1688" s="7" t="s">
        <v>8554</v>
      </c>
      <c r="C1688" s="7" t="n">
        <v>2019</v>
      </c>
      <c r="D1688" s="7" t="s">
        <v>8746</v>
      </c>
      <c r="E1688" s="7" t="s">
        <v>151</v>
      </c>
      <c r="F1688" s="7" t="s">
        <v>832</v>
      </c>
      <c r="G1688" s="7" t="s">
        <v>3749</v>
      </c>
      <c r="H1688" s="7" t="s">
        <v>146</v>
      </c>
      <c r="I1688" s="7" t="s">
        <v>8747</v>
      </c>
      <c r="J1688" s="7" t="s">
        <v>116</v>
      </c>
      <c r="K1688" s="7" t="s">
        <v>8748</v>
      </c>
    </row>
    <row r="1689" customFormat="false" ht="23.85" hidden="false" customHeight="false" outlineLevel="0" collapsed="false">
      <c r="A1689" s="7" t="n">
        <v>1688</v>
      </c>
      <c r="B1689" s="7" t="s">
        <v>8749</v>
      </c>
      <c r="C1689" s="7" t="n">
        <v>2016</v>
      </c>
      <c r="D1689" s="7" t="s">
        <v>8750</v>
      </c>
      <c r="E1689" s="7" t="s">
        <v>151</v>
      </c>
      <c r="F1689" s="7" t="s">
        <v>8751</v>
      </c>
      <c r="G1689" s="7" t="s">
        <v>8752</v>
      </c>
      <c r="H1689" s="7" t="s">
        <v>748</v>
      </c>
      <c r="I1689" s="7" t="s">
        <v>8753</v>
      </c>
      <c r="J1689" s="7" t="s">
        <v>116</v>
      </c>
      <c r="K1689" s="7" t="s">
        <v>8754</v>
      </c>
    </row>
    <row r="1690" customFormat="false" ht="23.85" hidden="false" customHeight="false" outlineLevel="0" collapsed="false">
      <c r="A1690" s="7" t="n">
        <v>1689</v>
      </c>
      <c r="B1690" s="7" t="s">
        <v>8755</v>
      </c>
      <c r="C1690" s="7" t="n">
        <v>2010</v>
      </c>
      <c r="D1690" s="7" t="s">
        <v>8756</v>
      </c>
      <c r="E1690" s="7" t="s">
        <v>143</v>
      </c>
      <c r="F1690" s="7" t="s">
        <v>8757</v>
      </c>
      <c r="G1690" s="7" t="s">
        <v>145</v>
      </c>
      <c r="H1690" s="7" t="s">
        <v>146</v>
      </c>
      <c r="I1690" s="7" t="s">
        <v>8758</v>
      </c>
      <c r="J1690" s="7"/>
      <c r="K1690" s="7" t="s">
        <v>8759</v>
      </c>
    </row>
    <row r="1691" customFormat="false" ht="35.05" hidden="false" customHeight="false" outlineLevel="0" collapsed="false">
      <c r="A1691" s="7" t="n">
        <v>1690</v>
      </c>
      <c r="B1691" s="7" t="s">
        <v>898</v>
      </c>
      <c r="C1691" s="7" t="n">
        <v>2007</v>
      </c>
      <c r="D1691" s="7" t="s">
        <v>8760</v>
      </c>
      <c r="E1691" s="7" t="s">
        <v>151</v>
      </c>
      <c r="F1691" s="7" t="s">
        <v>8761</v>
      </c>
      <c r="G1691" s="7" t="s">
        <v>8762</v>
      </c>
      <c r="H1691" s="7" t="s">
        <v>146</v>
      </c>
      <c r="I1691" s="7" t="s">
        <v>8763</v>
      </c>
      <c r="J1691" s="7"/>
      <c r="K1691" s="7" t="s">
        <v>8764</v>
      </c>
    </row>
    <row r="1692" customFormat="false" ht="35.05" hidden="false" customHeight="false" outlineLevel="0" collapsed="false">
      <c r="A1692" s="7" t="n">
        <v>1691</v>
      </c>
      <c r="B1692" s="7" t="s">
        <v>8765</v>
      </c>
      <c r="C1692" s="7" t="n">
        <v>1992</v>
      </c>
      <c r="D1692" s="7" t="s">
        <v>8766</v>
      </c>
      <c r="E1692" s="7" t="s">
        <v>151</v>
      </c>
      <c r="F1692" s="7" t="s">
        <v>8767</v>
      </c>
      <c r="G1692" s="7" t="s">
        <v>8768</v>
      </c>
      <c r="H1692" s="7" t="s">
        <v>146</v>
      </c>
      <c r="I1692" s="7" t="s">
        <v>8769</v>
      </c>
      <c r="J1692" s="7"/>
      <c r="K1692" s="7" t="s">
        <v>8770</v>
      </c>
    </row>
    <row r="1693" customFormat="false" ht="23.85" hidden="false" customHeight="false" outlineLevel="0" collapsed="false">
      <c r="A1693" s="7" t="n">
        <v>1692</v>
      </c>
      <c r="B1693" s="7" t="s">
        <v>8771</v>
      </c>
      <c r="C1693" s="7" t="n">
        <v>2016</v>
      </c>
      <c r="D1693" s="7" t="s">
        <v>8772</v>
      </c>
      <c r="E1693" s="7" t="s">
        <v>143</v>
      </c>
      <c r="F1693" s="7" t="s">
        <v>7296</v>
      </c>
      <c r="G1693" s="7" t="s">
        <v>3749</v>
      </c>
      <c r="H1693" s="7" t="s">
        <v>146</v>
      </c>
      <c r="I1693" s="7" t="s">
        <v>8773</v>
      </c>
      <c r="J1693" s="7" t="s">
        <v>116</v>
      </c>
      <c r="K1693" s="7" t="s">
        <v>8774</v>
      </c>
    </row>
    <row r="1694" customFormat="false" ht="46.25" hidden="false" customHeight="false" outlineLevel="0" collapsed="false">
      <c r="A1694" s="7" t="n">
        <v>1693</v>
      </c>
      <c r="B1694" s="7" t="s">
        <v>8775</v>
      </c>
      <c r="C1694" s="7" t="n">
        <v>2010</v>
      </c>
      <c r="D1694" s="7" t="s">
        <v>8776</v>
      </c>
      <c r="E1694" s="7" t="s">
        <v>151</v>
      </c>
      <c r="F1694" s="7" t="s">
        <v>8777</v>
      </c>
      <c r="G1694" s="7" t="s">
        <v>8778</v>
      </c>
      <c r="H1694" s="7" t="s">
        <v>146</v>
      </c>
      <c r="I1694" s="7" t="s">
        <v>8779</v>
      </c>
      <c r="J1694" s="7" t="s">
        <v>112</v>
      </c>
      <c r="K1694" s="7" t="s">
        <v>8780</v>
      </c>
    </row>
    <row r="1695" customFormat="false" ht="23.85" hidden="false" customHeight="false" outlineLevel="0" collapsed="false">
      <c r="A1695" s="7" t="n">
        <v>1694</v>
      </c>
      <c r="B1695" s="7" t="s">
        <v>8781</v>
      </c>
      <c r="C1695" s="7" t="n">
        <v>2015</v>
      </c>
      <c r="D1695" s="7" t="s">
        <v>8782</v>
      </c>
      <c r="E1695" s="7" t="s">
        <v>201</v>
      </c>
      <c r="F1695" s="7" t="s">
        <v>8783</v>
      </c>
      <c r="G1695" s="7" t="s">
        <v>684</v>
      </c>
      <c r="H1695" s="7" t="s">
        <v>146</v>
      </c>
      <c r="I1695" s="7" t="s">
        <v>8784</v>
      </c>
      <c r="J1695" s="7" t="s">
        <v>116</v>
      </c>
      <c r="K1695" s="7" t="s">
        <v>8785</v>
      </c>
    </row>
    <row r="1696" customFormat="false" ht="23.85" hidden="false" customHeight="false" outlineLevel="0" collapsed="false">
      <c r="A1696" s="7" t="n">
        <v>1695</v>
      </c>
      <c r="B1696" s="7" t="s">
        <v>8786</v>
      </c>
      <c r="C1696" s="7" t="n">
        <v>2008</v>
      </c>
      <c r="D1696" s="7" t="s">
        <v>8787</v>
      </c>
      <c r="E1696" s="7" t="s">
        <v>143</v>
      </c>
      <c r="F1696" s="7" t="s">
        <v>8788</v>
      </c>
      <c r="G1696" s="7" t="s">
        <v>2886</v>
      </c>
      <c r="H1696" s="7" t="s">
        <v>146</v>
      </c>
      <c r="I1696" s="7" t="s">
        <v>8789</v>
      </c>
      <c r="J1696" s="7" t="s">
        <v>112</v>
      </c>
      <c r="K1696" s="7" t="s">
        <v>8790</v>
      </c>
    </row>
    <row r="1697" customFormat="false" ht="35.05" hidden="false" customHeight="false" outlineLevel="0" collapsed="false">
      <c r="A1697" s="7" t="n">
        <v>1696</v>
      </c>
      <c r="B1697" s="7" t="s">
        <v>8791</v>
      </c>
      <c r="C1697" s="7" t="n">
        <v>2020</v>
      </c>
      <c r="D1697" s="7" t="s">
        <v>8792</v>
      </c>
      <c r="E1697" s="7" t="s">
        <v>151</v>
      </c>
      <c r="F1697" s="7" t="s">
        <v>8335</v>
      </c>
      <c r="G1697" s="7" t="s">
        <v>8793</v>
      </c>
      <c r="H1697" s="7" t="s">
        <v>146</v>
      </c>
      <c r="I1697" s="7" t="s">
        <v>6365</v>
      </c>
      <c r="J1697" s="7" t="s">
        <v>116</v>
      </c>
      <c r="K1697" s="7" t="s">
        <v>8794</v>
      </c>
    </row>
    <row r="1698" customFormat="false" ht="23.85" hidden="false" customHeight="false" outlineLevel="0" collapsed="false">
      <c r="A1698" s="7" t="n">
        <v>1697</v>
      </c>
      <c r="B1698" s="7" t="s">
        <v>8554</v>
      </c>
      <c r="C1698" s="7" t="n">
        <v>2020</v>
      </c>
      <c r="D1698" s="7" t="s">
        <v>8795</v>
      </c>
      <c r="E1698" s="7" t="s">
        <v>201</v>
      </c>
      <c r="F1698" s="7" t="s">
        <v>8796</v>
      </c>
      <c r="G1698" s="7" t="s">
        <v>8797</v>
      </c>
      <c r="H1698" s="7" t="s">
        <v>146</v>
      </c>
      <c r="I1698" s="7" t="s">
        <v>8798</v>
      </c>
      <c r="J1698" s="7"/>
      <c r="K1698" s="7" t="s">
        <v>8799</v>
      </c>
    </row>
    <row r="1699" customFormat="false" ht="46.25" hidden="false" customHeight="false" outlineLevel="0" collapsed="false">
      <c r="A1699" s="7" t="n">
        <v>1698</v>
      </c>
      <c r="B1699" s="7" t="s">
        <v>8800</v>
      </c>
      <c r="C1699" s="7" t="n">
        <v>2021</v>
      </c>
      <c r="D1699" s="7" t="s">
        <v>8801</v>
      </c>
      <c r="E1699" s="7" t="s">
        <v>201</v>
      </c>
      <c r="F1699" s="7" t="s">
        <v>8802</v>
      </c>
      <c r="G1699" s="7" t="s">
        <v>145</v>
      </c>
      <c r="H1699" s="7" t="s">
        <v>146</v>
      </c>
      <c r="I1699" s="7" t="s">
        <v>8803</v>
      </c>
      <c r="J1699" s="7"/>
      <c r="K1699" s="7" t="s">
        <v>8804</v>
      </c>
    </row>
    <row r="1700" customFormat="false" ht="35.05" hidden="false" customHeight="false" outlineLevel="0" collapsed="false">
      <c r="A1700" s="7" t="n">
        <v>1699</v>
      </c>
      <c r="B1700" s="7" t="s">
        <v>8805</v>
      </c>
      <c r="C1700" s="7" t="n">
        <v>2010</v>
      </c>
      <c r="D1700" s="7" t="s">
        <v>8806</v>
      </c>
      <c r="E1700" s="7" t="s">
        <v>151</v>
      </c>
      <c r="F1700" s="7" t="s">
        <v>8807</v>
      </c>
      <c r="G1700" s="7" t="s">
        <v>5651</v>
      </c>
      <c r="H1700" s="7" t="s">
        <v>146</v>
      </c>
      <c r="I1700" s="7" t="s">
        <v>8808</v>
      </c>
      <c r="J1700" s="7" t="s">
        <v>116</v>
      </c>
      <c r="K1700" s="7" t="s">
        <v>8809</v>
      </c>
    </row>
    <row r="1701" customFormat="false" ht="23.85" hidden="false" customHeight="false" outlineLevel="0" collapsed="false">
      <c r="A1701" s="7" t="n">
        <v>1700</v>
      </c>
      <c r="B1701" s="7" t="s">
        <v>8810</v>
      </c>
      <c r="C1701" s="7" t="n">
        <v>2014</v>
      </c>
      <c r="D1701" s="7" t="s">
        <v>8811</v>
      </c>
      <c r="E1701" s="7" t="s">
        <v>201</v>
      </c>
      <c r="F1701" s="7" t="s">
        <v>8812</v>
      </c>
      <c r="G1701" s="7" t="s">
        <v>8813</v>
      </c>
      <c r="H1701" s="7" t="s">
        <v>146</v>
      </c>
      <c r="I1701" s="7" t="s">
        <v>8814</v>
      </c>
      <c r="J1701" s="7"/>
      <c r="K1701" s="7" t="s">
        <v>8815</v>
      </c>
    </row>
    <row r="1702" customFormat="false" ht="35.05" hidden="false" customHeight="false" outlineLevel="0" collapsed="false">
      <c r="A1702" s="7" t="n">
        <v>1701</v>
      </c>
      <c r="B1702" s="7" t="s">
        <v>8816</v>
      </c>
      <c r="C1702" s="7" t="n">
        <v>2021</v>
      </c>
      <c r="D1702" s="7" t="s">
        <v>8817</v>
      </c>
      <c r="E1702" s="7" t="s">
        <v>151</v>
      </c>
      <c r="F1702" s="7" t="s">
        <v>8818</v>
      </c>
      <c r="G1702" s="7" t="s">
        <v>8819</v>
      </c>
      <c r="H1702" s="7" t="s">
        <v>146</v>
      </c>
      <c r="I1702" s="7" t="s">
        <v>8820</v>
      </c>
      <c r="J1702" s="7" t="s">
        <v>116</v>
      </c>
      <c r="K1702" s="7" t="s">
        <v>8821</v>
      </c>
    </row>
    <row r="1703" customFormat="false" ht="23.85" hidden="false" customHeight="false" outlineLevel="0" collapsed="false">
      <c r="A1703" s="7" t="n">
        <v>1702</v>
      </c>
      <c r="B1703" s="7" t="s">
        <v>8822</v>
      </c>
      <c r="C1703" s="7" t="n">
        <v>2021</v>
      </c>
      <c r="D1703" s="7" t="s">
        <v>8823</v>
      </c>
      <c r="E1703" s="7" t="s">
        <v>143</v>
      </c>
      <c r="F1703" s="7" t="s">
        <v>4512</v>
      </c>
      <c r="G1703" s="7" t="s">
        <v>145</v>
      </c>
      <c r="H1703" s="7" t="s">
        <v>387</v>
      </c>
      <c r="I1703" s="7" t="s">
        <v>8824</v>
      </c>
      <c r="J1703" s="7" t="s">
        <v>116</v>
      </c>
      <c r="K1703" s="7" t="s">
        <v>8825</v>
      </c>
    </row>
    <row r="1704" customFormat="false" ht="35.05" hidden="false" customHeight="false" outlineLevel="0" collapsed="false">
      <c r="A1704" s="7" t="n">
        <v>1703</v>
      </c>
      <c r="B1704" s="7" t="s">
        <v>8826</v>
      </c>
      <c r="C1704" s="7" t="n">
        <v>2020</v>
      </c>
      <c r="D1704" s="7" t="s">
        <v>8827</v>
      </c>
      <c r="E1704" s="7" t="s">
        <v>579</v>
      </c>
      <c r="F1704" s="7" t="s">
        <v>364</v>
      </c>
      <c r="G1704" s="7" t="s">
        <v>8828</v>
      </c>
      <c r="H1704" s="7" t="s">
        <v>146</v>
      </c>
      <c r="I1704" s="7" t="s">
        <v>8829</v>
      </c>
      <c r="J1704" s="7" t="s">
        <v>114</v>
      </c>
      <c r="K1704" s="7" t="s">
        <v>8830</v>
      </c>
    </row>
    <row r="1705" customFormat="false" ht="23.85" hidden="false" customHeight="false" outlineLevel="0" collapsed="false">
      <c r="A1705" s="7" t="n">
        <v>1704</v>
      </c>
      <c r="B1705" s="7" t="s">
        <v>5932</v>
      </c>
      <c r="C1705" s="7" t="n">
        <v>2011</v>
      </c>
      <c r="D1705" s="7" t="s">
        <v>8831</v>
      </c>
      <c r="E1705" s="7" t="s">
        <v>151</v>
      </c>
      <c r="F1705" s="7" t="s">
        <v>8832</v>
      </c>
      <c r="G1705" s="7" t="s">
        <v>8833</v>
      </c>
      <c r="H1705" s="7" t="s">
        <v>748</v>
      </c>
      <c r="I1705" s="7" t="s">
        <v>8834</v>
      </c>
      <c r="J1705" s="7"/>
      <c r="K1705" s="7" t="s">
        <v>8835</v>
      </c>
    </row>
    <row r="1706" customFormat="false" ht="23.85" hidden="false" customHeight="false" outlineLevel="0" collapsed="false">
      <c r="A1706" s="7" t="n">
        <v>1705</v>
      </c>
      <c r="B1706" s="7" t="s">
        <v>8836</v>
      </c>
      <c r="C1706" s="7" t="n">
        <v>2019</v>
      </c>
      <c r="D1706" s="7" t="s">
        <v>8837</v>
      </c>
      <c r="E1706" s="7" t="s">
        <v>151</v>
      </c>
      <c r="F1706" s="7" t="s">
        <v>8838</v>
      </c>
      <c r="G1706" s="7" t="s">
        <v>359</v>
      </c>
      <c r="H1706" s="7" t="s">
        <v>748</v>
      </c>
      <c r="I1706" s="7" t="s">
        <v>8839</v>
      </c>
      <c r="J1706" s="7"/>
      <c r="K1706" s="7" t="s">
        <v>8840</v>
      </c>
    </row>
    <row r="1707" customFormat="false" ht="35.05" hidden="false" customHeight="false" outlineLevel="0" collapsed="false">
      <c r="A1707" s="7" t="n">
        <v>1706</v>
      </c>
      <c r="B1707" s="7" t="s">
        <v>4408</v>
      </c>
      <c r="C1707" s="7" t="n">
        <v>2017</v>
      </c>
      <c r="D1707" s="7" t="s">
        <v>8841</v>
      </c>
      <c r="E1707" s="7" t="s">
        <v>151</v>
      </c>
      <c r="F1707" s="7" t="s">
        <v>3552</v>
      </c>
      <c r="G1707" s="7" t="s">
        <v>3749</v>
      </c>
      <c r="H1707" s="7" t="s">
        <v>146</v>
      </c>
      <c r="I1707" s="7" t="s">
        <v>8842</v>
      </c>
      <c r="J1707" s="7" t="s">
        <v>116</v>
      </c>
      <c r="K1707" s="7" t="s">
        <v>8843</v>
      </c>
    </row>
    <row r="1708" customFormat="false" ht="23.85" hidden="false" customHeight="false" outlineLevel="0" collapsed="false">
      <c r="A1708" s="7" t="n">
        <v>1707</v>
      </c>
      <c r="B1708" s="7" t="s">
        <v>8844</v>
      </c>
      <c r="C1708" s="7" t="n">
        <v>2007</v>
      </c>
      <c r="D1708" s="7" t="s">
        <v>8845</v>
      </c>
      <c r="E1708" s="7" t="s">
        <v>151</v>
      </c>
      <c r="F1708" s="7" t="s">
        <v>152</v>
      </c>
      <c r="G1708" s="7" t="s">
        <v>2037</v>
      </c>
      <c r="H1708" s="7" t="s">
        <v>146</v>
      </c>
      <c r="I1708" s="7" t="s">
        <v>8846</v>
      </c>
      <c r="J1708" s="7"/>
      <c r="K1708" s="7" t="s">
        <v>8847</v>
      </c>
    </row>
    <row r="1709" customFormat="false" ht="35.05" hidden="false" customHeight="false" outlineLevel="0" collapsed="false">
      <c r="A1709" s="7" t="n">
        <v>1708</v>
      </c>
      <c r="B1709" s="7" t="s">
        <v>8848</v>
      </c>
      <c r="C1709" s="7" t="n">
        <v>2020</v>
      </c>
      <c r="D1709" s="7" t="s">
        <v>8849</v>
      </c>
      <c r="E1709" s="7" t="s">
        <v>151</v>
      </c>
      <c r="F1709" s="7" t="s">
        <v>8850</v>
      </c>
      <c r="G1709" s="7" t="s">
        <v>8851</v>
      </c>
      <c r="H1709" s="7" t="s">
        <v>146</v>
      </c>
      <c r="I1709" s="7" t="s">
        <v>8852</v>
      </c>
      <c r="J1709" s="7" t="s">
        <v>116</v>
      </c>
      <c r="K1709" s="7" t="s">
        <v>8853</v>
      </c>
    </row>
    <row r="1710" customFormat="false" ht="35.05" hidden="false" customHeight="false" outlineLevel="0" collapsed="false">
      <c r="A1710" s="7" t="n">
        <v>1709</v>
      </c>
      <c r="B1710" s="7" t="s">
        <v>8854</v>
      </c>
      <c r="C1710" s="7" t="n">
        <v>2017</v>
      </c>
      <c r="D1710" s="7" t="s">
        <v>8855</v>
      </c>
      <c r="E1710" s="7" t="s">
        <v>151</v>
      </c>
      <c r="F1710" s="7" t="s">
        <v>8856</v>
      </c>
      <c r="G1710" s="7" t="s">
        <v>1020</v>
      </c>
      <c r="H1710" s="7" t="s">
        <v>146</v>
      </c>
      <c r="I1710" s="7" t="s">
        <v>8857</v>
      </c>
      <c r="J1710" s="7"/>
      <c r="K1710" s="7" t="s">
        <v>8858</v>
      </c>
    </row>
    <row r="1711" customFormat="false" ht="23.85" hidden="false" customHeight="false" outlineLevel="0" collapsed="false">
      <c r="A1711" s="7" t="n">
        <v>1710</v>
      </c>
      <c r="B1711" s="7" t="s">
        <v>8859</v>
      </c>
      <c r="C1711" s="7" t="n">
        <v>2017</v>
      </c>
      <c r="D1711" s="7" t="s">
        <v>8860</v>
      </c>
      <c r="E1711" s="7" t="s">
        <v>579</v>
      </c>
      <c r="F1711" s="7" t="s">
        <v>152</v>
      </c>
      <c r="G1711" s="7" t="s">
        <v>145</v>
      </c>
      <c r="H1711" s="7" t="s">
        <v>748</v>
      </c>
      <c r="I1711" s="7" t="s">
        <v>8861</v>
      </c>
      <c r="J1711" s="7" t="s">
        <v>116</v>
      </c>
      <c r="K1711" s="7" t="s">
        <v>8862</v>
      </c>
    </row>
    <row r="1712" customFormat="false" ht="23.85" hidden="false" customHeight="false" outlineLevel="0" collapsed="false">
      <c r="A1712" s="7" t="n">
        <v>1711</v>
      </c>
      <c r="B1712" s="7" t="s">
        <v>8863</v>
      </c>
      <c r="C1712" s="7" t="n">
        <v>2005</v>
      </c>
      <c r="D1712" s="7" t="s">
        <v>8864</v>
      </c>
      <c r="E1712" s="7" t="s">
        <v>151</v>
      </c>
      <c r="F1712" s="7" t="s">
        <v>832</v>
      </c>
      <c r="G1712" s="7" t="s">
        <v>8865</v>
      </c>
      <c r="H1712" s="7" t="s">
        <v>748</v>
      </c>
      <c r="I1712" s="7" t="s">
        <v>8866</v>
      </c>
      <c r="J1712" s="7" t="s">
        <v>116</v>
      </c>
      <c r="K1712" s="7" t="s">
        <v>8867</v>
      </c>
    </row>
    <row r="1713" customFormat="false" ht="23.85" hidden="false" customHeight="false" outlineLevel="0" collapsed="false">
      <c r="A1713" s="7" t="n">
        <v>1712</v>
      </c>
      <c r="B1713" s="7" t="s">
        <v>8868</v>
      </c>
      <c r="C1713" s="7" t="n">
        <v>2005</v>
      </c>
      <c r="D1713" s="7" t="s">
        <v>8869</v>
      </c>
      <c r="E1713" s="7" t="s">
        <v>151</v>
      </c>
      <c r="F1713" s="7" t="s">
        <v>8870</v>
      </c>
      <c r="G1713" s="7" t="s">
        <v>145</v>
      </c>
      <c r="H1713" s="7" t="s">
        <v>748</v>
      </c>
      <c r="I1713" s="7" t="s">
        <v>8871</v>
      </c>
      <c r="J1713" s="7" t="s">
        <v>112</v>
      </c>
      <c r="K1713" s="7" t="s">
        <v>8872</v>
      </c>
    </row>
    <row r="1714" customFormat="false" ht="35.05" hidden="false" customHeight="false" outlineLevel="0" collapsed="false">
      <c r="A1714" s="7" t="n">
        <v>1713</v>
      </c>
      <c r="B1714" s="7" t="s">
        <v>8873</v>
      </c>
      <c r="C1714" s="7" t="n">
        <v>2014</v>
      </c>
      <c r="D1714" s="7" t="s">
        <v>8874</v>
      </c>
      <c r="E1714" s="7" t="s">
        <v>151</v>
      </c>
      <c r="F1714" s="7" t="s">
        <v>152</v>
      </c>
      <c r="G1714" s="7" t="s">
        <v>145</v>
      </c>
      <c r="H1714" s="7" t="s">
        <v>387</v>
      </c>
      <c r="I1714" s="7" t="s">
        <v>8875</v>
      </c>
      <c r="J1714" s="7"/>
      <c r="K1714" s="7" t="s">
        <v>8876</v>
      </c>
    </row>
    <row r="1715" customFormat="false" ht="35.05" hidden="false" customHeight="false" outlineLevel="0" collapsed="false">
      <c r="A1715" s="7" t="n">
        <v>1714</v>
      </c>
      <c r="B1715" s="7" t="s">
        <v>8877</v>
      </c>
      <c r="C1715" s="7" t="n">
        <v>1991</v>
      </c>
      <c r="D1715" s="7" t="s">
        <v>8878</v>
      </c>
      <c r="E1715" s="7" t="s">
        <v>579</v>
      </c>
      <c r="F1715" s="7" t="s">
        <v>8879</v>
      </c>
      <c r="G1715" s="7" t="s">
        <v>4711</v>
      </c>
      <c r="H1715" s="7" t="s">
        <v>4353</v>
      </c>
      <c r="I1715" s="7" t="s">
        <v>8880</v>
      </c>
      <c r="J1715" s="7"/>
      <c r="K1715" s="7" t="s">
        <v>8881</v>
      </c>
    </row>
    <row r="1716" customFormat="false" ht="23.85" hidden="false" customHeight="false" outlineLevel="0" collapsed="false">
      <c r="A1716" s="7" t="n">
        <v>1715</v>
      </c>
      <c r="B1716" s="7" t="s">
        <v>8882</v>
      </c>
      <c r="C1716" s="7" t="n">
        <v>2013</v>
      </c>
      <c r="D1716" s="7" t="s">
        <v>8883</v>
      </c>
      <c r="E1716" s="7" t="s">
        <v>201</v>
      </c>
      <c r="F1716" s="7" t="s">
        <v>1763</v>
      </c>
      <c r="G1716" s="7" t="s">
        <v>1213</v>
      </c>
      <c r="H1716" s="7" t="s">
        <v>146</v>
      </c>
      <c r="I1716" s="7" t="s">
        <v>8884</v>
      </c>
      <c r="J1716" s="7" t="s">
        <v>112</v>
      </c>
      <c r="K1716" s="7" t="s">
        <v>8885</v>
      </c>
    </row>
    <row r="1717" customFormat="false" ht="35.05" hidden="false" customHeight="false" outlineLevel="0" collapsed="false">
      <c r="A1717" s="7" t="n">
        <v>1716</v>
      </c>
      <c r="B1717" s="7" t="s">
        <v>8886</v>
      </c>
      <c r="C1717" s="7" t="n">
        <v>2007</v>
      </c>
      <c r="D1717" s="7" t="s">
        <v>8887</v>
      </c>
      <c r="E1717" s="7" t="s">
        <v>151</v>
      </c>
      <c r="F1717" s="7" t="s">
        <v>8888</v>
      </c>
      <c r="G1717" s="7" t="s">
        <v>4711</v>
      </c>
      <c r="H1717" s="7" t="s">
        <v>208</v>
      </c>
      <c r="I1717" s="7" t="s">
        <v>8889</v>
      </c>
      <c r="J1717" s="7" t="s">
        <v>112</v>
      </c>
      <c r="K1717" s="7" t="s">
        <v>8890</v>
      </c>
    </row>
    <row r="1718" customFormat="false" ht="35.05" hidden="false" customHeight="false" outlineLevel="0" collapsed="false">
      <c r="A1718" s="7" t="n">
        <v>1717</v>
      </c>
      <c r="B1718" s="7" t="s">
        <v>8891</v>
      </c>
      <c r="C1718" s="7" t="n">
        <v>2011</v>
      </c>
      <c r="D1718" s="7" t="s">
        <v>8892</v>
      </c>
      <c r="E1718" s="7" t="s">
        <v>579</v>
      </c>
      <c r="F1718" s="7" t="s">
        <v>8893</v>
      </c>
      <c r="G1718" s="7" t="s">
        <v>7672</v>
      </c>
      <c r="H1718" s="7" t="s">
        <v>208</v>
      </c>
      <c r="I1718" s="7" t="s">
        <v>8894</v>
      </c>
      <c r="J1718" s="7" t="s">
        <v>112</v>
      </c>
      <c r="K1718" s="7" t="s">
        <v>8895</v>
      </c>
    </row>
    <row r="1719" customFormat="false" ht="35.05" hidden="false" customHeight="false" outlineLevel="0" collapsed="false">
      <c r="A1719" s="7" t="n">
        <v>1718</v>
      </c>
      <c r="B1719" s="7" t="s">
        <v>1166</v>
      </c>
      <c r="C1719" s="7" t="n">
        <v>2015</v>
      </c>
      <c r="D1719" s="7" t="s">
        <v>8896</v>
      </c>
      <c r="E1719" s="7" t="s">
        <v>143</v>
      </c>
      <c r="F1719" s="7" t="s">
        <v>1264</v>
      </c>
      <c r="G1719" s="7" t="s">
        <v>145</v>
      </c>
      <c r="H1719" s="7" t="s">
        <v>387</v>
      </c>
      <c r="I1719" s="7" t="s">
        <v>8897</v>
      </c>
      <c r="J1719" s="7" t="s">
        <v>112</v>
      </c>
      <c r="K1719" s="7" t="s">
        <v>8898</v>
      </c>
    </row>
    <row r="1720" customFormat="false" ht="23.85" hidden="false" customHeight="false" outlineLevel="0" collapsed="false">
      <c r="A1720" s="7" t="n">
        <v>1719</v>
      </c>
      <c r="B1720" s="7" t="s">
        <v>8899</v>
      </c>
      <c r="C1720" s="7" t="n">
        <v>2017</v>
      </c>
      <c r="D1720" s="7" t="s">
        <v>8900</v>
      </c>
      <c r="E1720" s="7" t="s">
        <v>579</v>
      </c>
      <c r="F1720" s="7" t="s">
        <v>1264</v>
      </c>
      <c r="G1720" s="7" t="s">
        <v>145</v>
      </c>
      <c r="H1720" s="7" t="s">
        <v>387</v>
      </c>
      <c r="I1720" s="7" t="s">
        <v>8901</v>
      </c>
      <c r="J1720" s="7" t="s">
        <v>112</v>
      </c>
      <c r="K1720" s="7" t="s">
        <v>8902</v>
      </c>
    </row>
    <row r="1721" customFormat="false" ht="35.05" hidden="false" customHeight="false" outlineLevel="0" collapsed="false">
      <c r="A1721" s="7" t="n">
        <v>1720</v>
      </c>
      <c r="B1721" s="7" t="s">
        <v>8903</v>
      </c>
      <c r="C1721" s="7" t="n">
        <v>2017</v>
      </c>
      <c r="D1721" s="7" t="s">
        <v>8904</v>
      </c>
      <c r="E1721" s="7" t="s">
        <v>151</v>
      </c>
      <c r="F1721" s="7" t="s">
        <v>1535</v>
      </c>
      <c r="G1721" s="7" t="s">
        <v>4103</v>
      </c>
      <c r="H1721" s="7" t="s">
        <v>146</v>
      </c>
      <c r="I1721" s="7" t="s">
        <v>8905</v>
      </c>
      <c r="J1721" s="7" t="s">
        <v>112</v>
      </c>
      <c r="K1721" s="7" t="s">
        <v>8906</v>
      </c>
    </row>
    <row r="1722" customFormat="false" ht="35.05" hidden="false" customHeight="false" outlineLevel="0" collapsed="false">
      <c r="A1722" s="7" t="n">
        <v>1721</v>
      </c>
      <c r="B1722" s="7" t="s">
        <v>8907</v>
      </c>
      <c r="C1722" s="7" t="n">
        <v>2017</v>
      </c>
      <c r="D1722" s="7" t="s">
        <v>8908</v>
      </c>
      <c r="E1722" s="7" t="s">
        <v>143</v>
      </c>
      <c r="F1722" s="7" t="s">
        <v>8909</v>
      </c>
      <c r="G1722" s="7" t="s">
        <v>145</v>
      </c>
      <c r="H1722" s="7" t="s">
        <v>387</v>
      </c>
      <c r="I1722" s="7" t="s">
        <v>8910</v>
      </c>
      <c r="J1722" s="7" t="s">
        <v>114</v>
      </c>
      <c r="K1722" s="7" t="s">
        <v>8911</v>
      </c>
    </row>
    <row r="1723" customFormat="false" ht="35.05" hidden="false" customHeight="false" outlineLevel="0" collapsed="false">
      <c r="A1723" s="7" t="n">
        <v>1722</v>
      </c>
      <c r="B1723" s="7" t="s">
        <v>8912</v>
      </c>
      <c r="C1723" s="7" t="n">
        <v>2003</v>
      </c>
      <c r="D1723" s="7" t="s">
        <v>8913</v>
      </c>
      <c r="E1723" s="7" t="s">
        <v>8914</v>
      </c>
      <c r="F1723" s="7" t="s">
        <v>8915</v>
      </c>
      <c r="G1723" s="7" t="s">
        <v>8916</v>
      </c>
      <c r="H1723" s="7" t="s">
        <v>8917</v>
      </c>
      <c r="I1723" s="7" t="s">
        <v>8918</v>
      </c>
      <c r="J1723" s="7"/>
      <c r="K1723" s="7" t="s">
        <v>8919</v>
      </c>
    </row>
    <row r="1724" customFormat="false" ht="23.85" hidden="false" customHeight="false" outlineLevel="0" collapsed="false">
      <c r="A1724" s="7" t="n">
        <v>1723</v>
      </c>
      <c r="B1724" s="7" t="s">
        <v>8920</v>
      </c>
      <c r="C1724" s="7" t="n">
        <v>1966</v>
      </c>
      <c r="D1724" s="7" t="s">
        <v>8921</v>
      </c>
      <c r="E1724" s="7" t="s">
        <v>8922</v>
      </c>
      <c r="F1724" s="7" t="s">
        <v>8879</v>
      </c>
      <c r="G1724" s="7" t="s">
        <v>181</v>
      </c>
      <c r="H1724" s="7" t="s">
        <v>7537</v>
      </c>
      <c r="I1724" s="7" t="s">
        <v>8923</v>
      </c>
      <c r="J1724" s="7"/>
      <c r="K1724" s="7" t="s">
        <v>8924</v>
      </c>
    </row>
    <row r="1725" customFormat="false" ht="35.05" hidden="false" customHeight="false" outlineLevel="0" collapsed="false">
      <c r="A1725" s="7" t="n">
        <v>1724</v>
      </c>
      <c r="B1725" s="7" t="s">
        <v>8925</v>
      </c>
      <c r="C1725" s="7" t="n">
        <v>2016</v>
      </c>
      <c r="D1725" s="7" t="s">
        <v>8926</v>
      </c>
      <c r="E1725" s="7" t="s">
        <v>143</v>
      </c>
      <c r="F1725" s="7" t="s">
        <v>1264</v>
      </c>
      <c r="G1725" s="7" t="s">
        <v>145</v>
      </c>
      <c r="H1725" s="7" t="s">
        <v>8927</v>
      </c>
      <c r="I1725" s="7" t="s">
        <v>8928</v>
      </c>
      <c r="J1725" s="7" t="s">
        <v>114</v>
      </c>
      <c r="K1725" s="7" t="s">
        <v>8929</v>
      </c>
    </row>
    <row r="1726" customFormat="false" ht="35.05" hidden="false" customHeight="false" outlineLevel="0" collapsed="false">
      <c r="A1726" s="7" t="n">
        <v>1725</v>
      </c>
      <c r="B1726" s="7" t="s">
        <v>8930</v>
      </c>
      <c r="C1726" s="7" t="n">
        <v>2018</v>
      </c>
      <c r="D1726" s="7" t="s">
        <v>8931</v>
      </c>
      <c r="E1726" s="7" t="s">
        <v>201</v>
      </c>
      <c r="F1726" s="7" t="s">
        <v>3530</v>
      </c>
      <c r="G1726" s="7" t="s">
        <v>4711</v>
      </c>
      <c r="H1726" s="7" t="s">
        <v>748</v>
      </c>
      <c r="I1726" s="7" t="s">
        <v>8932</v>
      </c>
      <c r="J1726" s="7" t="s">
        <v>112</v>
      </c>
      <c r="K1726" s="7" t="s">
        <v>8933</v>
      </c>
    </row>
    <row r="1727" customFormat="false" ht="35.05" hidden="false" customHeight="false" outlineLevel="0" collapsed="false">
      <c r="A1727" s="7" t="n">
        <v>1726</v>
      </c>
      <c r="B1727" s="7" t="s">
        <v>8934</v>
      </c>
      <c r="C1727" s="7" t="n">
        <v>2013</v>
      </c>
      <c r="D1727" s="7" t="s">
        <v>8935</v>
      </c>
      <c r="E1727" s="7" t="s">
        <v>201</v>
      </c>
      <c r="F1727" s="7" t="s">
        <v>1424</v>
      </c>
      <c r="G1727" s="7" t="s">
        <v>4711</v>
      </c>
      <c r="H1727" s="7" t="s">
        <v>208</v>
      </c>
      <c r="I1727" s="7" t="s">
        <v>8936</v>
      </c>
      <c r="J1727" s="7"/>
      <c r="K1727" s="7" t="s">
        <v>8937</v>
      </c>
    </row>
    <row r="1728" customFormat="false" ht="35.05" hidden="false" customHeight="false" outlineLevel="0" collapsed="false">
      <c r="A1728" s="7" t="n">
        <v>1727</v>
      </c>
      <c r="B1728" s="7" t="s">
        <v>8938</v>
      </c>
      <c r="C1728" s="7" t="n">
        <v>2013</v>
      </c>
      <c r="D1728" s="7" t="s">
        <v>8939</v>
      </c>
      <c r="E1728" s="7" t="s">
        <v>151</v>
      </c>
      <c r="F1728" s="7" t="s">
        <v>8879</v>
      </c>
      <c r="G1728" s="7" t="s">
        <v>4711</v>
      </c>
      <c r="H1728" s="7" t="s">
        <v>7537</v>
      </c>
      <c r="I1728" s="7" t="s">
        <v>8940</v>
      </c>
      <c r="J1728" s="7"/>
      <c r="K1728" s="7" t="s">
        <v>8941</v>
      </c>
    </row>
    <row r="1729" customFormat="false" ht="35.05" hidden="false" customHeight="false" outlineLevel="0" collapsed="false">
      <c r="A1729" s="7" t="n">
        <v>1728</v>
      </c>
      <c r="B1729" s="7" t="s">
        <v>1219</v>
      </c>
      <c r="C1729" s="7" t="n">
        <v>2016</v>
      </c>
      <c r="D1729" s="7" t="s">
        <v>8942</v>
      </c>
      <c r="E1729" s="7" t="s">
        <v>151</v>
      </c>
      <c r="F1729" s="7" t="s">
        <v>1278</v>
      </c>
      <c r="G1729" s="7" t="s">
        <v>2886</v>
      </c>
      <c r="H1729" s="7" t="s">
        <v>146</v>
      </c>
      <c r="I1729" s="7" t="s">
        <v>8943</v>
      </c>
      <c r="J1729" s="7" t="s">
        <v>112</v>
      </c>
      <c r="K1729" s="7" t="s">
        <v>8944</v>
      </c>
    </row>
    <row r="1730" customFormat="false" ht="23.85" hidden="false" customHeight="false" outlineLevel="0" collapsed="false">
      <c r="A1730" s="7" t="n">
        <v>1729</v>
      </c>
      <c r="B1730" s="7" t="s">
        <v>8945</v>
      </c>
      <c r="C1730" s="7" t="n">
        <v>1989</v>
      </c>
      <c r="D1730" s="7" t="s">
        <v>8946</v>
      </c>
      <c r="E1730" s="7" t="s">
        <v>201</v>
      </c>
      <c r="F1730" s="7" t="s">
        <v>8947</v>
      </c>
      <c r="G1730" s="7" t="s">
        <v>4711</v>
      </c>
      <c r="H1730" s="7" t="s">
        <v>7537</v>
      </c>
      <c r="I1730" s="7" t="s">
        <v>8948</v>
      </c>
      <c r="J1730" s="7"/>
      <c r="K1730" s="7" t="s">
        <v>8949</v>
      </c>
    </row>
    <row r="1731" customFormat="false" ht="23.85" hidden="false" customHeight="false" outlineLevel="0" collapsed="false">
      <c r="A1731" s="7" t="n">
        <v>1730</v>
      </c>
      <c r="B1731" s="7" t="s">
        <v>718</v>
      </c>
      <c r="C1731" s="7" t="n">
        <v>1998</v>
      </c>
      <c r="D1731" s="7" t="s">
        <v>8950</v>
      </c>
      <c r="E1731" s="7" t="s">
        <v>151</v>
      </c>
      <c r="F1731" s="7" t="s">
        <v>8951</v>
      </c>
      <c r="G1731" s="7" t="s">
        <v>8952</v>
      </c>
      <c r="H1731" s="7" t="s">
        <v>208</v>
      </c>
      <c r="I1731" s="7" t="s">
        <v>8953</v>
      </c>
      <c r="J1731" s="7"/>
      <c r="K1731" s="7" t="s">
        <v>8954</v>
      </c>
    </row>
    <row r="1732" customFormat="false" ht="23.85" hidden="false" customHeight="false" outlineLevel="0" collapsed="false">
      <c r="A1732" s="7" t="n">
        <v>1731</v>
      </c>
      <c r="B1732" s="7" t="s">
        <v>8955</v>
      </c>
      <c r="C1732" s="7" t="n">
        <v>2013</v>
      </c>
      <c r="D1732" s="7" t="s">
        <v>8956</v>
      </c>
      <c r="E1732" s="7" t="s">
        <v>8957</v>
      </c>
      <c r="F1732" s="7" t="s">
        <v>1938</v>
      </c>
      <c r="G1732" s="7" t="s">
        <v>145</v>
      </c>
      <c r="H1732" s="7" t="s">
        <v>646</v>
      </c>
      <c r="I1732" s="7" t="s">
        <v>8958</v>
      </c>
      <c r="J1732" s="7" t="s">
        <v>114</v>
      </c>
      <c r="K1732" s="7" t="s">
        <v>8959</v>
      </c>
    </row>
    <row r="1733" customFormat="false" ht="23.85" hidden="false" customHeight="false" outlineLevel="0" collapsed="false">
      <c r="A1733" s="7" t="n">
        <v>1732</v>
      </c>
      <c r="B1733" s="7" t="s">
        <v>8960</v>
      </c>
      <c r="C1733" s="7" t="n">
        <v>2011</v>
      </c>
      <c r="D1733" s="7" t="s">
        <v>8961</v>
      </c>
      <c r="E1733" s="7" t="s">
        <v>579</v>
      </c>
      <c r="F1733" s="7" t="s">
        <v>8962</v>
      </c>
      <c r="G1733" s="7" t="s">
        <v>4711</v>
      </c>
      <c r="H1733" s="7" t="s">
        <v>208</v>
      </c>
      <c r="I1733" s="7" t="s">
        <v>8963</v>
      </c>
      <c r="J1733" s="7" t="s">
        <v>116</v>
      </c>
      <c r="K1733" s="7" t="s">
        <v>8964</v>
      </c>
    </row>
    <row r="1734" customFormat="false" ht="23.85" hidden="false" customHeight="false" outlineLevel="0" collapsed="false">
      <c r="A1734" s="7" t="n">
        <v>1733</v>
      </c>
      <c r="B1734" s="7" t="s">
        <v>8965</v>
      </c>
      <c r="C1734" s="7" t="n">
        <v>2009</v>
      </c>
      <c r="D1734" s="7" t="s">
        <v>8966</v>
      </c>
      <c r="E1734" s="7" t="s">
        <v>143</v>
      </c>
      <c r="F1734" s="7" t="s">
        <v>8967</v>
      </c>
      <c r="G1734" s="7" t="s">
        <v>4711</v>
      </c>
      <c r="H1734" s="7" t="s">
        <v>208</v>
      </c>
      <c r="I1734" s="7" t="s">
        <v>8968</v>
      </c>
      <c r="J1734" s="7" t="s">
        <v>112</v>
      </c>
      <c r="K1734" s="7" t="s">
        <v>8969</v>
      </c>
    </row>
    <row r="1735" customFormat="false" ht="35.05" hidden="false" customHeight="false" outlineLevel="0" collapsed="false">
      <c r="A1735" s="7" t="n">
        <v>1734</v>
      </c>
      <c r="B1735" s="7" t="s">
        <v>8970</v>
      </c>
      <c r="C1735" s="7" t="n">
        <v>2003</v>
      </c>
      <c r="D1735" s="7" t="s">
        <v>8971</v>
      </c>
      <c r="E1735" s="7" t="s">
        <v>151</v>
      </c>
      <c r="F1735" s="7" t="s">
        <v>8972</v>
      </c>
      <c r="G1735" s="7" t="s">
        <v>4711</v>
      </c>
      <c r="H1735" s="7" t="s">
        <v>4353</v>
      </c>
      <c r="I1735" s="7" t="s">
        <v>8973</v>
      </c>
      <c r="J1735" s="7"/>
      <c r="K1735" s="7" t="s">
        <v>8974</v>
      </c>
    </row>
    <row r="1736" customFormat="false" ht="35.05" hidden="false" customHeight="false" outlineLevel="0" collapsed="false">
      <c r="A1736" s="7" t="n">
        <v>1735</v>
      </c>
      <c r="B1736" s="7" t="s">
        <v>8975</v>
      </c>
      <c r="C1736" s="7" t="n">
        <v>2014</v>
      </c>
      <c r="D1736" s="7" t="s">
        <v>8976</v>
      </c>
      <c r="E1736" s="7" t="s">
        <v>151</v>
      </c>
      <c r="F1736" s="7" t="s">
        <v>1264</v>
      </c>
      <c r="G1736" s="7" t="s">
        <v>145</v>
      </c>
      <c r="H1736" s="7" t="s">
        <v>387</v>
      </c>
      <c r="I1736" s="7" t="s">
        <v>8977</v>
      </c>
      <c r="J1736" s="7" t="s">
        <v>112</v>
      </c>
      <c r="K1736" s="7" t="s">
        <v>8978</v>
      </c>
    </row>
    <row r="1737" customFormat="false" ht="35.05" hidden="false" customHeight="false" outlineLevel="0" collapsed="false">
      <c r="A1737" s="7" t="n">
        <v>1736</v>
      </c>
      <c r="B1737" s="7" t="s">
        <v>8979</v>
      </c>
      <c r="C1737" s="7" t="n">
        <v>2017</v>
      </c>
      <c r="D1737" s="7" t="s">
        <v>8980</v>
      </c>
      <c r="E1737" s="7" t="s">
        <v>579</v>
      </c>
      <c r="F1737" s="7" t="s">
        <v>8981</v>
      </c>
      <c r="G1737" s="7" t="s">
        <v>8982</v>
      </c>
      <c r="H1737" s="7" t="s">
        <v>208</v>
      </c>
      <c r="I1737" s="7" t="s">
        <v>8983</v>
      </c>
      <c r="J1737" s="7" t="s">
        <v>112</v>
      </c>
      <c r="K1737" s="7" t="s">
        <v>8984</v>
      </c>
    </row>
    <row r="1738" customFormat="false" ht="57.45" hidden="false" customHeight="false" outlineLevel="0" collapsed="false">
      <c r="A1738" s="7" t="n">
        <v>1737</v>
      </c>
      <c r="B1738" s="7" t="s">
        <v>15812</v>
      </c>
      <c r="C1738" s="7" t="n">
        <v>2016</v>
      </c>
      <c r="D1738" s="7" t="s">
        <v>8985</v>
      </c>
      <c r="E1738" s="7" t="s">
        <v>15813</v>
      </c>
      <c r="F1738" s="7" t="s">
        <v>15814</v>
      </c>
      <c r="G1738" s="7" t="s">
        <v>145</v>
      </c>
      <c r="H1738" s="7" t="s">
        <v>15176</v>
      </c>
      <c r="I1738" s="7" t="s">
        <v>15815</v>
      </c>
      <c r="J1738" s="7" t="s">
        <v>112</v>
      </c>
      <c r="K1738" s="7" t="s">
        <v>15816</v>
      </c>
    </row>
    <row r="1739" customFormat="false" ht="35.05" hidden="false" customHeight="false" outlineLevel="0" collapsed="false">
      <c r="A1739" s="7" t="n">
        <v>1738</v>
      </c>
      <c r="B1739" s="7" t="s">
        <v>8994</v>
      </c>
      <c r="C1739" s="7" t="n">
        <v>2013</v>
      </c>
      <c r="D1739" s="7" t="s">
        <v>8995</v>
      </c>
      <c r="E1739" s="7" t="s">
        <v>201</v>
      </c>
      <c r="F1739" s="7" t="s">
        <v>8996</v>
      </c>
      <c r="G1739" s="7" t="s">
        <v>2899</v>
      </c>
      <c r="H1739" s="7" t="s">
        <v>146</v>
      </c>
      <c r="I1739" s="7" t="s">
        <v>8997</v>
      </c>
      <c r="J1739" s="7" t="s">
        <v>112</v>
      </c>
      <c r="K1739" s="7" t="s">
        <v>8998</v>
      </c>
    </row>
    <row r="1740" customFormat="false" ht="23.85" hidden="false" customHeight="false" outlineLevel="0" collapsed="false">
      <c r="A1740" s="7" t="n">
        <v>1739</v>
      </c>
      <c r="B1740" s="7" t="s">
        <v>8999</v>
      </c>
      <c r="C1740" s="7" t="n">
        <v>2014</v>
      </c>
      <c r="D1740" s="7" t="s">
        <v>9000</v>
      </c>
      <c r="E1740" s="7" t="s">
        <v>143</v>
      </c>
      <c r="F1740" s="7" t="s">
        <v>3646</v>
      </c>
      <c r="G1740" s="7" t="s">
        <v>871</v>
      </c>
      <c r="H1740" s="7" t="s">
        <v>387</v>
      </c>
      <c r="I1740" s="7" t="s">
        <v>9001</v>
      </c>
      <c r="J1740" s="7" t="s">
        <v>112</v>
      </c>
      <c r="K1740" s="7" t="s">
        <v>9002</v>
      </c>
    </row>
    <row r="1741" customFormat="false" ht="35.05" hidden="false" customHeight="false" outlineLevel="0" collapsed="false">
      <c r="A1741" s="7" t="n">
        <v>1740</v>
      </c>
      <c r="B1741" s="7" t="s">
        <v>9003</v>
      </c>
      <c r="C1741" s="7" t="n">
        <v>2010</v>
      </c>
      <c r="D1741" s="7" t="s">
        <v>9004</v>
      </c>
      <c r="E1741" s="7" t="s">
        <v>143</v>
      </c>
      <c r="F1741" s="7" t="s">
        <v>364</v>
      </c>
      <c r="G1741" s="7" t="s">
        <v>145</v>
      </c>
      <c r="H1741" s="7" t="s">
        <v>9005</v>
      </c>
      <c r="I1741" s="7" t="s">
        <v>6742</v>
      </c>
      <c r="J1741" s="7" t="s">
        <v>114</v>
      </c>
      <c r="K1741" s="7" t="s">
        <v>9006</v>
      </c>
    </row>
    <row r="1742" customFormat="false" ht="23.85" hidden="false" customHeight="false" outlineLevel="0" collapsed="false">
      <c r="A1742" s="7" t="n">
        <v>1741</v>
      </c>
      <c r="B1742" s="7" t="s">
        <v>3672</v>
      </c>
      <c r="C1742" s="7" t="n">
        <v>2006</v>
      </c>
      <c r="D1742" s="7" t="s">
        <v>9007</v>
      </c>
      <c r="E1742" s="7" t="s">
        <v>3677</v>
      </c>
      <c r="F1742" s="7" t="s">
        <v>1424</v>
      </c>
      <c r="G1742" s="7" t="s">
        <v>4711</v>
      </c>
      <c r="H1742" s="7" t="s">
        <v>208</v>
      </c>
      <c r="I1742" s="7" t="s">
        <v>9008</v>
      </c>
      <c r="J1742" s="7" t="s">
        <v>112</v>
      </c>
      <c r="K1742" s="7" t="s">
        <v>9009</v>
      </c>
    </row>
    <row r="1743" customFormat="false" ht="23.85" hidden="false" customHeight="false" outlineLevel="0" collapsed="false">
      <c r="A1743" s="7" t="n">
        <v>1742</v>
      </c>
      <c r="B1743" s="7" t="s">
        <v>9010</v>
      </c>
      <c r="C1743" s="7" t="n">
        <v>2013</v>
      </c>
      <c r="D1743" s="7" t="s">
        <v>9011</v>
      </c>
      <c r="E1743" s="7" t="s">
        <v>201</v>
      </c>
      <c r="F1743" s="7" t="s">
        <v>9012</v>
      </c>
      <c r="G1743" s="7" t="s">
        <v>4711</v>
      </c>
      <c r="H1743" s="7" t="s">
        <v>7537</v>
      </c>
      <c r="I1743" s="7" t="s">
        <v>9013</v>
      </c>
      <c r="J1743" s="7"/>
      <c r="K1743" s="7" t="s">
        <v>9014</v>
      </c>
    </row>
    <row r="1744" customFormat="false" ht="35.05" hidden="false" customHeight="false" outlineLevel="0" collapsed="false">
      <c r="A1744" s="7" t="n">
        <v>1743</v>
      </c>
      <c r="B1744" s="7" t="s">
        <v>9015</v>
      </c>
      <c r="C1744" s="7" t="n">
        <v>2014</v>
      </c>
      <c r="D1744" s="7" t="s">
        <v>9016</v>
      </c>
      <c r="E1744" s="7" t="s">
        <v>201</v>
      </c>
      <c r="F1744" s="7" t="s">
        <v>9017</v>
      </c>
      <c r="G1744" s="7" t="s">
        <v>9018</v>
      </c>
      <c r="H1744" s="7" t="s">
        <v>208</v>
      </c>
      <c r="I1744" s="7" t="s">
        <v>9019</v>
      </c>
      <c r="J1744" s="7" t="s">
        <v>112</v>
      </c>
      <c r="K1744" s="7" t="s">
        <v>9020</v>
      </c>
    </row>
    <row r="1745" customFormat="false" ht="35.05" hidden="false" customHeight="false" outlineLevel="0" collapsed="false">
      <c r="A1745" s="7" t="n">
        <v>1744</v>
      </c>
      <c r="B1745" s="7" t="s">
        <v>9015</v>
      </c>
      <c r="C1745" s="7" t="n">
        <v>2018</v>
      </c>
      <c r="D1745" s="7" t="s">
        <v>9021</v>
      </c>
      <c r="E1745" s="7" t="s">
        <v>579</v>
      </c>
      <c r="F1745" s="7" t="s">
        <v>9022</v>
      </c>
      <c r="G1745" s="7" t="s">
        <v>9018</v>
      </c>
      <c r="H1745" s="7" t="s">
        <v>208</v>
      </c>
      <c r="I1745" s="7" t="s">
        <v>9023</v>
      </c>
      <c r="J1745" s="7" t="s">
        <v>112</v>
      </c>
      <c r="K1745" s="7" t="s">
        <v>9024</v>
      </c>
    </row>
    <row r="1746" customFormat="false" ht="35.05" hidden="false" customHeight="false" outlineLevel="0" collapsed="false">
      <c r="A1746" s="7" t="n">
        <v>1745</v>
      </c>
      <c r="B1746" s="7" t="s">
        <v>9025</v>
      </c>
      <c r="C1746" s="7" t="n">
        <v>1995</v>
      </c>
      <c r="D1746" s="7" t="s">
        <v>9026</v>
      </c>
      <c r="E1746" s="7" t="s">
        <v>579</v>
      </c>
      <c r="F1746" s="7" t="s">
        <v>1264</v>
      </c>
      <c r="G1746" s="7" t="s">
        <v>145</v>
      </c>
      <c r="H1746" s="7" t="s">
        <v>8917</v>
      </c>
      <c r="I1746" s="7" t="s">
        <v>9027</v>
      </c>
      <c r="J1746" s="7"/>
      <c r="K1746" s="7" t="s">
        <v>9028</v>
      </c>
    </row>
    <row r="1747" customFormat="false" ht="35.05" hidden="false" customHeight="false" outlineLevel="0" collapsed="false">
      <c r="A1747" s="7" t="n">
        <v>1746</v>
      </c>
      <c r="B1747" s="7" t="s">
        <v>9025</v>
      </c>
      <c r="C1747" s="7" t="n">
        <v>1998</v>
      </c>
      <c r="D1747" s="7" t="s">
        <v>9029</v>
      </c>
      <c r="E1747" s="7" t="s">
        <v>201</v>
      </c>
      <c r="F1747" s="7" t="s">
        <v>9030</v>
      </c>
      <c r="G1747" s="7" t="s">
        <v>4711</v>
      </c>
      <c r="H1747" s="7" t="s">
        <v>7537</v>
      </c>
      <c r="I1747" s="7" t="s">
        <v>9031</v>
      </c>
      <c r="J1747" s="7"/>
      <c r="K1747" s="7" t="s">
        <v>9032</v>
      </c>
    </row>
    <row r="1748" customFormat="false" ht="23.85" hidden="false" customHeight="false" outlineLevel="0" collapsed="false">
      <c r="A1748" s="7" t="n">
        <v>1747</v>
      </c>
      <c r="B1748" s="7" t="s">
        <v>6506</v>
      </c>
      <c r="C1748" s="7" t="n">
        <v>2014</v>
      </c>
      <c r="D1748" s="7" t="s">
        <v>9033</v>
      </c>
      <c r="E1748" s="7" t="s">
        <v>143</v>
      </c>
      <c r="F1748" s="7" t="s">
        <v>3773</v>
      </c>
      <c r="G1748" s="7" t="s">
        <v>145</v>
      </c>
      <c r="H1748" s="7" t="s">
        <v>387</v>
      </c>
      <c r="I1748" s="7" t="s">
        <v>9034</v>
      </c>
      <c r="J1748" s="7" t="s">
        <v>112</v>
      </c>
      <c r="K1748" s="7" t="s">
        <v>9035</v>
      </c>
    </row>
    <row r="1749" customFormat="false" ht="35.05" hidden="false" customHeight="false" outlineLevel="0" collapsed="false">
      <c r="A1749" s="7" t="n">
        <v>1748</v>
      </c>
      <c r="B1749" s="7" t="s">
        <v>9036</v>
      </c>
      <c r="C1749" s="7" t="n">
        <v>2010</v>
      </c>
      <c r="D1749" s="7" t="s">
        <v>9037</v>
      </c>
      <c r="E1749" s="7" t="s">
        <v>201</v>
      </c>
      <c r="F1749" s="7" t="s">
        <v>4903</v>
      </c>
      <c r="G1749" s="7" t="s">
        <v>4711</v>
      </c>
      <c r="H1749" s="7" t="s">
        <v>387</v>
      </c>
      <c r="I1749" s="7" t="s">
        <v>9038</v>
      </c>
      <c r="J1749" s="7" t="s">
        <v>116</v>
      </c>
      <c r="K1749" s="7" t="s">
        <v>9039</v>
      </c>
    </row>
    <row r="1750" customFormat="false" ht="35.05" hidden="false" customHeight="false" outlineLevel="0" collapsed="false">
      <c r="A1750" s="7" t="n">
        <v>1749</v>
      </c>
      <c r="B1750" s="7" t="s">
        <v>9040</v>
      </c>
      <c r="C1750" s="7" t="n">
        <v>2010</v>
      </c>
      <c r="D1750" s="7" t="s">
        <v>9041</v>
      </c>
      <c r="E1750" s="7" t="s">
        <v>143</v>
      </c>
      <c r="F1750" s="7" t="s">
        <v>4903</v>
      </c>
      <c r="G1750" s="7" t="s">
        <v>145</v>
      </c>
      <c r="H1750" s="7" t="s">
        <v>146</v>
      </c>
      <c r="I1750" s="7" t="s">
        <v>9042</v>
      </c>
      <c r="J1750" s="7" t="s">
        <v>112</v>
      </c>
      <c r="K1750" s="7" t="s">
        <v>9043</v>
      </c>
    </row>
    <row r="1751" customFormat="false" ht="23.85" hidden="false" customHeight="false" outlineLevel="0" collapsed="false">
      <c r="A1751" s="7" t="n">
        <v>1750</v>
      </c>
      <c r="B1751" s="7" t="s">
        <v>9044</v>
      </c>
      <c r="C1751" s="7" t="n">
        <v>2003</v>
      </c>
      <c r="D1751" s="7" t="s">
        <v>9045</v>
      </c>
      <c r="E1751" s="7" t="s">
        <v>201</v>
      </c>
      <c r="F1751" s="7" t="s">
        <v>1683</v>
      </c>
      <c r="G1751" s="7" t="s">
        <v>9046</v>
      </c>
      <c r="H1751" s="7" t="s">
        <v>208</v>
      </c>
      <c r="I1751" s="7" t="s">
        <v>9047</v>
      </c>
      <c r="J1751" s="7"/>
      <c r="K1751" s="7" t="s">
        <v>9048</v>
      </c>
    </row>
    <row r="1752" customFormat="false" ht="35.05" hidden="false" customHeight="false" outlineLevel="0" collapsed="false">
      <c r="A1752" s="7" t="n">
        <v>1751</v>
      </c>
      <c r="B1752" s="7" t="s">
        <v>9049</v>
      </c>
      <c r="C1752" s="7" t="n">
        <v>2002</v>
      </c>
      <c r="D1752" s="7" t="s">
        <v>9050</v>
      </c>
      <c r="E1752" s="7" t="s">
        <v>143</v>
      </c>
      <c r="F1752" s="7" t="s">
        <v>9051</v>
      </c>
      <c r="G1752" s="7" t="s">
        <v>4711</v>
      </c>
      <c r="H1752" s="7" t="s">
        <v>208</v>
      </c>
      <c r="I1752" s="7" t="s">
        <v>9052</v>
      </c>
      <c r="J1752" s="7"/>
      <c r="K1752" s="7" t="s">
        <v>9053</v>
      </c>
    </row>
    <row r="1753" customFormat="false" ht="102.2" hidden="false" customHeight="false" outlineLevel="0" collapsed="false">
      <c r="A1753" s="7" t="n">
        <v>1752</v>
      </c>
      <c r="B1753" s="7" t="s">
        <v>9054</v>
      </c>
      <c r="C1753" s="7" t="n">
        <v>2023</v>
      </c>
      <c r="D1753" s="7" t="s">
        <v>9055</v>
      </c>
      <c r="E1753" s="7" t="s">
        <v>143</v>
      </c>
      <c r="F1753" s="7" t="s">
        <v>9056</v>
      </c>
      <c r="G1753" s="7" t="s">
        <v>9057</v>
      </c>
      <c r="H1753" s="7" t="s">
        <v>153</v>
      </c>
      <c r="I1753" s="7" t="s">
        <v>9058</v>
      </c>
      <c r="J1753" s="7" t="s">
        <v>110</v>
      </c>
      <c r="K1753" s="7" t="s">
        <v>9059</v>
      </c>
    </row>
    <row r="1754" customFormat="false" ht="35.05" hidden="false" customHeight="false" outlineLevel="0" collapsed="false">
      <c r="A1754" s="7" t="n">
        <v>1753</v>
      </c>
      <c r="B1754" s="7" t="s">
        <v>9060</v>
      </c>
      <c r="C1754" s="7" t="n">
        <v>2024</v>
      </c>
      <c r="D1754" s="7" t="s">
        <v>9062</v>
      </c>
      <c r="E1754" s="7" t="s">
        <v>151</v>
      </c>
      <c r="F1754" s="7" t="s">
        <v>9063</v>
      </c>
      <c r="G1754" s="7" t="s">
        <v>145</v>
      </c>
      <c r="H1754" s="7" t="s">
        <v>153</v>
      </c>
      <c r="I1754" s="7" t="s">
        <v>9064</v>
      </c>
      <c r="J1754" s="7"/>
      <c r="K1754" s="7" t="s">
        <v>9065</v>
      </c>
    </row>
    <row r="1755" customFormat="false" ht="35.05" hidden="false" customHeight="false" outlineLevel="0" collapsed="false">
      <c r="A1755" s="7" t="n">
        <v>1754</v>
      </c>
      <c r="B1755" s="7" t="s">
        <v>9066</v>
      </c>
      <c r="C1755" s="7" t="n">
        <v>2024</v>
      </c>
      <c r="D1755" s="7" t="s">
        <v>9067</v>
      </c>
      <c r="E1755" s="7" t="s">
        <v>151</v>
      </c>
      <c r="F1755" s="7" t="s">
        <v>9068</v>
      </c>
      <c r="G1755" s="7" t="s">
        <v>145</v>
      </c>
      <c r="H1755" s="7" t="s">
        <v>153</v>
      </c>
      <c r="I1755" s="7" t="s">
        <v>9069</v>
      </c>
      <c r="J1755" s="7"/>
      <c r="K1755" s="7" t="s">
        <v>9070</v>
      </c>
    </row>
    <row r="1756" customFormat="false" ht="35.05" hidden="false" customHeight="false" outlineLevel="0" collapsed="false">
      <c r="A1756" s="7" t="n">
        <v>1755</v>
      </c>
      <c r="B1756" s="7" t="s">
        <v>9071</v>
      </c>
      <c r="C1756" s="7" t="n">
        <v>2024</v>
      </c>
      <c r="D1756" s="7" t="s">
        <v>9072</v>
      </c>
      <c r="E1756" s="7" t="s">
        <v>151</v>
      </c>
      <c r="F1756" s="7" t="s">
        <v>9073</v>
      </c>
      <c r="G1756" s="7" t="s">
        <v>145</v>
      </c>
      <c r="H1756" s="7" t="s">
        <v>153</v>
      </c>
      <c r="I1756" s="7" t="s">
        <v>9074</v>
      </c>
      <c r="J1756" s="7"/>
      <c r="K1756" s="7" t="s">
        <v>9075</v>
      </c>
    </row>
    <row r="1757" customFormat="false" ht="23.85" hidden="false" customHeight="false" outlineLevel="0" collapsed="false">
      <c r="A1757" s="7" t="n">
        <v>1756</v>
      </c>
      <c r="B1757" s="7" t="s">
        <v>9076</v>
      </c>
      <c r="C1757" s="7" t="n">
        <v>2024</v>
      </c>
      <c r="D1757" s="7" t="s">
        <v>9077</v>
      </c>
      <c r="E1757" s="7" t="s">
        <v>151</v>
      </c>
      <c r="F1757" s="7" t="s">
        <v>9078</v>
      </c>
      <c r="G1757" s="7" t="s">
        <v>145</v>
      </c>
      <c r="H1757" s="7" t="s">
        <v>153</v>
      </c>
      <c r="I1757" s="7" t="s">
        <v>9079</v>
      </c>
      <c r="J1757" s="7"/>
      <c r="K1757" s="7" t="s">
        <v>9080</v>
      </c>
    </row>
    <row r="1758" customFormat="false" ht="35.05" hidden="false" customHeight="false" outlineLevel="0" collapsed="false">
      <c r="A1758" s="7" t="n">
        <v>1757</v>
      </c>
      <c r="B1758" s="7" t="s">
        <v>9081</v>
      </c>
      <c r="C1758" s="7" t="n">
        <v>2022</v>
      </c>
      <c r="D1758" s="7" t="s">
        <v>9082</v>
      </c>
      <c r="E1758" s="7" t="s">
        <v>201</v>
      </c>
      <c r="F1758" s="7" t="s">
        <v>364</v>
      </c>
      <c r="G1758" s="7" t="s">
        <v>145</v>
      </c>
      <c r="H1758" s="7" t="s">
        <v>153</v>
      </c>
      <c r="I1758" s="7" t="s">
        <v>9083</v>
      </c>
      <c r="J1758" s="7"/>
      <c r="K1758" s="7" t="s">
        <v>9084</v>
      </c>
    </row>
    <row r="1759" customFormat="false" ht="35.05" hidden="false" customHeight="false" outlineLevel="0" collapsed="false">
      <c r="A1759" s="7" t="n">
        <v>1758</v>
      </c>
      <c r="B1759" s="7" t="s">
        <v>9085</v>
      </c>
      <c r="C1759" s="7" t="n">
        <v>2022</v>
      </c>
      <c r="D1759" s="7" t="s">
        <v>9086</v>
      </c>
      <c r="E1759" s="7" t="s">
        <v>143</v>
      </c>
      <c r="F1759" s="7" t="s">
        <v>2671</v>
      </c>
      <c r="G1759" s="7" t="s">
        <v>145</v>
      </c>
      <c r="H1759" s="7" t="s">
        <v>153</v>
      </c>
      <c r="I1759" s="7" t="s">
        <v>9087</v>
      </c>
      <c r="J1759" s="7" t="s">
        <v>110</v>
      </c>
      <c r="K1759" s="7" t="s">
        <v>9088</v>
      </c>
    </row>
    <row r="1760" customFormat="false" ht="23.85" hidden="false" customHeight="false" outlineLevel="0" collapsed="false">
      <c r="A1760" s="7" t="n">
        <v>1759</v>
      </c>
      <c r="B1760" s="7" t="s">
        <v>9089</v>
      </c>
      <c r="C1760" s="7" t="n">
        <v>2022</v>
      </c>
      <c r="D1760" s="7" t="s">
        <v>9090</v>
      </c>
      <c r="E1760" s="7" t="s">
        <v>151</v>
      </c>
      <c r="F1760" s="7" t="s">
        <v>152</v>
      </c>
      <c r="G1760" s="7" t="s">
        <v>145</v>
      </c>
      <c r="H1760" s="7" t="s">
        <v>153</v>
      </c>
      <c r="I1760" s="7" t="s">
        <v>9091</v>
      </c>
      <c r="J1760" s="7"/>
      <c r="K1760" s="7" t="s">
        <v>9092</v>
      </c>
    </row>
    <row r="1761" customFormat="false" ht="35.05" hidden="false" customHeight="false" outlineLevel="0" collapsed="false">
      <c r="A1761" s="7" t="n">
        <v>1760</v>
      </c>
      <c r="B1761" s="7" t="s">
        <v>9093</v>
      </c>
      <c r="C1761" s="7" t="n">
        <v>2025</v>
      </c>
      <c r="D1761" s="7" t="s">
        <v>9095</v>
      </c>
      <c r="E1761" s="7" t="s">
        <v>201</v>
      </c>
      <c r="F1761" s="7" t="s">
        <v>9096</v>
      </c>
      <c r="G1761" s="7" t="s">
        <v>9097</v>
      </c>
      <c r="H1761" s="7" t="s">
        <v>153</v>
      </c>
      <c r="I1761" s="7" t="s">
        <v>9098</v>
      </c>
      <c r="J1761" s="7" t="s">
        <v>112</v>
      </c>
      <c r="K1761" s="7" t="s">
        <v>9099</v>
      </c>
    </row>
    <row r="1762" customFormat="false" ht="35.05" hidden="false" customHeight="false" outlineLevel="0" collapsed="false">
      <c r="A1762" s="7" t="n">
        <v>1761</v>
      </c>
      <c r="B1762" s="7" t="s">
        <v>9100</v>
      </c>
      <c r="C1762" s="7" t="n">
        <v>2021</v>
      </c>
      <c r="D1762" s="7" t="s">
        <v>9101</v>
      </c>
      <c r="E1762" s="7" t="s">
        <v>579</v>
      </c>
      <c r="F1762" s="7" t="s">
        <v>9102</v>
      </c>
      <c r="G1762" s="7" t="s">
        <v>145</v>
      </c>
      <c r="H1762" s="7" t="s">
        <v>153</v>
      </c>
      <c r="I1762" s="7" t="s">
        <v>9103</v>
      </c>
      <c r="J1762" s="7" t="s">
        <v>112</v>
      </c>
      <c r="K1762" s="7" t="s">
        <v>9104</v>
      </c>
    </row>
    <row r="1763" customFormat="false" ht="35.05" hidden="false" customHeight="false" outlineLevel="0" collapsed="false">
      <c r="A1763" s="7" t="n">
        <v>1762</v>
      </c>
      <c r="B1763" s="7" t="s">
        <v>9105</v>
      </c>
      <c r="C1763" s="7" t="n">
        <v>2025</v>
      </c>
      <c r="D1763" s="7" t="s">
        <v>9106</v>
      </c>
      <c r="E1763" s="7" t="s">
        <v>587</v>
      </c>
      <c r="F1763" s="7" t="s">
        <v>9107</v>
      </c>
      <c r="G1763" s="7" t="s">
        <v>9108</v>
      </c>
      <c r="H1763" s="7" t="s">
        <v>153</v>
      </c>
      <c r="I1763" s="7" t="s">
        <v>9109</v>
      </c>
      <c r="J1763" s="7" t="s">
        <v>116</v>
      </c>
      <c r="K1763" s="7" t="s">
        <v>9110</v>
      </c>
    </row>
    <row r="1764" customFormat="false" ht="35.05" hidden="false" customHeight="false" outlineLevel="0" collapsed="false">
      <c r="A1764" s="7" t="n">
        <v>1763</v>
      </c>
      <c r="B1764" s="7" t="s">
        <v>9111</v>
      </c>
      <c r="C1764" s="7" t="n">
        <v>2022</v>
      </c>
      <c r="D1764" s="7" t="s">
        <v>9112</v>
      </c>
      <c r="E1764" s="7" t="s">
        <v>151</v>
      </c>
      <c r="F1764" s="7" t="s">
        <v>9113</v>
      </c>
      <c r="G1764" s="7" t="s">
        <v>145</v>
      </c>
      <c r="H1764" s="7" t="s">
        <v>153</v>
      </c>
      <c r="I1764" s="7" t="s">
        <v>9114</v>
      </c>
      <c r="J1764" s="7"/>
      <c r="K1764" s="7" t="s">
        <v>9115</v>
      </c>
    </row>
    <row r="1765" customFormat="false" ht="35.05" hidden="false" customHeight="false" outlineLevel="0" collapsed="false">
      <c r="A1765" s="7" t="n">
        <v>1764</v>
      </c>
      <c r="B1765" s="7" t="s">
        <v>9116</v>
      </c>
      <c r="C1765" s="7" t="n">
        <v>2024</v>
      </c>
      <c r="D1765" s="7" t="s">
        <v>9117</v>
      </c>
      <c r="E1765" s="7" t="s">
        <v>587</v>
      </c>
      <c r="F1765" s="7" t="s">
        <v>9118</v>
      </c>
      <c r="G1765" s="7" t="s">
        <v>145</v>
      </c>
      <c r="H1765" s="7" t="s">
        <v>153</v>
      </c>
      <c r="I1765" s="7" t="s">
        <v>9119</v>
      </c>
      <c r="J1765" s="7"/>
      <c r="K1765" s="7" t="s">
        <v>9120</v>
      </c>
    </row>
    <row r="1766" customFormat="false" ht="35.05" hidden="false" customHeight="false" outlineLevel="0" collapsed="false">
      <c r="A1766" s="7" t="n">
        <v>1765</v>
      </c>
      <c r="B1766" s="7" t="s">
        <v>9121</v>
      </c>
      <c r="C1766" s="7" t="n">
        <v>2025</v>
      </c>
      <c r="D1766" s="7" t="s">
        <v>9122</v>
      </c>
      <c r="E1766" s="7" t="s">
        <v>201</v>
      </c>
      <c r="F1766" s="7" t="s">
        <v>9123</v>
      </c>
      <c r="G1766" s="7" t="s">
        <v>9124</v>
      </c>
      <c r="H1766" s="7" t="s">
        <v>522</v>
      </c>
      <c r="I1766" s="7" t="s">
        <v>9125</v>
      </c>
      <c r="J1766" s="7" t="s">
        <v>114</v>
      </c>
      <c r="K1766" s="7" t="s">
        <v>9126</v>
      </c>
    </row>
    <row r="1767" customFormat="false" ht="23.85" hidden="false" customHeight="false" outlineLevel="0" collapsed="false">
      <c r="A1767" s="7" t="n">
        <v>1766</v>
      </c>
      <c r="B1767" s="7" t="s">
        <v>9127</v>
      </c>
      <c r="C1767" s="7" t="n">
        <v>2025</v>
      </c>
      <c r="D1767" s="7" t="s">
        <v>9128</v>
      </c>
      <c r="E1767" s="7" t="s">
        <v>143</v>
      </c>
      <c r="F1767" s="7" t="s">
        <v>9129</v>
      </c>
      <c r="G1767" s="7" t="s">
        <v>9130</v>
      </c>
      <c r="H1767" s="7" t="s">
        <v>153</v>
      </c>
      <c r="I1767" s="7" t="s">
        <v>9131</v>
      </c>
      <c r="J1767" s="7" t="s">
        <v>114</v>
      </c>
      <c r="K1767" s="7" t="s">
        <v>9132</v>
      </c>
    </row>
    <row r="1768" customFormat="false" ht="35.05" hidden="false" customHeight="false" outlineLevel="0" collapsed="false">
      <c r="A1768" s="7" t="n">
        <v>1767</v>
      </c>
      <c r="B1768" s="7" t="s">
        <v>9133</v>
      </c>
      <c r="C1768" s="7" t="n">
        <v>2018</v>
      </c>
      <c r="D1768" s="7" t="s">
        <v>9134</v>
      </c>
      <c r="E1768" s="7" t="s">
        <v>201</v>
      </c>
      <c r="F1768" s="7" t="s">
        <v>197</v>
      </c>
      <c r="G1768" s="7" t="s">
        <v>145</v>
      </c>
      <c r="H1768" s="7" t="s">
        <v>153</v>
      </c>
      <c r="I1768" s="7" t="s">
        <v>9135</v>
      </c>
      <c r="J1768" s="7"/>
      <c r="K1768" s="7" t="s">
        <v>9136</v>
      </c>
    </row>
    <row r="1769" customFormat="false" ht="35.05" hidden="false" customHeight="false" outlineLevel="0" collapsed="false">
      <c r="A1769" s="7" t="n">
        <v>1768</v>
      </c>
      <c r="B1769" s="7" t="s">
        <v>9137</v>
      </c>
      <c r="C1769" s="7" t="n">
        <v>2025</v>
      </c>
      <c r="D1769" s="7" t="s">
        <v>9138</v>
      </c>
      <c r="E1769" s="7" t="s">
        <v>9139</v>
      </c>
      <c r="F1769" s="7" t="s">
        <v>9140</v>
      </c>
      <c r="G1769" s="7" t="s">
        <v>9141</v>
      </c>
      <c r="H1769" s="7" t="s">
        <v>153</v>
      </c>
      <c r="I1769" s="7" t="s">
        <v>9142</v>
      </c>
      <c r="J1769" s="7" t="s">
        <v>112</v>
      </c>
      <c r="K1769" s="7" t="s">
        <v>9143</v>
      </c>
    </row>
    <row r="1770" customFormat="false" ht="46.25" hidden="false" customHeight="false" outlineLevel="0" collapsed="false">
      <c r="A1770" s="7" t="n">
        <v>1769</v>
      </c>
      <c r="B1770" s="7" t="s">
        <v>9144</v>
      </c>
      <c r="C1770" s="7" t="n">
        <v>2025</v>
      </c>
      <c r="D1770" s="7" t="s">
        <v>9145</v>
      </c>
      <c r="E1770" s="7" t="s">
        <v>542</v>
      </c>
      <c r="F1770" s="7" t="s">
        <v>9146</v>
      </c>
      <c r="G1770" s="7" t="s">
        <v>9147</v>
      </c>
      <c r="H1770" s="7" t="s">
        <v>387</v>
      </c>
      <c r="I1770" s="7" t="s">
        <v>9148</v>
      </c>
      <c r="J1770" s="7" t="s">
        <v>110</v>
      </c>
      <c r="K1770" s="7" t="s">
        <v>9149</v>
      </c>
    </row>
    <row r="1771" customFormat="false" ht="46.25" hidden="false" customHeight="false" outlineLevel="0" collapsed="false">
      <c r="A1771" s="7" t="n">
        <v>1770</v>
      </c>
      <c r="B1771" s="7" t="s">
        <v>9150</v>
      </c>
      <c r="C1771" s="7" t="n">
        <v>2025</v>
      </c>
      <c r="D1771" s="7" t="s">
        <v>9151</v>
      </c>
      <c r="E1771" s="7" t="s">
        <v>9152</v>
      </c>
      <c r="F1771" s="7" t="s">
        <v>9153</v>
      </c>
      <c r="G1771" s="7" t="s">
        <v>9154</v>
      </c>
      <c r="H1771" s="7" t="s">
        <v>146</v>
      </c>
      <c r="I1771" s="7" t="s">
        <v>9155</v>
      </c>
      <c r="J1771" s="7" t="s">
        <v>116</v>
      </c>
      <c r="K1771" s="7" t="s">
        <v>9156</v>
      </c>
    </row>
    <row r="1772" customFormat="false" ht="23.85" hidden="false" customHeight="false" outlineLevel="0" collapsed="false">
      <c r="A1772" s="7" t="n">
        <v>1771</v>
      </c>
      <c r="B1772" s="7" t="s">
        <v>9157</v>
      </c>
      <c r="C1772" s="7" t="n">
        <v>2024</v>
      </c>
      <c r="D1772" s="7" t="s">
        <v>9158</v>
      </c>
      <c r="E1772" s="7" t="s">
        <v>143</v>
      </c>
      <c r="F1772" s="7" t="s">
        <v>1619</v>
      </c>
      <c r="G1772" s="7" t="s">
        <v>145</v>
      </c>
      <c r="H1772" s="7" t="s">
        <v>153</v>
      </c>
      <c r="I1772" s="7" t="s">
        <v>9159</v>
      </c>
      <c r="J1772" s="7" t="s">
        <v>114</v>
      </c>
      <c r="K1772" s="7" t="s">
        <v>9160</v>
      </c>
    </row>
    <row r="1773" customFormat="false" ht="35.05" hidden="false" customHeight="false" outlineLevel="0" collapsed="false">
      <c r="A1773" s="7" t="n">
        <v>1772</v>
      </c>
      <c r="B1773" s="7" t="s">
        <v>9161</v>
      </c>
      <c r="C1773" s="7" t="n">
        <v>2025</v>
      </c>
      <c r="D1773" s="7" t="s">
        <v>9162</v>
      </c>
      <c r="E1773" s="7" t="s">
        <v>143</v>
      </c>
      <c r="F1773" s="7" t="s">
        <v>9163</v>
      </c>
      <c r="G1773" s="7" t="s">
        <v>512</v>
      </c>
      <c r="H1773" s="7" t="s">
        <v>153</v>
      </c>
      <c r="I1773" s="7" t="s">
        <v>9164</v>
      </c>
      <c r="J1773" s="7" t="s">
        <v>114</v>
      </c>
      <c r="K1773" s="7" t="s">
        <v>9165</v>
      </c>
    </row>
    <row r="1774" customFormat="false" ht="35.05" hidden="false" customHeight="false" outlineLevel="0" collapsed="false">
      <c r="A1774" s="7" t="n">
        <v>1773</v>
      </c>
      <c r="B1774" s="7" t="s">
        <v>9169</v>
      </c>
      <c r="C1774" s="7" t="n">
        <v>2000</v>
      </c>
      <c r="D1774" s="7" t="s">
        <v>9171</v>
      </c>
      <c r="E1774" s="7" t="s">
        <v>8922</v>
      </c>
      <c r="F1774" s="7" t="s">
        <v>9172</v>
      </c>
      <c r="G1774" s="7" t="s">
        <v>145</v>
      </c>
      <c r="H1774" s="7" t="s">
        <v>153</v>
      </c>
      <c r="I1774" s="7" t="s">
        <v>9173</v>
      </c>
      <c r="J1774" s="7"/>
      <c r="K1774" s="7" t="s">
        <v>9174</v>
      </c>
    </row>
    <row r="1775" customFormat="false" ht="35.05" hidden="false" customHeight="false" outlineLevel="0" collapsed="false">
      <c r="A1775" s="7" t="n">
        <v>1774</v>
      </c>
      <c r="B1775" s="7" t="s">
        <v>9175</v>
      </c>
      <c r="C1775" s="7" t="n">
        <v>1968</v>
      </c>
      <c r="D1775" s="7" t="s">
        <v>9177</v>
      </c>
      <c r="E1775" s="7" t="s">
        <v>8922</v>
      </c>
      <c r="F1775" s="7" t="s">
        <v>213</v>
      </c>
      <c r="G1775" s="7" t="s">
        <v>145</v>
      </c>
      <c r="H1775" s="7" t="s">
        <v>153</v>
      </c>
      <c r="I1775" s="7" t="s">
        <v>9178</v>
      </c>
      <c r="J1775" s="7"/>
      <c r="K1775" s="7" t="s">
        <v>9179</v>
      </c>
    </row>
    <row r="1776" customFormat="false" ht="35.05" hidden="false" customHeight="false" outlineLevel="0" collapsed="false">
      <c r="A1776" s="7" t="n">
        <v>1775</v>
      </c>
      <c r="B1776" s="7" t="s">
        <v>9184</v>
      </c>
      <c r="C1776" s="7" t="n">
        <v>2024</v>
      </c>
      <c r="D1776" s="7" t="s">
        <v>9185</v>
      </c>
      <c r="E1776" s="7" t="s">
        <v>579</v>
      </c>
      <c r="F1776" s="7" t="s">
        <v>9186</v>
      </c>
      <c r="G1776" s="7" t="s">
        <v>9187</v>
      </c>
      <c r="H1776" s="7" t="s">
        <v>153</v>
      </c>
      <c r="I1776" s="7" t="s">
        <v>9188</v>
      </c>
      <c r="J1776" s="7" t="s">
        <v>114</v>
      </c>
      <c r="K1776" s="7" t="s">
        <v>9189</v>
      </c>
    </row>
    <row r="1777" customFormat="false" ht="35.05" hidden="false" customHeight="false" outlineLevel="0" collapsed="false">
      <c r="A1777" s="7" t="n">
        <v>1776</v>
      </c>
      <c r="B1777" s="7" t="s">
        <v>9190</v>
      </c>
      <c r="C1777" s="7" t="n">
        <v>2024</v>
      </c>
      <c r="D1777" s="7" t="s">
        <v>9191</v>
      </c>
      <c r="E1777" s="7" t="s">
        <v>151</v>
      </c>
      <c r="F1777" s="7" t="s">
        <v>9192</v>
      </c>
      <c r="G1777" s="7" t="s">
        <v>145</v>
      </c>
      <c r="H1777" s="7" t="s">
        <v>153</v>
      </c>
      <c r="I1777" s="7" t="s">
        <v>9193</v>
      </c>
      <c r="J1777" s="7" t="s">
        <v>114</v>
      </c>
      <c r="K1777" s="7" t="s">
        <v>9194</v>
      </c>
    </row>
    <row r="1778" customFormat="false" ht="35.05" hidden="false" customHeight="false" outlineLevel="0" collapsed="false">
      <c r="A1778" s="7" t="n">
        <v>1777</v>
      </c>
      <c r="B1778" s="7" t="s">
        <v>9195</v>
      </c>
      <c r="C1778" s="7" t="n">
        <v>1997</v>
      </c>
      <c r="D1778" s="7" t="s">
        <v>9197</v>
      </c>
      <c r="E1778" s="7" t="s">
        <v>9198</v>
      </c>
      <c r="F1778" s="7" t="s">
        <v>197</v>
      </c>
      <c r="G1778" s="7" t="s">
        <v>145</v>
      </c>
      <c r="H1778" s="7" t="s">
        <v>153</v>
      </c>
      <c r="I1778" s="7" t="s">
        <v>9199</v>
      </c>
      <c r="J1778" s="7"/>
      <c r="K1778" s="7" t="s">
        <v>9200</v>
      </c>
    </row>
    <row r="1779" customFormat="false" ht="57.45" hidden="false" customHeight="false" outlineLevel="0" collapsed="false">
      <c r="A1779" s="7" t="n">
        <v>1778</v>
      </c>
      <c r="B1779" s="7" t="s">
        <v>15817</v>
      </c>
      <c r="C1779" s="7" t="n">
        <v>2023</v>
      </c>
      <c r="D1779" s="7" t="s">
        <v>9202</v>
      </c>
      <c r="E1779" s="7" t="s">
        <v>15818</v>
      </c>
      <c r="F1779" s="7" t="s">
        <v>15819</v>
      </c>
      <c r="G1779" s="7" t="s">
        <v>145</v>
      </c>
      <c r="H1779" s="7" t="s">
        <v>153</v>
      </c>
      <c r="I1779" s="7" t="s">
        <v>15820</v>
      </c>
      <c r="J1779" s="7" t="s">
        <v>114</v>
      </c>
      <c r="K1779" s="7" t="s">
        <v>15821</v>
      </c>
    </row>
    <row r="1780" customFormat="false" ht="91" hidden="false" customHeight="false" outlineLevel="0" collapsed="false">
      <c r="A1780" s="7" t="n">
        <v>1779</v>
      </c>
      <c r="B1780" s="7" t="s">
        <v>15822</v>
      </c>
      <c r="C1780" s="7" t="n">
        <v>2021</v>
      </c>
      <c r="D1780" s="7" t="s">
        <v>9207</v>
      </c>
      <c r="E1780" s="7" t="s">
        <v>15823</v>
      </c>
      <c r="F1780" s="7" t="s">
        <v>15824</v>
      </c>
      <c r="G1780" s="7" t="s">
        <v>145</v>
      </c>
      <c r="H1780" s="7" t="s">
        <v>153</v>
      </c>
      <c r="I1780" s="7" t="s">
        <v>15825</v>
      </c>
      <c r="J1780" s="7" t="s">
        <v>114</v>
      </c>
      <c r="K1780" s="7" t="s">
        <v>15826</v>
      </c>
    </row>
    <row r="1781" customFormat="false" ht="35.05" hidden="false" customHeight="false" outlineLevel="0" collapsed="false">
      <c r="A1781" s="7" t="n">
        <v>1780</v>
      </c>
      <c r="B1781" s="7" t="s">
        <v>9215</v>
      </c>
      <c r="C1781" s="7" t="n">
        <v>2021</v>
      </c>
      <c r="D1781" s="7" t="s">
        <v>9216</v>
      </c>
      <c r="E1781" s="7" t="s">
        <v>151</v>
      </c>
      <c r="F1781" s="7" t="s">
        <v>9217</v>
      </c>
      <c r="G1781" s="7" t="s">
        <v>145</v>
      </c>
      <c r="H1781" s="7" t="s">
        <v>146</v>
      </c>
      <c r="I1781" s="7" t="s">
        <v>9218</v>
      </c>
      <c r="J1781" s="7"/>
      <c r="K1781" s="7" t="s">
        <v>9219</v>
      </c>
    </row>
    <row r="1782" customFormat="false" ht="23.85" hidden="false" customHeight="false" outlineLevel="0" collapsed="false">
      <c r="A1782" s="7" t="n">
        <v>1781</v>
      </c>
      <c r="B1782" s="7" t="s">
        <v>9220</v>
      </c>
      <c r="C1782" s="7" t="n">
        <v>2011</v>
      </c>
      <c r="D1782" s="7" t="s">
        <v>9221</v>
      </c>
      <c r="E1782" s="7" t="s">
        <v>151</v>
      </c>
      <c r="F1782" s="7" t="s">
        <v>9222</v>
      </c>
      <c r="G1782" s="7" t="s">
        <v>244</v>
      </c>
      <c r="H1782" s="7" t="s">
        <v>146</v>
      </c>
      <c r="I1782" s="7" t="s">
        <v>9223</v>
      </c>
      <c r="J1782" s="7"/>
      <c r="K1782" s="7" t="s">
        <v>9224</v>
      </c>
    </row>
    <row r="1783" customFormat="false" ht="35.05" hidden="false" customHeight="false" outlineLevel="0" collapsed="false">
      <c r="A1783" s="7" t="n">
        <v>1782</v>
      </c>
      <c r="B1783" s="7" t="s">
        <v>9229</v>
      </c>
      <c r="C1783" s="7" t="n">
        <v>2023</v>
      </c>
      <c r="D1783" s="7" t="s">
        <v>9230</v>
      </c>
      <c r="E1783" s="7" t="s">
        <v>151</v>
      </c>
      <c r="F1783" s="7" t="s">
        <v>9231</v>
      </c>
      <c r="G1783" s="7" t="s">
        <v>145</v>
      </c>
      <c r="H1783" s="7" t="s">
        <v>153</v>
      </c>
      <c r="I1783" s="7" t="s">
        <v>9232</v>
      </c>
      <c r="J1783" s="7" t="s">
        <v>116</v>
      </c>
      <c r="K1783" s="7" t="s">
        <v>9233</v>
      </c>
    </row>
    <row r="1784" customFormat="false" ht="35.05" hidden="false" customHeight="false" outlineLevel="0" collapsed="false">
      <c r="A1784" s="7" t="n">
        <v>1783</v>
      </c>
      <c r="B1784" s="7" t="s">
        <v>9234</v>
      </c>
      <c r="C1784" s="7" t="n">
        <v>2024</v>
      </c>
      <c r="D1784" s="7" t="s">
        <v>9235</v>
      </c>
      <c r="E1784" s="7" t="s">
        <v>151</v>
      </c>
      <c r="F1784" s="7" t="s">
        <v>1665</v>
      </c>
      <c r="G1784" s="7" t="s">
        <v>145</v>
      </c>
      <c r="H1784" s="7" t="s">
        <v>153</v>
      </c>
      <c r="I1784" s="7" t="s">
        <v>9236</v>
      </c>
      <c r="J1784" s="7" t="s">
        <v>114</v>
      </c>
      <c r="K1784" s="7" t="s">
        <v>9237</v>
      </c>
    </row>
    <row r="1785" customFormat="false" ht="35.05" hidden="false" customHeight="false" outlineLevel="0" collapsed="false">
      <c r="A1785" s="7" t="n">
        <v>1784</v>
      </c>
      <c r="B1785" s="7" t="s">
        <v>9238</v>
      </c>
      <c r="C1785" s="7" t="n">
        <v>2020</v>
      </c>
      <c r="D1785" s="7" t="s">
        <v>9239</v>
      </c>
      <c r="E1785" s="7" t="s">
        <v>9240</v>
      </c>
      <c r="F1785" s="7" t="s">
        <v>152</v>
      </c>
      <c r="G1785" s="7" t="s">
        <v>145</v>
      </c>
      <c r="H1785" s="7" t="s">
        <v>153</v>
      </c>
      <c r="I1785" s="7" t="s">
        <v>9241</v>
      </c>
      <c r="J1785" s="7"/>
      <c r="K1785" s="7" t="s">
        <v>9242</v>
      </c>
    </row>
    <row r="1786" customFormat="false" ht="35.05" hidden="false" customHeight="false" outlineLevel="0" collapsed="false">
      <c r="A1786" s="7" t="n">
        <v>1785</v>
      </c>
      <c r="B1786" s="7" t="s">
        <v>9243</v>
      </c>
      <c r="C1786" s="7" t="n">
        <v>2024</v>
      </c>
      <c r="D1786" s="7" t="s">
        <v>9244</v>
      </c>
      <c r="E1786" s="7" t="s">
        <v>579</v>
      </c>
      <c r="F1786" s="7" t="s">
        <v>9245</v>
      </c>
      <c r="G1786" s="7" t="s">
        <v>145</v>
      </c>
      <c r="H1786" s="7" t="s">
        <v>153</v>
      </c>
      <c r="I1786" s="7" t="s">
        <v>9246</v>
      </c>
      <c r="J1786" s="7" t="s">
        <v>114</v>
      </c>
      <c r="K1786" s="7" t="s">
        <v>9247</v>
      </c>
    </row>
    <row r="1787" customFormat="false" ht="35.05" hidden="false" customHeight="false" outlineLevel="0" collapsed="false">
      <c r="A1787" s="7" t="n">
        <v>1786</v>
      </c>
      <c r="B1787" s="7" t="s">
        <v>9248</v>
      </c>
      <c r="C1787" s="7" t="n">
        <v>2024</v>
      </c>
      <c r="D1787" s="7" t="s">
        <v>9249</v>
      </c>
      <c r="E1787" s="7" t="s">
        <v>151</v>
      </c>
      <c r="F1787" s="7" t="s">
        <v>152</v>
      </c>
      <c r="G1787" s="7" t="s">
        <v>145</v>
      </c>
      <c r="H1787" s="7" t="s">
        <v>146</v>
      </c>
      <c r="I1787" s="7" t="s">
        <v>9250</v>
      </c>
      <c r="J1787" s="7"/>
      <c r="K1787" s="7" t="s">
        <v>9251</v>
      </c>
    </row>
    <row r="1788" customFormat="false" ht="35.05" hidden="false" customHeight="false" outlineLevel="0" collapsed="false">
      <c r="A1788" s="7" t="n">
        <v>1787</v>
      </c>
      <c r="B1788" s="7" t="s">
        <v>9252</v>
      </c>
      <c r="C1788" s="7" t="n">
        <v>2015</v>
      </c>
      <c r="D1788" s="7" t="s">
        <v>9253</v>
      </c>
      <c r="E1788" s="7" t="s">
        <v>9139</v>
      </c>
      <c r="F1788" s="7" t="s">
        <v>9254</v>
      </c>
      <c r="G1788" s="7" t="s">
        <v>145</v>
      </c>
      <c r="H1788" s="7" t="s">
        <v>153</v>
      </c>
      <c r="I1788" s="7" t="s">
        <v>9255</v>
      </c>
      <c r="J1788" s="7" t="s">
        <v>112</v>
      </c>
      <c r="K1788" s="7" t="s">
        <v>9256</v>
      </c>
    </row>
    <row r="1789" customFormat="false" ht="35.05" hidden="false" customHeight="false" outlineLevel="0" collapsed="false">
      <c r="A1789" s="7" t="n">
        <v>1788</v>
      </c>
      <c r="B1789" s="7" t="s">
        <v>9257</v>
      </c>
      <c r="C1789" s="7" t="n">
        <v>2024</v>
      </c>
      <c r="D1789" s="7" t="s">
        <v>9258</v>
      </c>
      <c r="E1789" s="7" t="s">
        <v>579</v>
      </c>
      <c r="F1789" s="7" t="s">
        <v>9259</v>
      </c>
      <c r="G1789" s="7" t="s">
        <v>9260</v>
      </c>
      <c r="H1789" s="7" t="s">
        <v>153</v>
      </c>
      <c r="I1789" s="7" t="s">
        <v>9261</v>
      </c>
      <c r="J1789" s="7" t="s">
        <v>114</v>
      </c>
      <c r="K1789" s="7" t="s">
        <v>9262</v>
      </c>
    </row>
    <row r="1790" customFormat="false" ht="35.05" hidden="false" customHeight="false" outlineLevel="0" collapsed="false">
      <c r="A1790" s="7" t="n">
        <v>1789</v>
      </c>
      <c r="B1790" s="7" t="s">
        <v>9263</v>
      </c>
      <c r="C1790" s="7" t="n">
        <v>2025</v>
      </c>
      <c r="D1790" s="7" t="s">
        <v>9264</v>
      </c>
      <c r="E1790" s="7" t="s">
        <v>587</v>
      </c>
      <c r="F1790" s="7" t="s">
        <v>9265</v>
      </c>
      <c r="G1790" s="7" t="s">
        <v>187</v>
      </c>
      <c r="H1790" s="7" t="s">
        <v>522</v>
      </c>
      <c r="I1790" s="7" t="s">
        <v>9266</v>
      </c>
      <c r="J1790" s="7" t="s">
        <v>114</v>
      </c>
      <c r="K1790" s="7" t="s">
        <v>9267</v>
      </c>
    </row>
    <row r="1791" customFormat="false" ht="23.85" hidden="false" customHeight="false" outlineLevel="0" collapsed="false">
      <c r="A1791" s="7" t="n">
        <v>1790</v>
      </c>
      <c r="B1791" s="7" t="s">
        <v>9268</v>
      </c>
      <c r="C1791" s="7" t="n">
        <v>2016</v>
      </c>
      <c r="D1791" s="7" t="s">
        <v>9269</v>
      </c>
      <c r="E1791" s="7" t="s">
        <v>201</v>
      </c>
      <c r="F1791" s="7" t="s">
        <v>1619</v>
      </c>
      <c r="G1791" s="7" t="s">
        <v>145</v>
      </c>
      <c r="H1791" s="7" t="s">
        <v>153</v>
      </c>
      <c r="I1791" s="7" t="s">
        <v>9270</v>
      </c>
      <c r="J1791" s="7" t="s">
        <v>114</v>
      </c>
      <c r="K1791" s="7" t="s">
        <v>9271</v>
      </c>
    </row>
    <row r="1792" customFormat="false" ht="35.05" hidden="false" customHeight="false" outlineLevel="0" collapsed="false">
      <c r="A1792" s="7" t="n">
        <v>1791</v>
      </c>
      <c r="B1792" s="7" t="s">
        <v>9272</v>
      </c>
      <c r="C1792" s="7" t="n">
        <v>2024</v>
      </c>
      <c r="D1792" s="7" t="s">
        <v>9273</v>
      </c>
      <c r="E1792" s="7" t="s">
        <v>579</v>
      </c>
      <c r="F1792" s="7" t="s">
        <v>9274</v>
      </c>
      <c r="G1792" s="7" t="s">
        <v>145</v>
      </c>
      <c r="H1792" s="7" t="s">
        <v>153</v>
      </c>
      <c r="I1792" s="7" t="s">
        <v>9275</v>
      </c>
      <c r="J1792" s="7" t="s">
        <v>114</v>
      </c>
      <c r="K1792" s="7" t="s">
        <v>9276</v>
      </c>
    </row>
    <row r="1793" customFormat="false" ht="35.05" hidden="false" customHeight="false" outlineLevel="0" collapsed="false">
      <c r="A1793" s="7" t="n">
        <v>1792</v>
      </c>
      <c r="B1793" s="7" t="s">
        <v>9277</v>
      </c>
      <c r="C1793" s="7" t="n">
        <v>2022</v>
      </c>
      <c r="D1793" s="7" t="s">
        <v>9278</v>
      </c>
      <c r="E1793" s="7" t="s">
        <v>587</v>
      </c>
      <c r="F1793" s="7" t="s">
        <v>9279</v>
      </c>
      <c r="G1793" s="7" t="s">
        <v>145</v>
      </c>
      <c r="H1793" s="7" t="s">
        <v>153</v>
      </c>
      <c r="I1793" s="7" t="s">
        <v>9280</v>
      </c>
      <c r="J1793" s="7" t="s">
        <v>116</v>
      </c>
      <c r="K1793" s="7" t="s">
        <v>9281</v>
      </c>
    </row>
    <row r="1794" customFormat="false" ht="35.05" hidden="false" customHeight="false" outlineLevel="0" collapsed="false">
      <c r="A1794" s="7" t="n">
        <v>1793</v>
      </c>
      <c r="B1794" s="7" t="s">
        <v>9282</v>
      </c>
      <c r="C1794" s="7" t="n">
        <v>2023</v>
      </c>
      <c r="D1794" s="7" t="s">
        <v>9283</v>
      </c>
      <c r="E1794" s="7" t="s">
        <v>587</v>
      </c>
      <c r="F1794" s="7" t="s">
        <v>8664</v>
      </c>
      <c r="G1794" s="7" t="s">
        <v>678</v>
      </c>
      <c r="H1794" s="7" t="s">
        <v>153</v>
      </c>
      <c r="I1794" s="7" t="s">
        <v>9284</v>
      </c>
      <c r="J1794" s="7" t="s">
        <v>112</v>
      </c>
      <c r="K1794" s="7" t="s">
        <v>9285</v>
      </c>
    </row>
    <row r="1795" customFormat="false" ht="35.05" hidden="false" customHeight="false" outlineLevel="0" collapsed="false">
      <c r="A1795" s="7" t="n">
        <v>1794</v>
      </c>
      <c r="B1795" s="7" t="s">
        <v>9286</v>
      </c>
      <c r="C1795" s="7" t="n">
        <v>2024</v>
      </c>
      <c r="D1795" s="7" t="s">
        <v>9287</v>
      </c>
      <c r="E1795" s="7" t="s">
        <v>9288</v>
      </c>
      <c r="F1795" s="7" t="s">
        <v>9289</v>
      </c>
      <c r="G1795" s="7" t="s">
        <v>678</v>
      </c>
      <c r="H1795" s="7" t="s">
        <v>153</v>
      </c>
      <c r="I1795" s="7" t="s">
        <v>9290</v>
      </c>
      <c r="J1795" s="7" t="s">
        <v>114</v>
      </c>
      <c r="K1795" s="7" t="s">
        <v>9291</v>
      </c>
    </row>
    <row r="1796" customFormat="false" ht="35.05" hidden="false" customHeight="false" outlineLevel="0" collapsed="false">
      <c r="A1796" s="7" t="n">
        <v>1795</v>
      </c>
      <c r="B1796" s="7" t="s">
        <v>9292</v>
      </c>
      <c r="C1796" s="7" t="n">
        <v>2024</v>
      </c>
      <c r="D1796" s="7" t="s">
        <v>9293</v>
      </c>
      <c r="E1796" s="7" t="s">
        <v>3817</v>
      </c>
      <c r="F1796" s="7" t="s">
        <v>9294</v>
      </c>
      <c r="G1796" s="7" t="s">
        <v>5410</v>
      </c>
      <c r="H1796" s="7" t="s">
        <v>153</v>
      </c>
      <c r="I1796" s="7" t="s">
        <v>9295</v>
      </c>
      <c r="J1796" s="7" t="s">
        <v>114</v>
      </c>
      <c r="K1796" s="7" t="s">
        <v>9296</v>
      </c>
    </row>
    <row r="1797" customFormat="false" ht="23.85" hidden="false" customHeight="false" outlineLevel="0" collapsed="false">
      <c r="A1797" s="7" t="n">
        <v>1796</v>
      </c>
      <c r="B1797" s="7" t="s">
        <v>9297</v>
      </c>
      <c r="C1797" s="7" t="n">
        <v>2024</v>
      </c>
      <c r="D1797" s="7" t="s">
        <v>9298</v>
      </c>
      <c r="E1797" s="7" t="s">
        <v>9299</v>
      </c>
      <c r="F1797" s="7" t="s">
        <v>8870</v>
      </c>
      <c r="G1797" s="7" t="s">
        <v>145</v>
      </c>
      <c r="H1797" s="7" t="s">
        <v>153</v>
      </c>
      <c r="I1797" s="7" t="s">
        <v>9300</v>
      </c>
      <c r="J1797" s="7" t="s">
        <v>112</v>
      </c>
      <c r="K1797" s="7" t="s">
        <v>9301</v>
      </c>
    </row>
    <row r="1798" customFormat="false" ht="23.85" hidden="false" customHeight="false" outlineLevel="0" collapsed="false">
      <c r="A1798" s="7" t="n">
        <v>1797</v>
      </c>
      <c r="B1798" s="7" t="s">
        <v>9315</v>
      </c>
      <c r="C1798" s="7" t="n">
        <v>2023</v>
      </c>
      <c r="D1798" s="7" t="s">
        <v>9316</v>
      </c>
      <c r="E1798" s="7" t="s">
        <v>9240</v>
      </c>
      <c r="F1798" s="7" t="s">
        <v>152</v>
      </c>
      <c r="G1798" s="7" t="s">
        <v>9317</v>
      </c>
      <c r="H1798" s="7" t="s">
        <v>146</v>
      </c>
      <c r="I1798" s="7" t="s">
        <v>9318</v>
      </c>
      <c r="J1798" s="7"/>
      <c r="K1798" s="7" t="s">
        <v>9319</v>
      </c>
    </row>
    <row r="1799" customFormat="false" ht="35.05" hidden="false" customHeight="false" outlineLevel="0" collapsed="false">
      <c r="A1799" s="7" t="n">
        <v>1798</v>
      </c>
      <c r="B1799" s="7" t="s">
        <v>9320</v>
      </c>
      <c r="C1799" s="7" t="n">
        <v>2024</v>
      </c>
      <c r="D1799" s="7" t="s">
        <v>9321</v>
      </c>
      <c r="E1799" s="7" t="s">
        <v>9288</v>
      </c>
      <c r="F1799" s="7" t="s">
        <v>9322</v>
      </c>
      <c r="G1799" s="7" t="s">
        <v>9323</v>
      </c>
      <c r="H1799" s="7" t="s">
        <v>153</v>
      </c>
      <c r="I1799" s="7" t="s">
        <v>9324</v>
      </c>
      <c r="J1799" s="7" t="s">
        <v>112</v>
      </c>
      <c r="K1799" s="7" t="s">
        <v>9325</v>
      </c>
    </row>
    <row r="1800" customFormat="false" ht="35.05" hidden="false" customHeight="false" outlineLevel="0" collapsed="false">
      <c r="A1800" s="7" t="n">
        <v>1799</v>
      </c>
      <c r="B1800" s="7" t="s">
        <v>9326</v>
      </c>
      <c r="C1800" s="7" t="n">
        <v>2024</v>
      </c>
      <c r="D1800" s="7" t="s">
        <v>9327</v>
      </c>
      <c r="E1800" s="7" t="s">
        <v>143</v>
      </c>
      <c r="F1800" s="7" t="s">
        <v>9328</v>
      </c>
      <c r="G1800" s="7" t="s">
        <v>856</v>
      </c>
      <c r="H1800" s="7" t="s">
        <v>153</v>
      </c>
      <c r="I1800" s="7" t="s">
        <v>9329</v>
      </c>
      <c r="J1800" s="7" t="s">
        <v>114</v>
      </c>
      <c r="K1800" s="7" t="s">
        <v>9330</v>
      </c>
    </row>
    <row r="1801" customFormat="false" ht="46.25" hidden="false" customHeight="false" outlineLevel="0" collapsed="false">
      <c r="A1801" s="7" t="n">
        <v>1800</v>
      </c>
      <c r="B1801" s="7" t="s">
        <v>9331</v>
      </c>
      <c r="C1801" s="7" t="n">
        <v>2002</v>
      </c>
      <c r="D1801" s="7" t="s">
        <v>9333</v>
      </c>
      <c r="E1801" s="7" t="s">
        <v>151</v>
      </c>
      <c r="F1801" s="7" t="s">
        <v>9334</v>
      </c>
      <c r="G1801" s="7" t="s">
        <v>2037</v>
      </c>
      <c r="H1801" s="7" t="s">
        <v>146</v>
      </c>
      <c r="I1801" s="7" t="s">
        <v>9335</v>
      </c>
      <c r="J1801" s="7"/>
      <c r="K1801" s="7" t="s">
        <v>9336</v>
      </c>
    </row>
    <row r="1802" customFormat="false" ht="35.05" hidden="false" customHeight="false" outlineLevel="0" collapsed="false">
      <c r="A1802" s="7" t="n">
        <v>1801</v>
      </c>
      <c r="B1802" s="7" t="s">
        <v>9337</v>
      </c>
      <c r="C1802" s="7" t="n">
        <v>2001</v>
      </c>
      <c r="D1802" s="7" t="s">
        <v>9339</v>
      </c>
      <c r="E1802" s="7" t="s">
        <v>201</v>
      </c>
      <c r="F1802" s="7" t="s">
        <v>515</v>
      </c>
      <c r="G1802" s="7" t="s">
        <v>3279</v>
      </c>
      <c r="H1802" s="7" t="s">
        <v>146</v>
      </c>
      <c r="I1802" s="7" t="s">
        <v>9340</v>
      </c>
      <c r="J1802" s="7"/>
      <c r="K1802" s="7" t="s">
        <v>9341</v>
      </c>
    </row>
    <row r="1803" customFormat="false" ht="35.05" hidden="false" customHeight="false" outlineLevel="0" collapsed="false">
      <c r="A1803" s="7" t="n">
        <v>1802</v>
      </c>
      <c r="B1803" s="7" t="s">
        <v>9342</v>
      </c>
      <c r="C1803" s="7" t="n">
        <v>2002</v>
      </c>
      <c r="D1803" s="7" t="s">
        <v>9343</v>
      </c>
      <c r="E1803" s="7" t="s">
        <v>579</v>
      </c>
      <c r="F1803" s="7" t="s">
        <v>197</v>
      </c>
      <c r="G1803" s="7" t="s">
        <v>145</v>
      </c>
      <c r="H1803" s="7" t="s">
        <v>153</v>
      </c>
      <c r="I1803" s="7" t="s">
        <v>9344</v>
      </c>
      <c r="J1803" s="7" t="s">
        <v>116</v>
      </c>
      <c r="K1803" s="7" t="s">
        <v>9345</v>
      </c>
    </row>
    <row r="1804" customFormat="false" ht="35.05" hidden="false" customHeight="false" outlineLevel="0" collapsed="false">
      <c r="A1804" s="7" t="n">
        <v>1803</v>
      </c>
      <c r="B1804" s="7" t="s">
        <v>9346</v>
      </c>
      <c r="C1804" s="7" t="n">
        <v>2003</v>
      </c>
      <c r="D1804" s="7" t="s">
        <v>9348</v>
      </c>
      <c r="E1804" s="7" t="s">
        <v>151</v>
      </c>
      <c r="F1804" s="7" t="s">
        <v>2332</v>
      </c>
      <c r="G1804" s="7" t="s">
        <v>145</v>
      </c>
      <c r="H1804" s="7" t="s">
        <v>146</v>
      </c>
      <c r="I1804" s="7" t="s">
        <v>9349</v>
      </c>
      <c r="J1804" s="7" t="s">
        <v>114</v>
      </c>
      <c r="K1804" s="7" t="s">
        <v>9350</v>
      </c>
    </row>
    <row r="1805" customFormat="false" ht="35.05" hidden="false" customHeight="false" outlineLevel="0" collapsed="false">
      <c r="A1805" s="7" t="n">
        <v>1804</v>
      </c>
      <c r="B1805" s="7" t="s">
        <v>9351</v>
      </c>
      <c r="C1805" s="7" t="n">
        <v>1994</v>
      </c>
      <c r="D1805" s="7" t="s">
        <v>9353</v>
      </c>
      <c r="E1805" s="7" t="s">
        <v>579</v>
      </c>
      <c r="F1805" s="7" t="s">
        <v>9354</v>
      </c>
      <c r="G1805" s="7" t="s">
        <v>3279</v>
      </c>
      <c r="H1805" s="7" t="s">
        <v>146</v>
      </c>
      <c r="I1805" s="7" t="s">
        <v>3666</v>
      </c>
      <c r="J1805" s="7"/>
      <c r="K1805" s="7" t="s">
        <v>9355</v>
      </c>
    </row>
    <row r="1806" customFormat="false" ht="23.85" hidden="false" customHeight="false" outlineLevel="0" collapsed="false">
      <c r="A1806" s="7" t="n">
        <v>1805</v>
      </c>
      <c r="B1806" s="7" t="s">
        <v>9356</v>
      </c>
      <c r="C1806" s="7" t="n">
        <v>2000</v>
      </c>
      <c r="D1806" s="7" t="s">
        <v>9357</v>
      </c>
      <c r="E1806" s="7" t="s">
        <v>143</v>
      </c>
      <c r="F1806" s="7" t="s">
        <v>9358</v>
      </c>
      <c r="G1806" s="7" t="s">
        <v>1020</v>
      </c>
      <c r="H1806" s="7" t="s">
        <v>146</v>
      </c>
      <c r="I1806" s="7" t="s">
        <v>9359</v>
      </c>
      <c r="J1806" s="7" t="s">
        <v>114</v>
      </c>
      <c r="K1806" s="7" t="s">
        <v>9360</v>
      </c>
    </row>
    <row r="1807" customFormat="false" ht="46.25" hidden="false" customHeight="false" outlineLevel="0" collapsed="false">
      <c r="A1807" s="7" t="n">
        <v>1806</v>
      </c>
      <c r="B1807" s="7" t="s">
        <v>9361</v>
      </c>
      <c r="C1807" s="7" t="n">
        <v>2002</v>
      </c>
      <c r="D1807" s="7" t="s">
        <v>9362</v>
      </c>
      <c r="E1807" s="7" t="s">
        <v>579</v>
      </c>
      <c r="F1807" s="7" t="s">
        <v>9363</v>
      </c>
      <c r="G1807" s="7" t="s">
        <v>9364</v>
      </c>
      <c r="H1807" s="7" t="s">
        <v>146</v>
      </c>
      <c r="I1807" s="7" t="s">
        <v>9365</v>
      </c>
      <c r="J1807" s="7" t="s">
        <v>116</v>
      </c>
      <c r="K1807" s="7" t="s">
        <v>9366</v>
      </c>
    </row>
    <row r="1808" customFormat="false" ht="35.05" hidden="false" customHeight="false" outlineLevel="0" collapsed="false">
      <c r="A1808" s="7" t="n">
        <v>1807</v>
      </c>
      <c r="B1808" s="7" t="s">
        <v>9367</v>
      </c>
      <c r="C1808" s="7" t="n">
        <v>2003</v>
      </c>
      <c r="D1808" s="7" t="s">
        <v>9368</v>
      </c>
      <c r="E1808" s="7" t="s">
        <v>201</v>
      </c>
      <c r="F1808" s="7" t="s">
        <v>9369</v>
      </c>
      <c r="G1808" s="7" t="s">
        <v>2168</v>
      </c>
      <c r="H1808" s="7" t="s">
        <v>153</v>
      </c>
      <c r="I1808" s="7" t="s">
        <v>9370</v>
      </c>
      <c r="J1808" s="7" t="s">
        <v>114</v>
      </c>
      <c r="K1808" s="7" t="s">
        <v>9371</v>
      </c>
    </row>
    <row r="1809" customFormat="false" ht="23.85" hidden="false" customHeight="false" outlineLevel="0" collapsed="false">
      <c r="A1809" s="7" t="n">
        <v>1808</v>
      </c>
      <c r="B1809" s="7" t="s">
        <v>9372</v>
      </c>
      <c r="C1809" s="7" t="n">
        <v>1994</v>
      </c>
      <c r="D1809" s="7" t="s">
        <v>9373</v>
      </c>
      <c r="E1809" s="7" t="s">
        <v>201</v>
      </c>
      <c r="F1809" s="7" t="s">
        <v>3552</v>
      </c>
      <c r="G1809" s="7" t="s">
        <v>3279</v>
      </c>
      <c r="H1809" s="7" t="s">
        <v>146</v>
      </c>
      <c r="I1809" s="7" t="s">
        <v>9374</v>
      </c>
      <c r="J1809" s="7"/>
      <c r="K1809" s="7" t="s">
        <v>9375</v>
      </c>
    </row>
    <row r="1810" customFormat="false" ht="35.05" hidden="false" customHeight="false" outlineLevel="0" collapsed="false">
      <c r="A1810" s="7" t="n">
        <v>1809</v>
      </c>
      <c r="B1810" s="7" t="s">
        <v>9376</v>
      </c>
      <c r="C1810" s="7" t="n">
        <v>2000</v>
      </c>
      <c r="D1810" s="7" t="s">
        <v>9377</v>
      </c>
      <c r="E1810" s="7" t="s">
        <v>579</v>
      </c>
      <c r="F1810" s="7" t="s">
        <v>9378</v>
      </c>
      <c r="G1810" s="7" t="s">
        <v>9379</v>
      </c>
      <c r="H1810" s="7" t="s">
        <v>146</v>
      </c>
      <c r="I1810" s="7" t="s">
        <v>9380</v>
      </c>
      <c r="J1810" s="7" t="s">
        <v>112</v>
      </c>
      <c r="K1810" s="7" t="s">
        <v>9381</v>
      </c>
    </row>
    <row r="1811" customFormat="false" ht="23.85" hidden="false" customHeight="false" outlineLevel="0" collapsed="false">
      <c r="A1811" s="7" t="n">
        <v>1810</v>
      </c>
      <c r="B1811" s="7" t="s">
        <v>9382</v>
      </c>
      <c r="C1811" s="7" t="n">
        <v>2003</v>
      </c>
      <c r="D1811" s="7" t="s">
        <v>9383</v>
      </c>
      <c r="E1811" s="7" t="s">
        <v>151</v>
      </c>
      <c r="F1811" s="7" t="s">
        <v>9384</v>
      </c>
      <c r="G1811" s="7" t="s">
        <v>2168</v>
      </c>
      <c r="H1811" s="7" t="s">
        <v>146</v>
      </c>
      <c r="I1811" s="7" t="s">
        <v>9385</v>
      </c>
      <c r="J1811" s="7"/>
      <c r="K1811" s="7" t="s">
        <v>9386</v>
      </c>
    </row>
    <row r="1812" customFormat="false" ht="35.05" hidden="false" customHeight="false" outlineLevel="0" collapsed="false">
      <c r="A1812" s="7" t="n">
        <v>1811</v>
      </c>
      <c r="B1812" s="7" t="s">
        <v>9387</v>
      </c>
      <c r="C1812" s="7" t="n">
        <v>2001</v>
      </c>
      <c r="D1812" s="7" t="s">
        <v>9388</v>
      </c>
      <c r="E1812" s="7" t="s">
        <v>151</v>
      </c>
      <c r="F1812" s="7" t="s">
        <v>152</v>
      </c>
      <c r="G1812" s="7" t="s">
        <v>9389</v>
      </c>
      <c r="H1812" s="7" t="s">
        <v>146</v>
      </c>
      <c r="I1812" s="7" t="s">
        <v>9390</v>
      </c>
      <c r="J1812" s="7"/>
      <c r="K1812" s="7" t="s">
        <v>9391</v>
      </c>
    </row>
    <row r="1813" customFormat="false" ht="23.85" hidden="false" customHeight="false" outlineLevel="0" collapsed="false">
      <c r="A1813" s="7" t="n">
        <v>1812</v>
      </c>
      <c r="B1813" s="7" t="s">
        <v>9392</v>
      </c>
      <c r="C1813" s="7" t="n">
        <v>2000</v>
      </c>
      <c r="D1813" s="7" t="s">
        <v>9393</v>
      </c>
      <c r="E1813" s="7" t="s">
        <v>151</v>
      </c>
      <c r="F1813" s="7" t="s">
        <v>9394</v>
      </c>
      <c r="G1813" s="7" t="s">
        <v>8695</v>
      </c>
      <c r="H1813" s="7" t="s">
        <v>153</v>
      </c>
      <c r="I1813" s="7" t="s">
        <v>9395</v>
      </c>
      <c r="J1813" s="7" t="s">
        <v>114</v>
      </c>
      <c r="K1813" s="7" t="s">
        <v>9396</v>
      </c>
    </row>
    <row r="1814" customFormat="false" ht="23.85" hidden="false" customHeight="false" outlineLevel="0" collapsed="false">
      <c r="A1814" s="7" t="n">
        <v>1813</v>
      </c>
      <c r="B1814" s="7" t="s">
        <v>9397</v>
      </c>
      <c r="C1814" s="7" t="n">
        <v>2003</v>
      </c>
      <c r="D1814" s="7" t="s">
        <v>9398</v>
      </c>
      <c r="E1814" s="7" t="s">
        <v>143</v>
      </c>
      <c r="F1814" s="7" t="s">
        <v>9399</v>
      </c>
      <c r="G1814" s="7" t="s">
        <v>145</v>
      </c>
      <c r="H1814" s="7" t="s">
        <v>153</v>
      </c>
      <c r="I1814" s="7" t="s">
        <v>9400</v>
      </c>
      <c r="J1814" s="7" t="s">
        <v>114</v>
      </c>
      <c r="K1814" s="7" t="s">
        <v>9401</v>
      </c>
    </row>
    <row r="1815" customFormat="false" ht="35.05" hidden="false" customHeight="false" outlineLevel="0" collapsed="false">
      <c r="A1815" s="7" t="n">
        <v>1814</v>
      </c>
      <c r="B1815" s="7" t="s">
        <v>9402</v>
      </c>
      <c r="C1815" s="7" t="n">
        <v>2003</v>
      </c>
      <c r="D1815" s="7" t="s">
        <v>9403</v>
      </c>
      <c r="E1815" s="7" t="s">
        <v>201</v>
      </c>
      <c r="F1815" s="7" t="s">
        <v>9404</v>
      </c>
      <c r="G1815" s="7" t="s">
        <v>9405</v>
      </c>
      <c r="H1815" s="7" t="s">
        <v>153</v>
      </c>
      <c r="I1815" s="7" t="s">
        <v>9406</v>
      </c>
      <c r="J1815" s="7" t="s">
        <v>114</v>
      </c>
      <c r="K1815" s="7" t="s">
        <v>9407</v>
      </c>
    </row>
    <row r="1816" customFormat="false" ht="35.05" hidden="false" customHeight="false" outlineLevel="0" collapsed="false">
      <c r="A1816" s="7" t="n">
        <v>1815</v>
      </c>
      <c r="B1816" s="7" t="s">
        <v>9402</v>
      </c>
      <c r="C1816" s="7" t="n">
        <v>2004</v>
      </c>
      <c r="D1816" s="7" t="s">
        <v>9409</v>
      </c>
      <c r="E1816" s="7" t="s">
        <v>143</v>
      </c>
      <c r="F1816" s="7" t="s">
        <v>9410</v>
      </c>
      <c r="G1816" s="7" t="s">
        <v>145</v>
      </c>
      <c r="H1816" s="7" t="s">
        <v>153</v>
      </c>
      <c r="I1816" s="7" t="s">
        <v>9411</v>
      </c>
      <c r="J1816" s="7" t="s">
        <v>116</v>
      </c>
      <c r="K1816" s="7" t="s">
        <v>9412</v>
      </c>
    </row>
    <row r="1817" customFormat="false" ht="35.05" hidden="false" customHeight="false" outlineLevel="0" collapsed="false">
      <c r="A1817" s="7" t="n">
        <v>1816</v>
      </c>
      <c r="B1817" s="7" t="s">
        <v>9413</v>
      </c>
      <c r="C1817" s="7" t="n">
        <v>2003</v>
      </c>
      <c r="D1817" s="7" t="s">
        <v>9414</v>
      </c>
      <c r="E1817" s="7" t="s">
        <v>151</v>
      </c>
      <c r="F1817" s="7" t="s">
        <v>9415</v>
      </c>
      <c r="G1817" s="7" t="s">
        <v>9416</v>
      </c>
      <c r="H1817" s="7" t="s">
        <v>153</v>
      </c>
      <c r="I1817" s="7" t="s">
        <v>9417</v>
      </c>
      <c r="J1817" s="7" t="s">
        <v>114</v>
      </c>
      <c r="K1817" s="7" t="s">
        <v>9418</v>
      </c>
    </row>
    <row r="1818" customFormat="false" ht="23.85" hidden="false" customHeight="false" outlineLevel="0" collapsed="false">
      <c r="A1818" s="7" t="n">
        <v>1817</v>
      </c>
      <c r="B1818" s="7" t="s">
        <v>9419</v>
      </c>
      <c r="C1818" s="7" t="n">
        <v>2005</v>
      </c>
      <c r="D1818" s="7" t="s">
        <v>9421</v>
      </c>
      <c r="E1818" s="7" t="s">
        <v>151</v>
      </c>
      <c r="F1818" s="7" t="s">
        <v>152</v>
      </c>
      <c r="G1818" s="7" t="s">
        <v>145</v>
      </c>
      <c r="H1818" s="7" t="s">
        <v>153</v>
      </c>
      <c r="I1818" s="7" t="s">
        <v>9422</v>
      </c>
      <c r="J1818" s="7"/>
      <c r="K1818" s="7" t="s">
        <v>9423</v>
      </c>
    </row>
    <row r="1819" customFormat="false" ht="23.85" hidden="false" customHeight="false" outlineLevel="0" collapsed="false">
      <c r="A1819" s="7" t="n">
        <v>1818</v>
      </c>
      <c r="B1819" s="7" t="s">
        <v>9424</v>
      </c>
      <c r="C1819" s="7" t="n">
        <v>1996</v>
      </c>
      <c r="D1819" s="7" t="s">
        <v>9426</v>
      </c>
      <c r="E1819" s="7" t="s">
        <v>587</v>
      </c>
      <c r="F1819" s="7" t="s">
        <v>4489</v>
      </c>
      <c r="G1819" s="7" t="s">
        <v>889</v>
      </c>
      <c r="H1819" s="7" t="s">
        <v>146</v>
      </c>
      <c r="I1819" s="7" t="s">
        <v>9427</v>
      </c>
      <c r="J1819" s="7"/>
      <c r="K1819" s="7" t="s">
        <v>9428</v>
      </c>
    </row>
    <row r="1820" customFormat="false" ht="35.05" hidden="false" customHeight="false" outlineLevel="0" collapsed="false">
      <c r="A1820" s="7" t="n">
        <v>1819</v>
      </c>
      <c r="B1820" s="7" t="s">
        <v>9429</v>
      </c>
      <c r="C1820" s="7" t="n">
        <v>1996</v>
      </c>
      <c r="D1820" s="7" t="s">
        <v>9430</v>
      </c>
      <c r="E1820" s="7" t="s">
        <v>201</v>
      </c>
      <c r="F1820" s="7" t="s">
        <v>9431</v>
      </c>
      <c r="G1820" s="7" t="s">
        <v>4711</v>
      </c>
      <c r="H1820" s="7" t="s">
        <v>146</v>
      </c>
      <c r="I1820" s="7" t="s">
        <v>9432</v>
      </c>
      <c r="J1820" s="7" t="s">
        <v>116</v>
      </c>
      <c r="K1820" s="7" t="s">
        <v>9433</v>
      </c>
    </row>
    <row r="1821" customFormat="false" ht="23.85" hidden="false" customHeight="false" outlineLevel="0" collapsed="false">
      <c r="A1821" s="7" t="n">
        <v>1820</v>
      </c>
      <c r="B1821" s="7" t="s">
        <v>9434</v>
      </c>
      <c r="C1821" s="7" t="n">
        <v>2002</v>
      </c>
      <c r="D1821" s="7" t="s">
        <v>9435</v>
      </c>
      <c r="E1821" s="7" t="s">
        <v>201</v>
      </c>
      <c r="F1821" s="7" t="s">
        <v>9436</v>
      </c>
      <c r="G1821" s="7" t="s">
        <v>1075</v>
      </c>
      <c r="H1821" s="7" t="s">
        <v>146</v>
      </c>
      <c r="I1821" s="7" t="s">
        <v>9437</v>
      </c>
      <c r="J1821" s="7" t="s">
        <v>114</v>
      </c>
      <c r="K1821" s="7" t="s">
        <v>9438</v>
      </c>
    </row>
    <row r="1822" customFormat="false" ht="35.05" hidden="false" customHeight="false" outlineLevel="0" collapsed="false">
      <c r="A1822" s="7" t="n">
        <v>1821</v>
      </c>
      <c r="B1822" s="7" t="s">
        <v>9439</v>
      </c>
      <c r="C1822" s="7" t="n">
        <v>2002</v>
      </c>
      <c r="D1822" s="7" t="s">
        <v>9440</v>
      </c>
      <c r="E1822" s="7" t="s">
        <v>201</v>
      </c>
      <c r="F1822" s="7" t="s">
        <v>9441</v>
      </c>
      <c r="G1822" s="7" t="s">
        <v>145</v>
      </c>
      <c r="H1822" s="7" t="s">
        <v>146</v>
      </c>
      <c r="I1822" s="7" t="s">
        <v>9442</v>
      </c>
      <c r="J1822" s="7" t="s">
        <v>112</v>
      </c>
      <c r="K1822" s="7" t="s">
        <v>9443</v>
      </c>
    </row>
    <row r="1823" customFormat="false" ht="35.05" hidden="false" customHeight="false" outlineLevel="0" collapsed="false">
      <c r="A1823" s="7" t="n">
        <v>1822</v>
      </c>
      <c r="B1823" s="7" t="s">
        <v>9444</v>
      </c>
      <c r="C1823" s="7" t="n">
        <v>1997</v>
      </c>
      <c r="D1823" s="7" t="s">
        <v>9445</v>
      </c>
      <c r="E1823" s="7" t="s">
        <v>201</v>
      </c>
      <c r="F1823" s="7" t="s">
        <v>197</v>
      </c>
      <c r="G1823" s="7" t="s">
        <v>145</v>
      </c>
      <c r="H1823" s="7" t="s">
        <v>153</v>
      </c>
      <c r="I1823" s="7" t="s">
        <v>9446</v>
      </c>
      <c r="J1823" s="7" t="s">
        <v>116</v>
      </c>
      <c r="K1823" s="7" t="s">
        <v>9447</v>
      </c>
    </row>
    <row r="1824" customFormat="false" ht="35.05" hidden="false" customHeight="false" outlineLevel="0" collapsed="false">
      <c r="A1824" s="7" t="n">
        <v>1823</v>
      </c>
      <c r="B1824" s="7" t="s">
        <v>9448</v>
      </c>
      <c r="C1824" s="7" t="n">
        <v>2002</v>
      </c>
      <c r="D1824" s="7" t="s">
        <v>9449</v>
      </c>
      <c r="E1824" s="7" t="s">
        <v>143</v>
      </c>
      <c r="F1824" s="7" t="s">
        <v>1495</v>
      </c>
      <c r="G1824" s="7" t="s">
        <v>9450</v>
      </c>
      <c r="H1824" s="7" t="s">
        <v>153</v>
      </c>
      <c r="I1824" s="7" t="s">
        <v>9451</v>
      </c>
      <c r="J1824" s="7" t="s">
        <v>116</v>
      </c>
      <c r="K1824" s="7" t="s">
        <v>9452</v>
      </c>
    </row>
    <row r="1825" customFormat="false" ht="35.05" hidden="false" customHeight="false" outlineLevel="0" collapsed="false">
      <c r="A1825" s="7" t="n">
        <v>1824</v>
      </c>
      <c r="B1825" s="7" t="s">
        <v>9453</v>
      </c>
      <c r="C1825" s="7" t="n">
        <v>2000</v>
      </c>
      <c r="D1825" s="7" t="s">
        <v>9454</v>
      </c>
      <c r="E1825" s="7" t="s">
        <v>201</v>
      </c>
      <c r="F1825" s="7" t="s">
        <v>9455</v>
      </c>
      <c r="G1825" s="7" t="s">
        <v>9456</v>
      </c>
      <c r="H1825" s="7" t="s">
        <v>146</v>
      </c>
      <c r="I1825" s="7" t="s">
        <v>9457</v>
      </c>
      <c r="J1825" s="7" t="s">
        <v>114</v>
      </c>
      <c r="K1825" s="7" t="s">
        <v>9458</v>
      </c>
    </row>
    <row r="1826" customFormat="false" ht="35.05" hidden="false" customHeight="false" outlineLevel="0" collapsed="false">
      <c r="A1826" s="7" t="n">
        <v>1825</v>
      </c>
      <c r="B1826" s="7" t="s">
        <v>9459</v>
      </c>
      <c r="C1826" s="7" t="n">
        <v>1995</v>
      </c>
      <c r="D1826" s="7" t="s">
        <v>9461</v>
      </c>
      <c r="E1826" s="7" t="s">
        <v>579</v>
      </c>
      <c r="F1826" s="7" t="s">
        <v>9462</v>
      </c>
      <c r="G1826" s="7" t="s">
        <v>9463</v>
      </c>
      <c r="H1826" s="7" t="s">
        <v>146</v>
      </c>
      <c r="I1826" s="7" t="s">
        <v>9464</v>
      </c>
      <c r="J1826" s="7"/>
      <c r="K1826" s="7" t="s">
        <v>9465</v>
      </c>
    </row>
    <row r="1827" customFormat="false" ht="23.85" hidden="false" customHeight="false" outlineLevel="0" collapsed="false">
      <c r="A1827" s="7" t="n">
        <v>1826</v>
      </c>
      <c r="B1827" s="7" t="s">
        <v>9466</v>
      </c>
      <c r="C1827" s="7" t="n">
        <v>1999</v>
      </c>
      <c r="D1827" s="7" t="s">
        <v>9468</v>
      </c>
      <c r="E1827" s="7" t="s">
        <v>201</v>
      </c>
      <c r="F1827" s="7" t="s">
        <v>9469</v>
      </c>
      <c r="G1827" s="7" t="s">
        <v>9470</v>
      </c>
      <c r="H1827" s="7" t="s">
        <v>146</v>
      </c>
      <c r="I1827" s="7" t="s">
        <v>9471</v>
      </c>
      <c r="J1827" s="7" t="s">
        <v>116</v>
      </c>
      <c r="K1827" s="7" t="s">
        <v>9472</v>
      </c>
    </row>
    <row r="1828" customFormat="false" ht="35.05" hidden="false" customHeight="false" outlineLevel="0" collapsed="false">
      <c r="A1828" s="7" t="n">
        <v>1827</v>
      </c>
      <c r="B1828" s="7" t="s">
        <v>9466</v>
      </c>
      <c r="C1828" s="7" t="n">
        <v>2001</v>
      </c>
      <c r="D1828" s="7" t="s">
        <v>9473</v>
      </c>
      <c r="E1828" s="7" t="s">
        <v>201</v>
      </c>
      <c r="F1828" s="7" t="s">
        <v>9474</v>
      </c>
      <c r="G1828" s="7" t="s">
        <v>145</v>
      </c>
      <c r="H1828" s="7" t="s">
        <v>153</v>
      </c>
      <c r="I1828" s="7" t="s">
        <v>9475</v>
      </c>
      <c r="J1828" s="7" t="s">
        <v>116</v>
      </c>
      <c r="K1828" s="7" t="s">
        <v>9476</v>
      </c>
    </row>
    <row r="1829" customFormat="false" ht="23.85" hidden="false" customHeight="false" outlineLevel="0" collapsed="false">
      <c r="A1829" s="7" t="n">
        <v>1828</v>
      </c>
      <c r="B1829" s="7" t="s">
        <v>9477</v>
      </c>
      <c r="C1829" s="7" t="n">
        <v>2003</v>
      </c>
      <c r="D1829" s="7" t="s">
        <v>9478</v>
      </c>
      <c r="E1829" s="7" t="s">
        <v>143</v>
      </c>
      <c r="F1829" s="7" t="s">
        <v>9479</v>
      </c>
      <c r="G1829" s="7" t="s">
        <v>9480</v>
      </c>
      <c r="H1829" s="7" t="s">
        <v>146</v>
      </c>
      <c r="I1829" s="7" t="s">
        <v>9481</v>
      </c>
      <c r="J1829" s="7" t="s">
        <v>116</v>
      </c>
      <c r="K1829" s="7" t="s">
        <v>9482</v>
      </c>
    </row>
    <row r="1830" customFormat="false" ht="35.05" hidden="false" customHeight="false" outlineLevel="0" collapsed="false">
      <c r="A1830" s="7" t="n">
        <v>1829</v>
      </c>
      <c r="B1830" s="7" t="s">
        <v>9483</v>
      </c>
      <c r="C1830" s="7" t="n">
        <v>1997</v>
      </c>
      <c r="D1830" s="7" t="s">
        <v>9484</v>
      </c>
      <c r="E1830" s="7" t="s">
        <v>579</v>
      </c>
      <c r="F1830" s="7" t="s">
        <v>9485</v>
      </c>
      <c r="G1830" s="7" t="s">
        <v>9486</v>
      </c>
      <c r="H1830" s="7" t="s">
        <v>146</v>
      </c>
      <c r="I1830" s="7" t="s">
        <v>9487</v>
      </c>
      <c r="J1830" s="7" t="s">
        <v>116</v>
      </c>
      <c r="K1830" s="7" t="s">
        <v>9488</v>
      </c>
    </row>
    <row r="1831" customFormat="false" ht="35.05" hidden="false" customHeight="false" outlineLevel="0" collapsed="false">
      <c r="A1831" s="7" t="n">
        <v>1830</v>
      </c>
      <c r="B1831" s="7" t="s">
        <v>9483</v>
      </c>
      <c r="C1831" s="7" t="n">
        <v>1998</v>
      </c>
      <c r="D1831" s="7" t="s">
        <v>9490</v>
      </c>
      <c r="E1831" s="7" t="s">
        <v>151</v>
      </c>
      <c r="F1831" s="7" t="s">
        <v>9491</v>
      </c>
      <c r="G1831" s="7" t="s">
        <v>9492</v>
      </c>
      <c r="H1831" s="7" t="s">
        <v>387</v>
      </c>
      <c r="I1831" s="7" t="s">
        <v>9493</v>
      </c>
      <c r="J1831" s="7" t="s">
        <v>116</v>
      </c>
      <c r="K1831" s="7" t="s">
        <v>9494</v>
      </c>
    </row>
    <row r="1832" customFormat="false" ht="35.05" hidden="false" customHeight="false" outlineLevel="0" collapsed="false">
      <c r="A1832" s="7" t="n">
        <v>1831</v>
      </c>
      <c r="B1832" s="7" t="s">
        <v>9483</v>
      </c>
      <c r="C1832" s="7" t="n">
        <v>1999</v>
      </c>
      <c r="D1832" s="7" t="s">
        <v>9495</v>
      </c>
      <c r="E1832" s="7" t="s">
        <v>143</v>
      </c>
      <c r="F1832" s="7" t="s">
        <v>9496</v>
      </c>
      <c r="G1832" s="7" t="s">
        <v>9486</v>
      </c>
      <c r="H1832" s="7" t="s">
        <v>153</v>
      </c>
      <c r="I1832" s="7" t="s">
        <v>9497</v>
      </c>
      <c r="J1832" s="7" t="s">
        <v>114</v>
      </c>
      <c r="K1832" s="7" t="s">
        <v>9498</v>
      </c>
    </row>
    <row r="1833" customFormat="false" ht="35.05" hidden="false" customHeight="false" outlineLevel="0" collapsed="false">
      <c r="A1833" s="7" t="n">
        <v>1832</v>
      </c>
      <c r="B1833" s="7" t="s">
        <v>9483</v>
      </c>
      <c r="C1833" s="7" t="n">
        <v>2001</v>
      </c>
      <c r="D1833" s="7" t="s">
        <v>9500</v>
      </c>
      <c r="E1833" s="7" t="s">
        <v>579</v>
      </c>
      <c r="F1833" s="7" t="s">
        <v>364</v>
      </c>
      <c r="G1833" s="7" t="s">
        <v>9463</v>
      </c>
      <c r="H1833" s="7" t="s">
        <v>146</v>
      </c>
      <c r="I1833" s="7" t="s">
        <v>9501</v>
      </c>
      <c r="J1833" s="7" t="s">
        <v>116</v>
      </c>
      <c r="K1833" s="7" t="s">
        <v>9502</v>
      </c>
    </row>
    <row r="1834" customFormat="false" ht="23.85" hidden="false" customHeight="false" outlineLevel="0" collapsed="false">
      <c r="A1834" s="7" t="n">
        <v>1833</v>
      </c>
      <c r="B1834" s="7" t="s">
        <v>9483</v>
      </c>
      <c r="C1834" s="7" t="n">
        <v>2001</v>
      </c>
      <c r="D1834" s="7" t="s">
        <v>9504</v>
      </c>
      <c r="E1834" s="7" t="s">
        <v>201</v>
      </c>
      <c r="F1834" s="7" t="s">
        <v>9505</v>
      </c>
      <c r="G1834" s="7" t="s">
        <v>856</v>
      </c>
      <c r="H1834" s="7" t="s">
        <v>146</v>
      </c>
      <c r="I1834" s="7" t="s">
        <v>9506</v>
      </c>
      <c r="J1834" s="7" t="s">
        <v>116</v>
      </c>
      <c r="K1834" s="7" t="s">
        <v>9507</v>
      </c>
    </row>
    <row r="1835" customFormat="false" ht="35.05" hidden="false" customHeight="false" outlineLevel="0" collapsed="false">
      <c r="A1835" s="7" t="n">
        <v>1834</v>
      </c>
      <c r="B1835" s="7" t="s">
        <v>9483</v>
      </c>
      <c r="C1835" s="7" t="n">
        <v>2002</v>
      </c>
      <c r="D1835" s="7" t="s">
        <v>9508</v>
      </c>
      <c r="E1835" s="7" t="s">
        <v>143</v>
      </c>
      <c r="F1835" s="7" t="s">
        <v>9509</v>
      </c>
      <c r="G1835" s="7" t="s">
        <v>9510</v>
      </c>
      <c r="H1835" s="7" t="s">
        <v>153</v>
      </c>
      <c r="I1835" s="7" t="s">
        <v>9511</v>
      </c>
      <c r="J1835" s="7" t="s">
        <v>114</v>
      </c>
      <c r="K1835" s="7" t="s">
        <v>9512</v>
      </c>
    </row>
    <row r="1836" customFormat="false" ht="35.05" hidden="false" customHeight="false" outlineLevel="0" collapsed="false">
      <c r="A1836" s="7" t="n">
        <v>1835</v>
      </c>
      <c r="B1836" s="7" t="s">
        <v>9513</v>
      </c>
      <c r="C1836" s="7" t="n">
        <v>1999</v>
      </c>
      <c r="D1836" s="7" t="s">
        <v>9514</v>
      </c>
      <c r="E1836" s="7" t="s">
        <v>579</v>
      </c>
      <c r="F1836" s="7" t="s">
        <v>9515</v>
      </c>
      <c r="G1836" s="7" t="s">
        <v>9516</v>
      </c>
      <c r="H1836" s="7" t="s">
        <v>146</v>
      </c>
      <c r="I1836" s="7" t="s">
        <v>9517</v>
      </c>
      <c r="J1836" s="7" t="s">
        <v>116</v>
      </c>
      <c r="K1836" s="7" t="s">
        <v>9518</v>
      </c>
    </row>
    <row r="1837" customFormat="false" ht="35.05" hidden="false" customHeight="false" outlineLevel="0" collapsed="false">
      <c r="A1837" s="7" t="n">
        <v>1836</v>
      </c>
      <c r="B1837" s="7" t="s">
        <v>9519</v>
      </c>
      <c r="C1837" s="7" t="n">
        <v>2001</v>
      </c>
      <c r="D1837" s="7" t="s">
        <v>9520</v>
      </c>
      <c r="E1837" s="7" t="s">
        <v>579</v>
      </c>
      <c r="F1837" s="7" t="s">
        <v>9521</v>
      </c>
      <c r="G1837" s="7" t="s">
        <v>9522</v>
      </c>
      <c r="H1837" s="7" t="s">
        <v>208</v>
      </c>
      <c r="I1837" s="7" t="s">
        <v>9523</v>
      </c>
      <c r="J1837" s="7" t="s">
        <v>116</v>
      </c>
      <c r="K1837" s="7" t="s">
        <v>9524</v>
      </c>
    </row>
    <row r="1838" customFormat="false" ht="23.85" hidden="false" customHeight="false" outlineLevel="0" collapsed="false">
      <c r="A1838" s="7" t="n">
        <v>1837</v>
      </c>
      <c r="B1838" s="7" t="s">
        <v>9525</v>
      </c>
      <c r="C1838" s="7" t="n">
        <v>2002</v>
      </c>
      <c r="D1838" s="7" t="s">
        <v>9526</v>
      </c>
      <c r="E1838" s="7" t="s">
        <v>201</v>
      </c>
      <c r="F1838" s="7" t="s">
        <v>9527</v>
      </c>
      <c r="G1838" s="7" t="s">
        <v>9528</v>
      </c>
      <c r="H1838" s="7" t="s">
        <v>146</v>
      </c>
      <c r="I1838" s="7" t="s">
        <v>9529</v>
      </c>
      <c r="J1838" s="7" t="s">
        <v>116</v>
      </c>
      <c r="K1838" s="7" t="s">
        <v>9530</v>
      </c>
    </row>
    <row r="1839" customFormat="false" ht="35.05" hidden="false" customHeight="false" outlineLevel="0" collapsed="false">
      <c r="A1839" s="7" t="n">
        <v>1838</v>
      </c>
      <c r="B1839" s="7" t="s">
        <v>9531</v>
      </c>
      <c r="C1839" s="7" t="n">
        <v>2003</v>
      </c>
      <c r="D1839" s="7" t="s">
        <v>9532</v>
      </c>
      <c r="E1839" s="7" t="s">
        <v>579</v>
      </c>
      <c r="F1839" s="7" t="s">
        <v>9533</v>
      </c>
      <c r="G1839" s="7" t="s">
        <v>9534</v>
      </c>
      <c r="H1839" s="7" t="s">
        <v>146</v>
      </c>
      <c r="I1839" s="7" t="s">
        <v>9535</v>
      </c>
      <c r="J1839" s="7" t="s">
        <v>114</v>
      </c>
      <c r="K1839" s="7" t="s">
        <v>9536</v>
      </c>
    </row>
    <row r="1840" customFormat="false" ht="35.05" hidden="false" customHeight="false" outlineLevel="0" collapsed="false">
      <c r="A1840" s="7" t="n">
        <v>1839</v>
      </c>
      <c r="B1840" s="7" t="s">
        <v>9537</v>
      </c>
      <c r="C1840" s="7" t="n">
        <v>2003</v>
      </c>
      <c r="D1840" s="7" t="s">
        <v>9538</v>
      </c>
      <c r="E1840" s="7" t="s">
        <v>201</v>
      </c>
      <c r="F1840" s="7" t="s">
        <v>9539</v>
      </c>
      <c r="G1840" s="7" t="s">
        <v>9540</v>
      </c>
      <c r="H1840" s="7" t="s">
        <v>208</v>
      </c>
      <c r="I1840" s="7" t="s">
        <v>9541</v>
      </c>
      <c r="J1840" s="7" t="s">
        <v>116</v>
      </c>
      <c r="K1840" s="7" t="s">
        <v>9542</v>
      </c>
    </row>
    <row r="1841" customFormat="false" ht="35.05" hidden="false" customHeight="false" outlineLevel="0" collapsed="false">
      <c r="A1841" s="7" t="n">
        <v>1840</v>
      </c>
      <c r="B1841" s="7" t="s">
        <v>9543</v>
      </c>
      <c r="C1841" s="7" t="n">
        <v>2003</v>
      </c>
      <c r="D1841" s="7" t="s">
        <v>9544</v>
      </c>
      <c r="E1841" s="7" t="s">
        <v>579</v>
      </c>
      <c r="F1841" s="7" t="s">
        <v>9545</v>
      </c>
      <c r="G1841" s="7" t="s">
        <v>9546</v>
      </c>
      <c r="H1841" s="7" t="s">
        <v>146</v>
      </c>
      <c r="I1841" s="7" t="s">
        <v>9547</v>
      </c>
      <c r="J1841" s="7" t="s">
        <v>114</v>
      </c>
      <c r="K1841" s="7" t="s">
        <v>9548</v>
      </c>
    </row>
    <row r="1842" customFormat="false" ht="35.05" hidden="false" customHeight="false" outlineLevel="0" collapsed="false">
      <c r="A1842" s="7" t="n">
        <v>1841</v>
      </c>
      <c r="B1842" s="7" t="s">
        <v>9549</v>
      </c>
      <c r="C1842" s="7" t="n">
        <v>2002</v>
      </c>
      <c r="D1842" s="7" t="s">
        <v>9550</v>
      </c>
      <c r="E1842" s="7" t="s">
        <v>201</v>
      </c>
      <c r="F1842" s="7" t="s">
        <v>9551</v>
      </c>
      <c r="G1842" s="7" t="s">
        <v>145</v>
      </c>
      <c r="H1842" s="7" t="s">
        <v>153</v>
      </c>
      <c r="I1842" s="7" t="s">
        <v>9552</v>
      </c>
      <c r="J1842" s="7" t="s">
        <v>116</v>
      </c>
      <c r="K1842" s="7" t="s">
        <v>9553</v>
      </c>
    </row>
    <row r="1843" customFormat="false" ht="35.05" hidden="false" customHeight="false" outlineLevel="0" collapsed="false">
      <c r="A1843" s="7" t="n">
        <v>1842</v>
      </c>
      <c r="B1843" s="7" t="s">
        <v>9554</v>
      </c>
      <c r="C1843" s="7" t="n">
        <v>2000</v>
      </c>
      <c r="D1843" s="7" t="s">
        <v>9555</v>
      </c>
      <c r="E1843" s="7" t="s">
        <v>143</v>
      </c>
      <c r="F1843" s="7" t="s">
        <v>9556</v>
      </c>
      <c r="G1843" s="7" t="s">
        <v>145</v>
      </c>
      <c r="H1843" s="7" t="s">
        <v>153</v>
      </c>
      <c r="I1843" s="7" t="s">
        <v>9557</v>
      </c>
      <c r="J1843" s="7" t="s">
        <v>114</v>
      </c>
      <c r="K1843" s="7" t="s">
        <v>9558</v>
      </c>
    </row>
    <row r="1844" customFormat="false" ht="23.85" hidden="false" customHeight="false" outlineLevel="0" collapsed="false">
      <c r="A1844" s="7" t="n">
        <v>1843</v>
      </c>
      <c r="B1844" s="7" t="s">
        <v>9565</v>
      </c>
      <c r="C1844" s="7" t="n">
        <v>2000</v>
      </c>
      <c r="D1844" s="7" t="s">
        <v>9566</v>
      </c>
      <c r="E1844" s="7" t="s">
        <v>143</v>
      </c>
      <c r="F1844" s="7" t="s">
        <v>9567</v>
      </c>
      <c r="G1844" s="7" t="s">
        <v>9568</v>
      </c>
      <c r="H1844" s="7" t="s">
        <v>153</v>
      </c>
      <c r="I1844" s="7" t="s">
        <v>9569</v>
      </c>
      <c r="J1844" s="7" t="s">
        <v>114</v>
      </c>
      <c r="K1844" s="7" t="s">
        <v>9570</v>
      </c>
    </row>
    <row r="1845" customFormat="false" ht="23.85" hidden="false" customHeight="false" outlineLevel="0" collapsed="false">
      <c r="A1845" s="7" t="n">
        <v>1844</v>
      </c>
      <c r="B1845" s="7" t="s">
        <v>9571</v>
      </c>
      <c r="C1845" s="7" t="n">
        <v>1998</v>
      </c>
      <c r="D1845" s="7" t="s">
        <v>9572</v>
      </c>
      <c r="E1845" s="7" t="s">
        <v>201</v>
      </c>
      <c r="F1845" s="7" t="s">
        <v>9573</v>
      </c>
      <c r="G1845" s="7" t="s">
        <v>9574</v>
      </c>
      <c r="H1845" s="7" t="s">
        <v>153</v>
      </c>
      <c r="I1845" s="7" t="s">
        <v>9575</v>
      </c>
      <c r="J1845" s="7" t="s">
        <v>114</v>
      </c>
      <c r="K1845" s="7" t="s">
        <v>9576</v>
      </c>
    </row>
    <row r="1846" customFormat="false" ht="23.85" hidden="false" customHeight="false" outlineLevel="0" collapsed="false">
      <c r="A1846" s="7" t="n">
        <v>1845</v>
      </c>
      <c r="B1846" s="7" t="s">
        <v>9577</v>
      </c>
      <c r="C1846" s="7" t="n">
        <v>2008</v>
      </c>
      <c r="D1846" s="7" t="s">
        <v>9579</v>
      </c>
      <c r="E1846" s="7" t="s">
        <v>143</v>
      </c>
      <c r="F1846" s="7" t="s">
        <v>9580</v>
      </c>
      <c r="G1846" s="7" t="s">
        <v>9581</v>
      </c>
      <c r="H1846" s="7" t="s">
        <v>208</v>
      </c>
      <c r="I1846" s="7" t="s">
        <v>9582</v>
      </c>
      <c r="J1846" s="7" t="s">
        <v>116</v>
      </c>
      <c r="K1846" s="7" t="s">
        <v>9583</v>
      </c>
    </row>
    <row r="1847" customFormat="false" ht="35.05" hidden="false" customHeight="false" outlineLevel="0" collapsed="false">
      <c r="A1847" s="7" t="n">
        <v>1846</v>
      </c>
      <c r="B1847" s="7" t="s">
        <v>9584</v>
      </c>
      <c r="C1847" s="7" t="n">
        <v>2004</v>
      </c>
      <c r="D1847" s="7" t="s">
        <v>9585</v>
      </c>
      <c r="E1847" s="7" t="s">
        <v>8922</v>
      </c>
      <c r="F1847" s="7" t="s">
        <v>9586</v>
      </c>
      <c r="G1847" s="7" t="s">
        <v>145</v>
      </c>
      <c r="H1847" s="7" t="s">
        <v>153</v>
      </c>
      <c r="I1847" s="7" t="s">
        <v>9587</v>
      </c>
      <c r="J1847" s="7" t="s">
        <v>114</v>
      </c>
      <c r="K1847" s="7" t="s">
        <v>9588</v>
      </c>
    </row>
    <row r="1848" customFormat="false" ht="35.05" hidden="false" customHeight="false" outlineLevel="0" collapsed="false">
      <c r="A1848" s="7" t="n">
        <v>1847</v>
      </c>
      <c r="B1848" s="7" t="s">
        <v>9589</v>
      </c>
      <c r="C1848" s="7" t="n">
        <v>2002</v>
      </c>
      <c r="D1848" s="7" t="s">
        <v>9590</v>
      </c>
      <c r="E1848" s="7" t="s">
        <v>201</v>
      </c>
      <c r="F1848" s="7" t="s">
        <v>1264</v>
      </c>
      <c r="G1848" s="7" t="s">
        <v>145</v>
      </c>
      <c r="H1848" s="7" t="s">
        <v>153</v>
      </c>
      <c r="I1848" s="7" t="s">
        <v>9591</v>
      </c>
      <c r="J1848" s="7" t="s">
        <v>116</v>
      </c>
      <c r="K1848" s="7" t="s">
        <v>9592</v>
      </c>
    </row>
    <row r="1849" customFormat="false" ht="35.05" hidden="false" customHeight="false" outlineLevel="0" collapsed="false">
      <c r="A1849" s="7" t="n">
        <v>1848</v>
      </c>
      <c r="B1849" s="7" t="s">
        <v>9593</v>
      </c>
      <c r="C1849" s="7" t="n">
        <v>2002</v>
      </c>
      <c r="D1849" s="7" t="s">
        <v>9594</v>
      </c>
      <c r="E1849" s="7" t="s">
        <v>151</v>
      </c>
      <c r="F1849" s="7" t="s">
        <v>9595</v>
      </c>
      <c r="G1849" s="7" t="s">
        <v>9596</v>
      </c>
      <c r="H1849" s="7" t="s">
        <v>208</v>
      </c>
      <c r="I1849" s="7" t="s">
        <v>2635</v>
      </c>
      <c r="J1849" s="7"/>
      <c r="K1849" s="7" t="s">
        <v>9597</v>
      </c>
    </row>
    <row r="1850" customFormat="false" ht="35.05" hidden="false" customHeight="false" outlineLevel="0" collapsed="false">
      <c r="A1850" s="7" t="n">
        <v>1849</v>
      </c>
      <c r="B1850" s="7" t="s">
        <v>9598</v>
      </c>
      <c r="C1850" s="7" t="n">
        <v>2003</v>
      </c>
      <c r="D1850" s="7" t="s">
        <v>9599</v>
      </c>
      <c r="E1850" s="7" t="s">
        <v>201</v>
      </c>
      <c r="F1850" s="7" t="s">
        <v>9600</v>
      </c>
      <c r="G1850" s="7" t="s">
        <v>2168</v>
      </c>
      <c r="H1850" s="7" t="s">
        <v>153</v>
      </c>
      <c r="I1850" s="7" t="s">
        <v>9601</v>
      </c>
      <c r="J1850" s="7" t="s">
        <v>116</v>
      </c>
      <c r="K1850" s="7" t="s">
        <v>9602</v>
      </c>
    </row>
    <row r="1851" customFormat="false" ht="23.85" hidden="false" customHeight="false" outlineLevel="0" collapsed="false">
      <c r="A1851" s="7" t="n">
        <v>1850</v>
      </c>
      <c r="B1851" s="7" t="s">
        <v>9603</v>
      </c>
      <c r="C1851" s="7" t="n">
        <v>2001</v>
      </c>
      <c r="D1851" s="7" t="s">
        <v>9604</v>
      </c>
      <c r="E1851" s="7" t="s">
        <v>143</v>
      </c>
      <c r="F1851" s="7" t="s">
        <v>9605</v>
      </c>
      <c r="G1851" s="7" t="s">
        <v>1373</v>
      </c>
      <c r="H1851" s="7" t="s">
        <v>153</v>
      </c>
      <c r="I1851" s="7" t="s">
        <v>9606</v>
      </c>
      <c r="J1851" s="7" t="s">
        <v>114</v>
      </c>
      <c r="K1851" s="7" t="s">
        <v>9607</v>
      </c>
    </row>
    <row r="1852" customFormat="false" ht="23.85" hidden="false" customHeight="false" outlineLevel="0" collapsed="false">
      <c r="A1852" s="7" t="n">
        <v>1851</v>
      </c>
      <c r="B1852" s="7" t="s">
        <v>9608</v>
      </c>
      <c r="C1852" s="7" t="n">
        <v>1995</v>
      </c>
      <c r="D1852" s="7" t="s">
        <v>9609</v>
      </c>
      <c r="E1852" s="7" t="s">
        <v>587</v>
      </c>
      <c r="F1852" s="7" t="s">
        <v>9610</v>
      </c>
      <c r="G1852" s="7" t="s">
        <v>5271</v>
      </c>
      <c r="H1852" s="7" t="s">
        <v>146</v>
      </c>
      <c r="I1852" s="7" t="s">
        <v>9611</v>
      </c>
      <c r="J1852" s="7" t="s">
        <v>114</v>
      </c>
      <c r="K1852" s="7" t="s">
        <v>9612</v>
      </c>
    </row>
    <row r="1853" customFormat="false" ht="23.85" hidden="false" customHeight="false" outlineLevel="0" collapsed="false">
      <c r="A1853" s="7" t="n">
        <v>1852</v>
      </c>
      <c r="B1853" s="7" t="s">
        <v>9613</v>
      </c>
      <c r="C1853" s="7" t="n">
        <v>2001</v>
      </c>
      <c r="D1853" s="7" t="s">
        <v>9614</v>
      </c>
      <c r="E1853" s="7" t="s">
        <v>201</v>
      </c>
      <c r="F1853" s="7" t="s">
        <v>9615</v>
      </c>
      <c r="G1853" s="7" t="s">
        <v>9463</v>
      </c>
      <c r="H1853" s="7" t="s">
        <v>146</v>
      </c>
      <c r="I1853" s="7" t="s">
        <v>9616</v>
      </c>
      <c r="J1853" s="7" t="s">
        <v>116</v>
      </c>
      <c r="K1853" s="7" t="s">
        <v>9617</v>
      </c>
    </row>
    <row r="1854" customFormat="false" ht="23.85" hidden="false" customHeight="false" outlineLevel="0" collapsed="false">
      <c r="A1854" s="7" t="n">
        <v>1853</v>
      </c>
      <c r="B1854" s="7" t="s">
        <v>9618</v>
      </c>
      <c r="C1854" s="7" t="n">
        <v>1999</v>
      </c>
      <c r="D1854" s="7" t="s">
        <v>9619</v>
      </c>
      <c r="E1854" s="7" t="s">
        <v>201</v>
      </c>
      <c r="F1854" s="7" t="s">
        <v>6640</v>
      </c>
      <c r="G1854" s="7" t="s">
        <v>145</v>
      </c>
      <c r="H1854" s="7" t="s">
        <v>146</v>
      </c>
      <c r="I1854" s="7" t="s">
        <v>9620</v>
      </c>
      <c r="J1854" s="7"/>
      <c r="K1854" s="7" t="s">
        <v>9621</v>
      </c>
    </row>
    <row r="1855" customFormat="false" ht="23.85" hidden="false" customHeight="false" outlineLevel="0" collapsed="false">
      <c r="A1855" s="7" t="n">
        <v>1854</v>
      </c>
      <c r="B1855" s="7" t="s">
        <v>9622</v>
      </c>
      <c r="C1855" s="7" t="n">
        <v>2002</v>
      </c>
      <c r="D1855" s="7" t="s">
        <v>9623</v>
      </c>
      <c r="E1855" s="7" t="s">
        <v>143</v>
      </c>
      <c r="F1855" s="7" t="s">
        <v>9624</v>
      </c>
      <c r="G1855" s="7" t="s">
        <v>9625</v>
      </c>
      <c r="H1855" s="7" t="s">
        <v>153</v>
      </c>
      <c r="I1855" s="7" t="s">
        <v>9626</v>
      </c>
      <c r="J1855" s="7" t="s">
        <v>114</v>
      </c>
      <c r="K1855" s="7" t="s">
        <v>9627</v>
      </c>
    </row>
    <row r="1856" customFormat="false" ht="23.85" hidden="false" customHeight="false" outlineLevel="0" collapsed="false">
      <c r="A1856" s="7" t="n">
        <v>1855</v>
      </c>
      <c r="B1856" s="7" t="s">
        <v>9628</v>
      </c>
      <c r="C1856" s="7" t="n">
        <v>1999</v>
      </c>
      <c r="D1856" s="7" t="s">
        <v>9629</v>
      </c>
      <c r="E1856" s="7" t="s">
        <v>151</v>
      </c>
      <c r="F1856" s="7" t="s">
        <v>9630</v>
      </c>
      <c r="G1856" s="7" t="s">
        <v>145</v>
      </c>
      <c r="H1856" s="7" t="s">
        <v>153</v>
      </c>
      <c r="I1856" s="7" t="s">
        <v>9631</v>
      </c>
      <c r="J1856" s="7"/>
      <c r="K1856" s="7" t="s">
        <v>9632</v>
      </c>
    </row>
    <row r="1857" customFormat="false" ht="35.05" hidden="false" customHeight="false" outlineLevel="0" collapsed="false">
      <c r="A1857" s="7" t="n">
        <v>1856</v>
      </c>
      <c r="B1857" s="7" t="s">
        <v>9633</v>
      </c>
      <c r="C1857" s="7" t="n">
        <v>2001</v>
      </c>
      <c r="D1857" s="7" t="s">
        <v>9634</v>
      </c>
      <c r="E1857" s="7" t="s">
        <v>151</v>
      </c>
      <c r="F1857" s="7" t="s">
        <v>197</v>
      </c>
      <c r="G1857" s="7" t="s">
        <v>145</v>
      </c>
      <c r="H1857" s="7" t="s">
        <v>153</v>
      </c>
      <c r="I1857" s="7" t="s">
        <v>9635</v>
      </c>
      <c r="J1857" s="7"/>
      <c r="K1857" s="7" t="s">
        <v>9636</v>
      </c>
    </row>
    <row r="1858" customFormat="false" ht="35.05" hidden="false" customHeight="false" outlineLevel="0" collapsed="false">
      <c r="A1858" s="7" t="n">
        <v>1857</v>
      </c>
      <c r="B1858" s="7" t="s">
        <v>9637</v>
      </c>
      <c r="C1858" s="7" t="n">
        <v>1999</v>
      </c>
      <c r="D1858" s="7" t="s">
        <v>9638</v>
      </c>
      <c r="E1858" s="7" t="s">
        <v>151</v>
      </c>
      <c r="F1858" s="7" t="s">
        <v>9639</v>
      </c>
      <c r="G1858" s="7" t="s">
        <v>9640</v>
      </c>
      <c r="H1858" s="7" t="s">
        <v>153</v>
      </c>
      <c r="I1858" s="7" t="s">
        <v>9641</v>
      </c>
      <c r="J1858" s="7"/>
      <c r="K1858" s="7" t="s">
        <v>9642</v>
      </c>
    </row>
    <row r="1859" customFormat="false" ht="23.85" hidden="false" customHeight="false" outlineLevel="0" collapsed="false">
      <c r="A1859" s="7" t="n">
        <v>1858</v>
      </c>
      <c r="B1859" s="7" t="s">
        <v>9643</v>
      </c>
      <c r="C1859" s="7" t="n">
        <v>2004</v>
      </c>
      <c r="D1859" s="7" t="s">
        <v>9644</v>
      </c>
      <c r="E1859" s="7" t="s">
        <v>143</v>
      </c>
      <c r="F1859" s="7" t="s">
        <v>9645</v>
      </c>
      <c r="G1859" s="7" t="s">
        <v>145</v>
      </c>
      <c r="H1859" s="7" t="s">
        <v>146</v>
      </c>
      <c r="I1859" s="7" t="s">
        <v>9646</v>
      </c>
      <c r="J1859" s="7" t="s">
        <v>116</v>
      </c>
      <c r="K1859" s="7" t="s">
        <v>9647</v>
      </c>
    </row>
    <row r="1860" customFormat="false" ht="35.05" hidden="false" customHeight="false" outlineLevel="0" collapsed="false">
      <c r="A1860" s="7" t="n">
        <v>1859</v>
      </c>
      <c r="B1860" s="7" t="s">
        <v>9648</v>
      </c>
      <c r="C1860" s="7" t="n">
        <v>2001</v>
      </c>
      <c r="D1860" s="7" t="s">
        <v>9649</v>
      </c>
      <c r="E1860" s="7" t="s">
        <v>201</v>
      </c>
      <c r="F1860" s="7" t="s">
        <v>9650</v>
      </c>
      <c r="G1860" s="7" t="s">
        <v>145</v>
      </c>
      <c r="H1860" s="7" t="s">
        <v>387</v>
      </c>
      <c r="I1860" s="7" t="s">
        <v>9651</v>
      </c>
      <c r="J1860" s="7" t="s">
        <v>116</v>
      </c>
      <c r="K1860" s="7" t="s">
        <v>9652</v>
      </c>
    </row>
    <row r="1861" customFormat="false" ht="35.05" hidden="false" customHeight="false" outlineLevel="0" collapsed="false">
      <c r="A1861" s="7" t="n">
        <v>1860</v>
      </c>
      <c r="B1861" s="7" t="s">
        <v>9653</v>
      </c>
      <c r="C1861" s="7" t="n">
        <v>2001</v>
      </c>
      <c r="D1861" s="7" t="s">
        <v>9654</v>
      </c>
      <c r="E1861" s="7" t="s">
        <v>201</v>
      </c>
      <c r="F1861" s="7" t="s">
        <v>9655</v>
      </c>
      <c r="G1861" s="7" t="s">
        <v>9656</v>
      </c>
      <c r="H1861" s="7" t="s">
        <v>146</v>
      </c>
      <c r="I1861" s="7" t="s">
        <v>9657</v>
      </c>
      <c r="J1861" s="7" t="s">
        <v>116</v>
      </c>
      <c r="K1861" s="7" t="s">
        <v>9658</v>
      </c>
    </row>
    <row r="1862" customFormat="false" ht="23.85" hidden="false" customHeight="false" outlineLevel="0" collapsed="false">
      <c r="A1862" s="7" t="n">
        <v>1861</v>
      </c>
      <c r="B1862" s="7" t="s">
        <v>9659</v>
      </c>
      <c r="C1862" s="7" t="n">
        <v>2001</v>
      </c>
      <c r="D1862" s="7" t="s">
        <v>9660</v>
      </c>
      <c r="E1862" s="7" t="s">
        <v>143</v>
      </c>
      <c r="F1862" s="7" t="s">
        <v>9661</v>
      </c>
      <c r="G1862" s="7" t="s">
        <v>145</v>
      </c>
      <c r="H1862" s="7" t="s">
        <v>153</v>
      </c>
      <c r="I1862" s="7" t="s">
        <v>9662</v>
      </c>
      <c r="J1862" s="7" t="s">
        <v>114</v>
      </c>
      <c r="K1862" s="7" t="s">
        <v>9663</v>
      </c>
    </row>
    <row r="1863" customFormat="false" ht="23.85" hidden="false" customHeight="false" outlineLevel="0" collapsed="false">
      <c r="A1863" s="7" t="n">
        <v>1862</v>
      </c>
      <c r="B1863" s="7" t="s">
        <v>9664</v>
      </c>
      <c r="C1863" s="7" t="n">
        <v>2005</v>
      </c>
      <c r="D1863" s="7" t="s">
        <v>9665</v>
      </c>
      <c r="E1863" s="7" t="s">
        <v>143</v>
      </c>
      <c r="F1863" s="7" t="s">
        <v>9666</v>
      </c>
      <c r="G1863" s="7" t="s">
        <v>9667</v>
      </c>
      <c r="H1863" s="7" t="s">
        <v>153</v>
      </c>
      <c r="I1863" s="7" t="s">
        <v>9668</v>
      </c>
      <c r="J1863" s="7" t="s">
        <v>114</v>
      </c>
      <c r="K1863" s="7" t="s">
        <v>9669</v>
      </c>
    </row>
    <row r="1864" customFormat="false" ht="35.05" hidden="false" customHeight="false" outlineLevel="0" collapsed="false">
      <c r="A1864" s="7" t="n">
        <v>1863</v>
      </c>
      <c r="B1864" s="7" t="s">
        <v>9670</v>
      </c>
      <c r="C1864" s="7" t="n">
        <v>2004</v>
      </c>
      <c r="D1864" s="7" t="s">
        <v>9671</v>
      </c>
      <c r="E1864" s="7" t="s">
        <v>201</v>
      </c>
      <c r="F1864" s="7" t="s">
        <v>9672</v>
      </c>
      <c r="G1864" s="7" t="s">
        <v>181</v>
      </c>
      <c r="H1864" s="7" t="s">
        <v>153</v>
      </c>
      <c r="I1864" s="7" t="s">
        <v>9673</v>
      </c>
      <c r="J1864" s="7" t="s">
        <v>116</v>
      </c>
      <c r="K1864" s="7" t="s">
        <v>9674</v>
      </c>
    </row>
    <row r="1865" customFormat="false" ht="35.05" hidden="false" customHeight="false" outlineLevel="0" collapsed="false">
      <c r="A1865" s="7" t="n">
        <v>1864</v>
      </c>
      <c r="B1865" s="7" t="s">
        <v>9675</v>
      </c>
      <c r="C1865" s="7" t="n">
        <v>1998</v>
      </c>
      <c r="D1865" s="7" t="s">
        <v>9676</v>
      </c>
      <c r="E1865" s="7" t="s">
        <v>143</v>
      </c>
      <c r="F1865" s="7" t="s">
        <v>9677</v>
      </c>
      <c r="G1865" s="7" t="s">
        <v>9678</v>
      </c>
      <c r="H1865" s="7" t="s">
        <v>146</v>
      </c>
      <c r="I1865" s="7" t="s">
        <v>9679</v>
      </c>
      <c r="J1865" s="7" t="s">
        <v>114</v>
      </c>
      <c r="K1865" s="7" t="s">
        <v>9680</v>
      </c>
    </row>
    <row r="1866" customFormat="false" ht="35.05" hidden="false" customHeight="false" outlineLevel="0" collapsed="false">
      <c r="A1866" s="7" t="n">
        <v>1865</v>
      </c>
      <c r="B1866" s="7" t="s">
        <v>9681</v>
      </c>
      <c r="C1866" s="7" t="n">
        <v>2001</v>
      </c>
      <c r="D1866" s="7" t="s">
        <v>9682</v>
      </c>
      <c r="E1866" s="7" t="s">
        <v>201</v>
      </c>
      <c r="F1866" s="7" t="s">
        <v>9683</v>
      </c>
      <c r="G1866" s="7" t="s">
        <v>9684</v>
      </c>
      <c r="H1866" s="7" t="s">
        <v>146</v>
      </c>
      <c r="I1866" s="7" t="s">
        <v>9685</v>
      </c>
      <c r="J1866" s="7" t="s">
        <v>114</v>
      </c>
      <c r="K1866" s="7" t="s">
        <v>9686</v>
      </c>
    </row>
    <row r="1867" customFormat="false" ht="23.85" hidden="false" customHeight="false" outlineLevel="0" collapsed="false">
      <c r="A1867" s="7" t="n">
        <v>1866</v>
      </c>
      <c r="B1867" s="7" t="s">
        <v>9687</v>
      </c>
      <c r="C1867" s="7" t="n">
        <v>2002</v>
      </c>
      <c r="D1867" s="7" t="s">
        <v>9688</v>
      </c>
      <c r="E1867" s="7" t="s">
        <v>151</v>
      </c>
      <c r="F1867" s="7" t="s">
        <v>9689</v>
      </c>
      <c r="G1867" s="7" t="s">
        <v>9690</v>
      </c>
      <c r="H1867" s="7" t="s">
        <v>146</v>
      </c>
      <c r="I1867" s="7" t="s">
        <v>9691</v>
      </c>
      <c r="J1867" s="7" t="s">
        <v>116</v>
      </c>
      <c r="K1867" s="7" t="s">
        <v>9692</v>
      </c>
    </row>
    <row r="1868" customFormat="false" ht="23.85" hidden="false" customHeight="false" outlineLevel="0" collapsed="false">
      <c r="A1868" s="7" t="n">
        <v>1867</v>
      </c>
      <c r="B1868" s="7" t="s">
        <v>9693</v>
      </c>
      <c r="C1868" s="7" t="n">
        <v>2004</v>
      </c>
      <c r="D1868" s="7" t="s">
        <v>9694</v>
      </c>
      <c r="E1868" s="7" t="s">
        <v>201</v>
      </c>
      <c r="F1868" s="7" t="s">
        <v>9695</v>
      </c>
      <c r="G1868" s="7" t="s">
        <v>9696</v>
      </c>
      <c r="H1868" s="7" t="s">
        <v>153</v>
      </c>
      <c r="I1868" s="7" t="s">
        <v>9697</v>
      </c>
      <c r="J1868" s="7" t="s">
        <v>114</v>
      </c>
      <c r="K1868" s="7" t="s">
        <v>9698</v>
      </c>
    </row>
    <row r="1869" customFormat="false" ht="23.85" hidden="false" customHeight="false" outlineLevel="0" collapsed="false">
      <c r="A1869" s="7" t="n">
        <v>1868</v>
      </c>
      <c r="B1869" s="7" t="s">
        <v>9699</v>
      </c>
      <c r="C1869" s="7" t="n">
        <v>2002</v>
      </c>
      <c r="D1869" s="7" t="s">
        <v>9700</v>
      </c>
      <c r="E1869" s="7" t="s">
        <v>201</v>
      </c>
      <c r="F1869" s="7" t="s">
        <v>9701</v>
      </c>
      <c r="G1869" s="7" t="s">
        <v>9702</v>
      </c>
      <c r="H1869" s="7" t="s">
        <v>146</v>
      </c>
      <c r="I1869" s="7" t="s">
        <v>9703</v>
      </c>
      <c r="J1869" s="7" t="s">
        <v>116</v>
      </c>
      <c r="K1869" s="7" t="s">
        <v>9704</v>
      </c>
    </row>
    <row r="1870" customFormat="false" ht="23.85" hidden="false" customHeight="false" outlineLevel="0" collapsed="false">
      <c r="A1870" s="7" t="n">
        <v>1869</v>
      </c>
      <c r="B1870" s="7" t="s">
        <v>9705</v>
      </c>
      <c r="C1870" s="7" t="n">
        <v>2003</v>
      </c>
      <c r="D1870" s="7" t="s">
        <v>9706</v>
      </c>
      <c r="E1870" s="7" t="s">
        <v>201</v>
      </c>
      <c r="F1870" s="7" t="s">
        <v>9707</v>
      </c>
      <c r="G1870" s="7" t="s">
        <v>145</v>
      </c>
      <c r="H1870" s="7" t="s">
        <v>153</v>
      </c>
      <c r="I1870" s="7" t="s">
        <v>9708</v>
      </c>
      <c r="J1870" s="7" t="s">
        <v>114</v>
      </c>
      <c r="K1870" s="7" t="s">
        <v>9709</v>
      </c>
    </row>
    <row r="1871" customFormat="false" ht="23.85" hidden="false" customHeight="false" outlineLevel="0" collapsed="false">
      <c r="A1871" s="7" t="n">
        <v>1870</v>
      </c>
      <c r="B1871" s="7" t="s">
        <v>9710</v>
      </c>
      <c r="C1871" s="7" t="n">
        <v>2004</v>
      </c>
      <c r="D1871" s="7" t="s">
        <v>9711</v>
      </c>
      <c r="E1871" s="7" t="s">
        <v>151</v>
      </c>
      <c r="F1871" s="7" t="s">
        <v>9712</v>
      </c>
      <c r="G1871" s="7" t="s">
        <v>145</v>
      </c>
      <c r="H1871" s="7" t="s">
        <v>153</v>
      </c>
      <c r="I1871" s="7" t="s">
        <v>9713</v>
      </c>
      <c r="J1871" s="7" t="s">
        <v>112</v>
      </c>
      <c r="K1871" s="7" t="s">
        <v>9714</v>
      </c>
    </row>
    <row r="1872" customFormat="false" ht="35.05" hidden="false" customHeight="false" outlineLevel="0" collapsed="false">
      <c r="A1872" s="7" t="n">
        <v>1871</v>
      </c>
      <c r="B1872" s="7" t="s">
        <v>9715</v>
      </c>
      <c r="C1872" s="7" t="n">
        <v>1999</v>
      </c>
      <c r="D1872" s="7" t="s">
        <v>9716</v>
      </c>
      <c r="E1872" s="7" t="s">
        <v>3817</v>
      </c>
      <c r="F1872" s="7" t="s">
        <v>152</v>
      </c>
      <c r="G1872" s="7" t="s">
        <v>145</v>
      </c>
      <c r="H1872" s="7" t="s">
        <v>153</v>
      </c>
      <c r="I1872" s="7" t="s">
        <v>9717</v>
      </c>
      <c r="J1872" s="7"/>
      <c r="K1872" s="7" t="s">
        <v>9718</v>
      </c>
    </row>
    <row r="1873" customFormat="false" ht="35.05" hidden="false" customHeight="false" outlineLevel="0" collapsed="false">
      <c r="A1873" s="7" t="n">
        <v>1872</v>
      </c>
      <c r="B1873" s="7" t="s">
        <v>9719</v>
      </c>
      <c r="C1873" s="7" t="n">
        <v>1997</v>
      </c>
      <c r="D1873" s="7" t="s">
        <v>9720</v>
      </c>
      <c r="E1873" s="7" t="s">
        <v>587</v>
      </c>
      <c r="F1873" s="7" t="s">
        <v>9721</v>
      </c>
      <c r="G1873" s="7" t="s">
        <v>4711</v>
      </c>
      <c r="H1873" s="7" t="s">
        <v>153</v>
      </c>
      <c r="I1873" s="7" t="s">
        <v>9722</v>
      </c>
      <c r="J1873" s="7" t="s">
        <v>116</v>
      </c>
      <c r="K1873" s="7" t="s">
        <v>9723</v>
      </c>
    </row>
    <row r="1874" customFormat="false" ht="23.85" hidden="false" customHeight="false" outlineLevel="0" collapsed="false">
      <c r="A1874" s="7" t="n">
        <v>1873</v>
      </c>
      <c r="B1874" s="7" t="s">
        <v>9724</v>
      </c>
      <c r="C1874" s="7" t="n">
        <v>1998</v>
      </c>
      <c r="D1874" s="7" t="s">
        <v>9725</v>
      </c>
      <c r="E1874" s="7" t="s">
        <v>201</v>
      </c>
      <c r="F1874" s="7" t="s">
        <v>152</v>
      </c>
      <c r="G1874" s="7" t="s">
        <v>145</v>
      </c>
      <c r="H1874" s="7" t="s">
        <v>153</v>
      </c>
      <c r="I1874" s="7" t="s">
        <v>9726</v>
      </c>
      <c r="J1874" s="7"/>
      <c r="K1874" s="7" t="s">
        <v>9727</v>
      </c>
    </row>
    <row r="1875" customFormat="false" ht="35.05" hidden="false" customHeight="false" outlineLevel="0" collapsed="false">
      <c r="A1875" s="7" t="n">
        <v>1874</v>
      </c>
      <c r="B1875" s="7" t="s">
        <v>9728</v>
      </c>
      <c r="C1875" s="7" t="n">
        <v>2001</v>
      </c>
      <c r="D1875" s="7" t="s">
        <v>9729</v>
      </c>
      <c r="E1875" s="7" t="s">
        <v>201</v>
      </c>
      <c r="F1875" s="7" t="s">
        <v>9730</v>
      </c>
      <c r="G1875" s="7" t="s">
        <v>678</v>
      </c>
      <c r="H1875" s="7" t="s">
        <v>146</v>
      </c>
      <c r="I1875" s="7" t="s">
        <v>9731</v>
      </c>
      <c r="J1875" s="7" t="s">
        <v>116</v>
      </c>
      <c r="K1875" s="7" t="s">
        <v>9732</v>
      </c>
    </row>
    <row r="1876" customFormat="false" ht="35.05" hidden="false" customHeight="false" outlineLevel="0" collapsed="false">
      <c r="A1876" s="7" t="n">
        <v>1875</v>
      </c>
      <c r="B1876" s="7" t="s">
        <v>9733</v>
      </c>
      <c r="C1876" s="7" t="n">
        <v>2004</v>
      </c>
      <c r="D1876" s="7" t="s">
        <v>9734</v>
      </c>
      <c r="E1876" s="7" t="s">
        <v>587</v>
      </c>
      <c r="F1876" s="7" t="s">
        <v>9735</v>
      </c>
      <c r="G1876" s="7" t="s">
        <v>2037</v>
      </c>
      <c r="H1876" s="7" t="s">
        <v>146</v>
      </c>
      <c r="I1876" s="7" t="s">
        <v>9736</v>
      </c>
      <c r="J1876" s="7"/>
      <c r="K1876" s="7" t="s">
        <v>9737</v>
      </c>
    </row>
    <row r="1877" customFormat="false" ht="35.05" hidden="false" customHeight="false" outlineLevel="0" collapsed="false">
      <c r="A1877" s="7" t="n">
        <v>1876</v>
      </c>
      <c r="B1877" s="7" t="s">
        <v>9738</v>
      </c>
      <c r="C1877" s="7" t="n">
        <v>2003</v>
      </c>
      <c r="D1877" s="7" t="s">
        <v>9739</v>
      </c>
      <c r="E1877" s="7" t="s">
        <v>579</v>
      </c>
      <c r="F1877" s="7" t="s">
        <v>9740</v>
      </c>
      <c r="G1877" s="7" t="s">
        <v>9741</v>
      </c>
      <c r="H1877" s="7" t="s">
        <v>387</v>
      </c>
      <c r="I1877" s="7" t="s">
        <v>9742</v>
      </c>
      <c r="J1877" s="7" t="s">
        <v>116</v>
      </c>
      <c r="K1877" s="7" t="s">
        <v>9743</v>
      </c>
    </row>
    <row r="1878" customFormat="false" ht="23.85" hidden="false" customHeight="false" outlineLevel="0" collapsed="false">
      <c r="A1878" s="7" t="n">
        <v>1877</v>
      </c>
      <c r="B1878" s="7" t="s">
        <v>9744</v>
      </c>
      <c r="C1878" s="7" t="n">
        <v>1999</v>
      </c>
      <c r="D1878" s="7" t="s">
        <v>9745</v>
      </c>
      <c r="E1878" s="7" t="s">
        <v>143</v>
      </c>
      <c r="F1878" s="7" t="s">
        <v>9746</v>
      </c>
      <c r="G1878" s="7" t="s">
        <v>6682</v>
      </c>
      <c r="H1878" s="7" t="s">
        <v>153</v>
      </c>
      <c r="I1878" s="7" t="s">
        <v>9747</v>
      </c>
      <c r="J1878" s="7" t="s">
        <v>114</v>
      </c>
      <c r="K1878" s="7" t="s">
        <v>9748</v>
      </c>
    </row>
    <row r="1879" customFormat="false" ht="35.05" hidden="false" customHeight="false" outlineLevel="0" collapsed="false">
      <c r="A1879" s="7" t="n">
        <v>1878</v>
      </c>
      <c r="B1879" s="7" t="s">
        <v>9749</v>
      </c>
      <c r="C1879" s="7" t="n">
        <v>2003</v>
      </c>
      <c r="D1879" s="7" t="s">
        <v>9750</v>
      </c>
      <c r="E1879" s="7" t="s">
        <v>201</v>
      </c>
      <c r="F1879" s="7" t="s">
        <v>4532</v>
      </c>
      <c r="G1879" s="7" t="s">
        <v>145</v>
      </c>
      <c r="H1879" s="7" t="s">
        <v>146</v>
      </c>
      <c r="I1879" s="7" t="s">
        <v>9751</v>
      </c>
      <c r="J1879" s="7" t="s">
        <v>116</v>
      </c>
      <c r="K1879" s="7" t="s">
        <v>9752</v>
      </c>
    </row>
    <row r="1880" customFormat="false" ht="23.85" hidden="false" customHeight="false" outlineLevel="0" collapsed="false">
      <c r="A1880" s="7" t="n">
        <v>1879</v>
      </c>
      <c r="B1880" s="7" t="s">
        <v>9753</v>
      </c>
      <c r="C1880" s="7" t="n">
        <v>2004</v>
      </c>
      <c r="D1880" s="7" t="s">
        <v>9754</v>
      </c>
      <c r="E1880" s="7" t="s">
        <v>579</v>
      </c>
      <c r="F1880" s="7" t="s">
        <v>9755</v>
      </c>
      <c r="G1880" s="7" t="s">
        <v>2168</v>
      </c>
      <c r="H1880" s="7" t="s">
        <v>146</v>
      </c>
      <c r="I1880" s="7" t="s">
        <v>9756</v>
      </c>
      <c r="J1880" s="7" t="s">
        <v>114</v>
      </c>
      <c r="K1880" s="7" t="s">
        <v>9757</v>
      </c>
    </row>
    <row r="1881" customFormat="false" ht="35.05" hidden="false" customHeight="false" outlineLevel="0" collapsed="false">
      <c r="A1881" s="7" t="n">
        <v>1880</v>
      </c>
      <c r="B1881" s="7" t="s">
        <v>9758</v>
      </c>
      <c r="C1881" s="7" t="n">
        <v>2004</v>
      </c>
      <c r="D1881" s="7" t="s">
        <v>9759</v>
      </c>
      <c r="E1881" s="7" t="s">
        <v>201</v>
      </c>
      <c r="F1881" s="7" t="s">
        <v>9760</v>
      </c>
      <c r="G1881" s="7" t="s">
        <v>9761</v>
      </c>
      <c r="H1881" s="7" t="s">
        <v>208</v>
      </c>
      <c r="I1881" s="7" t="s">
        <v>9762</v>
      </c>
      <c r="J1881" s="7"/>
      <c r="K1881" s="7" t="s">
        <v>9763</v>
      </c>
    </row>
    <row r="1882" customFormat="false" ht="35.05" hidden="false" customHeight="false" outlineLevel="0" collapsed="false">
      <c r="A1882" s="7" t="n">
        <v>1881</v>
      </c>
      <c r="B1882" s="7" t="s">
        <v>9764</v>
      </c>
      <c r="C1882" s="7" t="n">
        <v>1995</v>
      </c>
      <c r="D1882" s="7" t="s">
        <v>9765</v>
      </c>
      <c r="E1882" s="7" t="s">
        <v>587</v>
      </c>
      <c r="F1882" s="7" t="s">
        <v>9766</v>
      </c>
      <c r="G1882" s="7" t="s">
        <v>9767</v>
      </c>
      <c r="H1882" s="7" t="s">
        <v>146</v>
      </c>
      <c r="I1882" s="7" t="s">
        <v>9768</v>
      </c>
      <c r="J1882" s="7" t="s">
        <v>116</v>
      </c>
      <c r="K1882" s="7" t="s">
        <v>9769</v>
      </c>
    </row>
    <row r="1883" customFormat="false" ht="23.85" hidden="false" customHeight="false" outlineLevel="0" collapsed="false">
      <c r="A1883" s="7" t="n">
        <v>1882</v>
      </c>
      <c r="B1883" s="7" t="s">
        <v>9770</v>
      </c>
      <c r="C1883" s="7" t="n">
        <v>1995</v>
      </c>
      <c r="D1883" s="7" t="s">
        <v>9771</v>
      </c>
      <c r="E1883" s="7" t="s">
        <v>587</v>
      </c>
      <c r="F1883" s="7" t="s">
        <v>9772</v>
      </c>
      <c r="G1883" s="7" t="s">
        <v>1138</v>
      </c>
      <c r="H1883" s="7" t="s">
        <v>146</v>
      </c>
      <c r="I1883" s="7" t="s">
        <v>9773</v>
      </c>
      <c r="J1883" s="7"/>
      <c r="K1883" s="7" t="s">
        <v>9774</v>
      </c>
    </row>
    <row r="1884" customFormat="false" ht="35.05" hidden="false" customHeight="false" outlineLevel="0" collapsed="false">
      <c r="A1884" s="7" t="n">
        <v>1883</v>
      </c>
      <c r="B1884" s="7" t="s">
        <v>9775</v>
      </c>
      <c r="C1884" s="7" t="n">
        <v>2002</v>
      </c>
      <c r="D1884" s="7" t="s">
        <v>9776</v>
      </c>
      <c r="E1884" s="7" t="s">
        <v>151</v>
      </c>
      <c r="F1884" s="7" t="s">
        <v>9777</v>
      </c>
      <c r="G1884" s="7" t="s">
        <v>1373</v>
      </c>
      <c r="H1884" s="7" t="s">
        <v>153</v>
      </c>
      <c r="I1884" s="7" t="s">
        <v>9778</v>
      </c>
      <c r="J1884" s="7" t="s">
        <v>114</v>
      </c>
      <c r="K1884" s="7" t="s">
        <v>9779</v>
      </c>
    </row>
    <row r="1885" customFormat="false" ht="35.05" hidden="false" customHeight="false" outlineLevel="0" collapsed="false">
      <c r="A1885" s="7" t="n">
        <v>1884</v>
      </c>
      <c r="B1885" s="7" t="s">
        <v>9775</v>
      </c>
      <c r="C1885" s="7" t="n">
        <v>2005</v>
      </c>
      <c r="D1885" s="7" t="s">
        <v>9780</v>
      </c>
      <c r="E1885" s="7" t="s">
        <v>201</v>
      </c>
      <c r="F1885" s="7" t="s">
        <v>9781</v>
      </c>
      <c r="G1885" s="7" t="s">
        <v>2168</v>
      </c>
      <c r="H1885" s="7" t="s">
        <v>153</v>
      </c>
      <c r="I1885" s="7" t="s">
        <v>9782</v>
      </c>
      <c r="J1885" s="7" t="s">
        <v>116</v>
      </c>
      <c r="K1885" s="7" t="s">
        <v>9783</v>
      </c>
    </row>
    <row r="1886" customFormat="false" ht="23.85" hidden="false" customHeight="false" outlineLevel="0" collapsed="false">
      <c r="A1886" s="7" t="n">
        <v>1885</v>
      </c>
      <c r="B1886" s="7" t="s">
        <v>9784</v>
      </c>
      <c r="C1886" s="7" t="n">
        <v>1995</v>
      </c>
      <c r="D1886" s="7" t="s">
        <v>9785</v>
      </c>
      <c r="E1886" s="7" t="s">
        <v>587</v>
      </c>
      <c r="F1886" s="7" t="s">
        <v>9786</v>
      </c>
      <c r="G1886" s="7" t="s">
        <v>2037</v>
      </c>
      <c r="H1886" s="7" t="s">
        <v>146</v>
      </c>
      <c r="I1886" s="7" t="s">
        <v>9787</v>
      </c>
      <c r="J1886" s="7"/>
      <c r="K1886" s="7" t="s">
        <v>9788</v>
      </c>
    </row>
    <row r="1887" customFormat="false" ht="23.85" hidden="false" customHeight="false" outlineLevel="0" collapsed="false">
      <c r="A1887" s="7" t="n">
        <v>1886</v>
      </c>
      <c r="B1887" s="7" t="s">
        <v>9789</v>
      </c>
      <c r="C1887" s="7" t="n">
        <v>2002</v>
      </c>
      <c r="D1887" s="7" t="s">
        <v>9790</v>
      </c>
      <c r="E1887" s="7" t="s">
        <v>201</v>
      </c>
      <c r="F1887" s="7" t="s">
        <v>9791</v>
      </c>
      <c r="G1887" s="7" t="s">
        <v>9792</v>
      </c>
      <c r="H1887" s="7" t="s">
        <v>387</v>
      </c>
      <c r="I1887" s="7" t="s">
        <v>9793</v>
      </c>
      <c r="J1887" s="7" t="s">
        <v>116</v>
      </c>
      <c r="K1887" s="7" t="s">
        <v>9794</v>
      </c>
    </row>
    <row r="1888" customFormat="false" ht="35.05" hidden="false" customHeight="false" outlineLevel="0" collapsed="false">
      <c r="A1888" s="7" t="n">
        <v>1887</v>
      </c>
      <c r="B1888" s="7" t="s">
        <v>9795</v>
      </c>
      <c r="C1888" s="7" t="n">
        <v>2002</v>
      </c>
      <c r="D1888" s="7" t="s">
        <v>9796</v>
      </c>
      <c r="E1888" s="7" t="s">
        <v>201</v>
      </c>
      <c r="F1888" s="7" t="s">
        <v>9797</v>
      </c>
      <c r="G1888" s="7" t="s">
        <v>9574</v>
      </c>
      <c r="H1888" s="7" t="s">
        <v>146</v>
      </c>
      <c r="I1888" s="7" t="s">
        <v>9798</v>
      </c>
      <c r="J1888" s="7" t="s">
        <v>116</v>
      </c>
      <c r="K1888" s="7" t="s">
        <v>9799</v>
      </c>
    </row>
    <row r="1889" customFormat="false" ht="23.85" hidden="false" customHeight="false" outlineLevel="0" collapsed="false">
      <c r="A1889" s="7" t="n">
        <v>1888</v>
      </c>
      <c r="B1889" s="7" t="s">
        <v>9800</v>
      </c>
      <c r="C1889" s="7" t="n">
        <v>2004</v>
      </c>
      <c r="D1889" s="7" t="s">
        <v>9801</v>
      </c>
      <c r="E1889" s="7" t="s">
        <v>201</v>
      </c>
      <c r="F1889" s="7" t="s">
        <v>9802</v>
      </c>
      <c r="G1889" s="7" t="s">
        <v>145</v>
      </c>
      <c r="H1889" s="7" t="s">
        <v>153</v>
      </c>
      <c r="I1889" s="7" t="s">
        <v>9803</v>
      </c>
      <c r="J1889" s="7" t="s">
        <v>116</v>
      </c>
      <c r="K1889" s="7" t="s">
        <v>9804</v>
      </c>
    </row>
    <row r="1890" customFormat="false" ht="35.05" hidden="false" customHeight="false" outlineLevel="0" collapsed="false">
      <c r="A1890" s="7" t="n">
        <v>1889</v>
      </c>
      <c r="B1890" s="7" t="s">
        <v>9805</v>
      </c>
      <c r="C1890" s="7" t="n">
        <v>1997</v>
      </c>
      <c r="D1890" s="7" t="s">
        <v>9806</v>
      </c>
      <c r="E1890" s="7" t="s">
        <v>201</v>
      </c>
      <c r="F1890" s="7" t="s">
        <v>9630</v>
      </c>
      <c r="G1890" s="7" t="s">
        <v>145</v>
      </c>
      <c r="H1890" s="7" t="s">
        <v>146</v>
      </c>
      <c r="I1890" s="7" t="s">
        <v>9807</v>
      </c>
      <c r="J1890" s="7" t="s">
        <v>116</v>
      </c>
      <c r="K1890" s="7" t="s">
        <v>9808</v>
      </c>
    </row>
    <row r="1891" customFormat="false" ht="35.05" hidden="false" customHeight="false" outlineLevel="0" collapsed="false">
      <c r="A1891" s="7" t="n">
        <v>1890</v>
      </c>
      <c r="B1891" s="7" t="s">
        <v>9809</v>
      </c>
      <c r="C1891" s="7" t="n">
        <v>2004</v>
      </c>
      <c r="D1891" s="7" t="s">
        <v>9810</v>
      </c>
      <c r="E1891" s="7" t="s">
        <v>201</v>
      </c>
      <c r="F1891" s="7" t="s">
        <v>9811</v>
      </c>
      <c r="G1891" s="7" t="s">
        <v>9812</v>
      </c>
      <c r="H1891" s="7" t="s">
        <v>153</v>
      </c>
      <c r="I1891" s="7" t="s">
        <v>9813</v>
      </c>
      <c r="J1891" s="7" t="s">
        <v>114</v>
      </c>
      <c r="K1891" s="7" t="s">
        <v>9814</v>
      </c>
    </row>
    <row r="1892" customFormat="false" ht="23.85" hidden="false" customHeight="false" outlineLevel="0" collapsed="false">
      <c r="A1892" s="7" t="n">
        <v>1891</v>
      </c>
      <c r="B1892" s="7" t="s">
        <v>9815</v>
      </c>
      <c r="C1892" s="7" t="n">
        <v>1988</v>
      </c>
      <c r="D1892" s="7" t="s">
        <v>9817</v>
      </c>
      <c r="E1892" s="7" t="s">
        <v>201</v>
      </c>
      <c r="F1892" s="7" t="s">
        <v>9818</v>
      </c>
      <c r="G1892" s="7" t="s">
        <v>9819</v>
      </c>
      <c r="H1892" s="7" t="s">
        <v>146</v>
      </c>
      <c r="I1892" s="7" t="s">
        <v>9820</v>
      </c>
      <c r="J1892" s="7"/>
      <c r="K1892" s="7" t="s">
        <v>9821</v>
      </c>
    </row>
    <row r="1893" customFormat="false" ht="35.05" hidden="false" customHeight="false" outlineLevel="0" collapsed="false">
      <c r="A1893" s="7" t="n">
        <v>1892</v>
      </c>
      <c r="B1893" s="7" t="s">
        <v>9822</v>
      </c>
      <c r="C1893" s="7" t="n">
        <v>1998</v>
      </c>
      <c r="D1893" s="7" t="s">
        <v>9823</v>
      </c>
      <c r="E1893" s="7" t="s">
        <v>201</v>
      </c>
      <c r="F1893" s="7" t="s">
        <v>9824</v>
      </c>
      <c r="G1893" s="7" t="s">
        <v>9825</v>
      </c>
      <c r="H1893" s="7" t="s">
        <v>208</v>
      </c>
      <c r="I1893" s="7" t="s">
        <v>9826</v>
      </c>
      <c r="J1893" s="7" t="s">
        <v>116</v>
      </c>
      <c r="K1893" s="7" t="s">
        <v>9827</v>
      </c>
    </row>
    <row r="1894" customFormat="false" ht="23.85" hidden="false" customHeight="false" outlineLevel="0" collapsed="false">
      <c r="A1894" s="7" t="n">
        <v>1893</v>
      </c>
      <c r="B1894" s="7" t="s">
        <v>9822</v>
      </c>
      <c r="C1894" s="7" t="n">
        <v>2003</v>
      </c>
      <c r="D1894" s="7" t="s">
        <v>9828</v>
      </c>
      <c r="E1894" s="7" t="s">
        <v>201</v>
      </c>
      <c r="F1894" s="7" t="s">
        <v>9829</v>
      </c>
      <c r="G1894" s="7" t="s">
        <v>9830</v>
      </c>
      <c r="H1894" s="7" t="s">
        <v>208</v>
      </c>
      <c r="I1894" s="7" t="s">
        <v>9831</v>
      </c>
      <c r="J1894" s="7" t="s">
        <v>114</v>
      </c>
      <c r="K1894" s="7" t="s">
        <v>9832</v>
      </c>
    </row>
    <row r="1895" customFormat="false" ht="23.85" hidden="false" customHeight="false" outlineLevel="0" collapsed="false">
      <c r="A1895" s="7" t="n">
        <v>1894</v>
      </c>
      <c r="B1895" s="7" t="s">
        <v>9833</v>
      </c>
      <c r="C1895" s="7" t="n">
        <v>2000</v>
      </c>
      <c r="D1895" s="7" t="s">
        <v>9834</v>
      </c>
      <c r="E1895" s="7" t="s">
        <v>201</v>
      </c>
      <c r="F1895" s="7" t="s">
        <v>9835</v>
      </c>
      <c r="G1895" s="7" t="s">
        <v>9836</v>
      </c>
      <c r="H1895" s="7" t="s">
        <v>146</v>
      </c>
      <c r="I1895" s="7" t="s">
        <v>9837</v>
      </c>
      <c r="J1895" s="7" t="s">
        <v>116</v>
      </c>
      <c r="K1895" s="7" t="s">
        <v>9838</v>
      </c>
    </row>
    <row r="1896" customFormat="false" ht="23.85" hidden="false" customHeight="false" outlineLevel="0" collapsed="false">
      <c r="A1896" s="7" t="n">
        <v>1895</v>
      </c>
      <c r="B1896" s="7" t="s">
        <v>9839</v>
      </c>
      <c r="C1896" s="7" t="n">
        <v>1998</v>
      </c>
      <c r="D1896" s="7" t="s">
        <v>9840</v>
      </c>
      <c r="E1896" s="7" t="s">
        <v>143</v>
      </c>
      <c r="F1896" s="7" t="s">
        <v>9841</v>
      </c>
      <c r="G1896" s="7" t="s">
        <v>9842</v>
      </c>
      <c r="H1896" s="7" t="s">
        <v>208</v>
      </c>
      <c r="I1896" s="7" t="s">
        <v>9843</v>
      </c>
      <c r="J1896" s="7" t="s">
        <v>114</v>
      </c>
      <c r="K1896" s="7" t="s">
        <v>9844</v>
      </c>
    </row>
    <row r="1897" customFormat="false" ht="23.85" hidden="false" customHeight="false" outlineLevel="0" collapsed="false">
      <c r="A1897" s="7" t="n">
        <v>1896</v>
      </c>
      <c r="B1897" s="7" t="s">
        <v>9845</v>
      </c>
      <c r="C1897" s="7" t="n">
        <v>2001</v>
      </c>
      <c r="D1897" s="7" t="s">
        <v>9846</v>
      </c>
      <c r="E1897" s="7" t="s">
        <v>8922</v>
      </c>
      <c r="F1897" s="7" t="s">
        <v>9847</v>
      </c>
      <c r="G1897" s="7" t="s">
        <v>145</v>
      </c>
      <c r="H1897" s="7" t="s">
        <v>153</v>
      </c>
      <c r="I1897" s="7" t="s">
        <v>9848</v>
      </c>
      <c r="J1897" s="7" t="s">
        <v>114</v>
      </c>
      <c r="K1897" s="7" t="s">
        <v>9849</v>
      </c>
    </row>
    <row r="1898" customFormat="false" ht="23.85" hidden="false" customHeight="false" outlineLevel="0" collapsed="false">
      <c r="A1898" s="7" t="n">
        <v>1897</v>
      </c>
      <c r="B1898" s="7" t="s">
        <v>9850</v>
      </c>
      <c r="C1898" s="7" t="n">
        <v>2003</v>
      </c>
      <c r="D1898" s="7" t="s">
        <v>9851</v>
      </c>
      <c r="E1898" s="7" t="s">
        <v>542</v>
      </c>
      <c r="F1898" s="7" t="s">
        <v>9852</v>
      </c>
      <c r="G1898" s="7" t="s">
        <v>1373</v>
      </c>
      <c r="H1898" s="7" t="s">
        <v>153</v>
      </c>
      <c r="I1898" s="7" t="s">
        <v>9853</v>
      </c>
      <c r="J1898" s="7" t="s">
        <v>116</v>
      </c>
      <c r="K1898" s="7" t="s">
        <v>9854</v>
      </c>
    </row>
    <row r="1899" customFormat="false" ht="23.85" hidden="false" customHeight="false" outlineLevel="0" collapsed="false">
      <c r="A1899" s="7" t="n">
        <v>1898</v>
      </c>
      <c r="B1899" s="7" t="s">
        <v>9855</v>
      </c>
      <c r="C1899" s="7" t="n">
        <v>2004</v>
      </c>
      <c r="D1899" s="7" t="s">
        <v>9856</v>
      </c>
      <c r="E1899" s="7" t="s">
        <v>201</v>
      </c>
      <c r="F1899" s="7" t="s">
        <v>9857</v>
      </c>
      <c r="G1899" s="7" t="s">
        <v>2168</v>
      </c>
      <c r="H1899" s="7" t="s">
        <v>153</v>
      </c>
      <c r="I1899" s="7" t="s">
        <v>9858</v>
      </c>
      <c r="J1899" s="7" t="s">
        <v>114</v>
      </c>
      <c r="K1899" s="7" t="s">
        <v>9859</v>
      </c>
    </row>
    <row r="1900" customFormat="false" ht="35.05" hidden="false" customHeight="false" outlineLevel="0" collapsed="false">
      <c r="A1900" s="7" t="n">
        <v>1899</v>
      </c>
      <c r="B1900" s="7" t="s">
        <v>9860</v>
      </c>
      <c r="C1900" s="7" t="n">
        <v>2004</v>
      </c>
      <c r="D1900" s="7" t="s">
        <v>9861</v>
      </c>
      <c r="E1900" s="7" t="s">
        <v>201</v>
      </c>
      <c r="F1900" s="7" t="s">
        <v>9862</v>
      </c>
      <c r="G1900" s="7" t="s">
        <v>9863</v>
      </c>
      <c r="H1900" s="7" t="s">
        <v>146</v>
      </c>
      <c r="I1900" s="7" t="s">
        <v>4068</v>
      </c>
      <c r="J1900" s="7" t="s">
        <v>116</v>
      </c>
      <c r="K1900" s="7" t="s">
        <v>9864</v>
      </c>
    </row>
    <row r="1901" customFormat="false" ht="35.05" hidden="false" customHeight="false" outlineLevel="0" collapsed="false">
      <c r="A1901" s="7" t="n">
        <v>1900</v>
      </c>
      <c r="B1901" s="7" t="s">
        <v>9865</v>
      </c>
      <c r="C1901" s="7" t="n">
        <v>1998</v>
      </c>
      <c r="D1901" s="7" t="s">
        <v>9866</v>
      </c>
      <c r="E1901" s="7" t="s">
        <v>201</v>
      </c>
      <c r="F1901" s="7" t="s">
        <v>9867</v>
      </c>
      <c r="G1901" s="7" t="s">
        <v>9868</v>
      </c>
      <c r="H1901" s="7" t="s">
        <v>748</v>
      </c>
      <c r="I1901" s="7" t="s">
        <v>9869</v>
      </c>
      <c r="J1901" s="7" t="s">
        <v>116</v>
      </c>
      <c r="K1901" s="7" t="s">
        <v>9870</v>
      </c>
    </row>
    <row r="1902" customFormat="false" ht="35.05" hidden="false" customHeight="false" outlineLevel="0" collapsed="false">
      <c r="A1902" s="7" t="n">
        <v>1901</v>
      </c>
      <c r="B1902" s="7" t="s">
        <v>9871</v>
      </c>
      <c r="C1902" s="7" t="n">
        <v>1996</v>
      </c>
      <c r="D1902" s="7" t="s">
        <v>9872</v>
      </c>
      <c r="E1902" s="7" t="s">
        <v>587</v>
      </c>
      <c r="F1902" s="7" t="s">
        <v>9873</v>
      </c>
      <c r="G1902" s="7" t="s">
        <v>9874</v>
      </c>
      <c r="H1902" s="7" t="s">
        <v>146</v>
      </c>
      <c r="I1902" s="7" t="s">
        <v>9875</v>
      </c>
      <c r="J1902" s="7"/>
      <c r="K1902" s="7" t="s">
        <v>9876</v>
      </c>
    </row>
    <row r="1903" customFormat="false" ht="35.05" hidden="false" customHeight="false" outlineLevel="0" collapsed="false">
      <c r="A1903" s="7" t="n">
        <v>1902</v>
      </c>
      <c r="B1903" s="7" t="s">
        <v>9877</v>
      </c>
      <c r="C1903" s="7" t="n">
        <v>1995</v>
      </c>
      <c r="D1903" s="7" t="s">
        <v>9878</v>
      </c>
      <c r="E1903" s="7" t="s">
        <v>201</v>
      </c>
      <c r="F1903" s="7" t="s">
        <v>3552</v>
      </c>
      <c r="G1903" s="7" t="s">
        <v>9879</v>
      </c>
      <c r="H1903" s="7" t="s">
        <v>146</v>
      </c>
      <c r="I1903" s="7" t="s">
        <v>9880</v>
      </c>
      <c r="J1903" s="7"/>
      <c r="K1903" s="7" t="s">
        <v>9881</v>
      </c>
    </row>
    <row r="1904" customFormat="false" ht="35.05" hidden="false" customHeight="false" outlineLevel="0" collapsed="false">
      <c r="A1904" s="7" t="n">
        <v>1903</v>
      </c>
      <c r="B1904" s="7" t="s">
        <v>9882</v>
      </c>
      <c r="C1904" s="7" t="n">
        <v>2003</v>
      </c>
      <c r="D1904" s="7" t="s">
        <v>9883</v>
      </c>
      <c r="E1904" s="7" t="s">
        <v>201</v>
      </c>
      <c r="F1904" s="7" t="s">
        <v>9884</v>
      </c>
      <c r="G1904" s="7" t="s">
        <v>501</v>
      </c>
      <c r="H1904" s="7" t="s">
        <v>146</v>
      </c>
      <c r="I1904" s="7" t="s">
        <v>9885</v>
      </c>
      <c r="J1904" s="7" t="s">
        <v>116</v>
      </c>
      <c r="K1904" s="7" t="s">
        <v>9886</v>
      </c>
    </row>
    <row r="1905" customFormat="false" ht="35.05" hidden="false" customHeight="false" outlineLevel="0" collapsed="false">
      <c r="A1905" s="7" t="n">
        <v>1904</v>
      </c>
      <c r="B1905" s="7" t="s">
        <v>9890</v>
      </c>
      <c r="C1905" s="7" t="n">
        <v>2000</v>
      </c>
      <c r="D1905" s="7" t="s">
        <v>9891</v>
      </c>
      <c r="E1905" s="7" t="s">
        <v>201</v>
      </c>
      <c r="F1905" s="7" t="s">
        <v>9892</v>
      </c>
      <c r="G1905" s="7" t="s">
        <v>9893</v>
      </c>
      <c r="H1905" s="7" t="s">
        <v>146</v>
      </c>
      <c r="I1905" s="7" t="s">
        <v>9894</v>
      </c>
      <c r="J1905" s="7" t="s">
        <v>114</v>
      </c>
      <c r="K1905" s="7" t="s">
        <v>9895</v>
      </c>
    </row>
    <row r="1906" customFormat="false" ht="23.85" hidden="false" customHeight="false" outlineLevel="0" collapsed="false">
      <c r="A1906" s="7" t="n">
        <v>1905</v>
      </c>
      <c r="B1906" s="7" t="s">
        <v>9896</v>
      </c>
      <c r="C1906" s="7" t="n">
        <v>2000</v>
      </c>
      <c r="D1906" s="7" t="s">
        <v>9897</v>
      </c>
      <c r="E1906" s="7" t="s">
        <v>143</v>
      </c>
      <c r="F1906" s="7" t="s">
        <v>9898</v>
      </c>
      <c r="G1906" s="7" t="s">
        <v>914</v>
      </c>
      <c r="H1906" s="7" t="s">
        <v>387</v>
      </c>
      <c r="I1906" s="7" t="s">
        <v>9899</v>
      </c>
      <c r="J1906" s="7" t="s">
        <v>114</v>
      </c>
      <c r="K1906" s="7" t="s">
        <v>9900</v>
      </c>
    </row>
    <row r="1907" customFormat="false" ht="23.85" hidden="false" customHeight="false" outlineLevel="0" collapsed="false">
      <c r="A1907" s="7" t="n">
        <v>1906</v>
      </c>
      <c r="B1907" s="7" t="s">
        <v>9901</v>
      </c>
      <c r="C1907" s="7" t="n">
        <v>2003</v>
      </c>
      <c r="D1907" s="7" t="s">
        <v>9902</v>
      </c>
      <c r="E1907" s="7" t="s">
        <v>201</v>
      </c>
      <c r="F1907" s="7" t="s">
        <v>9903</v>
      </c>
      <c r="G1907" s="7" t="s">
        <v>2168</v>
      </c>
      <c r="H1907" s="7" t="s">
        <v>153</v>
      </c>
      <c r="I1907" s="7" t="s">
        <v>9904</v>
      </c>
      <c r="J1907" s="7" t="s">
        <v>114</v>
      </c>
      <c r="K1907" s="7" t="s">
        <v>9905</v>
      </c>
    </row>
    <row r="1908" customFormat="false" ht="23.85" hidden="false" customHeight="false" outlineLevel="0" collapsed="false">
      <c r="A1908" s="7" t="n">
        <v>1907</v>
      </c>
      <c r="B1908" s="7" t="s">
        <v>9906</v>
      </c>
      <c r="C1908" s="7" t="n">
        <v>2002</v>
      </c>
      <c r="D1908" s="7" t="s">
        <v>9907</v>
      </c>
      <c r="E1908" s="7" t="s">
        <v>201</v>
      </c>
      <c r="F1908" s="7" t="s">
        <v>9908</v>
      </c>
      <c r="G1908" s="7" t="s">
        <v>145</v>
      </c>
      <c r="H1908" s="7" t="s">
        <v>146</v>
      </c>
      <c r="I1908" s="7" t="s">
        <v>9909</v>
      </c>
      <c r="J1908" s="7" t="s">
        <v>112</v>
      </c>
      <c r="K1908" s="7" t="s">
        <v>9910</v>
      </c>
    </row>
    <row r="1909" customFormat="false" ht="35.05" hidden="false" customHeight="false" outlineLevel="0" collapsed="false">
      <c r="A1909" s="7" t="n">
        <v>1908</v>
      </c>
      <c r="B1909" s="7" t="s">
        <v>9915</v>
      </c>
      <c r="C1909" s="7" t="n">
        <v>2003</v>
      </c>
      <c r="D1909" s="7" t="s">
        <v>9916</v>
      </c>
      <c r="E1909" s="7" t="s">
        <v>201</v>
      </c>
      <c r="F1909" s="7" t="s">
        <v>9917</v>
      </c>
      <c r="G1909" s="7" t="s">
        <v>9918</v>
      </c>
      <c r="H1909" s="7" t="s">
        <v>146</v>
      </c>
      <c r="I1909" s="7" t="s">
        <v>9919</v>
      </c>
      <c r="J1909" s="7" t="s">
        <v>114</v>
      </c>
      <c r="K1909" s="7" t="s">
        <v>9920</v>
      </c>
    </row>
    <row r="1910" customFormat="false" ht="23.85" hidden="false" customHeight="false" outlineLevel="0" collapsed="false">
      <c r="A1910" s="7" t="n">
        <v>1909</v>
      </c>
      <c r="B1910" s="7" t="s">
        <v>9921</v>
      </c>
      <c r="C1910" s="7" t="n">
        <v>1999</v>
      </c>
      <c r="D1910" s="7" t="s">
        <v>9922</v>
      </c>
      <c r="E1910" s="7" t="s">
        <v>201</v>
      </c>
      <c r="F1910" s="7" t="s">
        <v>1495</v>
      </c>
      <c r="G1910" s="7" t="s">
        <v>145</v>
      </c>
      <c r="H1910" s="7" t="s">
        <v>146</v>
      </c>
      <c r="I1910" s="7" t="s">
        <v>9923</v>
      </c>
      <c r="J1910" s="7" t="s">
        <v>112</v>
      </c>
      <c r="K1910" s="7" t="s">
        <v>9924</v>
      </c>
    </row>
    <row r="1911" customFormat="false" ht="23.85" hidden="false" customHeight="false" outlineLevel="0" collapsed="false">
      <c r="A1911" s="7" t="n">
        <v>1910</v>
      </c>
      <c r="B1911" s="7" t="s">
        <v>9925</v>
      </c>
      <c r="C1911" s="7" t="n">
        <v>1995</v>
      </c>
      <c r="D1911" s="7" t="s">
        <v>9926</v>
      </c>
      <c r="E1911" s="7" t="s">
        <v>151</v>
      </c>
      <c r="F1911" s="7" t="s">
        <v>9927</v>
      </c>
      <c r="G1911" s="7" t="s">
        <v>145</v>
      </c>
      <c r="H1911" s="7" t="s">
        <v>153</v>
      </c>
      <c r="I1911" s="7" t="s">
        <v>9928</v>
      </c>
      <c r="J1911" s="7"/>
      <c r="K1911" s="7" t="s">
        <v>9929</v>
      </c>
    </row>
    <row r="1912" customFormat="false" ht="23.85" hidden="false" customHeight="false" outlineLevel="0" collapsed="false">
      <c r="A1912" s="7" t="n">
        <v>1911</v>
      </c>
      <c r="B1912" s="7" t="s">
        <v>9930</v>
      </c>
      <c r="C1912" s="7" t="n">
        <v>2000</v>
      </c>
      <c r="D1912" s="7" t="s">
        <v>9931</v>
      </c>
      <c r="E1912" s="7" t="s">
        <v>143</v>
      </c>
      <c r="F1912" s="7" t="s">
        <v>9932</v>
      </c>
      <c r="G1912" s="7" t="s">
        <v>9933</v>
      </c>
      <c r="H1912" s="7" t="s">
        <v>748</v>
      </c>
      <c r="I1912" s="7" t="s">
        <v>9934</v>
      </c>
      <c r="J1912" s="7" t="s">
        <v>114</v>
      </c>
      <c r="K1912" s="7" t="s">
        <v>9935</v>
      </c>
    </row>
    <row r="1913" customFormat="false" ht="35.05" hidden="false" customHeight="false" outlineLevel="0" collapsed="false">
      <c r="A1913" s="7" t="n">
        <v>1912</v>
      </c>
      <c r="B1913" s="7" t="s">
        <v>9936</v>
      </c>
      <c r="C1913" s="7" t="n">
        <v>2003</v>
      </c>
      <c r="D1913" s="7" t="s">
        <v>9937</v>
      </c>
      <c r="E1913" s="7" t="s">
        <v>201</v>
      </c>
      <c r="F1913" s="7" t="s">
        <v>9938</v>
      </c>
      <c r="G1913" s="7" t="s">
        <v>779</v>
      </c>
      <c r="H1913" s="7" t="s">
        <v>387</v>
      </c>
      <c r="I1913" s="7" t="s">
        <v>9939</v>
      </c>
      <c r="J1913" s="7" t="s">
        <v>116</v>
      </c>
      <c r="K1913" s="7" t="s">
        <v>9940</v>
      </c>
    </row>
    <row r="1914" customFormat="false" ht="35.05" hidden="false" customHeight="false" outlineLevel="0" collapsed="false">
      <c r="A1914" s="7" t="n">
        <v>1913</v>
      </c>
      <c r="B1914" s="7" t="s">
        <v>9941</v>
      </c>
      <c r="C1914" s="7" t="n">
        <v>1998</v>
      </c>
      <c r="D1914" s="7" t="s">
        <v>9942</v>
      </c>
      <c r="E1914" s="7" t="s">
        <v>2840</v>
      </c>
      <c r="F1914" s="7" t="s">
        <v>152</v>
      </c>
      <c r="G1914" s="7" t="s">
        <v>3279</v>
      </c>
      <c r="H1914" s="7" t="s">
        <v>146</v>
      </c>
      <c r="I1914" s="7" t="s">
        <v>9943</v>
      </c>
      <c r="J1914" s="7"/>
      <c r="K1914" s="7" t="s">
        <v>9944</v>
      </c>
    </row>
    <row r="1915" customFormat="false" ht="23.85" hidden="false" customHeight="false" outlineLevel="0" collapsed="false">
      <c r="A1915" s="7" t="n">
        <v>1914</v>
      </c>
      <c r="B1915" s="7" t="s">
        <v>9945</v>
      </c>
      <c r="C1915" s="7" t="n">
        <v>2001</v>
      </c>
      <c r="D1915" s="7" t="s">
        <v>9946</v>
      </c>
      <c r="E1915" s="7" t="s">
        <v>151</v>
      </c>
      <c r="F1915" s="7" t="s">
        <v>9947</v>
      </c>
      <c r="G1915" s="7" t="s">
        <v>9948</v>
      </c>
      <c r="H1915" s="7" t="s">
        <v>387</v>
      </c>
      <c r="I1915" s="7" t="s">
        <v>9949</v>
      </c>
      <c r="J1915" s="7" t="s">
        <v>116</v>
      </c>
      <c r="K1915" s="7" t="s">
        <v>9950</v>
      </c>
    </row>
    <row r="1916" customFormat="false" ht="23.85" hidden="false" customHeight="false" outlineLevel="0" collapsed="false">
      <c r="A1916" s="7" t="n">
        <v>1915</v>
      </c>
      <c r="B1916" s="7" t="s">
        <v>9951</v>
      </c>
      <c r="C1916" s="7" t="n">
        <v>1997</v>
      </c>
      <c r="D1916" s="7" t="s">
        <v>9952</v>
      </c>
      <c r="E1916" s="7" t="s">
        <v>201</v>
      </c>
      <c r="F1916" s="7" t="s">
        <v>9953</v>
      </c>
      <c r="G1916" s="7" t="s">
        <v>2168</v>
      </c>
      <c r="H1916" s="7" t="s">
        <v>153</v>
      </c>
      <c r="I1916" s="7" t="s">
        <v>9954</v>
      </c>
      <c r="J1916" s="7" t="s">
        <v>116</v>
      </c>
      <c r="K1916" s="7" t="s">
        <v>9955</v>
      </c>
    </row>
    <row r="1917" customFormat="false" ht="35.05" hidden="false" customHeight="false" outlineLevel="0" collapsed="false">
      <c r="A1917" s="7" t="n">
        <v>1916</v>
      </c>
      <c r="B1917" s="7" t="s">
        <v>9956</v>
      </c>
      <c r="C1917" s="7" t="n">
        <v>2002</v>
      </c>
      <c r="D1917" s="7" t="s">
        <v>9957</v>
      </c>
      <c r="E1917" s="7" t="s">
        <v>579</v>
      </c>
      <c r="F1917" s="7" t="s">
        <v>9958</v>
      </c>
      <c r="G1917" s="7" t="s">
        <v>9959</v>
      </c>
      <c r="H1917" s="7" t="s">
        <v>208</v>
      </c>
      <c r="I1917" s="7" t="s">
        <v>9960</v>
      </c>
      <c r="J1917" s="7" t="s">
        <v>112</v>
      </c>
      <c r="K1917" s="7" t="s">
        <v>9961</v>
      </c>
    </row>
    <row r="1918" customFormat="false" ht="35.05" hidden="false" customHeight="false" outlineLevel="0" collapsed="false">
      <c r="A1918" s="7" t="n">
        <v>1917</v>
      </c>
      <c r="B1918" s="7" t="s">
        <v>9962</v>
      </c>
      <c r="C1918" s="7" t="n">
        <v>2003</v>
      </c>
      <c r="D1918" s="7" t="s">
        <v>9963</v>
      </c>
      <c r="E1918" s="7" t="s">
        <v>201</v>
      </c>
      <c r="F1918" s="7" t="s">
        <v>1619</v>
      </c>
      <c r="G1918" s="7" t="s">
        <v>9964</v>
      </c>
      <c r="H1918" s="7" t="s">
        <v>146</v>
      </c>
      <c r="I1918" s="7" t="s">
        <v>9965</v>
      </c>
      <c r="J1918" s="7"/>
      <c r="K1918" s="7" t="s">
        <v>9966</v>
      </c>
    </row>
    <row r="1919" customFormat="false" ht="23.85" hidden="false" customHeight="false" outlineLevel="0" collapsed="false">
      <c r="A1919" s="7" t="n">
        <v>1918</v>
      </c>
      <c r="B1919" s="7" t="s">
        <v>8119</v>
      </c>
      <c r="C1919" s="7" t="n">
        <v>2004</v>
      </c>
      <c r="D1919" s="7" t="s">
        <v>9967</v>
      </c>
      <c r="E1919" s="7" t="s">
        <v>201</v>
      </c>
      <c r="F1919" s="7" t="s">
        <v>9968</v>
      </c>
      <c r="G1919" s="7" t="s">
        <v>9969</v>
      </c>
      <c r="H1919" s="7" t="s">
        <v>146</v>
      </c>
      <c r="I1919" s="7" t="s">
        <v>9970</v>
      </c>
      <c r="J1919" s="7" t="s">
        <v>114</v>
      </c>
      <c r="K1919" s="7" t="s">
        <v>9971</v>
      </c>
    </row>
    <row r="1920" customFormat="false" ht="35.05" hidden="false" customHeight="false" outlineLevel="0" collapsed="false">
      <c r="A1920" s="7" t="n">
        <v>1919</v>
      </c>
      <c r="B1920" s="7" t="s">
        <v>9972</v>
      </c>
      <c r="C1920" s="7" t="n">
        <v>2024</v>
      </c>
      <c r="D1920" s="7" t="s">
        <v>9973</v>
      </c>
      <c r="E1920" s="7" t="s">
        <v>143</v>
      </c>
      <c r="F1920" s="7" t="s">
        <v>9974</v>
      </c>
      <c r="G1920" s="7" t="s">
        <v>145</v>
      </c>
      <c r="H1920" s="7" t="s">
        <v>153</v>
      </c>
      <c r="I1920" s="7" t="s">
        <v>9975</v>
      </c>
      <c r="J1920" s="7" t="s">
        <v>110</v>
      </c>
      <c r="K1920" s="7" t="s">
        <v>9976</v>
      </c>
    </row>
    <row r="1921" customFormat="false" ht="35.05" hidden="false" customHeight="false" outlineLevel="0" collapsed="false">
      <c r="A1921" s="7" t="n">
        <v>1920</v>
      </c>
      <c r="B1921" s="7" t="s">
        <v>9977</v>
      </c>
      <c r="C1921" s="7" t="n">
        <v>2023</v>
      </c>
      <c r="D1921" s="7" t="s">
        <v>9978</v>
      </c>
      <c r="E1921" s="7" t="s">
        <v>151</v>
      </c>
      <c r="F1921" s="7" t="s">
        <v>9979</v>
      </c>
      <c r="G1921" s="7" t="s">
        <v>9980</v>
      </c>
      <c r="H1921" s="7" t="s">
        <v>153</v>
      </c>
      <c r="I1921" s="7" t="s">
        <v>9981</v>
      </c>
      <c r="J1921" s="7" t="s">
        <v>114</v>
      </c>
      <c r="K1921" s="7" t="s">
        <v>9982</v>
      </c>
    </row>
    <row r="1922" customFormat="false" ht="35.05" hidden="false" customHeight="false" outlineLevel="0" collapsed="false">
      <c r="A1922" s="7" t="n">
        <v>1921</v>
      </c>
      <c r="B1922" s="7" t="s">
        <v>9983</v>
      </c>
      <c r="C1922" s="7" t="n">
        <v>2024</v>
      </c>
      <c r="D1922" s="7" t="s">
        <v>9984</v>
      </c>
      <c r="E1922" s="7" t="s">
        <v>151</v>
      </c>
      <c r="F1922" s="7" t="s">
        <v>2218</v>
      </c>
      <c r="G1922" s="7" t="s">
        <v>145</v>
      </c>
      <c r="H1922" s="7" t="s">
        <v>153</v>
      </c>
      <c r="I1922" s="7" t="s">
        <v>9985</v>
      </c>
      <c r="J1922" s="7" t="s">
        <v>114</v>
      </c>
      <c r="K1922" s="7" t="s">
        <v>9986</v>
      </c>
    </row>
    <row r="1923" customFormat="false" ht="23.85" hidden="false" customHeight="false" outlineLevel="0" collapsed="false">
      <c r="A1923" s="7" t="n">
        <v>1922</v>
      </c>
      <c r="B1923" s="7" t="s">
        <v>1918</v>
      </c>
      <c r="C1923" s="7" t="n">
        <v>2024</v>
      </c>
      <c r="D1923" s="7" t="s">
        <v>9987</v>
      </c>
      <c r="E1923" s="7" t="s">
        <v>143</v>
      </c>
      <c r="F1923" s="7" t="s">
        <v>626</v>
      </c>
      <c r="G1923" s="7" t="s">
        <v>145</v>
      </c>
      <c r="H1923" s="7" t="s">
        <v>153</v>
      </c>
      <c r="I1923" s="7" t="s">
        <v>9988</v>
      </c>
      <c r="J1923" s="7" t="s">
        <v>114</v>
      </c>
      <c r="K1923" s="7" t="s">
        <v>9989</v>
      </c>
    </row>
    <row r="1924" customFormat="false" ht="35.05" hidden="false" customHeight="false" outlineLevel="0" collapsed="false">
      <c r="A1924" s="7" t="n">
        <v>1923</v>
      </c>
      <c r="B1924" s="7" t="s">
        <v>9990</v>
      </c>
      <c r="C1924" s="7" t="n">
        <v>2025</v>
      </c>
      <c r="D1924" s="7" t="s">
        <v>9991</v>
      </c>
      <c r="E1924" s="7" t="s">
        <v>143</v>
      </c>
      <c r="F1924" s="7" t="s">
        <v>9992</v>
      </c>
      <c r="G1924" s="7" t="s">
        <v>9993</v>
      </c>
      <c r="H1924" s="7" t="s">
        <v>153</v>
      </c>
      <c r="I1924" s="7" t="s">
        <v>9994</v>
      </c>
      <c r="J1924" s="7" t="s">
        <v>110</v>
      </c>
      <c r="K1924" s="7" t="s">
        <v>9995</v>
      </c>
    </row>
    <row r="1925" customFormat="false" ht="35.05" hidden="false" customHeight="false" outlineLevel="0" collapsed="false">
      <c r="A1925" s="7" t="n">
        <v>1924</v>
      </c>
      <c r="B1925" s="7" t="s">
        <v>9996</v>
      </c>
      <c r="C1925" s="7" t="n">
        <v>2022</v>
      </c>
      <c r="D1925" s="7" t="s">
        <v>9997</v>
      </c>
      <c r="E1925" s="7" t="s">
        <v>143</v>
      </c>
      <c r="F1925" s="7" t="s">
        <v>9998</v>
      </c>
      <c r="G1925" s="7" t="s">
        <v>145</v>
      </c>
      <c r="H1925" s="7" t="s">
        <v>153</v>
      </c>
      <c r="I1925" s="7" t="s">
        <v>3954</v>
      </c>
      <c r="J1925" s="7" t="s">
        <v>110</v>
      </c>
      <c r="K1925" s="7" t="s">
        <v>9999</v>
      </c>
    </row>
    <row r="1926" customFormat="false" ht="35.05" hidden="false" customHeight="false" outlineLevel="0" collapsed="false">
      <c r="A1926" s="7" t="n">
        <v>1925</v>
      </c>
      <c r="B1926" s="7" t="s">
        <v>10000</v>
      </c>
      <c r="C1926" s="7" t="n">
        <v>2024</v>
      </c>
      <c r="D1926" s="7" t="s">
        <v>10001</v>
      </c>
      <c r="E1926" s="7" t="s">
        <v>143</v>
      </c>
      <c r="F1926" s="7" t="s">
        <v>1424</v>
      </c>
      <c r="G1926" s="7" t="s">
        <v>145</v>
      </c>
      <c r="H1926" s="7" t="s">
        <v>153</v>
      </c>
      <c r="I1926" s="7" t="s">
        <v>10002</v>
      </c>
      <c r="J1926" s="7"/>
      <c r="K1926" s="7" t="s">
        <v>10003</v>
      </c>
    </row>
    <row r="1927" customFormat="false" ht="35.05" hidden="false" customHeight="false" outlineLevel="0" collapsed="false">
      <c r="A1927" s="7" t="n">
        <v>1926</v>
      </c>
      <c r="B1927" s="7" t="s">
        <v>10004</v>
      </c>
      <c r="C1927" s="7" t="n">
        <v>2021</v>
      </c>
      <c r="D1927" s="7" t="s">
        <v>10005</v>
      </c>
      <c r="E1927" s="7" t="s">
        <v>143</v>
      </c>
      <c r="F1927" s="7" t="s">
        <v>10006</v>
      </c>
      <c r="G1927" s="7" t="s">
        <v>145</v>
      </c>
      <c r="H1927" s="7" t="s">
        <v>153</v>
      </c>
      <c r="I1927" s="7" t="s">
        <v>10007</v>
      </c>
      <c r="J1927" s="7" t="s">
        <v>116</v>
      </c>
      <c r="K1927" s="7" t="s">
        <v>10008</v>
      </c>
    </row>
    <row r="1928" customFormat="false" ht="35.05" hidden="false" customHeight="false" outlineLevel="0" collapsed="false">
      <c r="A1928" s="7" t="n">
        <v>1927</v>
      </c>
      <c r="B1928" s="7" t="s">
        <v>10009</v>
      </c>
      <c r="C1928" s="7" t="n">
        <v>2025</v>
      </c>
      <c r="D1928" s="7" t="s">
        <v>10010</v>
      </c>
      <c r="E1928" s="7" t="s">
        <v>143</v>
      </c>
      <c r="F1928" s="7" t="s">
        <v>10011</v>
      </c>
      <c r="G1928" s="7" t="s">
        <v>327</v>
      </c>
      <c r="H1928" s="7" t="s">
        <v>153</v>
      </c>
      <c r="I1928" s="7" t="s">
        <v>10012</v>
      </c>
      <c r="J1928" s="7"/>
      <c r="K1928" s="7" t="s">
        <v>10013</v>
      </c>
    </row>
    <row r="1929" customFormat="false" ht="35.05" hidden="false" customHeight="false" outlineLevel="0" collapsed="false">
      <c r="A1929" s="7" t="n">
        <v>1928</v>
      </c>
      <c r="B1929" s="7" t="s">
        <v>1611</v>
      </c>
      <c r="C1929" s="7" t="n">
        <v>2020</v>
      </c>
      <c r="D1929" s="7" t="s">
        <v>10014</v>
      </c>
      <c r="E1929" s="7" t="s">
        <v>143</v>
      </c>
      <c r="F1929" s="7" t="s">
        <v>9979</v>
      </c>
      <c r="G1929" s="7" t="s">
        <v>9980</v>
      </c>
      <c r="H1929" s="7" t="s">
        <v>153</v>
      </c>
      <c r="I1929" s="7" t="s">
        <v>10015</v>
      </c>
      <c r="J1929" s="7" t="s">
        <v>114</v>
      </c>
      <c r="K1929" s="7" t="s">
        <v>10016</v>
      </c>
    </row>
    <row r="1930" customFormat="false" ht="35.05" hidden="false" customHeight="false" outlineLevel="0" collapsed="false">
      <c r="A1930" s="7" t="n">
        <v>1929</v>
      </c>
      <c r="B1930" s="7" t="s">
        <v>10017</v>
      </c>
      <c r="C1930" s="7" t="n">
        <v>2020</v>
      </c>
      <c r="D1930" s="7" t="s">
        <v>10018</v>
      </c>
      <c r="E1930" s="7" t="s">
        <v>151</v>
      </c>
      <c r="F1930" s="7" t="s">
        <v>364</v>
      </c>
      <c r="G1930" s="7" t="s">
        <v>327</v>
      </c>
      <c r="H1930" s="7" t="s">
        <v>387</v>
      </c>
      <c r="I1930" s="7" t="s">
        <v>10019</v>
      </c>
      <c r="J1930" s="7"/>
      <c r="K1930" s="7" t="s">
        <v>10020</v>
      </c>
    </row>
    <row r="1931" customFormat="false" ht="35.05" hidden="false" customHeight="false" outlineLevel="0" collapsed="false">
      <c r="A1931" s="7" t="n">
        <v>1930</v>
      </c>
      <c r="B1931" s="7" t="s">
        <v>1622</v>
      </c>
      <c r="C1931" s="7" t="n">
        <v>2020</v>
      </c>
      <c r="D1931" s="7" t="s">
        <v>10021</v>
      </c>
      <c r="E1931" s="7" t="s">
        <v>143</v>
      </c>
      <c r="F1931" s="7" t="s">
        <v>10022</v>
      </c>
      <c r="G1931" s="7" t="s">
        <v>327</v>
      </c>
      <c r="H1931" s="7" t="s">
        <v>153</v>
      </c>
      <c r="I1931" s="7" t="s">
        <v>10023</v>
      </c>
      <c r="J1931" s="7"/>
      <c r="K1931" s="7" t="s">
        <v>10024</v>
      </c>
    </row>
    <row r="1932" customFormat="false" ht="35.05" hidden="false" customHeight="false" outlineLevel="0" collapsed="false">
      <c r="A1932" s="7" t="n">
        <v>1931</v>
      </c>
      <c r="B1932" s="7" t="s">
        <v>1622</v>
      </c>
      <c r="C1932" s="7" t="n">
        <v>2022</v>
      </c>
      <c r="D1932" s="7" t="s">
        <v>10025</v>
      </c>
      <c r="E1932" s="7" t="s">
        <v>151</v>
      </c>
      <c r="F1932" s="7" t="s">
        <v>1678</v>
      </c>
      <c r="G1932" s="7" t="s">
        <v>327</v>
      </c>
      <c r="H1932" s="7" t="s">
        <v>153</v>
      </c>
      <c r="I1932" s="7" t="s">
        <v>10026</v>
      </c>
      <c r="J1932" s="7"/>
      <c r="K1932" s="7" t="s">
        <v>10027</v>
      </c>
    </row>
    <row r="1933" customFormat="false" ht="35.05" hidden="false" customHeight="false" outlineLevel="0" collapsed="false">
      <c r="A1933" s="7" t="n">
        <v>1932</v>
      </c>
      <c r="B1933" s="7" t="s">
        <v>1622</v>
      </c>
      <c r="C1933" s="7" t="n">
        <v>2025</v>
      </c>
      <c r="D1933" s="7" t="s">
        <v>10028</v>
      </c>
      <c r="E1933" s="7" t="s">
        <v>143</v>
      </c>
      <c r="F1933" s="7" t="s">
        <v>10029</v>
      </c>
      <c r="G1933" s="7" t="s">
        <v>327</v>
      </c>
      <c r="H1933" s="7" t="s">
        <v>153</v>
      </c>
      <c r="I1933" s="7" t="s">
        <v>10030</v>
      </c>
      <c r="J1933" s="7" t="s">
        <v>110</v>
      </c>
      <c r="K1933" s="7" t="s">
        <v>10031</v>
      </c>
    </row>
    <row r="1934" customFormat="false" ht="35.05" hidden="false" customHeight="false" outlineLevel="0" collapsed="false">
      <c r="A1934" s="7" t="n">
        <v>1933</v>
      </c>
      <c r="B1934" s="7" t="s">
        <v>10032</v>
      </c>
      <c r="C1934" s="7" t="n">
        <v>2025</v>
      </c>
      <c r="D1934" s="7" t="s">
        <v>10033</v>
      </c>
      <c r="E1934" s="7" t="s">
        <v>143</v>
      </c>
      <c r="F1934" s="7" t="s">
        <v>1264</v>
      </c>
      <c r="G1934" s="7" t="s">
        <v>9993</v>
      </c>
      <c r="H1934" s="7" t="s">
        <v>153</v>
      </c>
      <c r="I1934" s="7" t="s">
        <v>10034</v>
      </c>
      <c r="J1934" s="7"/>
      <c r="K1934" s="7" t="s">
        <v>10035</v>
      </c>
    </row>
    <row r="1935" customFormat="false" ht="35.05" hidden="false" customHeight="false" outlineLevel="0" collapsed="false">
      <c r="A1935" s="7" t="n">
        <v>1934</v>
      </c>
      <c r="B1935" s="7" t="s">
        <v>10036</v>
      </c>
      <c r="C1935" s="7" t="n">
        <v>2025</v>
      </c>
      <c r="D1935" s="7" t="s">
        <v>10037</v>
      </c>
      <c r="E1935" s="7" t="s">
        <v>143</v>
      </c>
      <c r="F1935" s="7" t="s">
        <v>10038</v>
      </c>
      <c r="G1935" s="7" t="s">
        <v>327</v>
      </c>
      <c r="H1935" s="7" t="s">
        <v>387</v>
      </c>
      <c r="I1935" s="7" t="s">
        <v>10039</v>
      </c>
      <c r="J1935" s="7"/>
      <c r="K1935" s="7" t="s">
        <v>10040</v>
      </c>
    </row>
    <row r="1936" customFormat="false" ht="35.05" hidden="false" customHeight="false" outlineLevel="0" collapsed="false">
      <c r="A1936" s="7" t="n">
        <v>1935</v>
      </c>
      <c r="B1936" s="7" t="s">
        <v>591</v>
      </c>
      <c r="C1936" s="7" t="n">
        <v>2024</v>
      </c>
      <c r="D1936" s="7" t="s">
        <v>10041</v>
      </c>
      <c r="E1936" s="7" t="s">
        <v>143</v>
      </c>
      <c r="F1936" s="7" t="s">
        <v>364</v>
      </c>
      <c r="G1936" s="7" t="s">
        <v>145</v>
      </c>
      <c r="H1936" s="7" t="s">
        <v>153</v>
      </c>
      <c r="I1936" s="7" t="s">
        <v>10042</v>
      </c>
      <c r="J1936" s="7"/>
      <c r="K1936" s="7" t="s">
        <v>10043</v>
      </c>
    </row>
    <row r="1937" customFormat="false" ht="35.05" hidden="false" customHeight="false" outlineLevel="0" collapsed="false">
      <c r="A1937" s="7" t="n">
        <v>1936</v>
      </c>
      <c r="B1937" s="7" t="s">
        <v>10044</v>
      </c>
      <c r="C1937" s="7" t="n">
        <v>2023</v>
      </c>
      <c r="D1937" s="7" t="s">
        <v>10045</v>
      </c>
      <c r="E1937" s="7" t="s">
        <v>143</v>
      </c>
      <c r="F1937" s="7" t="s">
        <v>3439</v>
      </c>
      <c r="G1937" s="7" t="s">
        <v>145</v>
      </c>
      <c r="H1937" s="7" t="s">
        <v>153</v>
      </c>
      <c r="I1937" s="7" t="s">
        <v>10046</v>
      </c>
      <c r="J1937" s="7" t="s">
        <v>114</v>
      </c>
      <c r="K1937" s="7" t="s">
        <v>10047</v>
      </c>
    </row>
    <row r="1938" customFormat="false" ht="35.05" hidden="false" customHeight="false" outlineLevel="0" collapsed="false">
      <c r="A1938" s="7" t="n">
        <v>1937</v>
      </c>
      <c r="B1938" s="7" t="s">
        <v>10044</v>
      </c>
      <c r="C1938" s="7" t="n">
        <v>2022</v>
      </c>
      <c r="D1938" s="7" t="s">
        <v>10048</v>
      </c>
      <c r="E1938" s="7" t="s">
        <v>143</v>
      </c>
      <c r="F1938" s="7" t="s">
        <v>9118</v>
      </c>
      <c r="G1938" s="7" t="s">
        <v>145</v>
      </c>
      <c r="H1938" s="7" t="s">
        <v>153</v>
      </c>
      <c r="I1938" s="7" t="s">
        <v>10049</v>
      </c>
      <c r="J1938" s="7" t="s">
        <v>114</v>
      </c>
      <c r="K1938" s="7" t="s">
        <v>10050</v>
      </c>
    </row>
    <row r="1939" customFormat="false" ht="35.05" hidden="false" customHeight="false" outlineLevel="0" collapsed="false">
      <c r="A1939" s="7" t="n">
        <v>1938</v>
      </c>
      <c r="B1939" s="7" t="s">
        <v>10054</v>
      </c>
      <c r="C1939" s="7" t="n">
        <v>2024</v>
      </c>
      <c r="D1939" s="7" t="s">
        <v>10055</v>
      </c>
      <c r="E1939" s="7" t="s">
        <v>143</v>
      </c>
      <c r="F1939" s="7" t="s">
        <v>10056</v>
      </c>
      <c r="G1939" s="7" t="s">
        <v>1373</v>
      </c>
      <c r="H1939" s="7" t="s">
        <v>146</v>
      </c>
      <c r="I1939" s="7" t="s">
        <v>10057</v>
      </c>
      <c r="J1939" s="7" t="s">
        <v>116</v>
      </c>
      <c r="K1939" s="7" t="s">
        <v>10058</v>
      </c>
    </row>
    <row r="1940" customFormat="false" ht="35.05" hidden="false" customHeight="false" outlineLevel="0" collapsed="false">
      <c r="A1940" s="7" t="n">
        <v>1939</v>
      </c>
      <c r="B1940" s="7" t="s">
        <v>10059</v>
      </c>
      <c r="C1940" s="7" t="n">
        <v>2022</v>
      </c>
      <c r="D1940" s="7" t="s">
        <v>10060</v>
      </c>
      <c r="E1940" s="7" t="s">
        <v>151</v>
      </c>
      <c r="F1940" s="7" t="s">
        <v>10061</v>
      </c>
      <c r="G1940" s="7" t="s">
        <v>327</v>
      </c>
      <c r="H1940" s="7" t="s">
        <v>153</v>
      </c>
      <c r="I1940" s="7" t="s">
        <v>10062</v>
      </c>
      <c r="J1940" s="7"/>
      <c r="K1940" s="7" t="s">
        <v>10063</v>
      </c>
    </row>
    <row r="1941" customFormat="false" ht="35.05" hidden="false" customHeight="false" outlineLevel="0" collapsed="false">
      <c r="A1941" s="7" t="n">
        <v>1940</v>
      </c>
      <c r="B1941" s="7" t="s">
        <v>2633</v>
      </c>
      <c r="C1941" s="7" t="n">
        <v>2024</v>
      </c>
      <c r="D1941" s="7" t="s">
        <v>10069</v>
      </c>
      <c r="E1941" s="7" t="s">
        <v>151</v>
      </c>
      <c r="F1941" s="7" t="s">
        <v>10070</v>
      </c>
      <c r="G1941" s="7" t="s">
        <v>327</v>
      </c>
      <c r="H1941" s="7" t="s">
        <v>387</v>
      </c>
      <c r="I1941" s="7" t="s">
        <v>10071</v>
      </c>
      <c r="J1941" s="7"/>
      <c r="K1941" s="7" t="s">
        <v>10072</v>
      </c>
    </row>
    <row r="1942" customFormat="false" ht="35.05" hidden="false" customHeight="false" outlineLevel="0" collapsed="false">
      <c r="A1942" s="7" t="n">
        <v>1941</v>
      </c>
      <c r="B1942" s="7" t="s">
        <v>10073</v>
      </c>
      <c r="C1942" s="7" t="n">
        <v>2024</v>
      </c>
      <c r="D1942" s="7" t="s">
        <v>10074</v>
      </c>
      <c r="E1942" s="7" t="s">
        <v>143</v>
      </c>
      <c r="F1942" s="7" t="s">
        <v>10075</v>
      </c>
      <c r="G1942" s="7" t="s">
        <v>327</v>
      </c>
      <c r="H1942" s="7" t="s">
        <v>153</v>
      </c>
      <c r="I1942" s="7" t="s">
        <v>10076</v>
      </c>
      <c r="J1942" s="7"/>
      <c r="K1942" s="7" t="s">
        <v>10077</v>
      </c>
    </row>
    <row r="1943" customFormat="false" ht="46.25" hidden="false" customHeight="false" outlineLevel="0" collapsed="false">
      <c r="A1943" s="7" t="n">
        <v>1942</v>
      </c>
      <c r="B1943" s="7" t="s">
        <v>1331</v>
      </c>
      <c r="C1943" s="7" t="n">
        <v>2025</v>
      </c>
      <c r="D1943" s="7" t="s">
        <v>10078</v>
      </c>
      <c r="E1943" s="7" t="s">
        <v>143</v>
      </c>
      <c r="F1943" s="7" t="s">
        <v>1461</v>
      </c>
      <c r="G1943" s="7" t="s">
        <v>9993</v>
      </c>
      <c r="H1943" s="7" t="s">
        <v>153</v>
      </c>
      <c r="I1943" s="7" t="s">
        <v>10079</v>
      </c>
      <c r="J1943" s="7" t="s">
        <v>110</v>
      </c>
      <c r="K1943" s="7" t="s">
        <v>10080</v>
      </c>
    </row>
    <row r="1944" customFormat="false" ht="23.85" hidden="false" customHeight="false" outlineLevel="0" collapsed="false">
      <c r="A1944" s="7" t="n">
        <v>1943</v>
      </c>
      <c r="B1944" s="7" t="s">
        <v>10081</v>
      </c>
      <c r="C1944" s="7" t="n">
        <v>2019</v>
      </c>
      <c r="D1944" s="7" t="s">
        <v>10082</v>
      </c>
      <c r="E1944" s="7" t="s">
        <v>579</v>
      </c>
      <c r="F1944" s="7" t="s">
        <v>10083</v>
      </c>
      <c r="G1944" s="7" t="s">
        <v>10084</v>
      </c>
      <c r="H1944" s="7" t="s">
        <v>146</v>
      </c>
      <c r="I1944" s="7" t="s">
        <v>10085</v>
      </c>
      <c r="J1944" s="7"/>
      <c r="K1944" s="7" t="s">
        <v>10086</v>
      </c>
    </row>
    <row r="1945" customFormat="false" ht="23.85" hidden="false" customHeight="false" outlineLevel="0" collapsed="false">
      <c r="A1945" s="7" t="n">
        <v>1944</v>
      </c>
      <c r="B1945" s="7" t="s">
        <v>10087</v>
      </c>
      <c r="C1945" s="7" t="n">
        <v>2019</v>
      </c>
      <c r="D1945" s="7" t="s">
        <v>10088</v>
      </c>
      <c r="E1945" s="7" t="s">
        <v>151</v>
      </c>
      <c r="F1945" s="7" t="s">
        <v>1678</v>
      </c>
      <c r="G1945" s="7" t="s">
        <v>10089</v>
      </c>
      <c r="H1945" s="7" t="s">
        <v>146</v>
      </c>
      <c r="I1945" s="7" t="s">
        <v>10090</v>
      </c>
      <c r="J1945" s="7"/>
      <c r="K1945" s="7" t="s">
        <v>10091</v>
      </c>
    </row>
    <row r="1946" customFormat="false" ht="23.85" hidden="false" customHeight="false" outlineLevel="0" collapsed="false">
      <c r="A1946" s="7" t="n">
        <v>1945</v>
      </c>
      <c r="B1946" s="7" t="s">
        <v>10092</v>
      </c>
      <c r="C1946" s="7" t="n">
        <v>2005</v>
      </c>
      <c r="D1946" s="7" t="s">
        <v>10093</v>
      </c>
      <c r="E1946" s="7" t="s">
        <v>143</v>
      </c>
      <c r="F1946" s="7" t="s">
        <v>348</v>
      </c>
      <c r="G1946" s="7" t="s">
        <v>5094</v>
      </c>
      <c r="H1946" s="7" t="s">
        <v>153</v>
      </c>
      <c r="I1946" s="7" t="s">
        <v>10094</v>
      </c>
      <c r="J1946" s="7"/>
      <c r="K1946" s="7" t="s">
        <v>10095</v>
      </c>
    </row>
    <row r="1947" customFormat="false" ht="23.85" hidden="false" customHeight="false" outlineLevel="0" collapsed="false">
      <c r="A1947" s="7" t="n">
        <v>1946</v>
      </c>
      <c r="B1947" s="7" t="s">
        <v>10096</v>
      </c>
      <c r="C1947" s="7" t="n">
        <v>2017</v>
      </c>
      <c r="D1947" s="7" t="s">
        <v>10097</v>
      </c>
      <c r="E1947" s="7" t="s">
        <v>151</v>
      </c>
      <c r="F1947" s="7" t="s">
        <v>10098</v>
      </c>
      <c r="G1947" s="7" t="s">
        <v>10099</v>
      </c>
      <c r="H1947" s="7" t="s">
        <v>146</v>
      </c>
      <c r="I1947" s="7" t="s">
        <v>10100</v>
      </c>
      <c r="J1947" s="7"/>
      <c r="K1947" s="7" t="s">
        <v>10101</v>
      </c>
    </row>
    <row r="1948" customFormat="false" ht="23.85" hidden="false" customHeight="false" outlineLevel="0" collapsed="false">
      <c r="A1948" s="7" t="n">
        <v>1947</v>
      </c>
      <c r="B1948" s="7" t="s">
        <v>10102</v>
      </c>
      <c r="C1948" s="7" t="n">
        <v>2010</v>
      </c>
      <c r="D1948" s="7" t="s">
        <v>10103</v>
      </c>
      <c r="E1948" s="7" t="s">
        <v>201</v>
      </c>
      <c r="F1948" s="7" t="s">
        <v>1619</v>
      </c>
      <c r="G1948" s="7" t="s">
        <v>4711</v>
      </c>
      <c r="H1948" s="7" t="s">
        <v>146</v>
      </c>
      <c r="I1948" s="7" t="s">
        <v>10104</v>
      </c>
      <c r="J1948" s="7"/>
      <c r="K1948" s="7" t="s">
        <v>10105</v>
      </c>
    </row>
    <row r="1949" customFormat="false" ht="23.85" hidden="false" customHeight="false" outlineLevel="0" collapsed="false">
      <c r="A1949" s="7" t="n">
        <v>1948</v>
      </c>
      <c r="B1949" s="7" t="s">
        <v>10106</v>
      </c>
      <c r="C1949" s="7" t="n">
        <v>2017</v>
      </c>
      <c r="D1949" s="7" t="s">
        <v>10107</v>
      </c>
      <c r="E1949" s="7" t="s">
        <v>143</v>
      </c>
      <c r="F1949" s="7" t="s">
        <v>152</v>
      </c>
      <c r="G1949" s="7" t="s">
        <v>4711</v>
      </c>
      <c r="H1949" s="7" t="s">
        <v>146</v>
      </c>
      <c r="I1949" s="7" t="s">
        <v>10108</v>
      </c>
      <c r="J1949" s="7"/>
      <c r="K1949" s="7" t="s">
        <v>10109</v>
      </c>
    </row>
    <row r="1950" customFormat="false" ht="35.05" hidden="false" customHeight="false" outlineLevel="0" collapsed="false">
      <c r="A1950" s="7" t="n">
        <v>1949</v>
      </c>
      <c r="B1950" s="7" t="s">
        <v>10110</v>
      </c>
      <c r="C1950" s="7" t="n">
        <v>2015</v>
      </c>
      <c r="D1950" s="7" t="s">
        <v>10111</v>
      </c>
      <c r="E1950" s="7" t="s">
        <v>579</v>
      </c>
      <c r="F1950" s="7" t="s">
        <v>10112</v>
      </c>
      <c r="G1950" s="7" t="s">
        <v>10113</v>
      </c>
      <c r="H1950" s="7" t="s">
        <v>387</v>
      </c>
      <c r="I1950" s="7" t="s">
        <v>10114</v>
      </c>
      <c r="J1950" s="7"/>
      <c r="K1950" s="7" t="s">
        <v>10115</v>
      </c>
    </row>
    <row r="1951" customFormat="false" ht="23.85" hidden="false" customHeight="false" outlineLevel="0" collapsed="false">
      <c r="A1951" s="7" t="n">
        <v>1950</v>
      </c>
      <c r="B1951" s="7" t="s">
        <v>5068</v>
      </c>
      <c r="C1951" s="7" t="n">
        <v>2020</v>
      </c>
      <c r="D1951" s="7" t="s">
        <v>10116</v>
      </c>
      <c r="E1951" s="7" t="s">
        <v>143</v>
      </c>
      <c r="F1951" s="7" t="s">
        <v>10117</v>
      </c>
      <c r="G1951" s="7" t="s">
        <v>4711</v>
      </c>
      <c r="H1951" s="7" t="s">
        <v>146</v>
      </c>
      <c r="I1951" s="7" t="s">
        <v>10118</v>
      </c>
      <c r="J1951" s="7"/>
      <c r="K1951" s="7" t="s">
        <v>10119</v>
      </c>
    </row>
    <row r="1952" customFormat="false" ht="23.85" hidden="false" customHeight="false" outlineLevel="0" collapsed="false">
      <c r="A1952" s="7" t="n">
        <v>1951</v>
      </c>
      <c r="B1952" s="7" t="s">
        <v>10120</v>
      </c>
      <c r="C1952" s="7" t="n">
        <v>2019</v>
      </c>
      <c r="D1952" s="7" t="s">
        <v>10121</v>
      </c>
      <c r="E1952" s="7" t="s">
        <v>151</v>
      </c>
      <c r="F1952" s="7" t="s">
        <v>10122</v>
      </c>
      <c r="G1952" s="7" t="s">
        <v>4711</v>
      </c>
      <c r="H1952" s="7" t="s">
        <v>146</v>
      </c>
      <c r="I1952" s="7" t="s">
        <v>10123</v>
      </c>
      <c r="J1952" s="7"/>
      <c r="K1952" s="7" t="s">
        <v>10124</v>
      </c>
    </row>
    <row r="1953" customFormat="false" ht="23.85" hidden="false" customHeight="false" outlineLevel="0" collapsed="false">
      <c r="A1953" s="7" t="n">
        <v>1952</v>
      </c>
      <c r="B1953" s="7" t="s">
        <v>6729</v>
      </c>
      <c r="C1953" s="7" t="n">
        <v>2020</v>
      </c>
      <c r="D1953" s="7" t="s">
        <v>10125</v>
      </c>
      <c r="E1953" s="7" t="s">
        <v>151</v>
      </c>
      <c r="F1953" s="7" t="s">
        <v>10126</v>
      </c>
      <c r="G1953" s="7" t="s">
        <v>10089</v>
      </c>
      <c r="H1953" s="7" t="s">
        <v>146</v>
      </c>
      <c r="I1953" s="7" t="s">
        <v>10127</v>
      </c>
      <c r="J1953" s="7"/>
      <c r="K1953" s="7" t="s">
        <v>10128</v>
      </c>
    </row>
    <row r="1954" customFormat="false" ht="23.85" hidden="false" customHeight="false" outlineLevel="0" collapsed="false">
      <c r="A1954" s="7" t="n">
        <v>1953</v>
      </c>
      <c r="B1954" s="7" t="s">
        <v>10129</v>
      </c>
      <c r="C1954" s="7" t="n">
        <v>2020</v>
      </c>
      <c r="D1954" s="7" t="s">
        <v>10130</v>
      </c>
      <c r="E1954" s="7" t="s">
        <v>151</v>
      </c>
      <c r="F1954" s="7" t="s">
        <v>10131</v>
      </c>
      <c r="G1954" s="7" t="s">
        <v>4711</v>
      </c>
      <c r="H1954" s="7" t="s">
        <v>146</v>
      </c>
      <c r="I1954" s="7" t="s">
        <v>10132</v>
      </c>
      <c r="J1954" s="7"/>
      <c r="K1954" s="7" t="s">
        <v>10133</v>
      </c>
    </row>
    <row r="1955" customFormat="false" ht="23.85" hidden="false" customHeight="false" outlineLevel="0" collapsed="false">
      <c r="A1955" s="7" t="n">
        <v>1954</v>
      </c>
      <c r="B1955" s="7" t="s">
        <v>10134</v>
      </c>
      <c r="C1955" s="7" t="n">
        <v>2018</v>
      </c>
      <c r="D1955" s="7" t="s">
        <v>10135</v>
      </c>
      <c r="E1955" s="7" t="s">
        <v>151</v>
      </c>
      <c r="F1955" s="7" t="s">
        <v>10136</v>
      </c>
      <c r="G1955" s="7" t="s">
        <v>10137</v>
      </c>
      <c r="H1955" s="7" t="s">
        <v>146</v>
      </c>
      <c r="I1955" s="7" t="s">
        <v>10138</v>
      </c>
      <c r="J1955" s="7"/>
      <c r="K1955" s="7" t="s">
        <v>10139</v>
      </c>
    </row>
    <row r="1956" customFormat="false" ht="35.05" hidden="false" customHeight="false" outlineLevel="0" collapsed="false">
      <c r="A1956" s="7" t="n">
        <v>1955</v>
      </c>
      <c r="B1956" s="7" t="s">
        <v>10140</v>
      </c>
      <c r="C1956" s="7" t="n">
        <v>2016</v>
      </c>
      <c r="D1956" s="7" t="s">
        <v>10141</v>
      </c>
      <c r="E1956" s="7" t="s">
        <v>3817</v>
      </c>
      <c r="F1956" s="7" t="s">
        <v>1619</v>
      </c>
      <c r="G1956" s="7" t="s">
        <v>10142</v>
      </c>
      <c r="H1956" s="7" t="s">
        <v>748</v>
      </c>
      <c r="I1956" s="7" t="s">
        <v>10143</v>
      </c>
      <c r="J1956" s="7"/>
      <c r="K1956" s="7" t="s">
        <v>10144</v>
      </c>
    </row>
    <row r="1957" customFormat="false" ht="23.85" hidden="false" customHeight="false" outlineLevel="0" collapsed="false">
      <c r="A1957" s="7" t="n">
        <v>1956</v>
      </c>
      <c r="B1957" s="7" t="s">
        <v>10145</v>
      </c>
      <c r="C1957" s="7" t="n">
        <v>2020</v>
      </c>
      <c r="D1957" s="7" t="s">
        <v>10146</v>
      </c>
      <c r="E1957" s="7" t="s">
        <v>151</v>
      </c>
      <c r="F1957" s="7" t="s">
        <v>10147</v>
      </c>
      <c r="G1957" s="7" t="s">
        <v>10148</v>
      </c>
      <c r="H1957" s="7" t="s">
        <v>146</v>
      </c>
      <c r="I1957" s="7" t="s">
        <v>10149</v>
      </c>
      <c r="J1957" s="7"/>
      <c r="K1957" s="7" t="s">
        <v>10150</v>
      </c>
    </row>
    <row r="1958" customFormat="false" ht="23.85" hidden="false" customHeight="false" outlineLevel="0" collapsed="false">
      <c r="A1958" s="7" t="n">
        <v>1957</v>
      </c>
      <c r="B1958" s="7" t="s">
        <v>10151</v>
      </c>
      <c r="C1958" s="7" t="n">
        <v>2019</v>
      </c>
      <c r="D1958" s="7" t="s">
        <v>10152</v>
      </c>
      <c r="E1958" s="7" t="s">
        <v>201</v>
      </c>
      <c r="F1958" s="7" t="s">
        <v>10153</v>
      </c>
      <c r="G1958" s="7" t="s">
        <v>10154</v>
      </c>
      <c r="H1958" s="7" t="s">
        <v>146</v>
      </c>
      <c r="I1958" s="7" t="s">
        <v>10155</v>
      </c>
      <c r="J1958" s="7"/>
      <c r="K1958" s="7" t="s">
        <v>10156</v>
      </c>
    </row>
    <row r="1959" customFormat="false" ht="23.85" hidden="false" customHeight="false" outlineLevel="0" collapsed="false">
      <c r="A1959" s="7" t="n">
        <v>1958</v>
      </c>
      <c r="B1959" s="7" t="s">
        <v>10157</v>
      </c>
      <c r="C1959" s="7" t="n">
        <v>2022</v>
      </c>
      <c r="D1959" s="7" t="s">
        <v>10158</v>
      </c>
      <c r="E1959" s="7" t="s">
        <v>143</v>
      </c>
      <c r="F1959" s="7" t="s">
        <v>572</v>
      </c>
      <c r="G1959" s="7" t="s">
        <v>4711</v>
      </c>
      <c r="H1959" s="7" t="s">
        <v>153</v>
      </c>
      <c r="I1959" s="7" t="s">
        <v>10159</v>
      </c>
      <c r="J1959" s="7" t="s">
        <v>114</v>
      </c>
      <c r="K1959" s="7" t="s">
        <v>10160</v>
      </c>
    </row>
    <row r="1960" customFormat="false" ht="23.85" hidden="false" customHeight="false" outlineLevel="0" collapsed="false">
      <c r="A1960" s="7" t="n">
        <v>1959</v>
      </c>
      <c r="B1960" s="7" t="s">
        <v>681</v>
      </c>
      <c r="C1960" s="7" t="n">
        <v>2020</v>
      </c>
      <c r="D1960" s="7" t="s">
        <v>10161</v>
      </c>
      <c r="E1960" s="7" t="s">
        <v>7375</v>
      </c>
      <c r="F1960" s="7" t="s">
        <v>152</v>
      </c>
      <c r="G1960" s="7" t="s">
        <v>10162</v>
      </c>
      <c r="H1960" s="7" t="s">
        <v>146</v>
      </c>
      <c r="I1960" s="7" t="s">
        <v>10163</v>
      </c>
      <c r="J1960" s="7"/>
      <c r="K1960" s="7" t="s">
        <v>10164</v>
      </c>
    </row>
    <row r="1961" customFormat="false" ht="23.85" hidden="false" customHeight="false" outlineLevel="0" collapsed="false">
      <c r="A1961" s="7" t="n">
        <v>1960</v>
      </c>
      <c r="B1961" s="7" t="s">
        <v>10165</v>
      </c>
      <c r="C1961" s="7" t="n">
        <v>2020</v>
      </c>
      <c r="D1961" s="7" t="s">
        <v>10166</v>
      </c>
      <c r="E1961" s="7" t="s">
        <v>151</v>
      </c>
      <c r="F1961" s="7" t="s">
        <v>10167</v>
      </c>
      <c r="G1961" s="7" t="s">
        <v>4711</v>
      </c>
      <c r="H1961" s="7" t="s">
        <v>387</v>
      </c>
      <c r="I1961" s="7" t="s">
        <v>10168</v>
      </c>
      <c r="J1961" s="7"/>
      <c r="K1961" s="7" t="s">
        <v>10169</v>
      </c>
    </row>
    <row r="1962" customFormat="false" ht="23.85" hidden="false" customHeight="false" outlineLevel="0" collapsed="false">
      <c r="A1962" s="7" t="n">
        <v>1961</v>
      </c>
      <c r="B1962" s="7" t="s">
        <v>10170</v>
      </c>
      <c r="C1962" s="7" t="n">
        <v>2018</v>
      </c>
      <c r="D1962" s="7" t="s">
        <v>10171</v>
      </c>
      <c r="E1962" s="7" t="s">
        <v>151</v>
      </c>
      <c r="F1962" s="7" t="s">
        <v>10131</v>
      </c>
      <c r="G1962" s="7" t="s">
        <v>10172</v>
      </c>
      <c r="H1962" s="7" t="s">
        <v>146</v>
      </c>
      <c r="I1962" s="7" t="s">
        <v>10173</v>
      </c>
      <c r="J1962" s="7"/>
      <c r="K1962" s="7" t="s">
        <v>10174</v>
      </c>
    </row>
    <row r="1963" customFormat="false" ht="23.85" hidden="false" customHeight="false" outlineLevel="0" collapsed="false">
      <c r="A1963" s="7" t="n">
        <v>1962</v>
      </c>
      <c r="B1963" s="7" t="s">
        <v>1930</v>
      </c>
      <c r="C1963" s="7" t="n">
        <v>1997</v>
      </c>
      <c r="D1963" s="7" t="s">
        <v>10175</v>
      </c>
      <c r="E1963" s="7" t="s">
        <v>10176</v>
      </c>
      <c r="F1963" s="7" t="s">
        <v>1938</v>
      </c>
      <c r="G1963" s="7" t="s">
        <v>145</v>
      </c>
      <c r="H1963" s="7" t="s">
        <v>153</v>
      </c>
      <c r="I1963" s="7" t="s">
        <v>10177</v>
      </c>
      <c r="J1963" s="7" t="s">
        <v>116</v>
      </c>
      <c r="K1963" s="7" t="s">
        <v>10178</v>
      </c>
    </row>
    <row r="1964" customFormat="false" ht="23.85" hidden="false" customHeight="false" outlineLevel="0" collapsed="false">
      <c r="A1964" s="7" t="n">
        <v>1963</v>
      </c>
      <c r="B1964" s="7" t="s">
        <v>10179</v>
      </c>
      <c r="C1964" s="7" t="n">
        <v>2018</v>
      </c>
      <c r="D1964" s="7" t="s">
        <v>10180</v>
      </c>
      <c r="E1964" s="7" t="s">
        <v>143</v>
      </c>
      <c r="F1964" s="7" t="s">
        <v>348</v>
      </c>
      <c r="G1964" s="7" t="s">
        <v>5094</v>
      </c>
      <c r="H1964" s="7" t="s">
        <v>153</v>
      </c>
      <c r="I1964" s="7" t="s">
        <v>10181</v>
      </c>
      <c r="J1964" s="7"/>
      <c r="K1964" s="7" t="s">
        <v>10182</v>
      </c>
    </row>
    <row r="1965" customFormat="false" ht="35.05" hidden="false" customHeight="false" outlineLevel="0" collapsed="false">
      <c r="A1965" s="7" t="n">
        <v>1964</v>
      </c>
      <c r="B1965" s="7" t="s">
        <v>10183</v>
      </c>
      <c r="C1965" s="7" t="n">
        <v>2007</v>
      </c>
      <c r="D1965" s="7" t="s">
        <v>10184</v>
      </c>
      <c r="E1965" s="7" t="s">
        <v>4790</v>
      </c>
      <c r="F1965" s="7" t="s">
        <v>1678</v>
      </c>
      <c r="G1965" s="7" t="s">
        <v>4711</v>
      </c>
      <c r="H1965" s="7" t="s">
        <v>146</v>
      </c>
      <c r="I1965" s="7" t="s">
        <v>10185</v>
      </c>
      <c r="J1965" s="7"/>
      <c r="K1965" s="7" t="s">
        <v>10186</v>
      </c>
    </row>
    <row r="1966" customFormat="false" ht="23.85" hidden="false" customHeight="false" outlineLevel="0" collapsed="false">
      <c r="A1966" s="7" t="n">
        <v>1965</v>
      </c>
      <c r="B1966" s="7" t="s">
        <v>10183</v>
      </c>
      <c r="C1966" s="7" t="n">
        <v>2010</v>
      </c>
      <c r="D1966" s="7" t="s">
        <v>10187</v>
      </c>
      <c r="E1966" s="7" t="s">
        <v>143</v>
      </c>
      <c r="F1966" s="7" t="s">
        <v>10188</v>
      </c>
      <c r="G1966" s="7" t="s">
        <v>4711</v>
      </c>
      <c r="H1966" s="7" t="s">
        <v>146</v>
      </c>
      <c r="I1966" s="7" t="s">
        <v>10189</v>
      </c>
      <c r="J1966" s="7"/>
      <c r="K1966" s="7" t="s">
        <v>10190</v>
      </c>
    </row>
    <row r="1967" customFormat="false" ht="35.05" hidden="false" customHeight="false" outlineLevel="0" collapsed="false">
      <c r="A1967" s="7" t="n">
        <v>1966</v>
      </c>
      <c r="B1967" s="7" t="s">
        <v>10183</v>
      </c>
      <c r="C1967" s="7" t="n">
        <v>2020</v>
      </c>
      <c r="D1967" s="7" t="s">
        <v>10191</v>
      </c>
      <c r="E1967" s="7" t="s">
        <v>143</v>
      </c>
      <c r="F1967" s="7" t="s">
        <v>10192</v>
      </c>
      <c r="G1967" s="7" t="s">
        <v>4711</v>
      </c>
      <c r="H1967" s="7" t="s">
        <v>146</v>
      </c>
      <c r="I1967" s="7" t="s">
        <v>10193</v>
      </c>
      <c r="J1967" s="7"/>
      <c r="K1967" s="7" t="s">
        <v>10194</v>
      </c>
    </row>
    <row r="1968" customFormat="false" ht="35.05" hidden="false" customHeight="false" outlineLevel="0" collapsed="false">
      <c r="A1968" s="7" t="n">
        <v>1967</v>
      </c>
      <c r="B1968" s="7" t="s">
        <v>10195</v>
      </c>
      <c r="C1968" s="7" t="n">
        <v>2014</v>
      </c>
      <c r="D1968" s="7" t="s">
        <v>10196</v>
      </c>
      <c r="E1968" s="7" t="s">
        <v>151</v>
      </c>
      <c r="F1968" s="7" t="s">
        <v>10197</v>
      </c>
      <c r="G1968" s="7" t="s">
        <v>10198</v>
      </c>
      <c r="H1968" s="7" t="s">
        <v>146</v>
      </c>
      <c r="I1968" s="7" t="s">
        <v>10199</v>
      </c>
      <c r="J1968" s="7"/>
      <c r="K1968" s="7" t="s">
        <v>10200</v>
      </c>
    </row>
    <row r="1969" customFormat="false" ht="23.85" hidden="false" customHeight="false" outlineLevel="0" collapsed="false">
      <c r="A1969" s="7" t="n">
        <v>1968</v>
      </c>
      <c r="B1969" s="7" t="s">
        <v>10201</v>
      </c>
      <c r="C1969" s="7" t="n">
        <v>2019</v>
      </c>
      <c r="D1969" s="7" t="s">
        <v>10202</v>
      </c>
      <c r="E1969" s="7" t="s">
        <v>151</v>
      </c>
      <c r="F1969" s="7" t="s">
        <v>152</v>
      </c>
      <c r="G1969" s="7" t="s">
        <v>4711</v>
      </c>
      <c r="H1969" s="7" t="s">
        <v>146</v>
      </c>
      <c r="I1969" s="7" t="s">
        <v>10203</v>
      </c>
      <c r="J1969" s="7"/>
      <c r="K1969" s="7" t="s">
        <v>10204</v>
      </c>
    </row>
    <row r="1970" customFormat="false" ht="35.05" hidden="false" customHeight="false" outlineLevel="0" collapsed="false">
      <c r="A1970" s="7" t="n">
        <v>1969</v>
      </c>
      <c r="B1970" s="7" t="s">
        <v>10205</v>
      </c>
      <c r="C1970" s="7" t="n">
        <v>2018</v>
      </c>
      <c r="D1970" s="7" t="s">
        <v>10206</v>
      </c>
      <c r="E1970" s="7" t="s">
        <v>143</v>
      </c>
      <c r="F1970" s="7" t="s">
        <v>10207</v>
      </c>
      <c r="G1970" s="7" t="s">
        <v>4711</v>
      </c>
      <c r="H1970" s="7" t="s">
        <v>146</v>
      </c>
      <c r="I1970" s="7" t="s">
        <v>10208</v>
      </c>
      <c r="J1970" s="7"/>
      <c r="K1970" s="7" t="s">
        <v>10209</v>
      </c>
    </row>
    <row r="1971" customFormat="false" ht="35.05" hidden="false" customHeight="false" outlineLevel="0" collapsed="false">
      <c r="A1971" s="7" t="n">
        <v>1970</v>
      </c>
      <c r="B1971" s="7" t="s">
        <v>10210</v>
      </c>
      <c r="C1971" s="7" t="n">
        <v>2020</v>
      </c>
      <c r="D1971" s="7" t="s">
        <v>10211</v>
      </c>
      <c r="E1971" s="7" t="s">
        <v>143</v>
      </c>
      <c r="F1971" s="7" t="s">
        <v>10147</v>
      </c>
      <c r="G1971" s="7" t="s">
        <v>10212</v>
      </c>
      <c r="H1971" s="7" t="s">
        <v>387</v>
      </c>
      <c r="I1971" s="7" t="s">
        <v>10114</v>
      </c>
      <c r="J1971" s="7"/>
      <c r="K1971" s="7" t="s">
        <v>10213</v>
      </c>
    </row>
    <row r="1972" customFormat="false" ht="23.85" hidden="false" customHeight="false" outlineLevel="0" collapsed="false">
      <c r="A1972" s="7" t="n">
        <v>1971</v>
      </c>
      <c r="B1972" s="7" t="s">
        <v>10214</v>
      </c>
      <c r="C1972" s="7" t="n">
        <v>2019</v>
      </c>
      <c r="D1972" s="7" t="s">
        <v>10215</v>
      </c>
      <c r="E1972" s="7" t="s">
        <v>143</v>
      </c>
      <c r="F1972" s="7" t="s">
        <v>152</v>
      </c>
      <c r="G1972" s="7" t="s">
        <v>181</v>
      </c>
      <c r="H1972" s="7" t="s">
        <v>146</v>
      </c>
      <c r="I1972" s="7" t="s">
        <v>10216</v>
      </c>
      <c r="J1972" s="7" t="s">
        <v>114</v>
      </c>
      <c r="K1972" s="7" t="s">
        <v>10217</v>
      </c>
    </row>
    <row r="1973" customFormat="false" ht="35.05" hidden="false" customHeight="false" outlineLevel="0" collapsed="false">
      <c r="A1973" s="7" t="n">
        <v>1972</v>
      </c>
      <c r="B1973" s="7" t="s">
        <v>8749</v>
      </c>
      <c r="C1973" s="7" t="n">
        <v>2016</v>
      </c>
      <c r="D1973" s="7" t="s">
        <v>10218</v>
      </c>
      <c r="E1973" s="7" t="s">
        <v>10219</v>
      </c>
      <c r="F1973" s="7" t="s">
        <v>1619</v>
      </c>
      <c r="G1973" s="7" t="s">
        <v>10220</v>
      </c>
      <c r="H1973" s="7" t="s">
        <v>748</v>
      </c>
      <c r="I1973" s="7" t="s">
        <v>10221</v>
      </c>
      <c r="J1973" s="7"/>
      <c r="K1973" s="7" t="s">
        <v>10222</v>
      </c>
    </row>
    <row r="1974" customFormat="false" ht="35.05" hidden="false" customHeight="false" outlineLevel="0" collapsed="false">
      <c r="A1974" s="7" t="n">
        <v>1973</v>
      </c>
      <c r="B1974" s="7" t="s">
        <v>10223</v>
      </c>
      <c r="C1974" s="7" t="n">
        <v>2019</v>
      </c>
      <c r="D1974" s="7" t="s">
        <v>10224</v>
      </c>
      <c r="E1974" s="7" t="s">
        <v>143</v>
      </c>
      <c r="F1974" s="7" t="s">
        <v>10225</v>
      </c>
      <c r="G1974" s="7" t="s">
        <v>10226</v>
      </c>
      <c r="H1974" s="7" t="s">
        <v>387</v>
      </c>
      <c r="I1974" s="7" t="s">
        <v>10227</v>
      </c>
      <c r="J1974" s="7"/>
      <c r="K1974" s="7" t="s">
        <v>10228</v>
      </c>
    </row>
    <row r="1975" customFormat="false" ht="23.85" hidden="false" customHeight="false" outlineLevel="0" collapsed="false">
      <c r="A1975" s="7" t="n">
        <v>1974</v>
      </c>
      <c r="B1975" s="7" t="s">
        <v>10229</v>
      </c>
      <c r="C1975" s="7" t="n">
        <v>2009</v>
      </c>
      <c r="D1975" s="7" t="s">
        <v>10230</v>
      </c>
      <c r="E1975" s="7" t="s">
        <v>143</v>
      </c>
      <c r="F1975" s="7" t="s">
        <v>152</v>
      </c>
      <c r="G1975" s="7" t="s">
        <v>2841</v>
      </c>
      <c r="H1975" s="7" t="s">
        <v>153</v>
      </c>
      <c r="I1975" s="7" t="s">
        <v>10231</v>
      </c>
      <c r="J1975" s="7" t="s">
        <v>114</v>
      </c>
      <c r="K1975" s="7" t="s">
        <v>10232</v>
      </c>
    </row>
    <row r="1976" customFormat="false" ht="23.85" hidden="false" customHeight="false" outlineLevel="0" collapsed="false">
      <c r="A1976" s="7" t="n">
        <v>1975</v>
      </c>
      <c r="B1976" s="7" t="s">
        <v>10233</v>
      </c>
      <c r="C1976" s="7" t="n">
        <v>2012</v>
      </c>
      <c r="D1976" s="7" t="s">
        <v>10234</v>
      </c>
      <c r="E1976" s="7" t="s">
        <v>10235</v>
      </c>
      <c r="F1976" s="7" t="s">
        <v>10236</v>
      </c>
      <c r="G1976" s="7" t="s">
        <v>10148</v>
      </c>
      <c r="H1976" s="7" t="s">
        <v>146</v>
      </c>
      <c r="I1976" s="7" t="s">
        <v>10237</v>
      </c>
      <c r="J1976" s="7"/>
      <c r="K1976" s="7" t="s">
        <v>10238</v>
      </c>
    </row>
    <row r="1977" customFormat="false" ht="23.85" hidden="false" customHeight="false" outlineLevel="0" collapsed="false">
      <c r="A1977" s="7" t="n">
        <v>1976</v>
      </c>
      <c r="B1977" s="7" t="s">
        <v>10239</v>
      </c>
      <c r="C1977" s="7" t="n">
        <v>2016</v>
      </c>
      <c r="D1977" s="7" t="s">
        <v>10240</v>
      </c>
      <c r="E1977" s="7" t="s">
        <v>151</v>
      </c>
      <c r="F1977" s="7" t="s">
        <v>10241</v>
      </c>
      <c r="G1977" s="7" t="s">
        <v>10242</v>
      </c>
      <c r="H1977" s="7" t="s">
        <v>146</v>
      </c>
      <c r="I1977" s="7" t="s">
        <v>10243</v>
      </c>
      <c r="J1977" s="7"/>
      <c r="K1977" s="7" t="s">
        <v>10244</v>
      </c>
    </row>
    <row r="1978" customFormat="false" ht="23.85" hidden="false" customHeight="false" outlineLevel="0" collapsed="false">
      <c r="A1978" s="7" t="n">
        <v>1977</v>
      </c>
      <c r="B1978" s="7" t="s">
        <v>10245</v>
      </c>
      <c r="C1978" s="7" t="n">
        <v>2019</v>
      </c>
      <c r="D1978" s="7" t="s">
        <v>10246</v>
      </c>
      <c r="E1978" s="7" t="s">
        <v>143</v>
      </c>
      <c r="F1978" s="7" t="s">
        <v>10247</v>
      </c>
      <c r="G1978" s="7" t="s">
        <v>10248</v>
      </c>
      <c r="H1978" s="7" t="s">
        <v>146</v>
      </c>
      <c r="I1978" s="7" t="s">
        <v>10249</v>
      </c>
      <c r="J1978" s="7"/>
      <c r="K1978" s="7" t="s">
        <v>10250</v>
      </c>
    </row>
    <row r="1979" customFormat="false" ht="35.05" hidden="false" customHeight="false" outlineLevel="0" collapsed="false">
      <c r="A1979" s="7" t="n">
        <v>1978</v>
      </c>
      <c r="B1979" s="7" t="s">
        <v>10251</v>
      </c>
      <c r="C1979" s="7" t="n">
        <v>2012</v>
      </c>
      <c r="D1979" s="7" t="s">
        <v>10252</v>
      </c>
      <c r="E1979" s="7" t="s">
        <v>151</v>
      </c>
      <c r="F1979" s="7" t="s">
        <v>10253</v>
      </c>
      <c r="G1979" s="7" t="s">
        <v>10254</v>
      </c>
      <c r="H1979" s="7" t="s">
        <v>146</v>
      </c>
      <c r="I1979" s="7" t="s">
        <v>10255</v>
      </c>
      <c r="J1979" s="7" t="s">
        <v>116</v>
      </c>
      <c r="K1979" s="7" t="s">
        <v>10256</v>
      </c>
    </row>
    <row r="1980" customFormat="false" ht="35.05" hidden="false" customHeight="false" outlineLevel="0" collapsed="false">
      <c r="A1980" s="7" t="n">
        <v>1979</v>
      </c>
      <c r="B1980" s="7" t="s">
        <v>10257</v>
      </c>
      <c r="C1980" s="7" t="n">
        <v>2013</v>
      </c>
      <c r="D1980" s="7" t="s">
        <v>10258</v>
      </c>
      <c r="E1980" s="7" t="s">
        <v>143</v>
      </c>
      <c r="F1980" s="7" t="s">
        <v>10259</v>
      </c>
      <c r="G1980" s="7" t="s">
        <v>1904</v>
      </c>
      <c r="H1980" s="7" t="s">
        <v>146</v>
      </c>
      <c r="I1980" s="7" t="s">
        <v>10260</v>
      </c>
      <c r="J1980" s="7"/>
      <c r="K1980" s="7" t="s">
        <v>10261</v>
      </c>
    </row>
    <row r="1981" customFormat="false" ht="35.05" hidden="false" customHeight="false" outlineLevel="0" collapsed="false">
      <c r="A1981" s="7" t="n">
        <v>1980</v>
      </c>
      <c r="B1981" s="7" t="s">
        <v>10262</v>
      </c>
      <c r="C1981" s="7" t="n">
        <v>2019</v>
      </c>
      <c r="D1981" s="7" t="s">
        <v>10263</v>
      </c>
      <c r="E1981" s="7" t="s">
        <v>579</v>
      </c>
      <c r="F1981" s="7" t="s">
        <v>10264</v>
      </c>
      <c r="G1981" s="7" t="s">
        <v>4711</v>
      </c>
      <c r="H1981" s="7" t="s">
        <v>146</v>
      </c>
      <c r="I1981" s="7" t="s">
        <v>10265</v>
      </c>
      <c r="J1981" s="7"/>
      <c r="K1981" s="7" t="s">
        <v>10266</v>
      </c>
    </row>
    <row r="1982" customFormat="false" ht="23.85" hidden="false" customHeight="false" outlineLevel="0" collapsed="false">
      <c r="A1982" s="7" t="n">
        <v>1981</v>
      </c>
      <c r="B1982" s="7" t="s">
        <v>10267</v>
      </c>
      <c r="C1982" s="7" t="n">
        <v>2009</v>
      </c>
      <c r="D1982" s="7" t="s">
        <v>10268</v>
      </c>
      <c r="E1982" s="7" t="s">
        <v>201</v>
      </c>
      <c r="F1982" s="7" t="s">
        <v>1495</v>
      </c>
      <c r="G1982" s="7" t="s">
        <v>181</v>
      </c>
      <c r="H1982" s="7" t="s">
        <v>387</v>
      </c>
      <c r="I1982" s="7" t="s">
        <v>10269</v>
      </c>
      <c r="J1982" s="7" t="s">
        <v>116</v>
      </c>
      <c r="K1982" s="7" t="s">
        <v>10270</v>
      </c>
    </row>
    <row r="1983" customFormat="false" ht="23.85" hidden="false" customHeight="false" outlineLevel="0" collapsed="false">
      <c r="A1983" s="7" t="n">
        <v>1982</v>
      </c>
      <c r="B1983" s="7" t="s">
        <v>10271</v>
      </c>
      <c r="C1983" s="7" t="n">
        <v>2016</v>
      </c>
      <c r="D1983" s="7" t="s">
        <v>10272</v>
      </c>
      <c r="E1983" s="7" t="s">
        <v>143</v>
      </c>
      <c r="F1983" s="7" t="s">
        <v>10273</v>
      </c>
      <c r="G1983" s="7" t="s">
        <v>4711</v>
      </c>
      <c r="H1983" s="7" t="s">
        <v>146</v>
      </c>
      <c r="I1983" s="7" t="s">
        <v>10274</v>
      </c>
      <c r="J1983" s="7" t="s">
        <v>114</v>
      </c>
      <c r="K1983" s="7" t="s">
        <v>10275</v>
      </c>
    </row>
    <row r="1984" customFormat="false" ht="23.85" hidden="false" customHeight="false" outlineLevel="0" collapsed="false">
      <c r="A1984" s="7" t="n">
        <v>1983</v>
      </c>
      <c r="B1984" s="7" t="s">
        <v>10276</v>
      </c>
      <c r="C1984" s="7" t="n">
        <v>2006</v>
      </c>
      <c r="D1984" s="7" t="s">
        <v>10277</v>
      </c>
      <c r="E1984" s="7" t="s">
        <v>10278</v>
      </c>
      <c r="F1984" s="7" t="s">
        <v>152</v>
      </c>
      <c r="G1984" s="7" t="s">
        <v>10279</v>
      </c>
      <c r="H1984" s="7" t="s">
        <v>146</v>
      </c>
      <c r="I1984" s="7" t="s">
        <v>10280</v>
      </c>
      <c r="J1984" s="7"/>
      <c r="K1984" s="7" t="s">
        <v>10281</v>
      </c>
    </row>
    <row r="1985" customFormat="false" ht="23.85" hidden="false" customHeight="false" outlineLevel="0" collapsed="false">
      <c r="A1985" s="7" t="n">
        <v>1984</v>
      </c>
      <c r="B1985" s="7" t="s">
        <v>10282</v>
      </c>
      <c r="C1985" s="7" t="n">
        <v>2019</v>
      </c>
      <c r="D1985" s="7" t="s">
        <v>10283</v>
      </c>
      <c r="E1985" s="7" t="s">
        <v>10284</v>
      </c>
      <c r="F1985" s="7" t="s">
        <v>10285</v>
      </c>
      <c r="G1985" s="7" t="s">
        <v>10286</v>
      </c>
      <c r="H1985" s="7" t="s">
        <v>146</v>
      </c>
      <c r="I1985" s="7" t="s">
        <v>10287</v>
      </c>
      <c r="J1985" s="7"/>
      <c r="K1985" s="7" t="s">
        <v>10288</v>
      </c>
    </row>
    <row r="1986" customFormat="false" ht="35.05" hidden="false" customHeight="false" outlineLevel="0" collapsed="false">
      <c r="A1986" s="7" t="n">
        <v>1985</v>
      </c>
      <c r="B1986" s="7" t="s">
        <v>10289</v>
      </c>
      <c r="C1986" s="7" t="n">
        <v>2020</v>
      </c>
      <c r="D1986" s="7" t="s">
        <v>10290</v>
      </c>
      <c r="E1986" s="7" t="s">
        <v>10291</v>
      </c>
      <c r="F1986" s="7" t="s">
        <v>1619</v>
      </c>
      <c r="G1986" s="7" t="s">
        <v>10292</v>
      </c>
      <c r="H1986" s="7" t="s">
        <v>208</v>
      </c>
      <c r="I1986" s="7" t="s">
        <v>10293</v>
      </c>
      <c r="J1986" s="7"/>
      <c r="K1986" s="7" t="s">
        <v>10294</v>
      </c>
    </row>
    <row r="1987" customFormat="false" ht="35.05" hidden="false" customHeight="false" outlineLevel="0" collapsed="false">
      <c r="A1987" s="7" t="n">
        <v>1986</v>
      </c>
      <c r="B1987" s="7" t="s">
        <v>10295</v>
      </c>
      <c r="C1987" s="7" t="n">
        <v>2020</v>
      </c>
      <c r="D1987" s="7" t="s">
        <v>10296</v>
      </c>
      <c r="E1987" s="7" t="s">
        <v>10297</v>
      </c>
      <c r="F1987" s="7" t="s">
        <v>10131</v>
      </c>
      <c r="G1987" s="7" t="s">
        <v>10298</v>
      </c>
      <c r="H1987" s="7" t="s">
        <v>146</v>
      </c>
      <c r="I1987" s="7" t="s">
        <v>10299</v>
      </c>
      <c r="J1987" s="7"/>
      <c r="K1987" s="7" t="s">
        <v>10300</v>
      </c>
    </row>
    <row r="1988" customFormat="false" ht="46.25" hidden="false" customHeight="false" outlineLevel="0" collapsed="false">
      <c r="A1988" s="7" t="n">
        <v>1987</v>
      </c>
      <c r="B1988" s="7" t="s">
        <v>15827</v>
      </c>
      <c r="C1988" s="7" t="n">
        <v>2018</v>
      </c>
      <c r="D1988" s="7" t="s">
        <v>10302</v>
      </c>
      <c r="E1988" s="7" t="s">
        <v>143</v>
      </c>
      <c r="F1988" s="7" t="s">
        <v>152</v>
      </c>
      <c r="G1988" s="7" t="s">
        <v>2846</v>
      </c>
      <c r="H1988" s="7" t="s">
        <v>15142</v>
      </c>
      <c r="I1988" s="7" t="s">
        <v>15828</v>
      </c>
      <c r="J1988" s="7" t="s">
        <v>114</v>
      </c>
      <c r="K1988" s="7" t="s">
        <v>15829</v>
      </c>
    </row>
    <row r="1989" customFormat="false" ht="35.05" hidden="false" customHeight="false" outlineLevel="0" collapsed="false">
      <c r="A1989" s="7" t="n">
        <v>1988</v>
      </c>
      <c r="B1989" s="7" t="s">
        <v>10308</v>
      </c>
      <c r="C1989" s="7" t="n">
        <v>2018</v>
      </c>
      <c r="D1989" s="7" t="s">
        <v>10309</v>
      </c>
      <c r="E1989" s="7" t="s">
        <v>10219</v>
      </c>
      <c r="F1989" s="7" t="s">
        <v>10310</v>
      </c>
      <c r="G1989" s="7" t="s">
        <v>10311</v>
      </c>
      <c r="H1989" s="7" t="s">
        <v>387</v>
      </c>
      <c r="I1989" s="7" t="s">
        <v>10312</v>
      </c>
      <c r="J1989" s="7"/>
      <c r="K1989" s="7" t="s">
        <v>10313</v>
      </c>
    </row>
    <row r="1990" customFormat="false" ht="23.85" hidden="false" customHeight="false" outlineLevel="0" collapsed="false">
      <c r="A1990" s="7" t="n">
        <v>1989</v>
      </c>
      <c r="B1990" s="7" t="s">
        <v>10308</v>
      </c>
      <c r="C1990" s="7" t="n">
        <v>2020</v>
      </c>
      <c r="D1990" s="7" t="s">
        <v>10314</v>
      </c>
      <c r="E1990" s="7" t="s">
        <v>151</v>
      </c>
      <c r="F1990" s="7" t="s">
        <v>152</v>
      </c>
      <c r="G1990" s="7" t="s">
        <v>10148</v>
      </c>
      <c r="H1990" s="7" t="s">
        <v>387</v>
      </c>
      <c r="I1990" s="7" t="s">
        <v>10315</v>
      </c>
      <c r="J1990" s="7"/>
      <c r="K1990" s="7" t="s">
        <v>10316</v>
      </c>
    </row>
    <row r="1991" customFormat="false" ht="23.85" hidden="false" customHeight="false" outlineLevel="0" collapsed="false">
      <c r="A1991" s="7" t="n">
        <v>1990</v>
      </c>
      <c r="B1991" s="7" t="s">
        <v>10317</v>
      </c>
      <c r="C1991" s="7" t="n">
        <v>2018</v>
      </c>
      <c r="D1991" s="7" t="s">
        <v>10318</v>
      </c>
      <c r="E1991" s="7" t="s">
        <v>1588</v>
      </c>
      <c r="F1991" s="7" t="s">
        <v>10319</v>
      </c>
      <c r="G1991" s="7" t="s">
        <v>181</v>
      </c>
      <c r="H1991" s="7" t="s">
        <v>146</v>
      </c>
      <c r="I1991" s="7" t="s">
        <v>10320</v>
      </c>
      <c r="J1991" s="7"/>
      <c r="K1991" s="7" t="s">
        <v>10321</v>
      </c>
    </row>
    <row r="1992" customFormat="false" ht="35.05" hidden="false" customHeight="false" outlineLevel="0" collapsed="false">
      <c r="A1992" s="7" t="n">
        <v>1991</v>
      </c>
      <c r="B1992" s="7" t="s">
        <v>10322</v>
      </c>
      <c r="C1992" s="7" t="n">
        <v>2019</v>
      </c>
      <c r="D1992" s="7" t="s">
        <v>10323</v>
      </c>
      <c r="E1992" s="7" t="s">
        <v>10324</v>
      </c>
      <c r="F1992" s="7" t="s">
        <v>10325</v>
      </c>
      <c r="G1992" s="7" t="s">
        <v>4711</v>
      </c>
      <c r="H1992" s="7" t="s">
        <v>387</v>
      </c>
      <c r="I1992" s="7" t="s">
        <v>10326</v>
      </c>
      <c r="J1992" s="7"/>
      <c r="K1992" s="7" t="s">
        <v>10327</v>
      </c>
    </row>
    <row r="1993" customFormat="false" ht="23.85" hidden="false" customHeight="false" outlineLevel="0" collapsed="false">
      <c r="A1993" s="7" t="n">
        <v>1992</v>
      </c>
      <c r="B1993" s="7" t="s">
        <v>10328</v>
      </c>
      <c r="C1993" s="7" t="n">
        <v>2020</v>
      </c>
      <c r="D1993" s="7" t="s">
        <v>10329</v>
      </c>
      <c r="E1993" s="7" t="s">
        <v>1588</v>
      </c>
      <c r="F1993" s="7" t="s">
        <v>10330</v>
      </c>
      <c r="G1993" s="7" t="s">
        <v>4711</v>
      </c>
      <c r="H1993" s="7" t="s">
        <v>146</v>
      </c>
      <c r="I1993" s="7" t="s">
        <v>10331</v>
      </c>
      <c r="J1993" s="7"/>
      <c r="K1993" s="7" t="s">
        <v>10332</v>
      </c>
    </row>
    <row r="1994" customFormat="false" ht="35.05" hidden="false" customHeight="false" outlineLevel="0" collapsed="false">
      <c r="A1994" s="7" t="n">
        <v>1993</v>
      </c>
      <c r="B1994" s="7" t="s">
        <v>10333</v>
      </c>
      <c r="C1994" s="7" t="n">
        <v>2003</v>
      </c>
      <c r="D1994" s="7" t="s">
        <v>10334</v>
      </c>
      <c r="E1994" s="7" t="s">
        <v>151</v>
      </c>
      <c r="F1994" s="7" t="s">
        <v>10335</v>
      </c>
      <c r="G1994" s="7" t="s">
        <v>4711</v>
      </c>
      <c r="H1994" s="7" t="s">
        <v>146</v>
      </c>
      <c r="I1994" s="7" t="s">
        <v>10336</v>
      </c>
      <c r="J1994" s="7"/>
      <c r="K1994" s="7" t="s">
        <v>10337</v>
      </c>
    </row>
    <row r="1995" customFormat="false" ht="23.85" hidden="false" customHeight="false" outlineLevel="0" collapsed="false">
      <c r="A1995" s="7" t="n">
        <v>1994</v>
      </c>
      <c r="B1995" s="7" t="s">
        <v>10338</v>
      </c>
      <c r="C1995" s="7" t="n">
        <v>2009</v>
      </c>
      <c r="D1995" s="7" t="s">
        <v>10339</v>
      </c>
      <c r="E1995" s="7" t="s">
        <v>143</v>
      </c>
      <c r="F1995" s="7" t="s">
        <v>348</v>
      </c>
      <c r="G1995" s="7" t="s">
        <v>145</v>
      </c>
      <c r="H1995" s="7" t="s">
        <v>153</v>
      </c>
      <c r="I1995" s="7" t="s">
        <v>10340</v>
      </c>
      <c r="J1995" s="7"/>
      <c r="K1995" s="7" t="s">
        <v>10341</v>
      </c>
    </row>
    <row r="1996" customFormat="false" ht="35.05" hidden="false" customHeight="false" outlineLevel="0" collapsed="false">
      <c r="A1996" s="7" t="n">
        <v>1995</v>
      </c>
      <c r="B1996" s="7" t="s">
        <v>10342</v>
      </c>
      <c r="C1996" s="7" t="n">
        <v>2018</v>
      </c>
      <c r="D1996" s="7" t="s">
        <v>10343</v>
      </c>
      <c r="E1996" s="7" t="s">
        <v>151</v>
      </c>
      <c r="F1996" s="7" t="s">
        <v>10344</v>
      </c>
      <c r="G1996" s="7" t="s">
        <v>10084</v>
      </c>
      <c r="H1996" s="7" t="s">
        <v>146</v>
      </c>
      <c r="I1996" s="7" t="s">
        <v>10345</v>
      </c>
      <c r="J1996" s="7"/>
      <c r="K1996" s="7" t="s">
        <v>10346</v>
      </c>
    </row>
    <row r="1997" customFormat="false" ht="23.85" hidden="false" customHeight="false" outlineLevel="0" collapsed="false">
      <c r="A1997" s="7" t="n">
        <v>1996</v>
      </c>
      <c r="B1997" s="7" t="s">
        <v>10347</v>
      </c>
      <c r="C1997" s="7" t="n">
        <v>2011</v>
      </c>
      <c r="D1997" s="7" t="s">
        <v>10348</v>
      </c>
      <c r="E1997" s="7" t="s">
        <v>143</v>
      </c>
      <c r="F1997" s="7" t="s">
        <v>10349</v>
      </c>
      <c r="G1997" s="7" t="s">
        <v>1904</v>
      </c>
      <c r="H1997" s="7" t="s">
        <v>146</v>
      </c>
      <c r="I1997" s="7" t="s">
        <v>10350</v>
      </c>
      <c r="J1997" s="7"/>
      <c r="K1997" s="7" t="s">
        <v>10351</v>
      </c>
    </row>
    <row r="1998" customFormat="false" ht="23.85" hidden="false" customHeight="false" outlineLevel="0" collapsed="false">
      <c r="A1998" s="7" t="n">
        <v>1997</v>
      </c>
      <c r="B1998" s="7" t="s">
        <v>10352</v>
      </c>
      <c r="C1998" s="7" t="n">
        <v>2022</v>
      </c>
      <c r="D1998" s="7" t="s">
        <v>10353</v>
      </c>
      <c r="E1998" s="7" t="s">
        <v>143</v>
      </c>
      <c r="F1998" s="7" t="s">
        <v>152</v>
      </c>
      <c r="G1998" s="7" t="s">
        <v>10354</v>
      </c>
      <c r="H1998" s="7" t="s">
        <v>387</v>
      </c>
      <c r="I1998" s="7" t="s">
        <v>10355</v>
      </c>
      <c r="J1998" s="7" t="s">
        <v>114</v>
      </c>
      <c r="K1998" s="7" t="s">
        <v>10356</v>
      </c>
    </row>
    <row r="1999" customFormat="false" ht="23.85" hidden="false" customHeight="false" outlineLevel="0" collapsed="false">
      <c r="A1999" s="7" t="n">
        <v>1998</v>
      </c>
      <c r="B1999" s="7" t="s">
        <v>10357</v>
      </c>
      <c r="C1999" s="7" t="n">
        <v>2014</v>
      </c>
      <c r="D1999" s="7" t="s">
        <v>10358</v>
      </c>
      <c r="E1999" s="7" t="s">
        <v>3817</v>
      </c>
      <c r="F1999" s="7" t="s">
        <v>10359</v>
      </c>
      <c r="G1999" s="7" t="s">
        <v>4711</v>
      </c>
      <c r="H1999" s="7" t="s">
        <v>748</v>
      </c>
      <c r="I1999" s="7" t="s">
        <v>10360</v>
      </c>
      <c r="J1999" s="7"/>
      <c r="K1999" s="7" t="s">
        <v>10361</v>
      </c>
    </row>
    <row r="2000" customFormat="false" ht="23.85" hidden="false" customHeight="false" outlineLevel="0" collapsed="false">
      <c r="A2000" s="7" t="n">
        <v>1999</v>
      </c>
      <c r="B2000" s="7" t="s">
        <v>10362</v>
      </c>
      <c r="C2000" s="7" t="n">
        <v>2014</v>
      </c>
      <c r="D2000" s="7" t="s">
        <v>10363</v>
      </c>
      <c r="E2000" s="7" t="s">
        <v>201</v>
      </c>
      <c r="F2000" s="7" t="s">
        <v>10364</v>
      </c>
      <c r="G2000" s="7" t="s">
        <v>4711</v>
      </c>
      <c r="H2000" s="7" t="s">
        <v>146</v>
      </c>
      <c r="I2000" s="7" t="s">
        <v>10365</v>
      </c>
      <c r="J2000" s="7"/>
      <c r="K2000" s="7" t="s">
        <v>10366</v>
      </c>
    </row>
    <row r="2001" customFormat="false" ht="23.85" hidden="false" customHeight="false" outlineLevel="0" collapsed="false">
      <c r="A2001" s="7" t="n">
        <v>2000</v>
      </c>
      <c r="B2001" s="7" t="s">
        <v>10367</v>
      </c>
      <c r="C2001" s="7" t="n">
        <v>2015</v>
      </c>
      <c r="D2001" s="7" t="s">
        <v>10368</v>
      </c>
      <c r="E2001" s="7" t="s">
        <v>587</v>
      </c>
      <c r="F2001" s="7" t="s">
        <v>10369</v>
      </c>
      <c r="G2001" s="7" t="s">
        <v>10089</v>
      </c>
      <c r="H2001" s="7" t="s">
        <v>146</v>
      </c>
      <c r="I2001" s="7" t="s">
        <v>10370</v>
      </c>
      <c r="J2001" s="7"/>
      <c r="K2001" s="7" t="s">
        <v>10371</v>
      </c>
    </row>
    <row r="2002" customFormat="false" ht="35.05" hidden="false" customHeight="false" outlineLevel="0" collapsed="false">
      <c r="A2002" s="7" t="n">
        <v>2001</v>
      </c>
      <c r="B2002" s="7" t="s">
        <v>10372</v>
      </c>
      <c r="C2002" s="7" t="n">
        <v>2012</v>
      </c>
      <c r="D2002" s="7" t="s">
        <v>10373</v>
      </c>
      <c r="E2002" s="7" t="s">
        <v>151</v>
      </c>
      <c r="F2002" s="7" t="s">
        <v>10374</v>
      </c>
      <c r="G2002" s="7" t="s">
        <v>10375</v>
      </c>
      <c r="H2002" s="7" t="s">
        <v>146</v>
      </c>
      <c r="I2002" s="7" t="s">
        <v>10376</v>
      </c>
      <c r="J2002" s="7"/>
      <c r="K2002" s="7" t="s">
        <v>10377</v>
      </c>
    </row>
    <row r="2003" customFormat="false" ht="35.05" hidden="false" customHeight="false" outlineLevel="0" collapsed="false">
      <c r="A2003" s="7" t="n">
        <v>2002</v>
      </c>
      <c r="B2003" s="7" t="s">
        <v>10378</v>
      </c>
      <c r="C2003" s="7" t="n">
        <v>2018</v>
      </c>
      <c r="D2003" s="7" t="s">
        <v>10379</v>
      </c>
      <c r="E2003" s="7" t="s">
        <v>143</v>
      </c>
      <c r="F2003" s="7" t="s">
        <v>10380</v>
      </c>
      <c r="G2003" s="7" t="s">
        <v>4711</v>
      </c>
      <c r="H2003" s="7" t="s">
        <v>387</v>
      </c>
      <c r="I2003" s="7" t="s">
        <v>10381</v>
      </c>
      <c r="J2003" s="7"/>
      <c r="K2003" s="7" t="s">
        <v>10382</v>
      </c>
    </row>
    <row r="2004" customFormat="false" ht="23.85" hidden="false" customHeight="false" outlineLevel="0" collapsed="false">
      <c r="A2004" s="7" t="n">
        <v>2003</v>
      </c>
      <c r="B2004" s="7" t="s">
        <v>10383</v>
      </c>
      <c r="C2004" s="7" t="n">
        <v>2009</v>
      </c>
      <c r="D2004" s="7" t="s">
        <v>10384</v>
      </c>
      <c r="E2004" s="7" t="s">
        <v>143</v>
      </c>
      <c r="F2004" s="7" t="s">
        <v>348</v>
      </c>
      <c r="G2004" s="7" t="s">
        <v>145</v>
      </c>
      <c r="H2004" s="7" t="s">
        <v>153</v>
      </c>
      <c r="I2004" s="7" t="s">
        <v>10385</v>
      </c>
      <c r="J2004" s="7"/>
      <c r="K2004" s="7" t="s">
        <v>10386</v>
      </c>
    </row>
    <row r="2005" customFormat="false" ht="35.05" hidden="false" customHeight="false" outlineLevel="0" collapsed="false">
      <c r="A2005" s="7" t="n">
        <v>2004</v>
      </c>
      <c r="B2005" s="7" t="s">
        <v>10387</v>
      </c>
      <c r="C2005" s="7" t="n">
        <v>2017</v>
      </c>
      <c r="D2005" s="7" t="s">
        <v>10388</v>
      </c>
      <c r="E2005" s="7" t="s">
        <v>143</v>
      </c>
      <c r="F2005" s="7" t="s">
        <v>10389</v>
      </c>
      <c r="G2005" s="7" t="s">
        <v>10390</v>
      </c>
      <c r="H2005" s="7" t="s">
        <v>146</v>
      </c>
      <c r="I2005" s="7" t="s">
        <v>10391</v>
      </c>
      <c r="J2005" s="7"/>
      <c r="K2005" s="7" t="s">
        <v>10392</v>
      </c>
    </row>
    <row r="2006" customFormat="false" ht="35.05" hidden="false" customHeight="false" outlineLevel="0" collapsed="false">
      <c r="A2006" s="7" t="n">
        <v>2005</v>
      </c>
      <c r="B2006" s="7" t="s">
        <v>10393</v>
      </c>
      <c r="C2006" s="7" t="n">
        <v>2013</v>
      </c>
      <c r="D2006" s="7" t="s">
        <v>10394</v>
      </c>
      <c r="E2006" s="7" t="s">
        <v>10395</v>
      </c>
      <c r="F2006" s="7" t="s">
        <v>10396</v>
      </c>
      <c r="G2006" s="7" t="s">
        <v>10148</v>
      </c>
      <c r="H2006" s="7" t="s">
        <v>146</v>
      </c>
      <c r="I2006" s="7" t="s">
        <v>10397</v>
      </c>
      <c r="J2006" s="7"/>
      <c r="K2006" s="7" t="s">
        <v>10398</v>
      </c>
    </row>
    <row r="2007" customFormat="false" ht="23.85" hidden="false" customHeight="false" outlineLevel="0" collapsed="false">
      <c r="A2007" s="7" t="n">
        <v>2006</v>
      </c>
      <c r="B2007" s="7" t="s">
        <v>10399</v>
      </c>
      <c r="C2007" s="7" t="n">
        <v>2015</v>
      </c>
      <c r="D2007" s="7" t="s">
        <v>10400</v>
      </c>
      <c r="E2007" s="7" t="s">
        <v>10401</v>
      </c>
      <c r="F2007" s="7" t="s">
        <v>10402</v>
      </c>
      <c r="G2007" s="7" t="s">
        <v>10148</v>
      </c>
      <c r="H2007" s="7" t="s">
        <v>146</v>
      </c>
      <c r="I2007" s="7" t="s">
        <v>10403</v>
      </c>
      <c r="J2007" s="7"/>
      <c r="K2007" s="7" t="s">
        <v>10404</v>
      </c>
    </row>
    <row r="2008" customFormat="false" ht="23.85" hidden="false" customHeight="false" outlineLevel="0" collapsed="false">
      <c r="A2008" s="7" t="n">
        <v>2007</v>
      </c>
      <c r="B2008" s="7" t="s">
        <v>10405</v>
      </c>
      <c r="C2008" s="7" t="n">
        <v>2018</v>
      </c>
      <c r="D2008" s="7" t="s">
        <v>10406</v>
      </c>
      <c r="E2008" s="7" t="s">
        <v>151</v>
      </c>
      <c r="F2008" s="7" t="s">
        <v>10407</v>
      </c>
      <c r="G2008" s="7" t="s">
        <v>10375</v>
      </c>
      <c r="H2008" s="7" t="s">
        <v>387</v>
      </c>
      <c r="I2008" s="7" t="s">
        <v>10408</v>
      </c>
      <c r="J2008" s="7"/>
      <c r="K2008" s="7" t="s">
        <v>10409</v>
      </c>
    </row>
    <row r="2009" customFormat="false" ht="23.85" hidden="false" customHeight="false" outlineLevel="0" collapsed="false">
      <c r="A2009" s="7" t="n">
        <v>2008</v>
      </c>
      <c r="B2009" s="7" t="s">
        <v>10410</v>
      </c>
      <c r="C2009" s="7" t="n">
        <v>2021</v>
      </c>
      <c r="D2009" s="7" t="s">
        <v>10411</v>
      </c>
      <c r="E2009" s="7" t="s">
        <v>10412</v>
      </c>
      <c r="F2009" s="7" t="s">
        <v>10413</v>
      </c>
      <c r="G2009" s="7" t="s">
        <v>181</v>
      </c>
      <c r="H2009" s="7" t="s">
        <v>146</v>
      </c>
      <c r="I2009" s="7" t="s">
        <v>3179</v>
      </c>
      <c r="J2009" s="7" t="s">
        <v>112</v>
      </c>
      <c r="K2009" s="7" t="s">
        <v>10414</v>
      </c>
    </row>
    <row r="2010" customFormat="false" ht="35.05" hidden="false" customHeight="false" outlineLevel="0" collapsed="false">
      <c r="A2010" s="7" t="n">
        <v>2009</v>
      </c>
      <c r="B2010" s="7" t="s">
        <v>10415</v>
      </c>
      <c r="C2010" s="7" t="n">
        <v>2015</v>
      </c>
      <c r="D2010" s="7" t="s">
        <v>10416</v>
      </c>
      <c r="E2010" s="7" t="s">
        <v>4790</v>
      </c>
      <c r="F2010" s="7" t="s">
        <v>10207</v>
      </c>
      <c r="G2010" s="7" t="s">
        <v>10148</v>
      </c>
      <c r="H2010" s="7" t="s">
        <v>146</v>
      </c>
      <c r="I2010" s="7" t="s">
        <v>10417</v>
      </c>
      <c r="J2010" s="7"/>
      <c r="K2010" s="7" t="s">
        <v>10418</v>
      </c>
    </row>
    <row r="2011" customFormat="false" ht="23.85" hidden="false" customHeight="false" outlineLevel="0" collapsed="false">
      <c r="A2011" s="7" t="n">
        <v>2010</v>
      </c>
      <c r="B2011" s="7" t="s">
        <v>10419</v>
      </c>
      <c r="C2011" s="7" t="n">
        <v>2008</v>
      </c>
      <c r="D2011" s="7" t="s">
        <v>10420</v>
      </c>
      <c r="E2011" s="7" t="s">
        <v>10278</v>
      </c>
      <c r="F2011" s="7" t="s">
        <v>10421</v>
      </c>
      <c r="G2011" s="7" t="s">
        <v>10148</v>
      </c>
      <c r="H2011" s="7" t="s">
        <v>146</v>
      </c>
      <c r="I2011" s="7" t="s">
        <v>10422</v>
      </c>
      <c r="J2011" s="7"/>
      <c r="K2011" s="7" t="s">
        <v>10423</v>
      </c>
    </row>
    <row r="2012" customFormat="false" ht="35.05" hidden="false" customHeight="false" outlineLevel="0" collapsed="false">
      <c r="A2012" s="7" t="n">
        <v>2011</v>
      </c>
      <c r="B2012" s="7" t="s">
        <v>10424</v>
      </c>
      <c r="C2012" s="7" t="n">
        <v>2014</v>
      </c>
      <c r="D2012" s="7" t="s">
        <v>10425</v>
      </c>
      <c r="E2012" s="7" t="s">
        <v>143</v>
      </c>
      <c r="F2012" s="7" t="s">
        <v>1619</v>
      </c>
      <c r="G2012" s="7" t="s">
        <v>10426</v>
      </c>
      <c r="H2012" s="7" t="s">
        <v>387</v>
      </c>
      <c r="I2012" s="7" t="s">
        <v>10427</v>
      </c>
      <c r="J2012" s="7" t="s">
        <v>116</v>
      </c>
      <c r="K2012" s="7" t="s">
        <v>10428</v>
      </c>
    </row>
    <row r="2013" customFormat="false" ht="23.85" hidden="false" customHeight="false" outlineLevel="0" collapsed="false">
      <c r="A2013" s="7" t="n">
        <v>2012</v>
      </c>
      <c r="B2013" s="7" t="s">
        <v>10429</v>
      </c>
      <c r="C2013" s="7" t="n">
        <v>2012</v>
      </c>
      <c r="D2013" s="7" t="s">
        <v>10430</v>
      </c>
      <c r="E2013" s="7" t="s">
        <v>143</v>
      </c>
      <c r="F2013" s="7" t="s">
        <v>10431</v>
      </c>
      <c r="G2013" s="7" t="s">
        <v>10432</v>
      </c>
      <c r="H2013" s="7" t="s">
        <v>146</v>
      </c>
      <c r="I2013" s="7" t="s">
        <v>10433</v>
      </c>
      <c r="J2013" s="7"/>
      <c r="K2013" s="7" t="s">
        <v>10434</v>
      </c>
    </row>
    <row r="2014" customFormat="false" ht="35.05" hidden="false" customHeight="false" outlineLevel="0" collapsed="false">
      <c r="A2014" s="7" t="n">
        <v>2013</v>
      </c>
      <c r="B2014" s="7" t="s">
        <v>10429</v>
      </c>
      <c r="C2014" s="7" t="n">
        <v>2014</v>
      </c>
      <c r="D2014" s="7" t="s">
        <v>10435</v>
      </c>
      <c r="E2014" s="7" t="s">
        <v>143</v>
      </c>
      <c r="F2014" s="7" t="s">
        <v>10436</v>
      </c>
      <c r="G2014" s="7" t="s">
        <v>4711</v>
      </c>
      <c r="H2014" s="7" t="s">
        <v>146</v>
      </c>
      <c r="I2014" s="7" t="s">
        <v>10216</v>
      </c>
      <c r="J2014" s="7"/>
      <c r="K2014" s="7" t="s">
        <v>10437</v>
      </c>
    </row>
    <row r="2015" customFormat="false" ht="23.85" hidden="false" customHeight="false" outlineLevel="0" collapsed="false">
      <c r="A2015" s="7" t="n">
        <v>2014</v>
      </c>
      <c r="B2015" s="7" t="s">
        <v>10438</v>
      </c>
      <c r="C2015" s="7" t="n">
        <v>2018</v>
      </c>
      <c r="D2015" s="7" t="s">
        <v>10439</v>
      </c>
      <c r="E2015" s="7" t="s">
        <v>10440</v>
      </c>
      <c r="F2015" s="7" t="s">
        <v>10441</v>
      </c>
      <c r="G2015" s="7" t="s">
        <v>1904</v>
      </c>
      <c r="H2015" s="7" t="s">
        <v>146</v>
      </c>
      <c r="I2015" s="7" t="s">
        <v>10442</v>
      </c>
      <c r="J2015" s="7"/>
      <c r="K2015" s="7" t="s">
        <v>10443</v>
      </c>
    </row>
    <row r="2016" customFormat="false" ht="35.05" hidden="false" customHeight="false" outlineLevel="0" collapsed="false">
      <c r="A2016" s="7" t="n">
        <v>2015</v>
      </c>
      <c r="B2016" s="7" t="s">
        <v>362</v>
      </c>
      <c r="C2016" s="7" t="n">
        <v>2005</v>
      </c>
      <c r="D2016" s="7" t="s">
        <v>10444</v>
      </c>
      <c r="E2016" s="7" t="s">
        <v>201</v>
      </c>
      <c r="F2016" s="7" t="s">
        <v>10445</v>
      </c>
      <c r="G2016" s="7" t="s">
        <v>145</v>
      </c>
      <c r="H2016" s="7" t="s">
        <v>153</v>
      </c>
      <c r="I2016" s="7" t="s">
        <v>10446</v>
      </c>
      <c r="J2016" s="7" t="s">
        <v>116</v>
      </c>
      <c r="K2016" s="7" t="s">
        <v>10447</v>
      </c>
    </row>
    <row r="2017" customFormat="false" ht="23.85" hidden="false" customHeight="false" outlineLevel="0" collapsed="false">
      <c r="A2017" s="7" t="n">
        <v>2016</v>
      </c>
      <c r="B2017" s="7" t="s">
        <v>10448</v>
      </c>
      <c r="C2017" s="7" t="n">
        <v>2021</v>
      </c>
      <c r="D2017" s="7" t="s">
        <v>10449</v>
      </c>
      <c r="E2017" s="7" t="s">
        <v>143</v>
      </c>
      <c r="F2017" s="7" t="s">
        <v>10450</v>
      </c>
      <c r="G2017" s="7" t="s">
        <v>4711</v>
      </c>
      <c r="H2017" s="7" t="s">
        <v>387</v>
      </c>
      <c r="I2017" s="7" t="s">
        <v>10451</v>
      </c>
      <c r="J2017" s="7"/>
      <c r="K2017" s="7" t="s">
        <v>10452</v>
      </c>
    </row>
    <row r="2018" customFormat="false" ht="23.85" hidden="false" customHeight="false" outlineLevel="0" collapsed="false">
      <c r="A2018" s="7" t="n">
        <v>2017</v>
      </c>
      <c r="B2018" s="7" t="s">
        <v>10453</v>
      </c>
      <c r="C2018" s="7" t="n">
        <v>2019</v>
      </c>
      <c r="D2018" s="7" t="s">
        <v>10454</v>
      </c>
      <c r="E2018" s="7" t="s">
        <v>10297</v>
      </c>
      <c r="F2018" s="7" t="s">
        <v>10455</v>
      </c>
      <c r="G2018" s="7" t="s">
        <v>10148</v>
      </c>
      <c r="H2018" s="7" t="s">
        <v>387</v>
      </c>
      <c r="I2018" s="7" t="s">
        <v>10114</v>
      </c>
      <c r="J2018" s="7"/>
      <c r="K2018" s="7" t="s">
        <v>10456</v>
      </c>
    </row>
    <row r="2019" customFormat="false" ht="23.85" hidden="false" customHeight="false" outlineLevel="0" collapsed="false">
      <c r="A2019" s="7" t="n">
        <v>2018</v>
      </c>
      <c r="B2019" s="7" t="s">
        <v>10457</v>
      </c>
      <c r="C2019" s="7" t="n">
        <v>2019</v>
      </c>
      <c r="D2019" s="7" t="s">
        <v>10458</v>
      </c>
      <c r="E2019" s="7" t="s">
        <v>10297</v>
      </c>
      <c r="F2019" s="7" t="s">
        <v>10459</v>
      </c>
      <c r="G2019" s="7" t="s">
        <v>4711</v>
      </c>
      <c r="H2019" s="7" t="s">
        <v>146</v>
      </c>
      <c r="I2019" s="7" t="s">
        <v>10460</v>
      </c>
      <c r="J2019" s="7"/>
      <c r="K2019" s="7" t="s">
        <v>10461</v>
      </c>
    </row>
    <row r="2020" customFormat="false" ht="23.85" hidden="false" customHeight="false" outlineLevel="0" collapsed="false">
      <c r="A2020" s="7" t="n">
        <v>2019</v>
      </c>
      <c r="B2020" s="7" t="s">
        <v>10462</v>
      </c>
      <c r="C2020" s="7" t="n">
        <v>2014</v>
      </c>
      <c r="D2020" s="7" t="s">
        <v>10463</v>
      </c>
      <c r="E2020" s="7" t="s">
        <v>10464</v>
      </c>
      <c r="F2020" s="7" t="s">
        <v>798</v>
      </c>
      <c r="G2020" s="7" t="s">
        <v>10292</v>
      </c>
      <c r="H2020" s="7" t="s">
        <v>208</v>
      </c>
      <c r="I2020" s="7" t="s">
        <v>10465</v>
      </c>
      <c r="J2020" s="7"/>
      <c r="K2020" s="7" t="s">
        <v>10466</v>
      </c>
    </row>
    <row r="2021" customFormat="false" ht="35.05" hidden="false" customHeight="false" outlineLevel="0" collapsed="false">
      <c r="A2021" s="7" t="n">
        <v>2020</v>
      </c>
      <c r="B2021" s="7" t="s">
        <v>10467</v>
      </c>
      <c r="C2021" s="7" t="n">
        <v>2016</v>
      </c>
      <c r="D2021" s="7" t="s">
        <v>10468</v>
      </c>
      <c r="E2021" s="7" t="s">
        <v>151</v>
      </c>
      <c r="F2021" s="7" t="s">
        <v>10469</v>
      </c>
      <c r="G2021" s="7" t="s">
        <v>10470</v>
      </c>
      <c r="H2021" s="7" t="s">
        <v>146</v>
      </c>
      <c r="I2021" s="7" t="s">
        <v>10471</v>
      </c>
      <c r="J2021" s="7"/>
      <c r="K2021" s="7" t="s">
        <v>10472</v>
      </c>
    </row>
    <row r="2022" customFormat="false" ht="23.85" hidden="false" customHeight="false" outlineLevel="0" collapsed="false">
      <c r="A2022" s="7" t="n">
        <v>2021</v>
      </c>
      <c r="B2022" s="7" t="s">
        <v>10473</v>
      </c>
      <c r="C2022" s="7" t="n">
        <v>2021</v>
      </c>
      <c r="D2022" s="7" t="s">
        <v>10474</v>
      </c>
      <c r="E2022" s="7" t="s">
        <v>143</v>
      </c>
      <c r="F2022" s="7" t="s">
        <v>152</v>
      </c>
      <c r="G2022" s="7" t="s">
        <v>145</v>
      </c>
      <c r="H2022" s="7" t="s">
        <v>153</v>
      </c>
      <c r="I2022" s="7" t="s">
        <v>10475</v>
      </c>
      <c r="J2022" s="7"/>
      <c r="K2022" s="7" t="s">
        <v>10476</v>
      </c>
    </row>
    <row r="2023" customFormat="false" ht="23.85" hidden="false" customHeight="false" outlineLevel="0" collapsed="false">
      <c r="A2023" s="7" t="n">
        <v>2022</v>
      </c>
      <c r="B2023" s="7" t="s">
        <v>10477</v>
      </c>
      <c r="C2023" s="7" t="n">
        <v>2017</v>
      </c>
      <c r="D2023" s="7" t="s">
        <v>10478</v>
      </c>
      <c r="E2023" s="7" t="s">
        <v>10440</v>
      </c>
      <c r="F2023" s="7" t="s">
        <v>10479</v>
      </c>
      <c r="G2023" s="7" t="s">
        <v>4711</v>
      </c>
      <c r="H2023" s="7" t="s">
        <v>146</v>
      </c>
      <c r="I2023" s="7" t="s">
        <v>10480</v>
      </c>
      <c r="J2023" s="7"/>
      <c r="K2023" s="7" t="s">
        <v>10481</v>
      </c>
    </row>
    <row r="2024" customFormat="false" ht="35.05" hidden="false" customHeight="false" outlineLevel="0" collapsed="false">
      <c r="A2024" s="7" t="n">
        <v>2023</v>
      </c>
      <c r="B2024" s="7" t="s">
        <v>10482</v>
      </c>
      <c r="C2024" s="7" t="n">
        <v>2021</v>
      </c>
      <c r="D2024" s="7" t="s">
        <v>10483</v>
      </c>
      <c r="E2024" s="7" t="s">
        <v>10484</v>
      </c>
      <c r="F2024" s="7" t="s">
        <v>10485</v>
      </c>
      <c r="G2024" s="7" t="s">
        <v>10486</v>
      </c>
      <c r="H2024" s="7" t="s">
        <v>146</v>
      </c>
      <c r="I2024" s="7" t="s">
        <v>10487</v>
      </c>
      <c r="J2024" s="7"/>
      <c r="K2024" s="7" t="s">
        <v>10488</v>
      </c>
    </row>
    <row r="2025" customFormat="false" ht="23.85" hidden="false" customHeight="false" outlineLevel="0" collapsed="false">
      <c r="A2025" s="7" t="n">
        <v>2024</v>
      </c>
      <c r="B2025" s="7" t="s">
        <v>10489</v>
      </c>
      <c r="C2025" s="7" t="n">
        <v>2017</v>
      </c>
      <c r="D2025" s="7" t="s">
        <v>10490</v>
      </c>
      <c r="E2025" s="7" t="s">
        <v>143</v>
      </c>
      <c r="F2025" s="7" t="s">
        <v>152</v>
      </c>
      <c r="G2025" s="7" t="s">
        <v>10354</v>
      </c>
      <c r="H2025" s="7" t="s">
        <v>153</v>
      </c>
      <c r="I2025" s="7" t="s">
        <v>10491</v>
      </c>
      <c r="J2025" s="7" t="s">
        <v>114</v>
      </c>
      <c r="K2025" s="7" t="s">
        <v>10492</v>
      </c>
    </row>
    <row r="2026" customFormat="false" ht="35.05" hidden="false" customHeight="false" outlineLevel="0" collapsed="false">
      <c r="A2026" s="7" t="n">
        <v>2025</v>
      </c>
      <c r="B2026" s="7" t="s">
        <v>10493</v>
      </c>
      <c r="C2026" s="7" t="n">
        <v>2017</v>
      </c>
      <c r="D2026" s="7" t="s">
        <v>10494</v>
      </c>
      <c r="E2026" s="7" t="s">
        <v>1588</v>
      </c>
      <c r="F2026" s="7" t="s">
        <v>152</v>
      </c>
      <c r="G2026" s="7" t="s">
        <v>10495</v>
      </c>
      <c r="H2026" s="7" t="s">
        <v>146</v>
      </c>
      <c r="I2026" s="7" t="s">
        <v>10496</v>
      </c>
      <c r="J2026" s="7"/>
      <c r="K2026" s="7" t="s">
        <v>10497</v>
      </c>
    </row>
    <row r="2027" customFormat="false" ht="23.85" hidden="false" customHeight="false" outlineLevel="0" collapsed="false">
      <c r="A2027" s="7" t="n">
        <v>2026</v>
      </c>
      <c r="B2027" s="7" t="s">
        <v>10498</v>
      </c>
      <c r="C2027" s="7" t="n">
        <v>2020</v>
      </c>
      <c r="D2027" s="7" t="s">
        <v>10499</v>
      </c>
      <c r="E2027" s="7" t="s">
        <v>143</v>
      </c>
      <c r="F2027" s="7" t="s">
        <v>10500</v>
      </c>
      <c r="G2027" s="7" t="s">
        <v>4711</v>
      </c>
      <c r="H2027" s="7" t="s">
        <v>146</v>
      </c>
      <c r="I2027" s="7" t="s">
        <v>10501</v>
      </c>
      <c r="J2027" s="7"/>
      <c r="K2027" s="7" t="s">
        <v>10502</v>
      </c>
    </row>
    <row r="2028" customFormat="false" ht="23.85" hidden="false" customHeight="false" outlineLevel="0" collapsed="false">
      <c r="A2028" s="7" t="n">
        <v>2027</v>
      </c>
      <c r="B2028" s="7" t="s">
        <v>10503</v>
      </c>
      <c r="C2028" s="7" t="n">
        <v>2018</v>
      </c>
      <c r="D2028" s="7" t="s">
        <v>10504</v>
      </c>
      <c r="E2028" s="7" t="s">
        <v>10505</v>
      </c>
      <c r="F2028" s="7" t="s">
        <v>10506</v>
      </c>
      <c r="G2028" s="7" t="s">
        <v>10507</v>
      </c>
      <c r="H2028" s="7" t="s">
        <v>387</v>
      </c>
      <c r="I2028" s="7" t="s">
        <v>10508</v>
      </c>
      <c r="J2028" s="7"/>
      <c r="K2028" s="7" t="s">
        <v>10509</v>
      </c>
    </row>
    <row r="2029" customFormat="false" ht="23.85" hidden="false" customHeight="false" outlineLevel="0" collapsed="false">
      <c r="A2029" s="7" t="n">
        <v>2028</v>
      </c>
      <c r="B2029" s="7" t="s">
        <v>10510</v>
      </c>
      <c r="C2029" s="7" t="n">
        <v>2014</v>
      </c>
      <c r="D2029" s="7" t="s">
        <v>10511</v>
      </c>
      <c r="E2029" s="7" t="s">
        <v>10512</v>
      </c>
      <c r="F2029" s="7" t="s">
        <v>10513</v>
      </c>
      <c r="G2029" s="7" t="s">
        <v>1373</v>
      </c>
      <c r="H2029" s="7" t="s">
        <v>146</v>
      </c>
      <c r="I2029" s="7" t="s">
        <v>10514</v>
      </c>
      <c r="J2029" s="7" t="s">
        <v>116</v>
      </c>
      <c r="K2029" s="7" t="s">
        <v>10515</v>
      </c>
    </row>
    <row r="2030" customFormat="false" ht="23.85" hidden="false" customHeight="false" outlineLevel="0" collapsed="false">
      <c r="A2030" s="7" t="n">
        <v>2029</v>
      </c>
      <c r="B2030" s="7" t="s">
        <v>10516</v>
      </c>
      <c r="C2030" s="7" t="n">
        <v>2020</v>
      </c>
      <c r="D2030" s="7" t="s">
        <v>10517</v>
      </c>
      <c r="E2030" s="7" t="s">
        <v>10484</v>
      </c>
      <c r="F2030" s="7" t="s">
        <v>10518</v>
      </c>
      <c r="G2030" s="7" t="s">
        <v>10519</v>
      </c>
      <c r="H2030" s="7" t="s">
        <v>146</v>
      </c>
      <c r="I2030" s="7" t="s">
        <v>10520</v>
      </c>
      <c r="J2030" s="7"/>
      <c r="K2030" s="7" t="s">
        <v>10521</v>
      </c>
    </row>
    <row r="2031" customFormat="false" ht="23.85" hidden="false" customHeight="false" outlineLevel="0" collapsed="false">
      <c r="A2031" s="7" t="n">
        <v>2030</v>
      </c>
      <c r="B2031" s="7" t="s">
        <v>10522</v>
      </c>
      <c r="C2031" s="7" t="n">
        <v>2016</v>
      </c>
      <c r="D2031" s="7" t="s">
        <v>10523</v>
      </c>
      <c r="E2031" s="7" t="s">
        <v>10297</v>
      </c>
      <c r="F2031" s="7" t="s">
        <v>10524</v>
      </c>
      <c r="G2031" s="7" t="s">
        <v>7918</v>
      </c>
      <c r="H2031" s="7" t="s">
        <v>146</v>
      </c>
      <c r="I2031" s="7" t="s">
        <v>10525</v>
      </c>
      <c r="J2031" s="7"/>
      <c r="K2031" s="7" t="s">
        <v>10526</v>
      </c>
    </row>
    <row r="2032" customFormat="false" ht="35.05" hidden="false" customHeight="false" outlineLevel="0" collapsed="false">
      <c r="A2032" s="7" t="n">
        <v>2031</v>
      </c>
      <c r="B2032" s="7" t="s">
        <v>10527</v>
      </c>
      <c r="C2032" s="7" t="n">
        <v>2019</v>
      </c>
      <c r="D2032" s="7" t="s">
        <v>10528</v>
      </c>
      <c r="E2032" s="7" t="s">
        <v>1588</v>
      </c>
      <c r="F2032" s="7" t="s">
        <v>10529</v>
      </c>
      <c r="G2032" s="7" t="s">
        <v>10495</v>
      </c>
      <c r="H2032" s="7" t="s">
        <v>146</v>
      </c>
      <c r="I2032" s="7" t="s">
        <v>10530</v>
      </c>
      <c r="J2032" s="7"/>
      <c r="K2032" s="7" t="s">
        <v>10531</v>
      </c>
    </row>
    <row r="2033" customFormat="false" ht="23.85" hidden="false" customHeight="false" outlineLevel="0" collapsed="false">
      <c r="A2033" s="7" t="n">
        <v>2032</v>
      </c>
      <c r="B2033" s="7" t="s">
        <v>10532</v>
      </c>
      <c r="C2033" s="7" t="n">
        <v>2018</v>
      </c>
      <c r="D2033" s="7" t="s">
        <v>10533</v>
      </c>
      <c r="E2033" s="7" t="s">
        <v>10534</v>
      </c>
      <c r="F2033" s="7" t="s">
        <v>10535</v>
      </c>
      <c r="G2033" s="7" t="s">
        <v>181</v>
      </c>
      <c r="H2033" s="7" t="s">
        <v>153</v>
      </c>
      <c r="I2033" s="7" t="s">
        <v>10536</v>
      </c>
      <c r="J2033" s="7" t="s">
        <v>114</v>
      </c>
      <c r="K2033" s="7" t="s">
        <v>10537</v>
      </c>
    </row>
    <row r="2034" customFormat="false" ht="35.05" hidden="false" customHeight="false" outlineLevel="0" collapsed="false">
      <c r="A2034" s="7" t="n">
        <v>2033</v>
      </c>
      <c r="B2034" s="7" t="s">
        <v>4124</v>
      </c>
      <c r="C2034" s="7" t="n">
        <v>2020</v>
      </c>
      <c r="D2034" s="7" t="s">
        <v>10538</v>
      </c>
      <c r="E2034" s="7" t="s">
        <v>10278</v>
      </c>
      <c r="F2034" s="7" t="s">
        <v>10344</v>
      </c>
      <c r="G2034" s="7" t="s">
        <v>10539</v>
      </c>
      <c r="H2034" s="7" t="s">
        <v>146</v>
      </c>
      <c r="I2034" s="7" t="s">
        <v>10540</v>
      </c>
      <c r="J2034" s="7"/>
      <c r="K2034" s="7" t="s">
        <v>10541</v>
      </c>
    </row>
    <row r="2035" customFormat="false" ht="35.05" hidden="false" customHeight="false" outlineLevel="0" collapsed="false">
      <c r="A2035" s="7" t="n">
        <v>2034</v>
      </c>
      <c r="B2035" s="7" t="s">
        <v>10542</v>
      </c>
      <c r="C2035" s="7" t="n">
        <v>2019</v>
      </c>
      <c r="D2035" s="7" t="s">
        <v>10543</v>
      </c>
      <c r="E2035" s="7" t="s">
        <v>10512</v>
      </c>
      <c r="F2035" s="7" t="s">
        <v>10544</v>
      </c>
      <c r="G2035" s="7" t="s">
        <v>4711</v>
      </c>
      <c r="H2035" s="7" t="s">
        <v>387</v>
      </c>
      <c r="I2035" s="7" t="s">
        <v>10545</v>
      </c>
      <c r="J2035" s="7"/>
      <c r="K2035" s="7" t="s">
        <v>10546</v>
      </c>
    </row>
    <row r="2036" customFormat="false" ht="23.85" hidden="false" customHeight="false" outlineLevel="0" collapsed="false">
      <c r="A2036" s="7" t="n">
        <v>2035</v>
      </c>
      <c r="B2036" s="7" t="s">
        <v>10547</v>
      </c>
      <c r="C2036" s="7" t="n">
        <v>2010</v>
      </c>
      <c r="D2036" s="7" t="s">
        <v>10548</v>
      </c>
      <c r="E2036" s="7" t="s">
        <v>143</v>
      </c>
      <c r="F2036" s="7" t="s">
        <v>10131</v>
      </c>
      <c r="G2036" s="7" t="s">
        <v>10549</v>
      </c>
      <c r="H2036" s="7" t="s">
        <v>146</v>
      </c>
      <c r="I2036" s="7" t="s">
        <v>10550</v>
      </c>
      <c r="J2036" s="7"/>
      <c r="K2036" s="7" t="s">
        <v>10551</v>
      </c>
    </row>
    <row r="2037" customFormat="false" ht="23.85" hidden="false" customHeight="false" outlineLevel="0" collapsed="false">
      <c r="A2037" s="7" t="n">
        <v>2036</v>
      </c>
      <c r="B2037" s="7" t="s">
        <v>10547</v>
      </c>
      <c r="C2037" s="7" t="n">
        <v>2013</v>
      </c>
      <c r="D2037" s="7" t="s">
        <v>10552</v>
      </c>
      <c r="E2037" s="7" t="s">
        <v>143</v>
      </c>
      <c r="F2037" s="7" t="s">
        <v>1678</v>
      </c>
      <c r="G2037" s="7" t="s">
        <v>10549</v>
      </c>
      <c r="H2037" s="7" t="s">
        <v>146</v>
      </c>
      <c r="I2037" s="7" t="s">
        <v>10553</v>
      </c>
      <c r="J2037" s="7"/>
      <c r="K2037" s="7" t="s">
        <v>10554</v>
      </c>
    </row>
    <row r="2038" customFormat="false" ht="23.85" hidden="false" customHeight="false" outlineLevel="0" collapsed="false">
      <c r="A2038" s="7" t="n">
        <v>2037</v>
      </c>
      <c r="B2038" s="7" t="s">
        <v>10555</v>
      </c>
      <c r="C2038" s="7" t="n">
        <v>2019</v>
      </c>
      <c r="D2038" s="7" t="s">
        <v>10556</v>
      </c>
      <c r="E2038" s="7" t="s">
        <v>10235</v>
      </c>
      <c r="F2038" s="7" t="s">
        <v>10557</v>
      </c>
      <c r="G2038" s="7" t="s">
        <v>10558</v>
      </c>
      <c r="H2038" s="7" t="s">
        <v>146</v>
      </c>
      <c r="I2038" s="7" t="s">
        <v>10559</v>
      </c>
      <c r="J2038" s="7"/>
      <c r="K2038" s="7" t="s">
        <v>10560</v>
      </c>
    </row>
    <row r="2039" customFormat="false" ht="23.85" hidden="false" customHeight="false" outlineLevel="0" collapsed="false">
      <c r="A2039" s="7" t="n">
        <v>2038</v>
      </c>
      <c r="B2039" s="7" t="s">
        <v>10561</v>
      </c>
      <c r="C2039" s="7" t="n">
        <v>2015</v>
      </c>
      <c r="D2039" s="7" t="s">
        <v>10562</v>
      </c>
      <c r="E2039" s="7" t="s">
        <v>143</v>
      </c>
      <c r="F2039" s="7" t="s">
        <v>348</v>
      </c>
      <c r="G2039" s="7" t="s">
        <v>145</v>
      </c>
      <c r="H2039" s="7" t="s">
        <v>153</v>
      </c>
      <c r="I2039" s="7" t="s">
        <v>10563</v>
      </c>
      <c r="J2039" s="7"/>
      <c r="K2039" s="7" t="s">
        <v>10564</v>
      </c>
    </row>
    <row r="2040" customFormat="false" ht="35.05" hidden="false" customHeight="false" outlineLevel="0" collapsed="false">
      <c r="A2040" s="7" t="n">
        <v>2039</v>
      </c>
      <c r="B2040" s="7" t="s">
        <v>10565</v>
      </c>
      <c r="C2040" s="7" t="n">
        <v>2020</v>
      </c>
      <c r="D2040" s="7" t="s">
        <v>10566</v>
      </c>
      <c r="E2040" s="7" t="s">
        <v>10567</v>
      </c>
      <c r="F2040" s="7" t="s">
        <v>10568</v>
      </c>
      <c r="G2040" s="7" t="s">
        <v>10569</v>
      </c>
      <c r="H2040" s="7" t="s">
        <v>387</v>
      </c>
      <c r="I2040" s="7" t="s">
        <v>10570</v>
      </c>
      <c r="J2040" s="7"/>
      <c r="K2040" s="7" t="s">
        <v>10571</v>
      </c>
    </row>
    <row r="2041" customFormat="false" ht="35.05" hidden="false" customHeight="false" outlineLevel="0" collapsed="false">
      <c r="A2041" s="7" t="n">
        <v>2040</v>
      </c>
      <c r="B2041" s="7" t="s">
        <v>10572</v>
      </c>
      <c r="C2041" s="7" t="n">
        <v>2019</v>
      </c>
      <c r="D2041" s="7" t="s">
        <v>10573</v>
      </c>
      <c r="E2041" s="7" t="s">
        <v>143</v>
      </c>
      <c r="F2041" s="7" t="s">
        <v>10574</v>
      </c>
      <c r="G2041" s="7" t="s">
        <v>10575</v>
      </c>
      <c r="H2041" s="7" t="s">
        <v>146</v>
      </c>
      <c r="I2041" s="7" t="s">
        <v>10576</v>
      </c>
      <c r="J2041" s="7"/>
      <c r="K2041" s="7" t="s">
        <v>10577</v>
      </c>
    </row>
    <row r="2042" customFormat="false" ht="23.85" hidden="false" customHeight="false" outlineLevel="0" collapsed="false">
      <c r="A2042" s="7" t="n">
        <v>2041</v>
      </c>
      <c r="B2042" s="7" t="s">
        <v>10578</v>
      </c>
      <c r="C2042" s="7" t="n">
        <v>2013</v>
      </c>
      <c r="D2042" s="7" t="s">
        <v>10579</v>
      </c>
      <c r="E2042" s="7" t="s">
        <v>143</v>
      </c>
      <c r="F2042" s="7" t="s">
        <v>152</v>
      </c>
      <c r="G2042" s="7" t="s">
        <v>10580</v>
      </c>
      <c r="H2042" s="7" t="s">
        <v>146</v>
      </c>
      <c r="I2042" s="7" t="s">
        <v>10581</v>
      </c>
      <c r="J2042" s="7"/>
      <c r="K2042" s="7" t="s">
        <v>10582</v>
      </c>
    </row>
    <row r="2043" customFormat="false" ht="23.85" hidden="false" customHeight="false" outlineLevel="0" collapsed="false">
      <c r="A2043" s="7" t="n">
        <v>2042</v>
      </c>
      <c r="B2043" s="7" t="s">
        <v>10583</v>
      </c>
      <c r="C2043" s="7" t="n">
        <v>2018</v>
      </c>
      <c r="D2043" s="7" t="s">
        <v>10584</v>
      </c>
      <c r="E2043" s="7" t="s">
        <v>1588</v>
      </c>
      <c r="F2043" s="7" t="s">
        <v>152</v>
      </c>
      <c r="G2043" s="7" t="s">
        <v>4711</v>
      </c>
      <c r="H2043" s="7" t="s">
        <v>748</v>
      </c>
      <c r="I2043" s="7" t="s">
        <v>10585</v>
      </c>
      <c r="J2043" s="7"/>
      <c r="K2043" s="7" t="s">
        <v>10586</v>
      </c>
    </row>
    <row r="2044" customFormat="false" ht="35.05" hidden="false" customHeight="false" outlineLevel="0" collapsed="false">
      <c r="A2044" s="7" t="n">
        <v>2043</v>
      </c>
      <c r="B2044" s="7" t="s">
        <v>10587</v>
      </c>
      <c r="C2044" s="7" t="n">
        <v>2021</v>
      </c>
      <c r="D2044" s="7" t="s">
        <v>10588</v>
      </c>
      <c r="E2044" s="7" t="s">
        <v>579</v>
      </c>
      <c r="F2044" s="7" t="s">
        <v>10589</v>
      </c>
      <c r="G2044" s="7" t="s">
        <v>10590</v>
      </c>
      <c r="H2044" s="7" t="s">
        <v>146</v>
      </c>
      <c r="I2044" s="7" t="s">
        <v>10591</v>
      </c>
      <c r="J2044" s="7"/>
      <c r="K2044" s="7" t="s">
        <v>10592</v>
      </c>
    </row>
    <row r="2045" customFormat="false" ht="23.85" hidden="false" customHeight="false" outlineLevel="0" collapsed="false">
      <c r="A2045" s="7" t="n">
        <v>2044</v>
      </c>
      <c r="B2045" s="7" t="s">
        <v>10593</v>
      </c>
      <c r="C2045" s="7" t="n">
        <v>2015</v>
      </c>
      <c r="D2045" s="7" t="s">
        <v>10594</v>
      </c>
      <c r="E2045" s="7" t="s">
        <v>151</v>
      </c>
      <c r="F2045" s="7" t="s">
        <v>10595</v>
      </c>
      <c r="G2045" s="7" t="s">
        <v>10311</v>
      </c>
      <c r="H2045" s="7" t="s">
        <v>387</v>
      </c>
      <c r="I2045" s="7" t="s">
        <v>10596</v>
      </c>
      <c r="J2045" s="7"/>
      <c r="K2045" s="7" t="s">
        <v>10597</v>
      </c>
    </row>
    <row r="2046" customFormat="false" ht="23.85" hidden="false" customHeight="false" outlineLevel="0" collapsed="false">
      <c r="A2046" s="7" t="n">
        <v>2045</v>
      </c>
      <c r="B2046" s="7" t="s">
        <v>10598</v>
      </c>
      <c r="C2046" s="7" t="n">
        <v>2014</v>
      </c>
      <c r="D2046" s="7" t="s">
        <v>10599</v>
      </c>
      <c r="E2046" s="7" t="s">
        <v>143</v>
      </c>
      <c r="F2046" s="7" t="s">
        <v>10600</v>
      </c>
      <c r="G2046" s="7" t="s">
        <v>10089</v>
      </c>
      <c r="H2046" s="7" t="s">
        <v>146</v>
      </c>
      <c r="I2046" s="7" t="s">
        <v>10601</v>
      </c>
      <c r="J2046" s="7"/>
      <c r="K2046" s="7" t="s">
        <v>10602</v>
      </c>
    </row>
    <row r="2047" customFormat="false" ht="35.05" hidden="false" customHeight="false" outlineLevel="0" collapsed="false">
      <c r="A2047" s="7" t="n">
        <v>2046</v>
      </c>
      <c r="B2047" s="7" t="s">
        <v>10603</v>
      </c>
      <c r="C2047" s="7" t="n">
        <v>2021</v>
      </c>
      <c r="D2047" s="7" t="s">
        <v>10604</v>
      </c>
      <c r="E2047" s="7" t="s">
        <v>143</v>
      </c>
      <c r="F2047" s="7" t="s">
        <v>10605</v>
      </c>
      <c r="G2047" s="7" t="s">
        <v>10298</v>
      </c>
      <c r="H2047" s="7" t="s">
        <v>146</v>
      </c>
      <c r="I2047" s="7" t="s">
        <v>10606</v>
      </c>
      <c r="J2047" s="7"/>
      <c r="K2047" s="7" t="s">
        <v>10607</v>
      </c>
    </row>
    <row r="2048" customFormat="false" ht="35.05" hidden="false" customHeight="false" outlineLevel="0" collapsed="false">
      <c r="A2048" s="7" t="n">
        <v>2047</v>
      </c>
      <c r="B2048" s="7" t="s">
        <v>10608</v>
      </c>
      <c r="C2048" s="7" t="n">
        <v>2019</v>
      </c>
      <c r="D2048" s="7" t="s">
        <v>10609</v>
      </c>
      <c r="E2048" s="7" t="s">
        <v>143</v>
      </c>
      <c r="F2048" s="7" t="s">
        <v>10610</v>
      </c>
      <c r="G2048" s="7" t="s">
        <v>10611</v>
      </c>
      <c r="H2048" s="7" t="s">
        <v>146</v>
      </c>
      <c r="I2048" s="7" t="s">
        <v>10612</v>
      </c>
      <c r="J2048" s="7"/>
      <c r="K2048" s="7" t="s">
        <v>10613</v>
      </c>
    </row>
    <row r="2049" customFormat="false" ht="35.05" hidden="false" customHeight="false" outlineLevel="0" collapsed="false">
      <c r="A2049" s="7" t="n">
        <v>2048</v>
      </c>
      <c r="B2049" s="7" t="s">
        <v>10614</v>
      </c>
      <c r="C2049" s="7" t="n">
        <v>2008</v>
      </c>
      <c r="D2049" s="7" t="s">
        <v>10615</v>
      </c>
      <c r="E2049" s="7" t="s">
        <v>143</v>
      </c>
      <c r="F2049" s="7" t="s">
        <v>10616</v>
      </c>
      <c r="G2049" s="7" t="s">
        <v>10617</v>
      </c>
      <c r="H2049" s="7" t="s">
        <v>387</v>
      </c>
      <c r="I2049" s="7" t="s">
        <v>10618</v>
      </c>
      <c r="J2049" s="7"/>
      <c r="K2049" s="7" t="s">
        <v>10619</v>
      </c>
    </row>
    <row r="2050" customFormat="false" ht="23.85" hidden="false" customHeight="false" outlineLevel="0" collapsed="false">
      <c r="A2050" s="7" t="n">
        <v>2049</v>
      </c>
      <c r="B2050" s="7" t="s">
        <v>10620</v>
      </c>
      <c r="C2050" s="7" t="n">
        <v>2017</v>
      </c>
      <c r="D2050" s="7" t="s">
        <v>10621</v>
      </c>
      <c r="E2050" s="7" t="s">
        <v>151</v>
      </c>
      <c r="F2050" s="7" t="s">
        <v>10131</v>
      </c>
      <c r="G2050" s="7" t="s">
        <v>10622</v>
      </c>
      <c r="H2050" s="7" t="s">
        <v>146</v>
      </c>
      <c r="I2050" s="7" t="s">
        <v>10623</v>
      </c>
      <c r="J2050" s="7"/>
      <c r="K2050" s="7" t="s">
        <v>10624</v>
      </c>
    </row>
    <row r="2051" customFormat="false" ht="23.85" hidden="false" customHeight="false" outlineLevel="0" collapsed="false">
      <c r="A2051" s="7" t="n">
        <v>2050</v>
      </c>
      <c r="B2051" s="7" t="s">
        <v>8078</v>
      </c>
      <c r="C2051" s="7" t="n">
        <v>2018</v>
      </c>
      <c r="D2051" s="7" t="s">
        <v>10625</v>
      </c>
      <c r="E2051" s="7" t="s">
        <v>3677</v>
      </c>
      <c r="F2051" s="7" t="s">
        <v>3773</v>
      </c>
      <c r="G2051" s="7" t="s">
        <v>181</v>
      </c>
      <c r="H2051" s="7" t="s">
        <v>153</v>
      </c>
      <c r="I2051" s="7" t="s">
        <v>8082</v>
      </c>
      <c r="J2051" s="7" t="s">
        <v>116</v>
      </c>
      <c r="K2051" s="7" t="s">
        <v>10626</v>
      </c>
    </row>
    <row r="2052" customFormat="false" ht="23.85" hidden="false" customHeight="false" outlineLevel="0" collapsed="false">
      <c r="A2052" s="7" t="n">
        <v>2051</v>
      </c>
      <c r="B2052" s="7" t="s">
        <v>10627</v>
      </c>
      <c r="C2052" s="7" t="n">
        <v>2015</v>
      </c>
      <c r="D2052" s="7" t="s">
        <v>10628</v>
      </c>
      <c r="E2052" s="7" t="s">
        <v>10629</v>
      </c>
      <c r="F2052" s="7" t="s">
        <v>10568</v>
      </c>
      <c r="G2052" s="7" t="s">
        <v>10630</v>
      </c>
      <c r="H2052" s="7" t="s">
        <v>387</v>
      </c>
      <c r="I2052" s="7" t="s">
        <v>10631</v>
      </c>
      <c r="J2052" s="7"/>
      <c r="K2052" s="7" t="s">
        <v>10632</v>
      </c>
    </row>
    <row r="2053" customFormat="false" ht="23.85" hidden="false" customHeight="false" outlineLevel="0" collapsed="false">
      <c r="A2053" s="7" t="n">
        <v>2052</v>
      </c>
      <c r="B2053" s="7" t="s">
        <v>10633</v>
      </c>
      <c r="C2053" s="7" t="n">
        <v>2016</v>
      </c>
      <c r="D2053" s="7" t="s">
        <v>10634</v>
      </c>
      <c r="E2053" s="7" t="s">
        <v>151</v>
      </c>
      <c r="F2053" s="7" t="s">
        <v>10635</v>
      </c>
      <c r="G2053" s="7" t="s">
        <v>10636</v>
      </c>
      <c r="H2053" s="7" t="s">
        <v>146</v>
      </c>
      <c r="I2053" s="7" t="s">
        <v>10637</v>
      </c>
      <c r="J2053" s="7"/>
      <c r="K2053" s="7" t="s">
        <v>10638</v>
      </c>
    </row>
    <row r="2054" customFormat="false" ht="23.85" hidden="false" customHeight="false" outlineLevel="0" collapsed="false">
      <c r="A2054" s="7" t="n">
        <v>2053</v>
      </c>
      <c r="B2054" s="7" t="s">
        <v>10639</v>
      </c>
      <c r="C2054" s="7" t="n">
        <v>2008</v>
      </c>
      <c r="D2054" s="7" t="s">
        <v>10640</v>
      </c>
      <c r="E2054" s="7" t="s">
        <v>10641</v>
      </c>
      <c r="F2054" s="7" t="s">
        <v>10642</v>
      </c>
      <c r="G2054" s="7" t="s">
        <v>10643</v>
      </c>
      <c r="H2054" s="7" t="s">
        <v>146</v>
      </c>
      <c r="I2054" s="7" t="s">
        <v>10644</v>
      </c>
      <c r="J2054" s="7"/>
      <c r="K2054" s="7" t="s">
        <v>10645</v>
      </c>
    </row>
    <row r="2055" customFormat="false" ht="35.05" hidden="false" customHeight="false" outlineLevel="0" collapsed="false">
      <c r="A2055" s="7" t="n">
        <v>2054</v>
      </c>
      <c r="B2055" s="7" t="s">
        <v>10646</v>
      </c>
      <c r="C2055" s="7" t="n">
        <v>2014</v>
      </c>
      <c r="D2055" s="7" t="s">
        <v>10647</v>
      </c>
      <c r="E2055" s="7" t="s">
        <v>143</v>
      </c>
      <c r="F2055" s="7" t="s">
        <v>152</v>
      </c>
      <c r="G2055" s="7" t="s">
        <v>2846</v>
      </c>
      <c r="H2055" s="7" t="s">
        <v>153</v>
      </c>
      <c r="I2055" s="7" t="s">
        <v>10648</v>
      </c>
      <c r="J2055" s="7" t="s">
        <v>114</v>
      </c>
      <c r="K2055" s="7" t="s">
        <v>10649</v>
      </c>
    </row>
    <row r="2056" customFormat="false" ht="23.85" hidden="false" customHeight="false" outlineLevel="0" collapsed="false">
      <c r="A2056" s="7" t="n">
        <v>2055</v>
      </c>
      <c r="B2056" s="7" t="s">
        <v>10650</v>
      </c>
      <c r="C2056" s="7" t="n">
        <v>2004</v>
      </c>
      <c r="D2056" s="7" t="s">
        <v>10651</v>
      </c>
      <c r="E2056" s="7" t="s">
        <v>10652</v>
      </c>
      <c r="F2056" s="7" t="s">
        <v>10653</v>
      </c>
      <c r="G2056" s="7" t="s">
        <v>4711</v>
      </c>
      <c r="H2056" s="7" t="s">
        <v>146</v>
      </c>
      <c r="I2056" s="7" t="s">
        <v>10654</v>
      </c>
      <c r="J2056" s="7"/>
      <c r="K2056" s="7" t="s">
        <v>10655</v>
      </c>
    </row>
    <row r="2057" customFormat="false" ht="35.05" hidden="false" customHeight="false" outlineLevel="0" collapsed="false">
      <c r="A2057" s="7" t="n">
        <v>2056</v>
      </c>
      <c r="B2057" s="7" t="s">
        <v>10656</v>
      </c>
      <c r="C2057" s="7" t="n">
        <v>2014</v>
      </c>
      <c r="D2057" s="7" t="s">
        <v>10657</v>
      </c>
      <c r="E2057" s="7" t="s">
        <v>10219</v>
      </c>
      <c r="F2057" s="7" t="s">
        <v>10658</v>
      </c>
      <c r="G2057" s="7" t="s">
        <v>10539</v>
      </c>
      <c r="H2057" s="7" t="s">
        <v>387</v>
      </c>
      <c r="I2057" s="7" t="s">
        <v>10659</v>
      </c>
      <c r="J2057" s="7"/>
      <c r="K2057" s="7" t="s">
        <v>10660</v>
      </c>
    </row>
    <row r="2058" customFormat="false" ht="35.05" hidden="false" customHeight="false" outlineLevel="0" collapsed="false">
      <c r="A2058" s="7" t="n">
        <v>2057</v>
      </c>
      <c r="B2058" s="7" t="s">
        <v>10661</v>
      </c>
      <c r="C2058" s="7" t="n">
        <v>2019</v>
      </c>
      <c r="D2058" s="7" t="s">
        <v>10662</v>
      </c>
      <c r="E2058" s="7" t="s">
        <v>10652</v>
      </c>
      <c r="F2058" s="7" t="s">
        <v>4507</v>
      </c>
      <c r="G2058" s="7" t="s">
        <v>4711</v>
      </c>
      <c r="H2058" s="7" t="s">
        <v>387</v>
      </c>
      <c r="I2058" s="7" t="s">
        <v>10663</v>
      </c>
      <c r="J2058" s="7" t="s">
        <v>114</v>
      </c>
      <c r="K2058" s="7" t="s">
        <v>10664</v>
      </c>
    </row>
    <row r="2059" customFormat="false" ht="23.85" hidden="false" customHeight="false" outlineLevel="0" collapsed="false">
      <c r="A2059" s="7" t="n">
        <v>2058</v>
      </c>
      <c r="B2059" s="7" t="s">
        <v>10665</v>
      </c>
      <c r="C2059" s="7" t="n">
        <v>2008</v>
      </c>
      <c r="D2059" s="7" t="s">
        <v>10666</v>
      </c>
      <c r="E2059" s="7" t="s">
        <v>10484</v>
      </c>
      <c r="F2059" s="7" t="s">
        <v>1619</v>
      </c>
      <c r="G2059" s="7" t="s">
        <v>10667</v>
      </c>
      <c r="H2059" s="7" t="s">
        <v>146</v>
      </c>
      <c r="I2059" s="7" t="s">
        <v>10668</v>
      </c>
      <c r="J2059" s="7"/>
      <c r="K2059" s="7" t="s">
        <v>10669</v>
      </c>
    </row>
    <row r="2060" customFormat="false" ht="35.05" hidden="false" customHeight="false" outlineLevel="0" collapsed="false">
      <c r="A2060" s="7" t="n">
        <v>2059</v>
      </c>
      <c r="B2060" s="7" t="s">
        <v>10670</v>
      </c>
      <c r="C2060" s="7" t="n">
        <v>2014</v>
      </c>
      <c r="D2060" s="7" t="s">
        <v>10671</v>
      </c>
      <c r="E2060" s="7" t="s">
        <v>10672</v>
      </c>
      <c r="F2060" s="7" t="s">
        <v>10673</v>
      </c>
      <c r="G2060" s="7" t="s">
        <v>10674</v>
      </c>
      <c r="H2060" s="7" t="s">
        <v>146</v>
      </c>
      <c r="I2060" s="7" t="s">
        <v>10675</v>
      </c>
      <c r="J2060" s="7"/>
      <c r="K2060" s="7" t="s">
        <v>10676</v>
      </c>
    </row>
    <row r="2061" customFormat="false" ht="46.25" hidden="false" customHeight="false" outlineLevel="0" collapsed="false">
      <c r="A2061" s="7" t="n">
        <v>2060</v>
      </c>
      <c r="B2061" s="7" t="s">
        <v>10677</v>
      </c>
      <c r="C2061" s="7" t="n">
        <v>2023</v>
      </c>
      <c r="D2061" s="7" t="s">
        <v>10678</v>
      </c>
      <c r="E2061" s="7" t="s">
        <v>10679</v>
      </c>
      <c r="F2061" s="7" t="s">
        <v>10680</v>
      </c>
      <c r="G2061" s="7" t="s">
        <v>10681</v>
      </c>
      <c r="H2061" s="7" t="s">
        <v>533</v>
      </c>
      <c r="I2061" s="7" t="s">
        <v>10682</v>
      </c>
      <c r="J2061" s="7" t="s">
        <v>116</v>
      </c>
      <c r="K2061" s="7" t="s">
        <v>10683</v>
      </c>
    </row>
    <row r="2062" customFormat="false" ht="46.25" hidden="false" customHeight="false" outlineLevel="0" collapsed="false">
      <c r="A2062" s="7" t="n">
        <v>2061</v>
      </c>
      <c r="B2062" s="7" t="s">
        <v>591</v>
      </c>
      <c r="C2062" s="7" t="n">
        <v>2022</v>
      </c>
      <c r="D2062" s="7" t="s">
        <v>10684</v>
      </c>
      <c r="E2062" s="7" t="s">
        <v>143</v>
      </c>
      <c r="F2062" s="7" t="s">
        <v>10685</v>
      </c>
      <c r="G2062" s="7" t="s">
        <v>145</v>
      </c>
      <c r="H2062" s="7" t="s">
        <v>153</v>
      </c>
      <c r="I2062" s="7" t="s">
        <v>10686</v>
      </c>
      <c r="J2062" s="7" t="s">
        <v>114</v>
      </c>
      <c r="K2062" s="7" t="s">
        <v>10687</v>
      </c>
    </row>
    <row r="2063" customFormat="false" ht="35.05" hidden="false" customHeight="false" outlineLevel="0" collapsed="false">
      <c r="A2063" s="7" t="n">
        <v>2062</v>
      </c>
      <c r="B2063" s="7" t="s">
        <v>10688</v>
      </c>
      <c r="C2063" s="7" t="n">
        <v>2022</v>
      </c>
      <c r="D2063" s="7" t="s">
        <v>10689</v>
      </c>
      <c r="E2063" s="7" t="s">
        <v>143</v>
      </c>
      <c r="F2063" s="7" t="s">
        <v>10690</v>
      </c>
      <c r="G2063" s="7" t="s">
        <v>145</v>
      </c>
      <c r="H2063" s="7" t="s">
        <v>146</v>
      </c>
      <c r="I2063" s="7" t="s">
        <v>10691</v>
      </c>
      <c r="J2063" s="7" t="s">
        <v>114</v>
      </c>
      <c r="K2063" s="7" t="s">
        <v>10692</v>
      </c>
    </row>
    <row r="2064" customFormat="false" ht="35.05" hidden="false" customHeight="false" outlineLevel="0" collapsed="false">
      <c r="A2064" s="7" t="n">
        <v>2063</v>
      </c>
      <c r="B2064" s="7" t="s">
        <v>2436</v>
      </c>
      <c r="C2064" s="7" t="n">
        <v>2016</v>
      </c>
      <c r="D2064" s="7" t="s">
        <v>10693</v>
      </c>
      <c r="E2064" s="7" t="s">
        <v>143</v>
      </c>
      <c r="F2064" s="7" t="s">
        <v>4288</v>
      </c>
      <c r="G2064" s="7" t="s">
        <v>145</v>
      </c>
      <c r="H2064" s="7" t="s">
        <v>153</v>
      </c>
      <c r="I2064" s="7" t="s">
        <v>10694</v>
      </c>
      <c r="J2064" s="7" t="s">
        <v>112</v>
      </c>
      <c r="K2064" s="7" t="s">
        <v>10695</v>
      </c>
    </row>
    <row r="2065" customFormat="false" ht="35.05" hidden="false" customHeight="false" outlineLevel="0" collapsed="false">
      <c r="A2065" s="7" t="n">
        <v>2064</v>
      </c>
      <c r="B2065" s="7" t="s">
        <v>10696</v>
      </c>
      <c r="C2065" s="7" t="n">
        <v>2023</v>
      </c>
      <c r="D2065" s="7" t="s">
        <v>10697</v>
      </c>
      <c r="E2065" s="7" t="s">
        <v>579</v>
      </c>
      <c r="F2065" s="7" t="s">
        <v>10698</v>
      </c>
      <c r="G2065" s="7" t="s">
        <v>145</v>
      </c>
      <c r="H2065" s="7" t="s">
        <v>153</v>
      </c>
      <c r="I2065" s="7" t="s">
        <v>10699</v>
      </c>
      <c r="J2065" s="7" t="s">
        <v>114</v>
      </c>
      <c r="K2065" s="7" t="s">
        <v>10700</v>
      </c>
    </row>
    <row r="2066" customFormat="false" ht="46.25" hidden="false" customHeight="false" outlineLevel="0" collapsed="false">
      <c r="A2066" s="7" t="n">
        <v>2065</v>
      </c>
      <c r="B2066" s="7" t="s">
        <v>1692</v>
      </c>
      <c r="C2066" s="7" t="n">
        <v>2022</v>
      </c>
      <c r="D2066" s="7" t="s">
        <v>10701</v>
      </c>
      <c r="E2066" s="7" t="s">
        <v>143</v>
      </c>
      <c r="F2066" s="7" t="s">
        <v>10702</v>
      </c>
      <c r="G2066" s="7" t="s">
        <v>145</v>
      </c>
      <c r="H2066" s="7" t="s">
        <v>153</v>
      </c>
      <c r="I2066" s="7" t="s">
        <v>10703</v>
      </c>
      <c r="J2066" s="7" t="s">
        <v>114</v>
      </c>
      <c r="K2066" s="7" t="s">
        <v>10704</v>
      </c>
    </row>
    <row r="2067" customFormat="false" ht="35.05" hidden="false" customHeight="false" outlineLevel="0" collapsed="false">
      <c r="A2067" s="7" t="n">
        <v>2066</v>
      </c>
      <c r="B2067" s="7" t="s">
        <v>10705</v>
      </c>
      <c r="C2067" s="7" t="n">
        <v>2016</v>
      </c>
      <c r="D2067" s="7" t="s">
        <v>10706</v>
      </c>
      <c r="E2067" s="7" t="s">
        <v>579</v>
      </c>
      <c r="F2067" s="7" t="s">
        <v>6608</v>
      </c>
      <c r="G2067" s="7" t="s">
        <v>4711</v>
      </c>
      <c r="H2067" s="7" t="s">
        <v>146</v>
      </c>
      <c r="I2067" s="7" t="s">
        <v>10707</v>
      </c>
      <c r="J2067" s="7" t="s">
        <v>112</v>
      </c>
      <c r="K2067" s="7" t="s">
        <v>10708</v>
      </c>
    </row>
    <row r="2068" customFormat="false" ht="23.85" hidden="false" customHeight="false" outlineLevel="0" collapsed="false">
      <c r="A2068" s="7" t="n">
        <v>2067</v>
      </c>
      <c r="B2068" s="7" t="s">
        <v>10709</v>
      </c>
      <c r="C2068" s="7" t="n">
        <v>2023</v>
      </c>
      <c r="D2068" s="7" t="s">
        <v>10710</v>
      </c>
      <c r="E2068" s="7" t="s">
        <v>10711</v>
      </c>
      <c r="F2068" s="7" t="s">
        <v>10712</v>
      </c>
      <c r="G2068" s="7" t="s">
        <v>255</v>
      </c>
      <c r="H2068" s="7" t="s">
        <v>387</v>
      </c>
      <c r="I2068" s="7" t="s">
        <v>10713</v>
      </c>
      <c r="J2068" s="7" t="s">
        <v>110</v>
      </c>
      <c r="K2068" s="7" t="s">
        <v>10714</v>
      </c>
    </row>
    <row r="2069" customFormat="false" ht="35.05" hidden="false" customHeight="false" outlineLevel="0" collapsed="false">
      <c r="A2069" s="7" t="n">
        <v>2068</v>
      </c>
      <c r="B2069" s="7" t="s">
        <v>10715</v>
      </c>
      <c r="C2069" s="7" t="n">
        <v>2023</v>
      </c>
      <c r="D2069" s="7" t="s">
        <v>10716</v>
      </c>
      <c r="E2069" s="7" t="s">
        <v>8720</v>
      </c>
      <c r="F2069" s="7" t="s">
        <v>10717</v>
      </c>
      <c r="G2069" s="7" t="s">
        <v>1213</v>
      </c>
      <c r="H2069" s="7" t="s">
        <v>146</v>
      </c>
      <c r="I2069" s="7" t="s">
        <v>10718</v>
      </c>
      <c r="J2069" s="7" t="s">
        <v>112</v>
      </c>
      <c r="K2069" s="7" t="s">
        <v>10719</v>
      </c>
    </row>
    <row r="2070" customFormat="false" ht="68.65" hidden="false" customHeight="false" outlineLevel="0" collapsed="false">
      <c r="A2070" s="7" t="n">
        <v>2069</v>
      </c>
      <c r="B2070" s="7" t="s">
        <v>15830</v>
      </c>
      <c r="C2070" s="7" t="n">
        <v>2022</v>
      </c>
      <c r="D2070" s="7" t="s">
        <v>10721</v>
      </c>
      <c r="E2070" s="7" t="s">
        <v>15831</v>
      </c>
      <c r="F2070" s="7" t="s">
        <v>15832</v>
      </c>
      <c r="G2070" s="7" t="s">
        <v>145</v>
      </c>
      <c r="H2070" s="7" t="s">
        <v>153</v>
      </c>
      <c r="I2070" s="7" t="s">
        <v>15833</v>
      </c>
      <c r="J2070" s="7" t="s">
        <v>110</v>
      </c>
      <c r="K2070" s="7" t="s">
        <v>15834</v>
      </c>
    </row>
    <row r="2071" customFormat="false" ht="35.05" hidden="false" customHeight="false" outlineLevel="0" collapsed="false">
      <c r="A2071" s="7" t="n">
        <v>2070</v>
      </c>
      <c r="B2071" s="7" t="s">
        <v>3177</v>
      </c>
      <c r="C2071" s="7" t="n">
        <v>2024</v>
      </c>
      <c r="D2071" s="7" t="s">
        <v>10731</v>
      </c>
      <c r="E2071" s="7" t="s">
        <v>10732</v>
      </c>
      <c r="F2071" s="7" t="s">
        <v>10733</v>
      </c>
      <c r="G2071" s="7" t="s">
        <v>10734</v>
      </c>
      <c r="H2071" s="7" t="s">
        <v>153</v>
      </c>
      <c r="I2071" s="7" t="s">
        <v>10735</v>
      </c>
      <c r="J2071" s="7" t="s">
        <v>110</v>
      </c>
      <c r="K2071" s="7" t="s">
        <v>10736</v>
      </c>
    </row>
    <row r="2072" customFormat="false" ht="23.85" hidden="false" customHeight="false" outlineLevel="0" collapsed="false">
      <c r="A2072" s="7" t="n">
        <v>2071</v>
      </c>
      <c r="B2072" s="7" t="s">
        <v>1622</v>
      </c>
      <c r="C2072" s="7" t="n">
        <v>2022</v>
      </c>
      <c r="D2072" s="7" t="s">
        <v>10737</v>
      </c>
      <c r="E2072" s="7" t="s">
        <v>143</v>
      </c>
      <c r="F2072" s="7" t="s">
        <v>1678</v>
      </c>
      <c r="G2072" s="7" t="s">
        <v>145</v>
      </c>
      <c r="H2072" s="7" t="s">
        <v>153</v>
      </c>
      <c r="I2072" s="7" t="s">
        <v>10738</v>
      </c>
      <c r="J2072" s="7" t="s">
        <v>110</v>
      </c>
      <c r="K2072" s="7" t="s">
        <v>10739</v>
      </c>
    </row>
    <row r="2073" customFormat="false" ht="23.85" hidden="false" customHeight="false" outlineLevel="0" collapsed="false">
      <c r="A2073" s="7" t="n">
        <v>2072</v>
      </c>
      <c r="B2073" s="7" t="s">
        <v>2958</v>
      </c>
      <c r="C2073" s="7" t="n">
        <v>2025</v>
      </c>
      <c r="D2073" s="7" t="s">
        <v>10740</v>
      </c>
      <c r="E2073" s="7" t="s">
        <v>143</v>
      </c>
      <c r="F2073" s="7" t="s">
        <v>1499</v>
      </c>
      <c r="G2073" s="7" t="s">
        <v>145</v>
      </c>
      <c r="H2073" s="7" t="s">
        <v>153</v>
      </c>
      <c r="I2073" s="7" t="s">
        <v>1421</v>
      </c>
      <c r="J2073" s="7" t="s">
        <v>114</v>
      </c>
      <c r="K2073" s="7" t="s">
        <v>10741</v>
      </c>
    </row>
    <row r="2074" customFormat="false" ht="23.85" hidden="false" customHeight="false" outlineLevel="0" collapsed="false">
      <c r="A2074" s="7" t="n">
        <v>2073</v>
      </c>
      <c r="B2074" s="7" t="s">
        <v>10742</v>
      </c>
      <c r="C2074" s="7" t="n">
        <v>2024</v>
      </c>
      <c r="D2074" s="7" t="s">
        <v>10743</v>
      </c>
      <c r="E2074" s="7" t="s">
        <v>151</v>
      </c>
      <c r="F2074" s="7" t="s">
        <v>6974</v>
      </c>
      <c r="G2074" s="7" t="s">
        <v>145</v>
      </c>
      <c r="H2074" s="7" t="s">
        <v>153</v>
      </c>
      <c r="I2074" s="7" t="s">
        <v>10744</v>
      </c>
      <c r="J2074" s="7"/>
      <c r="K2074" s="7" t="s">
        <v>10745</v>
      </c>
    </row>
    <row r="2075" customFormat="false" ht="46.25" hidden="false" customHeight="false" outlineLevel="0" collapsed="false">
      <c r="A2075" s="7" t="n">
        <v>2074</v>
      </c>
      <c r="B2075" s="7" t="s">
        <v>1476</v>
      </c>
      <c r="C2075" s="7" t="n">
        <v>2020</v>
      </c>
      <c r="D2075" s="7" t="s">
        <v>10746</v>
      </c>
      <c r="E2075" s="7" t="s">
        <v>15823</v>
      </c>
      <c r="F2075" s="7" t="s">
        <v>15835</v>
      </c>
      <c r="G2075" s="7" t="s">
        <v>145</v>
      </c>
      <c r="H2075" s="7" t="s">
        <v>153</v>
      </c>
      <c r="I2075" s="7" t="s">
        <v>15836</v>
      </c>
      <c r="J2075" s="7" t="s">
        <v>114</v>
      </c>
      <c r="K2075" s="7" t="s">
        <v>15837</v>
      </c>
    </row>
    <row r="2076" customFormat="false" ht="35.05" hidden="false" customHeight="false" outlineLevel="0" collapsed="false">
      <c r="A2076" s="7" t="n">
        <v>2075</v>
      </c>
      <c r="B2076" s="7" t="s">
        <v>2603</v>
      </c>
      <c r="C2076" s="7" t="n">
        <v>2023</v>
      </c>
      <c r="D2076" s="7" t="s">
        <v>10752</v>
      </c>
      <c r="E2076" s="7" t="s">
        <v>151</v>
      </c>
      <c r="F2076" s="7" t="s">
        <v>4507</v>
      </c>
      <c r="G2076" s="7" t="s">
        <v>145</v>
      </c>
      <c r="H2076" s="7" t="s">
        <v>153</v>
      </c>
      <c r="I2076" s="7" t="s">
        <v>10753</v>
      </c>
      <c r="J2076" s="7" t="s">
        <v>116</v>
      </c>
      <c r="K2076" s="7" t="s">
        <v>10754</v>
      </c>
    </row>
    <row r="2077" customFormat="false" ht="35.05" hidden="false" customHeight="false" outlineLevel="0" collapsed="false">
      <c r="A2077" s="7" t="n">
        <v>2076</v>
      </c>
      <c r="B2077" s="7" t="s">
        <v>1476</v>
      </c>
      <c r="C2077" s="7" t="n">
        <v>2025</v>
      </c>
      <c r="D2077" s="7" t="s">
        <v>10757</v>
      </c>
      <c r="E2077" s="7" t="s">
        <v>143</v>
      </c>
      <c r="F2077" s="7" t="s">
        <v>10758</v>
      </c>
      <c r="G2077" s="7" t="s">
        <v>145</v>
      </c>
      <c r="H2077" s="7" t="s">
        <v>153</v>
      </c>
      <c r="I2077" s="7" t="s">
        <v>10759</v>
      </c>
      <c r="J2077" s="7" t="s">
        <v>114</v>
      </c>
      <c r="K2077" s="7" t="s">
        <v>10760</v>
      </c>
    </row>
    <row r="2078" customFormat="false" ht="23.85" hidden="false" customHeight="false" outlineLevel="0" collapsed="false">
      <c r="A2078" s="7" t="n">
        <v>2077</v>
      </c>
      <c r="B2078" s="7" t="s">
        <v>10761</v>
      </c>
      <c r="C2078" s="7" t="n">
        <v>2023</v>
      </c>
      <c r="D2078" s="7" t="s">
        <v>10762</v>
      </c>
      <c r="E2078" s="7" t="s">
        <v>143</v>
      </c>
      <c r="F2078" s="7" t="s">
        <v>10763</v>
      </c>
      <c r="G2078" s="7" t="s">
        <v>145</v>
      </c>
      <c r="H2078" s="7" t="s">
        <v>153</v>
      </c>
      <c r="I2078" s="7" t="s">
        <v>507</v>
      </c>
      <c r="J2078" s="7"/>
      <c r="K2078" s="7" t="s">
        <v>10764</v>
      </c>
    </row>
    <row r="2079" customFormat="false" ht="23.85" hidden="false" customHeight="false" outlineLevel="0" collapsed="false">
      <c r="A2079" s="7" t="n">
        <v>2078</v>
      </c>
      <c r="B2079" s="7" t="s">
        <v>309</v>
      </c>
      <c r="C2079" s="7" t="n">
        <v>2023</v>
      </c>
      <c r="D2079" s="7" t="s">
        <v>10765</v>
      </c>
      <c r="E2079" s="7" t="s">
        <v>143</v>
      </c>
      <c r="F2079" s="7" t="s">
        <v>1499</v>
      </c>
      <c r="G2079" s="7" t="s">
        <v>145</v>
      </c>
      <c r="H2079" s="7" t="s">
        <v>153</v>
      </c>
      <c r="I2079" s="7" t="s">
        <v>10766</v>
      </c>
      <c r="J2079" s="7" t="s">
        <v>114</v>
      </c>
      <c r="K2079" s="7" t="s">
        <v>10767</v>
      </c>
    </row>
    <row r="2080" customFormat="false" ht="23.85" hidden="false" customHeight="false" outlineLevel="0" collapsed="false">
      <c r="A2080" s="7" t="n">
        <v>2079</v>
      </c>
      <c r="B2080" s="7" t="s">
        <v>10768</v>
      </c>
      <c r="C2080" s="7" t="n">
        <v>2013</v>
      </c>
      <c r="D2080" s="7" t="s">
        <v>10770</v>
      </c>
      <c r="E2080" s="7" t="s">
        <v>151</v>
      </c>
      <c r="F2080" s="7" t="s">
        <v>798</v>
      </c>
      <c r="G2080" s="7" t="s">
        <v>145</v>
      </c>
      <c r="H2080" s="7" t="s">
        <v>208</v>
      </c>
      <c r="I2080" s="7" t="s">
        <v>10771</v>
      </c>
      <c r="J2080" s="7"/>
      <c r="K2080" s="7" t="s">
        <v>10772</v>
      </c>
    </row>
    <row r="2081" customFormat="false" ht="23.85" hidden="false" customHeight="false" outlineLevel="0" collapsed="false">
      <c r="A2081" s="7" t="n">
        <v>2080</v>
      </c>
      <c r="B2081" s="7" t="s">
        <v>10773</v>
      </c>
      <c r="C2081" s="7" t="n">
        <v>2011</v>
      </c>
      <c r="D2081" s="7" t="s">
        <v>10774</v>
      </c>
      <c r="E2081" s="7" t="s">
        <v>151</v>
      </c>
      <c r="F2081" s="7" t="s">
        <v>798</v>
      </c>
      <c r="G2081" s="7" t="s">
        <v>145</v>
      </c>
      <c r="H2081" s="7" t="s">
        <v>146</v>
      </c>
      <c r="I2081" s="7" t="s">
        <v>10775</v>
      </c>
      <c r="J2081" s="7"/>
      <c r="K2081" s="7" t="s">
        <v>10776</v>
      </c>
    </row>
    <row r="2082" customFormat="false" ht="35.05" hidden="false" customHeight="false" outlineLevel="0" collapsed="false">
      <c r="A2082" s="7" t="n">
        <v>2081</v>
      </c>
      <c r="B2082" s="7" t="s">
        <v>1476</v>
      </c>
      <c r="C2082" s="7" t="n">
        <v>2025</v>
      </c>
      <c r="D2082" s="7" t="s">
        <v>10777</v>
      </c>
      <c r="E2082" s="7" t="s">
        <v>201</v>
      </c>
      <c r="F2082" s="7" t="s">
        <v>572</v>
      </c>
      <c r="G2082" s="7" t="s">
        <v>145</v>
      </c>
      <c r="H2082" s="7" t="s">
        <v>153</v>
      </c>
      <c r="I2082" s="7" t="s">
        <v>10778</v>
      </c>
      <c r="J2082" s="7" t="s">
        <v>116</v>
      </c>
      <c r="K2082" s="7" t="s">
        <v>10779</v>
      </c>
    </row>
    <row r="2083" customFormat="false" ht="23.85" hidden="false" customHeight="false" outlineLevel="0" collapsed="false">
      <c r="A2083" s="7" t="n">
        <v>2082</v>
      </c>
      <c r="B2083" s="7" t="s">
        <v>6077</v>
      </c>
      <c r="C2083" s="7" t="n">
        <v>2023</v>
      </c>
      <c r="D2083" s="7" t="s">
        <v>10780</v>
      </c>
      <c r="E2083" s="7" t="s">
        <v>151</v>
      </c>
      <c r="F2083" s="7" t="s">
        <v>1499</v>
      </c>
      <c r="G2083" s="7" t="s">
        <v>145</v>
      </c>
      <c r="H2083" s="7" t="s">
        <v>153</v>
      </c>
      <c r="I2083" s="7" t="s">
        <v>10781</v>
      </c>
      <c r="J2083" s="7" t="s">
        <v>114</v>
      </c>
      <c r="K2083" s="7" t="s">
        <v>10782</v>
      </c>
    </row>
    <row r="2084" customFormat="false" ht="35.05" hidden="false" customHeight="false" outlineLevel="0" collapsed="false">
      <c r="A2084" s="7" t="n">
        <v>2083</v>
      </c>
      <c r="B2084" s="7" t="s">
        <v>2051</v>
      </c>
      <c r="C2084" s="7" t="n">
        <v>2021</v>
      </c>
      <c r="D2084" s="7" t="s">
        <v>10785</v>
      </c>
      <c r="E2084" s="7" t="s">
        <v>3817</v>
      </c>
      <c r="F2084" s="7" t="s">
        <v>1278</v>
      </c>
      <c r="G2084" s="7" t="s">
        <v>145</v>
      </c>
      <c r="H2084" s="7" t="s">
        <v>153</v>
      </c>
      <c r="I2084" s="7" t="s">
        <v>10786</v>
      </c>
      <c r="J2084" s="7"/>
      <c r="K2084" s="7" t="s">
        <v>10787</v>
      </c>
    </row>
    <row r="2085" customFormat="false" ht="23.85" hidden="false" customHeight="false" outlineLevel="0" collapsed="false">
      <c r="A2085" s="7" t="n">
        <v>2084</v>
      </c>
      <c r="B2085" s="7" t="s">
        <v>2051</v>
      </c>
      <c r="C2085" s="7" t="n">
        <v>2021</v>
      </c>
      <c r="D2085" s="7" t="s">
        <v>10788</v>
      </c>
      <c r="E2085" s="7" t="s">
        <v>201</v>
      </c>
      <c r="F2085" s="7" t="s">
        <v>1619</v>
      </c>
      <c r="G2085" s="7" t="s">
        <v>145</v>
      </c>
      <c r="H2085" s="7" t="s">
        <v>153</v>
      </c>
      <c r="I2085" s="7" t="s">
        <v>10789</v>
      </c>
      <c r="J2085" s="7"/>
      <c r="K2085" s="7" t="s">
        <v>10790</v>
      </c>
    </row>
    <row r="2086" customFormat="false" ht="23.85" hidden="false" customHeight="false" outlineLevel="0" collapsed="false">
      <c r="A2086" s="7" t="n">
        <v>2085</v>
      </c>
      <c r="B2086" s="7" t="s">
        <v>1476</v>
      </c>
      <c r="C2086" s="7" t="n">
        <v>2024</v>
      </c>
      <c r="D2086" s="7" t="s">
        <v>10791</v>
      </c>
      <c r="E2086" s="7" t="s">
        <v>143</v>
      </c>
      <c r="F2086" s="7" t="s">
        <v>10792</v>
      </c>
      <c r="G2086" s="7" t="s">
        <v>145</v>
      </c>
      <c r="H2086" s="7" t="s">
        <v>153</v>
      </c>
      <c r="I2086" s="7" t="s">
        <v>10793</v>
      </c>
      <c r="J2086" s="7"/>
      <c r="K2086" s="7" t="s">
        <v>10794</v>
      </c>
    </row>
    <row r="2087" customFormat="false" ht="23.85" hidden="false" customHeight="false" outlineLevel="0" collapsed="false">
      <c r="A2087" s="7" t="n">
        <v>2086</v>
      </c>
      <c r="B2087" s="7" t="s">
        <v>9210</v>
      </c>
      <c r="C2087" s="7" t="n">
        <v>2021</v>
      </c>
      <c r="D2087" s="7" t="s">
        <v>10795</v>
      </c>
      <c r="E2087" s="7" t="s">
        <v>579</v>
      </c>
      <c r="F2087" s="7" t="s">
        <v>1499</v>
      </c>
      <c r="G2087" s="7" t="s">
        <v>145</v>
      </c>
      <c r="H2087" s="7" t="s">
        <v>153</v>
      </c>
      <c r="I2087" s="7" t="s">
        <v>10796</v>
      </c>
      <c r="J2087" s="7" t="s">
        <v>114</v>
      </c>
      <c r="K2087" s="7" t="s">
        <v>10797</v>
      </c>
    </row>
    <row r="2088" customFormat="false" ht="23.85" hidden="false" customHeight="false" outlineLevel="0" collapsed="false">
      <c r="A2088" s="7" t="n">
        <v>2087</v>
      </c>
      <c r="B2088" s="7" t="s">
        <v>1439</v>
      </c>
      <c r="C2088" s="7" t="n">
        <v>2024</v>
      </c>
      <c r="D2088" s="7" t="s">
        <v>10798</v>
      </c>
      <c r="E2088" s="7" t="s">
        <v>143</v>
      </c>
      <c r="F2088" s="7" t="s">
        <v>10799</v>
      </c>
      <c r="G2088" s="7" t="s">
        <v>145</v>
      </c>
      <c r="H2088" s="7" t="s">
        <v>153</v>
      </c>
      <c r="I2088" s="7" t="s">
        <v>10800</v>
      </c>
      <c r="J2088" s="7" t="s">
        <v>110</v>
      </c>
      <c r="K2088" s="7" t="s">
        <v>10801</v>
      </c>
    </row>
    <row r="2089" customFormat="false" ht="35.05" hidden="false" customHeight="false" outlineLevel="0" collapsed="false">
      <c r="A2089" s="7" t="n">
        <v>2088</v>
      </c>
      <c r="B2089" s="7" t="s">
        <v>1788</v>
      </c>
      <c r="C2089" s="7" t="n">
        <v>2025</v>
      </c>
      <c r="D2089" s="7" t="s">
        <v>10802</v>
      </c>
      <c r="E2089" s="7" t="s">
        <v>579</v>
      </c>
      <c r="F2089" s="7" t="s">
        <v>10803</v>
      </c>
      <c r="G2089" s="7" t="s">
        <v>145</v>
      </c>
      <c r="H2089" s="7" t="s">
        <v>153</v>
      </c>
      <c r="I2089" s="7" t="s">
        <v>10804</v>
      </c>
      <c r="J2089" s="7" t="s">
        <v>110</v>
      </c>
      <c r="K2089" s="7" t="s">
        <v>10805</v>
      </c>
    </row>
    <row r="2090" customFormat="false" ht="35.05" hidden="false" customHeight="false" outlineLevel="0" collapsed="false">
      <c r="A2090" s="7" t="n">
        <v>2089</v>
      </c>
      <c r="B2090" s="7" t="s">
        <v>10806</v>
      </c>
      <c r="C2090" s="7" t="n">
        <v>2025</v>
      </c>
      <c r="D2090" s="7" t="s">
        <v>10807</v>
      </c>
      <c r="E2090" s="7" t="s">
        <v>151</v>
      </c>
      <c r="F2090" s="7" t="s">
        <v>10808</v>
      </c>
      <c r="G2090" s="7" t="s">
        <v>1213</v>
      </c>
      <c r="H2090" s="7" t="s">
        <v>146</v>
      </c>
      <c r="I2090" s="7" t="s">
        <v>10809</v>
      </c>
      <c r="J2090" s="7" t="s">
        <v>112</v>
      </c>
      <c r="K2090" s="7" t="s">
        <v>10810</v>
      </c>
    </row>
    <row r="2091" customFormat="false" ht="23.85" hidden="false" customHeight="false" outlineLevel="0" collapsed="false">
      <c r="A2091" s="7" t="n">
        <v>2090</v>
      </c>
      <c r="B2091" s="7" t="s">
        <v>2051</v>
      </c>
      <c r="C2091" s="7" t="n">
        <v>2025</v>
      </c>
      <c r="D2091" s="7" t="s">
        <v>10811</v>
      </c>
      <c r="E2091" s="7" t="s">
        <v>151</v>
      </c>
      <c r="F2091" s="7" t="s">
        <v>10812</v>
      </c>
      <c r="G2091" s="7" t="s">
        <v>145</v>
      </c>
      <c r="H2091" s="7" t="s">
        <v>153</v>
      </c>
      <c r="I2091" s="7" t="s">
        <v>10813</v>
      </c>
      <c r="J2091" s="7" t="s">
        <v>114</v>
      </c>
      <c r="K2091" s="7" t="s">
        <v>10814</v>
      </c>
    </row>
    <row r="2092" customFormat="false" ht="23.85" hidden="false" customHeight="false" outlineLevel="0" collapsed="false">
      <c r="A2092" s="7" t="n">
        <v>2091</v>
      </c>
      <c r="B2092" s="7" t="s">
        <v>3177</v>
      </c>
      <c r="C2092" s="7" t="n">
        <v>2024</v>
      </c>
      <c r="D2092" s="7" t="s">
        <v>10815</v>
      </c>
      <c r="E2092" s="7" t="s">
        <v>579</v>
      </c>
      <c r="F2092" s="7" t="s">
        <v>10816</v>
      </c>
      <c r="G2092" s="7" t="s">
        <v>145</v>
      </c>
      <c r="H2092" s="7" t="s">
        <v>387</v>
      </c>
      <c r="I2092" s="7" t="s">
        <v>10817</v>
      </c>
      <c r="J2092" s="7" t="s">
        <v>116</v>
      </c>
      <c r="K2092" s="7" t="s">
        <v>10818</v>
      </c>
    </row>
    <row r="2093" customFormat="false" ht="23.85" hidden="false" customHeight="false" outlineLevel="0" collapsed="false">
      <c r="A2093" s="7" t="n">
        <v>2092</v>
      </c>
      <c r="B2093" s="7" t="s">
        <v>10819</v>
      </c>
      <c r="C2093" s="7" t="n">
        <v>2018</v>
      </c>
      <c r="D2093" s="7" t="s">
        <v>10820</v>
      </c>
      <c r="E2093" s="7" t="s">
        <v>143</v>
      </c>
      <c r="F2093" s="7" t="s">
        <v>10821</v>
      </c>
      <c r="G2093" s="7" t="s">
        <v>10822</v>
      </c>
      <c r="H2093" s="7" t="s">
        <v>522</v>
      </c>
      <c r="I2093" s="7" t="s">
        <v>10823</v>
      </c>
      <c r="J2093" s="7"/>
      <c r="K2093" s="7" t="s">
        <v>10824</v>
      </c>
    </row>
    <row r="2094" customFormat="false" ht="23.85" hidden="false" customHeight="false" outlineLevel="0" collapsed="false">
      <c r="A2094" s="7" t="n">
        <v>2093</v>
      </c>
      <c r="B2094" s="7" t="s">
        <v>10825</v>
      </c>
      <c r="C2094" s="7" t="n">
        <v>2025</v>
      </c>
      <c r="D2094" s="7" t="s">
        <v>10826</v>
      </c>
      <c r="E2094" s="7" t="s">
        <v>143</v>
      </c>
      <c r="F2094" s="7" t="s">
        <v>10827</v>
      </c>
      <c r="G2094" s="7" t="s">
        <v>145</v>
      </c>
      <c r="H2094" s="7" t="s">
        <v>153</v>
      </c>
      <c r="I2094" s="7" t="s">
        <v>10828</v>
      </c>
      <c r="J2094" s="7"/>
      <c r="K2094" s="7" t="s">
        <v>10829</v>
      </c>
    </row>
    <row r="2095" customFormat="false" ht="35.05" hidden="false" customHeight="false" outlineLevel="0" collapsed="false">
      <c r="A2095" s="7" t="n">
        <v>2094</v>
      </c>
      <c r="B2095" s="7" t="s">
        <v>10830</v>
      </c>
      <c r="C2095" s="7" t="n">
        <v>2018</v>
      </c>
      <c r="D2095" s="7" t="s">
        <v>10831</v>
      </c>
      <c r="E2095" s="7" t="s">
        <v>10484</v>
      </c>
      <c r="F2095" s="7" t="s">
        <v>7258</v>
      </c>
      <c r="G2095" s="7" t="s">
        <v>10832</v>
      </c>
      <c r="H2095" s="7" t="s">
        <v>146</v>
      </c>
      <c r="I2095" s="7" t="s">
        <v>10833</v>
      </c>
      <c r="J2095" s="7"/>
      <c r="K2095" s="7" t="s">
        <v>10834</v>
      </c>
    </row>
    <row r="2096" customFormat="false" ht="35.05" hidden="false" customHeight="false" outlineLevel="0" collapsed="false">
      <c r="A2096" s="7" t="n">
        <v>2095</v>
      </c>
      <c r="B2096" s="7" t="s">
        <v>10835</v>
      </c>
      <c r="C2096" s="7" t="n">
        <v>2024</v>
      </c>
      <c r="D2096" s="7" t="s">
        <v>10836</v>
      </c>
      <c r="E2096" s="7" t="s">
        <v>143</v>
      </c>
      <c r="F2096" s="7" t="s">
        <v>10837</v>
      </c>
      <c r="G2096" s="7" t="s">
        <v>10838</v>
      </c>
      <c r="H2096" s="7" t="s">
        <v>153</v>
      </c>
      <c r="I2096" s="7" t="s">
        <v>10839</v>
      </c>
      <c r="J2096" s="7" t="s">
        <v>114</v>
      </c>
      <c r="K2096" s="7" t="s">
        <v>10840</v>
      </c>
    </row>
    <row r="2097" customFormat="false" ht="23.85" hidden="false" customHeight="false" outlineLevel="0" collapsed="false">
      <c r="A2097" s="7" t="n">
        <v>2096</v>
      </c>
      <c r="B2097" s="7" t="s">
        <v>10841</v>
      </c>
      <c r="C2097" s="7" t="n">
        <v>2024</v>
      </c>
      <c r="D2097" s="7" t="s">
        <v>10842</v>
      </c>
      <c r="E2097" s="7" t="s">
        <v>143</v>
      </c>
      <c r="F2097" s="7" t="s">
        <v>10843</v>
      </c>
      <c r="G2097" s="7" t="s">
        <v>7597</v>
      </c>
      <c r="H2097" s="7" t="s">
        <v>146</v>
      </c>
      <c r="I2097" s="7" t="s">
        <v>10844</v>
      </c>
      <c r="J2097" s="7"/>
      <c r="K2097" s="7" t="s">
        <v>10845</v>
      </c>
    </row>
    <row r="2098" customFormat="false" ht="23.85" hidden="false" customHeight="false" outlineLevel="0" collapsed="false">
      <c r="A2098" s="7" t="n">
        <v>2097</v>
      </c>
      <c r="B2098" s="7" t="s">
        <v>10846</v>
      </c>
      <c r="C2098" s="7" t="n">
        <v>2024</v>
      </c>
      <c r="D2098" s="7" t="s">
        <v>10847</v>
      </c>
      <c r="E2098" s="7" t="s">
        <v>143</v>
      </c>
      <c r="F2098" s="7" t="s">
        <v>10848</v>
      </c>
      <c r="G2098" s="7" t="s">
        <v>10838</v>
      </c>
      <c r="H2098" s="7" t="s">
        <v>153</v>
      </c>
      <c r="I2098" s="7" t="s">
        <v>10849</v>
      </c>
      <c r="J2098" s="7" t="s">
        <v>114</v>
      </c>
      <c r="K2098" s="7" t="s">
        <v>10850</v>
      </c>
    </row>
    <row r="2099" customFormat="false" ht="23.85" hidden="false" customHeight="false" outlineLevel="0" collapsed="false">
      <c r="A2099" s="7" t="n">
        <v>2098</v>
      </c>
      <c r="B2099" s="7" t="s">
        <v>10851</v>
      </c>
      <c r="C2099" s="7" t="n">
        <v>2015</v>
      </c>
      <c r="D2099" s="7" t="s">
        <v>10852</v>
      </c>
      <c r="E2099" s="7" t="s">
        <v>143</v>
      </c>
      <c r="F2099" s="7" t="s">
        <v>3530</v>
      </c>
      <c r="G2099" s="7" t="s">
        <v>145</v>
      </c>
      <c r="H2099" s="7" t="s">
        <v>153</v>
      </c>
      <c r="I2099" s="7" t="s">
        <v>10853</v>
      </c>
      <c r="J2099" s="7" t="s">
        <v>112</v>
      </c>
      <c r="K2099" s="7" t="s">
        <v>10854</v>
      </c>
    </row>
    <row r="2100" customFormat="false" ht="23.85" hidden="false" customHeight="false" outlineLevel="0" collapsed="false">
      <c r="A2100" s="7" t="n">
        <v>2099</v>
      </c>
      <c r="B2100" s="7" t="s">
        <v>1476</v>
      </c>
      <c r="C2100" s="7" t="n">
        <v>2025</v>
      </c>
      <c r="D2100" s="7" t="s">
        <v>10855</v>
      </c>
      <c r="E2100" s="7" t="s">
        <v>10297</v>
      </c>
      <c r="F2100" s="7" t="s">
        <v>10856</v>
      </c>
      <c r="G2100" s="7" t="s">
        <v>145</v>
      </c>
      <c r="H2100" s="7" t="s">
        <v>153</v>
      </c>
      <c r="I2100" s="7" t="s">
        <v>10857</v>
      </c>
      <c r="J2100" s="7" t="s">
        <v>114</v>
      </c>
      <c r="K2100" s="7" t="s">
        <v>10858</v>
      </c>
    </row>
    <row r="2101" customFormat="false" ht="35.05" hidden="false" customHeight="false" outlineLevel="0" collapsed="false">
      <c r="A2101" s="7" t="n">
        <v>2100</v>
      </c>
      <c r="B2101" s="7" t="s">
        <v>10859</v>
      </c>
      <c r="C2101" s="7" t="n">
        <v>2019</v>
      </c>
      <c r="D2101" s="7" t="s">
        <v>10860</v>
      </c>
      <c r="E2101" s="7" t="s">
        <v>579</v>
      </c>
      <c r="F2101" s="7" t="s">
        <v>10861</v>
      </c>
      <c r="G2101" s="7" t="s">
        <v>145</v>
      </c>
      <c r="H2101" s="7" t="s">
        <v>153</v>
      </c>
      <c r="I2101" s="7" t="s">
        <v>10862</v>
      </c>
      <c r="J2101" s="7" t="s">
        <v>114</v>
      </c>
      <c r="K2101" s="7" t="s">
        <v>10863</v>
      </c>
    </row>
    <row r="2102" customFormat="false" ht="23.85" hidden="false" customHeight="false" outlineLevel="0" collapsed="false">
      <c r="A2102" s="7" t="n">
        <v>2101</v>
      </c>
      <c r="B2102" s="7" t="s">
        <v>3243</v>
      </c>
      <c r="C2102" s="7" t="n">
        <v>2025</v>
      </c>
      <c r="D2102" s="7" t="s">
        <v>10868</v>
      </c>
      <c r="E2102" s="7" t="s">
        <v>151</v>
      </c>
      <c r="F2102" s="7" t="s">
        <v>10869</v>
      </c>
      <c r="G2102" s="7" t="s">
        <v>244</v>
      </c>
      <c r="H2102" s="7" t="s">
        <v>387</v>
      </c>
      <c r="I2102" s="7" t="s">
        <v>10870</v>
      </c>
      <c r="J2102" s="7" t="s">
        <v>114</v>
      </c>
      <c r="K2102" s="7" t="s">
        <v>10871</v>
      </c>
    </row>
    <row r="2103" customFormat="false" ht="35.05" hidden="false" customHeight="false" outlineLevel="0" collapsed="false">
      <c r="A2103" s="7" t="n">
        <v>2102</v>
      </c>
      <c r="B2103" s="7" t="s">
        <v>10872</v>
      </c>
      <c r="C2103" s="7" t="n">
        <v>2025</v>
      </c>
      <c r="D2103" s="7" t="s">
        <v>10873</v>
      </c>
      <c r="E2103" s="7" t="s">
        <v>201</v>
      </c>
      <c r="F2103" s="7" t="s">
        <v>3973</v>
      </c>
      <c r="G2103" s="7" t="s">
        <v>145</v>
      </c>
      <c r="H2103" s="7" t="s">
        <v>153</v>
      </c>
      <c r="I2103" s="7" t="s">
        <v>3622</v>
      </c>
      <c r="J2103" s="7" t="s">
        <v>114</v>
      </c>
      <c r="K2103" s="7" t="s">
        <v>10874</v>
      </c>
    </row>
    <row r="2104" customFormat="false" ht="35.05" hidden="false" customHeight="false" outlineLevel="0" collapsed="false">
      <c r="A2104" s="7" t="n">
        <v>2103</v>
      </c>
      <c r="B2104" s="7" t="s">
        <v>10875</v>
      </c>
      <c r="C2104" s="7" t="n">
        <v>2023</v>
      </c>
      <c r="D2104" s="7" t="s">
        <v>10876</v>
      </c>
      <c r="E2104" s="7" t="s">
        <v>201</v>
      </c>
      <c r="F2104" s="7" t="s">
        <v>572</v>
      </c>
      <c r="G2104" s="7" t="s">
        <v>1138</v>
      </c>
      <c r="H2104" s="7" t="s">
        <v>748</v>
      </c>
      <c r="I2104" s="7" t="s">
        <v>10877</v>
      </c>
      <c r="J2104" s="7" t="s">
        <v>116</v>
      </c>
      <c r="K2104" s="7" t="s">
        <v>10878</v>
      </c>
    </row>
    <row r="2105" customFormat="false" ht="35.05" hidden="false" customHeight="false" outlineLevel="0" collapsed="false">
      <c r="A2105" s="7" t="n">
        <v>2104</v>
      </c>
      <c r="B2105" s="7" t="s">
        <v>10879</v>
      </c>
      <c r="C2105" s="7" t="n">
        <v>2024</v>
      </c>
      <c r="D2105" s="7" t="s">
        <v>10880</v>
      </c>
      <c r="E2105" s="7" t="s">
        <v>4040</v>
      </c>
      <c r="F2105" s="7" t="s">
        <v>10881</v>
      </c>
      <c r="G2105" s="7" t="s">
        <v>145</v>
      </c>
      <c r="H2105" s="7" t="s">
        <v>146</v>
      </c>
      <c r="I2105" s="7" t="s">
        <v>10882</v>
      </c>
      <c r="J2105" s="7"/>
      <c r="K2105" s="7" t="s">
        <v>10883</v>
      </c>
    </row>
    <row r="2106" customFormat="false" ht="35.05" hidden="false" customHeight="false" outlineLevel="0" collapsed="false">
      <c r="A2106" s="7" t="n">
        <v>2105</v>
      </c>
      <c r="B2106" s="7" t="s">
        <v>2633</v>
      </c>
      <c r="C2106" s="7" t="n">
        <v>2025</v>
      </c>
      <c r="D2106" s="7" t="s">
        <v>10884</v>
      </c>
      <c r="E2106" s="7" t="s">
        <v>143</v>
      </c>
      <c r="F2106" s="7" t="s">
        <v>10885</v>
      </c>
      <c r="G2106" s="7" t="s">
        <v>10886</v>
      </c>
      <c r="H2106" s="7" t="s">
        <v>146</v>
      </c>
      <c r="I2106" s="7" t="s">
        <v>10887</v>
      </c>
      <c r="J2106" s="7" t="s">
        <v>116</v>
      </c>
      <c r="K2106" s="7" t="s">
        <v>10888</v>
      </c>
    </row>
    <row r="2107" customFormat="false" ht="35.05" hidden="false" customHeight="false" outlineLevel="0" collapsed="false">
      <c r="A2107" s="7" t="n">
        <v>2106</v>
      </c>
      <c r="B2107" s="7" t="s">
        <v>10889</v>
      </c>
      <c r="C2107" s="7" t="n">
        <v>2024</v>
      </c>
      <c r="D2107" s="7" t="s">
        <v>10890</v>
      </c>
      <c r="E2107" s="7" t="s">
        <v>201</v>
      </c>
      <c r="F2107" s="7" t="s">
        <v>10445</v>
      </c>
      <c r="G2107" s="7" t="s">
        <v>145</v>
      </c>
      <c r="H2107" s="7" t="s">
        <v>146</v>
      </c>
      <c r="I2107" s="7" t="s">
        <v>10891</v>
      </c>
      <c r="J2107" s="7"/>
      <c r="K2107" s="7" t="s">
        <v>10892</v>
      </c>
    </row>
    <row r="2108" customFormat="false" ht="23.85" hidden="false" customHeight="false" outlineLevel="0" collapsed="false">
      <c r="A2108" s="7" t="n">
        <v>2107</v>
      </c>
      <c r="B2108" s="7" t="s">
        <v>10893</v>
      </c>
      <c r="C2108" s="7" t="n">
        <v>2024</v>
      </c>
      <c r="D2108" s="7" t="s">
        <v>10894</v>
      </c>
      <c r="E2108" s="7" t="s">
        <v>143</v>
      </c>
      <c r="F2108" s="7" t="s">
        <v>10895</v>
      </c>
      <c r="G2108" s="7" t="s">
        <v>145</v>
      </c>
      <c r="H2108" s="7" t="s">
        <v>146</v>
      </c>
      <c r="I2108" s="7" t="s">
        <v>617</v>
      </c>
      <c r="J2108" s="7"/>
      <c r="K2108" s="7" t="s">
        <v>10896</v>
      </c>
    </row>
    <row r="2109" customFormat="false" ht="35.05" hidden="false" customHeight="false" outlineLevel="0" collapsed="false">
      <c r="A2109" s="7" t="n">
        <v>2108</v>
      </c>
      <c r="B2109" s="7" t="s">
        <v>10897</v>
      </c>
      <c r="C2109" s="7" t="n">
        <v>2025</v>
      </c>
      <c r="D2109" s="7" t="s">
        <v>10898</v>
      </c>
      <c r="E2109" s="7" t="s">
        <v>587</v>
      </c>
      <c r="F2109" s="7" t="s">
        <v>10899</v>
      </c>
      <c r="G2109" s="7" t="s">
        <v>145</v>
      </c>
      <c r="H2109" s="7" t="s">
        <v>387</v>
      </c>
      <c r="I2109" s="7" t="s">
        <v>1174</v>
      </c>
      <c r="J2109" s="7"/>
      <c r="K2109" s="7" t="s">
        <v>10900</v>
      </c>
    </row>
    <row r="2110" customFormat="false" ht="35.05" hidden="false" customHeight="false" outlineLevel="0" collapsed="false">
      <c r="A2110" s="7" t="n">
        <v>2109</v>
      </c>
      <c r="B2110" s="7" t="s">
        <v>10864</v>
      </c>
      <c r="C2110" s="7" t="n">
        <v>2024</v>
      </c>
      <c r="D2110" s="7" t="s">
        <v>10901</v>
      </c>
      <c r="E2110" s="7" t="s">
        <v>151</v>
      </c>
      <c r="F2110" s="7" t="s">
        <v>10902</v>
      </c>
      <c r="G2110" s="7" t="s">
        <v>145</v>
      </c>
      <c r="H2110" s="7" t="s">
        <v>146</v>
      </c>
      <c r="I2110" s="7" t="s">
        <v>10903</v>
      </c>
      <c r="J2110" s="7"/>
      <c r="K2110" s="7" t="s">
        <v>10904</v>
      </c>
    </row>
    <row r="2111" customFormat="false" ht="35.05" hidden="false" customHeight="false" outlineLevel="0" collapsed="false">
      <c r="A2111" s="7" t="n">
        <v>2110</v>
      </c>
      <c r="B2111" s="7" t="s">
        <v>10864</v>
      </c>
      <c r="C2111" s="7" t="n">
        <v>2019</v>
      </c>
      <c r="D2111" s="7" t="s">
        <v>10905</v>
      </c>
      <c r="E2111" s="7" t="s">
        <v>3817</v>
      </c>
      <c r="F2111" s="7" t="s">
        <v>10906</v>
      </c>
      <c r="G2111" s="7" t="s">
        <v>145</v>
      </c>
      <c r="H2111" s="7" t="s">
        <v>146</v>
      </c>
      <c r="I2111" s="7" t="s">
        <v>10907</v>
      </c>
      <c r="J2111" s="7"/>
      <c r="K2111" s="7" t="s">
        <v>10908</v>
      </c>
    </row>
    <row r="2112" customFormat="false" ht="23.85" hidden="false" customHeight="false" outlineLevel="0" collapsed="false">
      <c r="A2112" s="7" t="n">
        <v>2111</v>
      </c>
      <c r="B2112" s="7" t="s">
        <v>10909</v>
      </c>
      <c r="C2112" s="7" t="n">
        <v>2023</v>
      </c>
      <c r="D2112" s="7" t="s">
        <v>10910</v>
      </c>
      <c r="E2112" s="7" t="s">
        <v>151</v>
      </c>
      <c r="F2112" s="7" t="s">
        <v>3359</v>
      </c>
      <c r="G2112" s="7" t="s">
        <v>145</v>
      </c>
      <c r="H2112" s="7" t="s">
        <v>146</v>
      </c>
      <c r="I2112" s="7" t="s">
        <v>10911</v>
      </c>
      <c r="J2112" s="7"/>
      <c r="K2112" s="7" t="s">
        <v>10912</v>
      </c>
    </row>
    <row r="2113" customFormat="false" ht="23.85" hidden="false" customHeight="false" outlineLevel="0" collapsed="false">
      <c r="A2113" s="7" t="n">
        <v>2112</v>
      </c>
      <c r="B2113" s="7" t="s">
        <v>10913</v>
      </c>
      <c r="C2113" s="7" t="n">
        <v>2024</v>
      </c>
      <c r="D2113" s="7" t="s">
        <v>10914</v>
      </c>
      <c r="E2113" s="7" t="s">
        <v>10484</v>
      </c>
      <c r="F2113" s="7" t="s">
        <v>10915</v>
      </c>
      <c r="G2113" s="7" t="s">
        <v>10916</v>
      </c>
      <c r="H2113" s="7" t="s">
        <v>146</v>
      </c>
      <c r="I2113" s="7" t="s">
        <v>10917</v>
      </c>
      <c r="J2113" s="7"/>
      <c r="K2113" s="7" t="s">
        <v>10918</v>
      </c>
    </row>
    <row r="2114" customFormat="false" ht="35.05" hidden="false" customHeight="false" outlineLevel="0" collapsed="false">
      <c r="A2114" s="7" t="n">
        <v>2113</v>
      </c>
      <c r="B2114" s="7" t="s">
        <v>10919</v>
      </c>
      <c r="C2114" s="7" t="n">
        <v>2024</v>
      </c>
      <c r="D2114" s="7" t="s">
        <v>10920</v>
      </c>
      <c r="E2114" s="7" t="s">
        <v>201</v>
      </c>
      <c r="F2114" s="7" t="s">
        <v>10921</v>
      </c>
      <c r="G2114" s="7" t="s">
        <v>10922</v>
      </c>
      <c r="H2114" s="7" t="s">
        <v>146</v>
      </c>
      <c r="I2114" s="7" t="s">
        <v>10923</v>
      </c>
      <c r="J2114" s="7" t="s">
        <v>114</v>
      </c>
      <c r="K2114" s="7" t="s">
        <v>10924</v>
      </c>
    </row>
    <row r="2115" customFormat="false" ht="23.85" hidden="false" customHeight="false" outlineLevel="0" collapsed="false">
      <c r="A2115" s="7" t="n">
        <v>2114</v>
      </c>
      <c r="B2115" s="7" t="s">
        <v>10925</v>
      </c>
      <c r="C2115" s="7" t="n">
        <v>2015</v>
      </c>
      <c r="D2115" s="7" t="s">
        <v>10926</v>
      </c>
      <c r="E2115" s="7" t="s">
        <v>9198</v>
      </c>
      <c r="F2115" s="7" t="s">
        <v>4852</v>
      </c>
      <c r="G2115" s="7" t="s">
        <v>512</v>
      </c>
      <c r="H2115" s="7" t="s">
        <v>146</v>
      </c>
      <c r="I2115" s="7" t="s">
        <v>10927</v>
      </c>
      <c r="J2115" s="7" t="s">
        <v>116</v>
      </c>
      <c r="K2115" s="7" t="s">
        <v>10928</v>
      </c>
    </row>
    <row r="2116" customFormat="false" ht="23.85" hidden="false" customHeight="false" outlineLevel="0" collapsed="false">
      <c r="A2116" s="7" t="n">
        <v>2115</v>
      </c>
      <c r="B2116" s="7" t="s">
        <v>10929</v>
      </c>
      <c r="C2116" s="7" t="n">
        <v>2024</v>
      </c>
      <c r="D2116" s="7" t="s">
        <v>10930</v>
      </c>
      <c r="E2116" s="7" t="s">
        <v>201</v>
      </c>
      <c r="F2116" s="7" t="s">
        <v>10931</v>
      </c>
      <c r="G2116" s="7" t="s">
        <v>10932</v>
      </c>
      <c r="H2116" s="7" t="s">
        <v>146</v>
      </c>
      <c r="I2116" s="7" t="s">
        <v>10933</v>
      </c>
      <c r="J2116" s="7" t="s">
        <v>116</v>
      </c>
      <c r="K2116" s="7" t="s">
        <v>10934</v>
      </c>
    </row>
    <row r="2117" customFormat="false" ht="35.05" hidden="false" customHeight="false" outlineLevel="0" collapsed="false">
      <c r="A2117" s="7" t="n">
        <v>2116</v>
      </c>
      <c r="B2117" s="7" t="s">
        <v>10935</v>
      </c>
      <c r="C2117" s="7" t="n">
        <v>2021</v>
      </c>
      <c r="D2117" s="7" t="s">
        <v>10936</v>
      </c>
      <c r="E2117" s="7" t="s">
        <v>4040</v>
      </c>
      <c r="F2117" s="7" t="s">
        <v>10937</v>
      </c>
      <c r="G2117" s="7" t="s">
        <v>2248</v>
      </c>
      <c r="H2117" s="7" t="s">
        <v>146</v>
      </c>
      <c r="I2117" s="7" t="s">
        <v>10938</v>
      </c>
      <c r="J2117" s="7"/>
      <c r="K2117" s="7" t="s">
        <v>10939</v>
      </c>
    </row>
    <row r="2118" customFormat="false" ht="35.05" hidden="false" customHeight="false" outlineLevel="0" collapsed="false">
      <c r="A2118" s="7" t="n">
        <v>2117</v>
      </c>
      <c r="B2118" s="7" t="s">
        <v>10940</v>
      </c>
      <c r="C2118" s="7" t="n">
        <v>2019</v>
      </c>
      <c r="D2118" s="7" t="s">
        <v>10941</v>
      </c>
      <c r="E2118" s="7" t="s">
        <v>3817</v>
      </c>
      <c r="F2118" s="7" t="s">
        <v>10942</v>
      </c>
      <c r="G2118" s="7" t="s">
        <v>145</v>
      </c>
      <c r="H2118" s="7" t="s">
        <v>146</v>
      </c>
      <c r="I2118" s="7" t="s">
        <v>10943</v>
      </c>
      <c r="J2118" s="7" t="s">
        <v>116</v>
      </c>
      <c r="K2118" s="7" t="s">
        <v>10944</v>
      </c>
    </row>
    <row r="2119" customFormat="false" ht="35.05" hidden="false" customHeight="false" outlineLevel="0" collapsed="false">
      <c r="A2119" s="7" t="n">
        <v>2118</v>
      </c>
      <c r="B2119" s="7" t="s">
        <v>10945</v>
      </c>
      <c r="C2119" s="7" t="n">
        <v>2024</v>
      </c>
      <c r="D2119" s="7" t="s">
        <v>10946</v>
      </c>
      <c r="E2119" s="7" t="s">
        <v>143</v>
      </c>
      <c r="F2119" s="7" t="s">
        <v>10947</v>
      </c>
      <c r="G2119" s="7" t="s">
        <v>678</v>
      </c>
      <c r="H2119" s="7" t="s">
        <v>146</v>
      </c>
      <c r="I2119" s="7" t="s">
        <v>10948</v>
      </c>
      <c r="J2119" s="7" t="s">
        <v>114</v>
      </c>
      <c r="K2119" s="7" t="s">
        <v>10949</v>
      </c>
    </row>
    <row r="2120" customFormat="false" ht="35.05" hidden="false" customHeight="false" outlineLevel="0" collapsed="false">
      <c r="A2120" s="7" t="n">
        <v>2119</v>
      </c>
      <c r="B2120" s="7" t="s">
        <v>10950</v>
      </c>
      <c r="C2120" s="7" t="n">
        <v>2011</v>
      </c>
      <c r="D2120" s="7" t="s">
        <v>10951</v>
      </c>
      <c r="E2120" s="7" t="s">
        <v>3817</v>
      </c>
      <c r="F2120" s="7" t="s">
        <v>152</v>
      </c>
      <c r="G2120" s="7" t="s">
        <v>10952</v>
      </c>
      <c r="H2120" s="7" t="s">
        <v>146</v>
      </c>
      <c r="I2120" s="7" t="s">
        <v>10953</v>
      </c>
      <c r="J2120" s="7"/>
      <c r="K2120" s="7" t="s">
        <v>10954</v>
      </c>
    </row>
    <row r="2121" customFormat="false" ht="23.85" hidden="false" customHeight="false" outlineLevel="0" collapsed="false">
      <c r="A2121" s="7" t="n">
        <v>2120</v>
      </c>
      <c r="B2121" s="7" t="s">
        <v>10955</v>
      </c>
      <c r="C2121" s="7" t="n">
        <v>2025</v>
      </c>
      <c r="D2121" s="7" t="s">
        <v>10956</v>
      </c>
      <c r="E2121" s="7" t="s">
        <v>201</v>
      </c>
      <c r="F2121" s="7" t="s">
        <v>10957</v>
      </c>
      <c r="G2121" s="7" t="s">
        <v>145</v>
      </c>
      <c r="H2121" s="7" t="s">
        <v>146</v>
      </c>
      <c r="I2121" s="7" t="s">
        <v>10958</v>
      </c>
      <c r="J2121" s="7" t="s">
        <v>114</v>
      </c>
      <c r="K2121" s="7" t="s">
        <v>10959</v>
      </c>
    </row>
    <row r="2122" customFormat="false" ht="23.85" hidden="false" customHeight="false" outlineLevel="0" collapsed="false">
      <c r="A2122" s="7" t="n">
        <v>2121</v>
      </c>
      <c r="B2122" s="7" t="s">
        <v>10960</v>
      </c>
      <c r="C2122" s="7" t="n">
        <v>2022</v>
      </c>
      <c r="D2122" s="7" t="s">
        <v>10961</v>
      </c>
      <c r="E2122" s="7" t="s">
        <v>151</v>
      </c>
      <c r="F2122" s="7" t="s">
        <v>626</v>
      </c>
      <c r="G2122" s="7" t="s">
        <v>3279</v>
      </c>
      <c r="H2122" s="7" t="s">
        <v>146</v>
      </c>
      <c r="I2122" s="7" t="s">
        <v>10962</v>
      </c>
      <c r="J2122" s="7" t="s">
        <v>114</v>
      </c>
      <c r="K2122" s="7" t="s">
        <v>10963</v>
      </c>
    </row>
    <row r="2123" customFormat="false" ht="23.85" hidden="false" customHeight="false" outlineLevel="0" collapsed="false">
      <c r="A2123" s="7" t="n">
        <v>2122</v>
      </c>
      <c r="B2123" s="7" t="s">
        <v>10964</v>
      </c>
      <c r="C2123" s="7" t="n">
        <v>2019</v>
      </c>
      <c r="D2123" s="7" t="s">
        <v>10965</v>
      </c>
      <c r="E2123" s="7" t="s">
        <v>151</v>
      </c>
      <c r="F2123" s="7" t="s">
        <v>7634</v>
      </c>
      <c r="G2123" s="7" t="s">
        <v>145</v>
      </c>
      <c r="H2123" s="7" t="s">
        <v>387</v>
      </c>
      <c r="I2123" s="7" t="s">
        <v>10966</v>
      </c>
      <c r="J2123" s="7"/>
      <c r="K2123" s="7" t="s">
        <v>10967</v>
      </c>
    </row>
    <row r="2124" customFormat="false" ht="23.85" hidden="false" customHeight="false" outlineLevel="0" collapsed="false">
      <c r="A2124" s="7" t="n">
        <v>2123</v>
      </c>
      <c r="B2124" s="7" t="s">
        <v>10968</v>
      </c>
      <c r="C2124" s="7" t="n">
        <v>2021</v>
      </c>
      <c r="D2124" s="7" t="s">
        <v>10969</v>
      </c>
      <c r="E2124" s="7" t="s">
        <v>143</v>
      </c>
      <c r="F2124" s="7" t="s">
        <v>10970</v>
      </c>
      <c r="G2124" s="7" t="s">
        <v>4711</v>
      </c>
      <c r="H2124" s="7" t="s">
        <v>146</v>
      </c>
      <c r="I2124" s="7" t="s">
        <v>10971</v>
      </c>
      <c r="J2124" s="7"/>
      <c r="K2124" s="7" t="s">
        <v>10972</v>
      </c>
    </row>
    <row r="2125" customFormat="false" ht="23.85" hidden="false" customHeight="false" outlineLevel="0" collapsed="false">
      <c r="A2125" s="7" t="n">
        <v>2124</v>
      </c>
      <c r="B2125" s="7" t="s">
        <v>10973</v>
      </c>
      <c r="C2125" s="7" t="n">
        <v>2024</v>
      </c>
      <c r="D2125" s="7" t="s">
        <v>10974</v>
      </c>
      <c r="E2125" s="7" t="s">
        <v>201</v>
      </c>
      <c r="F2125" s="7" t="s">
        <v>4650</v>
      </c>
      <c r="G2125" s="7" t="s">
        <v>10975</v>
      </c>
      <c r="H2125" s="7" t="s">
        <v>146</v>
      </c>
      <c r="I2125" s="7" t="s">
        <v>10976</v>
      </c>
      <c r="J2125" s="7" t="s">
        <v>116</v>
      </c>
      <c r="K2125" s="7" t="s">
        <v>10977</v>
      </c>
    </row>
    <row r="2126" customFormat="false" ht="23.85" hidden="false" customHeight="false" outlineLevel="0" collapsed="false">
      <c r="A2126" s="7" t="n">
        <v>2125</v>
      </c>
      <c r="B2126" s="7" t="s">
        <v>10978</v>
      </c>
      <c r="C2126" s="7" t="n">
        <v>2025</v>
      </c>
      <c r="D2126" s="7" t="s">
        <v>10979</v>
      </c>
      <c r="E2126" s="7" t="s">
        <v>151</v>
      </c>
      <c r="F2126" s="7" t="s">
        <v>4650</v>
      </c>
      <c r="G2126" s="7" t="s">
        <v>145</v>
      </c>
      <c r="H2126" s="7" t="s">
        <v>146</v>
      </c>
      <c r="I2126" s="7" t="s">
        <v>10980</v>
      </c>
      <c r="J2126" s="7" t="s">
        <v>116</v>
      </c>
      <c r="K2126" s="7" t="s">
        <v>10981</v>
      </c>
    </row>
    <row r="2127" customFormat="false" ht="23.85" hidden="false" customHeight="false" outlineLevel="0" collapsed="false">
      <c r="A2127" s="7" t="n">
        <v>2126</v>
      </c>
      <c r="B2127" s="7" t="s">
        <v>10982</v>
      </c>
      <c r="C2127" s="7" t="n">
        <v>2017</v>
      </c>
      <c r="D2127" s="7" t="s">
        <v>10983</v>
      </c>
      <c r="E2127" s="7" t="s">
        <v>579</v>
      </c>
      <c r="F2127" s="7" t="s">
        <v>677</v>
      </c>
      <c r="G2127" s="7" t="s">
        <v>4711</v>
      </c>
      <c r="H2127" s="7" t="s">
        <v>146</v>
      </c>
      <c r="I2127" s="7" t="s">
        <v>10984</v>
      </c>
      <c r="J2127" s="7" t="s">
        <v>116</v>
      </c>
      <c r="K2127" s="7" t="s">
        <v>10985</v>
      </c>
    </row>
    <row r="2128" customFormat="false" ht="35.05" hidden="false" customHeight="false" outlineLevel="0" collapsed="false">
      <c r="A2128" s="7" t="n">
        <v>2127</v>
      </c>
      <c r="B2128" s="7" t="s">
        <v>10986</v>
      </c>
      <c r="C2128" s="7" t="n">
        <v>2020</v>
      </c>
      <c r="D2128" s="7" t="s">
        <v>10987</v>
      </c>
      <c r="E2128" s="7" t="s">
        <v>151</v>
      </c>
      <c r="F2128" s="7" t="s">
        <v>4650</v>
      </c>
      <c r="G2128" s="7" t="s">
        <v>10988</v>
      </c>
      <c r="H2128" s="7" t="s">
        <v>146</v>
      </c>
      <c r="I2128" s="7" t="s">
        <v>10989</v>
      </c>
      <c r="J2128" s="7"/>
      <c r="K2128" s="7" t="s">
        <v>10990</v>
      </c>
    </row>
    <row r="2129" customFormat="false" ht="23.85" hidden="false" customHeight="false" outlineLevel="0" collapsed="false">
      <c r="A2129" s="7" t="n">
        <v>2128</v>
      </c>
      <c r="B2129" s="7" t="s">
        <v>10991</v>
      </c>
      <c r="C2129" s="7" t="n">
        <v>2019</v>
      </c>
      <c r="D2129" s="7" t="s">
        <v>10992</v>
      </c>
      <c r="E2129" s="7" t="s">
        <v>151</v>
      </c>
      <c r="F2129" s="7" t="s">
        <v>8767</v>
      </c>
      <c r="G2129" s="7" t="s">
        <v>10993</v>
      </c>
      <c r="H2129" s="7" t="s">
        <v>146</v>
      </c>
      <c r="I2129" s="7" t="s">
        <v>10994</v>
      </c>
      <c r="J2129" s="7"/>
      <c r="K2129" s="7" t="s">
        <v>10995</v>
      </c>
    </row>
    <row r="2130" customFormat="false" ht="35.05" hidden="false" customHeight="false" outlineLevel="0" collapsed="false">
      <c r="A2130" s="7" t="n">
        <v>2129</v>
      </c>
      <c r="B2130" s="7" t="s">
        <v>10996</v>
      </c>
      <c r="C2130" s="7" t="n">
        <v>2024</v>
      </c>
      <c r="D2130" s="7" t="s">
        <v>10997</v>
      </c>
      <c r="E2130" s="7" t="s">
        <v>151</v>
      </c>
      <c r="F2130" s="7" t="s">
        <v>10998</v>
      </c>
      <c r="G2130" s="7" t="s">
        <v>10999</v>
      </c>
      <c r="H2130" s="7" t="s">
        <v>146</v>
      </c>
      <c r="I2130" s="7" t="s">
        <v>11000</v>
      </c>
      <c r="J2130" s="7"/>
      <c r="K2130" s="7" t="s">
        <v>11001</v>
      </c>
    </row>
    <row r="2131" customFormat="false" ht="23.85" hidden="false" customHeight="false" outlineLevel="0" collapsed="false">
      <c r="A2131" s="7" t="n">
        <v>2130</v>
      </c>
      <c r="B2131" s="7" t="s">
        <v>11002</v>
      </c>
      <c r="C2131" s="7" t="n">
        <v>2022</v>
      </c>
      <c r="D2131" s="7" t="s">
        <v>11003</v>
      </c>
      <c r="E2131" s="7" t="s">
        <v>151</v>
      </c>
      <c r="F2131" s="7" t="s">
        <v>4650</v>
      </c>
      <c r="G2131" s="7" t="s">
        <v>11004</v>
      </c>
      <c r="H2131" s="7" t="s">
        <v>146</v>
      </c>
      <c r="I2131" s="7" t="s">
        <v>11005</v>
      </c>
      <c r="J2131" s="7" t="s">
        <v>116</v>
      </c>
      <c r="K2131" s="7" t="s">
        <v>11006</v>
      </c>
    </row>
    <row r="2132" customFormat="false" ht="35.05" hidden="false" customHeight="false" outlineLevel="0" collapsed="false">
      <c r="A2132" s="7" t="n">
        <v>2131</v>
      </c>
      <c r="B2132" s="7" t="s">
        <v>11007</v>
      </c>
      <c r="C2132" s="7" t="n">
        <v>2022</v>
      </c>
      <c r="D2132" s="7" t="s">
        <v>11008</v>
      </c>
      <c r="E2132" s="7" t="s">
        <v>151</v>
      </c>
      <c r="F2132" s="7" t="s">
        <v>8767</v>
      </c>
      <c r="G2132" s="7" t="s">
        <v>11009</v>
      </c>
      <c r="H2132" s="7" t="s">
        <v>146</v>
      </c>
      <c r="I2132" s="7" t="s">
        <v>11010</v>
      </c>
      <c r="J2132" s="7"/>
      <c r="K2132" s="7" t="s">
        <v>11011</v>
      </c>
    </row>
    <row r="2133" customFormat="false" ht="35.05" hidden="false" customHeight="false" outlineLevel="0" collapsed="false">
      <c r="A2133" s="7" t="n">
        <v>2132</v>
      </c>
      <c r="B2133" s="7" t="s">
        <v>11012</v>
      </c>
      <c r="C2133" s="7" t="n">
        <v>2024</v>
      </c>
      <c r="D2133" s="7" t="s">
        <v>11013</v>
      </c>
      <c r="E2133" s="7" t="s">
        <v>11014</v>
      </c>
      <c r="F2133" s="7" t="s">
        <v>11015</v>
      </c>
      <c r="G2133" s="7" t="s">
        <v>11016</v>
      </c>
      <c r="H2133" s="7" t="s">
        <v>146</v>
      </c>
      <c r="I2133" s="7" t="s">
        <v>11017</v>
      </c>
      <c r="J2133" s="7" t="s">
        <v>116</v>
      </c>
      <c r="K2133" s="7" t="s">
        <v>11018</v>
      </c>
    </row>
    <row r="2134" customFormat="false" ht="23.85" hidden="false" customHeight="false" outlineLevel="0" collapsed="false">
      <c r="A2134" s="7" t="n">
        <v>2133</v>
      </c>
      <c r="B2134" s="7" t="s">
        <v>11019</v>
      </c>
      <c r="C2134" s="7" t="n">
        <v>2024</v>
      </c>
      <c r="D2134" s="7" t="s">
        <v>11020</v>
      </c>
      <c r="E2134" s="7" t="s">
        <v>151</v>
      </c>
      <c r="F2134" s="7" t="s">
        <v>11021</v>
      </c>
      <c r="G2134" s="7" t="s">
        <v>11022</v>
      </c>
      <c r="H2134" s="7" t="s">
        <v>146</v>
      </c>
      <c r="I2134" s="7" t="s">
        <v>11023</v>
      </c>
      <c r="J2134" s="7"/>
      <c r="K2134" s="7" t="s">
        <v>11024</v>
      </c>
    </row>
    <row r="2135" customFormat="false" ht="35.05" hidden="false" customHeight="false" outlineLevel="0" collapsed="false">
      <c r="A2135" s="7" t="n">
        <v>2134</v>
      </c>
      <c r="B2135" s="7" t="s">
        <v>11025</v>
      </c>
      <c r="C2135" s="7" t="n">
        <v>2022</v>
      </c>
      <c r="D2135" s="7" t="s">
        <v>11026</v>
      </c>
      <c r="E2135" s="7" t="s">
        <v>151</v>
      </c>
      <c r="F2135" s="7" t="s">
        <v>8767</v>
      </c>
      <c r="G2135" s="7" t="s">
        <v>4711</v>
      </c>
      <c r="H2135" s="7" t="s">
        <v>146</v>
      </c>
      <c r="I2135" s="7" t="s">
        <v>11027</v>
      </c>
      <c r="J2135" s="7"/>
      <c r="K2135" s="7" t="s">
        <v>11028</v>
      </c>
    </row>
    <row r="2136" customFormat="false" ht="35.05" hidden="false" customHeight="false" outlineLevel="0" collapsed="false">
      <c r="A2136" s="7" t="n">
        <v>2135</v>
      </c>
      <c r="B2136" s="7" t="s">
        <v>11029</v>
      </c>
      <c r="C2136" s="7" t="n">
        <v>2024</v>
      </c>
      <c r="D2136" s="7" t="s">
        <v>11030</v>
      </c>
      <c r="E2136" s="7" t="s">
        <v>143</v>
      </c>
      <c r="F2136" s="7" t="s">
        <v>4650</v>
      </c>
      <c r="G2136" s="7" t="s">
        <v>145</v>
      </c>
      <c r="H2136" s="7" t="s">
        <v>146</v>
      </c>
      <c r="I2136" s="7" t="s">
        <v>11031</v>
      </c>
      <c r="J2136" s="7"/>
      <c r="K2136" s="7" t="s">
        <v>11032</v>
      </c>
    </row>
    <row r="2137" customFormat="false" ht="35.05" hidden="false" customHeight="false" outlineLevel="0" collapsed="false">
      <c r="A2137" s="7" t="n">
        <v>2136</v>
      </c>
      <c r="B2137" s="7" t="s">
        <v>11033</v>
      </c>
      <c r="C2137" s="7" t="n">
        <v>2024</v>
      </c>
      <c r="D2137" s="7" t="s">
        <v>11034</v>
      </c>
      <c r="E2137" s="7" t="s">
        <v>151</v>
      </c>
      <c r="F2137" s="7" t="s">
        <v>11035</v>
      </c>
      <c r="G2137" s="7" t="s">
        <v>11036</v>
      </c>
      <c r="H2137" s="7" t="s">
        <v>146</v>
      </c>
      <c r="I2137" s="7" t="s">
        <v>11037</v>
      </c>
      <c r="J2137" s="7"/>
      <c r="K2137" s="7" t="s">
        <v>11038</v>
      </c>
    </row>
    <row r="2138" customFormat="false" ht="35.05" hidden="false" customHeight="false" outlineLevel="0" collapsed="false">
      <c r="A2138" s="7" t="n">
        <v>2137</v>
      </c>
      <c r="B2138" s="7" t="s">
        <v>11039</v>
      </c>
      <c r="C2138" s="7" t="n">
        <v>2022</v>
      </c>
      <c r="D2138" s="7" t="s">
        <v>11040</v>
      </c>
      <c r="E2138" s="7" t="s">
        <v>579</v>
      </c>
      <c r="F2138" s="7" t="s">
        <v>4650</v>
      </c>
      <c r="G2138" s="7" t="s">
        <v>145</v>
      </c>
      <c r="H2138" s="7" t="s">
        <v>146</v>
      </c>
      <c r="I2138" s="7" t="s">
        <v>11041</v>
      </c>
      <c r="J2138" s="7" t="s">
        <v>116</v>
      </c>
      <c r="K2138" s="7" t="s">
        <v>11042</v>
      </c>
    </row>
    <row r="2139" customFormat="false" ht="23.85" hidden="false" customHeight="false" outlineLevel="0" collapsed="false">
      <c r="A2139" s="7" t="n">
        <v>2138</v>
      </c>
      <c r="B2139" s="7" t="s">
        <v>11043</v>
      </c>
      <c r="C2139" s="7" t="n">
        <v>2024</v>
      </c>
      <c r="D2139" s="7" t="s">
        <v>11044</v>
      </c>
      <c r="E2139" s="7" t="s">
        <v>11045</v>
      </c>
      <c r="F2139" s="7" t="s">
        <v>11046</v>
      </c>
      <c r="G2139" s="7" t="s">
        <v>11047</v>
      </c>
      <c r="H2139" s="7" t="s">
        <v>146</v>
      </c>
      <c r="I2139" s="7" t="s">
        <v>11048</v>
      </c>
      <c r="J2139" s="7"/>
      <c r="K2139" s="7" t="s">
        <v>11049</v>
      </c>
    </row>
    <row r="2140" customFormat="false" ht="35.05" hidden="false" customHeight="false" outlineLevel="0" collapsed="false">
      <c r="A2140" s="7" t="n">
        <v>2139</v>
      </c>
      <c r="B2140" s="7" t="s">
        <v>11050</v>
      </c>
      <c r="C2140" s="7" t="n">
        <v>2024</v>
      </c>
      <c r="D2140" s="7" t="s">
        <v>11051</v>
      </c>
      <c r="E2140" s="7" t="s">
        <v>151</v>
      </c>
      <c r="F2140" s="7" t="s">
        <v>11052</v>
      </c>
      <c r="G2140" s="7" t="s">
        <v>11053</v>
      </c>
      <c r="H2140" s="7" t="s">
        <v>146</v>
      </c>
      <c r="I2140" s="7" t="s">
        <v>11054</v>
      </c>
      <c r="J2140" s="7"/>
      <c r="K2140" s="7" t="s">
        <v>11055</v>
      </c>
    </row>
    <row r="2141" customFormat="false" ht="23.85" hidden="false" customHeight="false" outlineLevel="0" collapsed="false">
      <c r="A2141" s="7" t="n">
        <v>2140</v>
      </c>
      <c r="B2141" s="7" t="s">
        <v>11056</v>
      </c>
      <c r="C2141" s="7" t="n">
        <v>2025</v>
      </c>
      <c r="D2141" s="7" t="s">
        <v>11057</v>
      </c>
      <c r="E2141" s="7" t="s">
        <v>201</v>
      </c>
      <c r="F2141" s="7" t="s">
        <v>11058</v>
      </c>
      <c r="G2141" s="7" t="s">
        <v>4711</v>
      </c>
      <c r="H2141" s="7" t="s">
        <v>146</v>
      </c>
      <c r="I2141" s="7" t="s">
        <v>11059</v>
      </c>
      <c r="J2141" s="7"/>
      <c r="K2141" s="7" t="s">
        <v>11060</v>
      </c>
    </row>
    <row r="2142" customFormat="false" ht="23.85" hidden="false" customHeight="false" outlineLevel="0" collapsed="false">
      <c r="A2142" s="7" t="n">
        <v>2141</v>
      </c>
      <c r="B2142" s="7" t="s">
        <v>11061</v>
      </c>
      <c r="C2142" s="7" t="n">
        <v>2024</v>
      </c>
      <c r="D2142" s="7" t="s">
        <v>11062</v>
      </c>
      <c r="E2142" s="7" t="s">
        <v>201</v>
      </c>
      <c r="F2142" s="7" t="s">
        <v>4650</v>
      </c>
      <c r="G2142" s="7" t="s">
        <v>145</v>
      </c>
      <c r="H2142" s="7" t="s">
        <v>146</v>
      </c>
      <c r="I2142" s="7" t="s">
        <v>11063</v>
      </c>
      <c r="J2142" s="7"/>
      <c r="K2142" s="7" t="s">
        <v>11064</v>
      </c>
    </row>
    <row r="2143" customFormat="false" ht="23.85" hidden="false" customHeight="false" outlineLevel="0" collapsed="false">
      <c r="A2143" s="7" t="n">
        <v>2142</v>
      </c>
      <c r="B2143" s="7" t="s">
        <v>11065</v>
      </c>
      <c r="C2143" s="7" t="n">
        <v>2025</v>
      </c>
      <c r="D2143" s="7" t="s">
        <v>11066</v>
      </c>
      <c r="E2143" s="7" t="s">
        <v>151</v>
      </c>
      <c r="F2143" s="7" t="s">
        <v>11067</v>
      </c>
      <c r="G2143" s="7" t="s">
        <v>11068</v>
      </c>
      <c r="H2143" s="7" t="s">
        <v>146</v>
      </c>
      <c r="I2143" s="7" t="s">
        <v>11069</v>
      </c>
      <c r="J2143" s="7"/>
      <c r="K2143" s="7" t="s">
        <v>11070</v>
      </c>
    </row>
    <row r="2144" customFormat="false" ht="35.05" hidden="false" customHeight="false" outlineLevel="0" collapsed="false">
      <c r="A2144" s="7" t="n">
        <v>2143</v>
      </c>
      <c r="B2144" s="7" t="s">
        <v>11071</v>
      </c>
      <c r="C2144" s="7" t="n">
        <v>2025</v>
      </c>
      <c r="D2144" s="7" t="s">
        <v>11072</v>
      </c>
      <c r="E2144" s="7" t="s">
        <v>151</v>
      </c>
      <c r="F2144" s="7" t="s">
        <v>11021</v>
      </c>
      <c r="G2144" s="7" t="s">
        <v>145</v>
      </c>
      <c r="H2144" s="7" t="s">
        <v>146</v>
      </c>
      <c r="I2144" s="7" t="s">
        <v>11073</v>
      </c>
      <c r="J2144" s="7"/>
      <c r="K2144" s="7" t="s">
        <v>11074</v>
      </c>
    </row>
    <row r="2145" customFormat="false" ht="23.85" hidden="false" customHeight="false" outlineLevel="0" collapsed="false">
      <c r="A2145" s="7" t="n">
        <v>2144</v>
      </c>
      <c r="B2145" s="7" t="s">
        <v>11075</v>
      </c>
      <c r="C2145" s="7" t="n">
        <v>2022</v>
      </c>
      <c r="D2145" s="7" t="s">
        <v>11076</v>
      </c>
      <c r="E2145" s="7" t="s">
        <v>4040</v>
      </c>
      <c r="F2145" s="7" t="s">
        <v>11077</v>
      </c>
      <c r="G2145" s="7" t="s">
        <v>145</v>
      </c>
      <c r="H2145" s="7" t="s">
        <v>146</v>
      </c>
      <c r="I2145" s="7" t="s">
        <v>11078</v>
      </c>
      <c r="J2145" s="7"/>
      <c r="K2145" s="7" t="s">
        <v>11079</v>
      </c>
    </row>
    <row r="2146" customFormat="false" ht="23.85" hidden="false" customHeight="false" outlineLevel="0" collapsed="false">
      <c r="A2146" s="7" t="n">
        <v>2145</v>
      </c>
      <c r="B2146" s="7" t="s">
        <v>11080</v>
      </c>
      <c r="C2146" s="7" t="n">
        <v>2018</v>
      </c>
      <c r="D2146" s="7" t="s">
        <v>11081</v>
      </c>
      <c r="E2146" s="7" t="s">
        <v>143</v>
      </c>
      <c r="F2146" s="7" t="s">
        <v>6413</v>
      </c>
      <c r="G2146" s="7" t="s">
        <v>4310</v>
      </c>
      <c r="H2146" s="7" t="s">
        <v>146</v>
      </c>
      <c r="I2146" s="7" t="s">
        <v>11082</v>
      </c>
      <c r="J2146" s="7"/>
      <c r="K2146" s="7" t="s">
        <v>11083</v>
      </c>
    </row>
    <row r="2147" customFormat="false" ht="23.85" hidden="false" customHeight="false" outlineLevel="0" collapsed="false">
      <c r="A2147" s="7" t="n">
        <v>2146</v>
      </c>
      <c r="B2147" s="7" t="s">
        <v>11084</v>
      </c>
      <c r="C2147" s="7" t="n">
        <v>2024</v>
      </c>
      <c r="D2147" s="7" t="s">
        <v>11085</v>
      </c>
      <c r="E2147" s="7" t="s">
        <v>151</v>
      </c>
      <c r="F2147" s="7" t="s">
        <v>11086</v>
      </c>
      <c r="G2147" s="7" t="s">
        <v>11087</v>
      </c>
      <c r="H2147" s="7" t="s">
        <v>146</v>
      </c>
      <c r="I2147" s="7" t="s">
        <v>11088</v>
      </c>
      <c r="J2147" s="7"/>
      <c r="K2147" s="7" t="s">
        <v>11089</v>
      </c>
    </row>
    <row r="2148" customFormat="false" ht="35.05" hidden="false" customHeight="false" outlineLevel="0" collapsed="false">
      <c r="A2148" s="7" t="n">
        <v>2147</v>
      </c>
      <c r="B2148" s="7" t="s">
        <v>11090</v>
      </c>
      <c r="C2148" s="7" t="n">
        <v>2020</v>
      </c>
      <c r="D2148" s="7" t="s">
        <v>11091</v>
      </c>
      <c r="E2148" s="7" t="s">
        <v>201</v>
      </c>
      <c r="F2148" s="7" t="s">
        <v>11092</v>
      </c>
      <c r="G2148" s="7" t="s">
        <v>11093</v>
      </c>
      <c r="H2148" s="7" t="s">
        <v>11094</v>
      </c>
      <c r="I2148" s="7" t="s">
        <v>11095</v>
      </c>
      <c r="J2148" s="7"/>
      <c r="K2148" s="7" t="s">
        <v>11096</v>
      </c>
    </row>
    <row r="2149" customFormat="false" ht="35.05" hidden="false" customHeight="false" outlineLevel="0" collapsed="false">
      <c r="A2149" s="7" t="n">
        <v>2148</v>
      </c>
      <c r="B2149" s="7" t="s">
        <v>1476</v>
      </c>
      <c r="C2149" s="7" t="n">
        <v>2023</v>
      </c>
      <c r="D2149" s="7" t="s">
        <v>11097</v>
      </c>
      <c r="E2149" s="7" t="s">
        <v>201</v>
      </c>
      <c r="F2149" s="7" t="s">
        <v>11098</v>
      </c>
      <c r="G2149" s="7" t="s">
        <v>145</v>
      </c>
      <c r="H2149" s="7" t="s">
        <v>11094</v>
      </c>
      <c r="I2149" s="7" t="s">
        <v>11099</v>
      </c>
      <c r="J2149" s="7"/>
      <c r="K2149" s="7" t="s">
        <v>11100</v>
      </c>
    </row>
    <row r="2150" customFormat="false" ht="35.05" hidden="false" customHeight="false" outlineLevel="0" collapsed="false">
      <c r="A2150" s="7" t="n">
        <v>2149</v>
      </c>
      <c r="B2150" s="7" t="s">
        <v>11101</v>
      </c>
      <c r="C2150" s="7" t="n">
        <v>2024</v>
      </c>
      <c r="D2150" s="7" t="s">
        <v>11102</v>
      </c>
      <c r="E2150" s="7" t="s">
        <v>10672</v>
      </c>
      <c r="F2150" s="7" t="s">
        <v>11103</v>
      </c>
      <c r="G2150" s="7" t="s">
        <v>244</v>
      </c>
      <c r="H2150" s="7" t="s">
        <v>11094</v>
      </c>
      <c r="I2150" s="7" t="s">
        <v>11104</v>
      </c>
      <c r="J2150" s="7"/>
      <c r="K2150" s="7" t="s">
        <v>11105</v>
      </c>
    </row>
    <row r="2151" customFormat="false" ht="35.05" hidden="false" customHeight="false" outlineLevel="0" collapsed="false">
      <c r="A2151" s="7" t="n">
        <v>2150</v>
      </c>
      <c r="B2151" s="7" t="s">
        <v>11106</v>
      </c>
      <c r="C2151" s="7" t="n">
        <v>2023</v>
      </c>
      <c r="D2151" s="7" t="s">
        <v>11107</v>
      </c>
      <c r="E2151" s="7" t="s">
        <v>11108</v>
      </c>
      <c r="F2151" s="7" t="s">
        <v>11109</v>
      </c>
      <c r="G2151" s="7" t="s">
        <v>721</v>
      </c>
      <c r="H2151" s="7" t="s">
        <v>11094</v>
      </c>
      <c r="I2151" s="7" t="s">
        <v>11110</v>
      </c>
      <c r="J2151" s="7"/>
      <c r="K2151" s="7" t="s">
        <v>11111</v>
      </c>
    </row>
    <row r="2152" customFormat="false" ht="23.85" hidden="false" customHeight="false" outlineLevel="0" collapsed="false">
      <c r="A2152" s="7" t="n">
        <v>2151</v>
      </c>
      <c r="B2152" s="7" t="s">
        <v>11050</v>
      </c>
      <c r="C2152" s="7" t="n">
        <v>2025</v>
      </c>
      <c r="D2152" s="7" t="s">
        <v>11112</v>
      </c>
      <c r="E2152" s="7" t="s">
        <v>151</v>
      </c>
      <c r="F2152" s="7" t="s">
        <v>11113</v>
      </c>
      <c r="G2152" s="7" t="s">
        <v>11114</v>
      </c>
      <c r="H2152" s="7" t="s">
        <v>11094</v>
      </c>
      <c r="I2152" s="7" t="s">
        <v>11115</v>
      </c>
      <c r="J2152" s="7"/>
      <c r="K2152" s="7" t="s">
        <v>11116</v>
      </c>
    </row>
    <row r="2153" customFormat="false" ht="23.85" hidden="false" customHeight="false" outlineLevel="0" collapsed="false">
      <c r="A2153" s="7" t="n">
        <v>2152</v>
      </c>
      <c r="B2153" s="7" t="s">
        <v>11117</v>
      </c>
      <c r="C2153" s="7" t="n">
        <v>2025</v>
      </c>
      <c r="D2153" s="7" t="s">
        <v>11118</v>
      </c>
      <c r="E2153" s="7" t="s">
        <v>11108</v>
      </c>
      <c r="F2153" s="7" t="s">
        <v>11119</v>
      </c>
      <c r="G2153" s="7" t="s">
        <v>11120</v>
      </c>
      <c r="H2153" s="7" t="s">
        <v>11094</v>
      </c>
      <c r="I2153" s="7" t="s">
        <v>11121</v>
      </c>
      <c r="J2153" s="7"/>
      <c r="K2153" s="7" t="s">
        <v>11122</v>
      </c>
    </row>
    <row r="2154" customFormat="false" ht="23.85" hidden="false" customHeight="false" outlineLevel="0" collapsed="false">
      <c r="A2154" s="7" t="n">
        <v>2153</v>
      </c>
      <c r="B2154" s="7" t="s">
        <v>11123</v>
      </c>
      <c r="C2154" s="7" t="n">
        <v>2023</v>
      </c>
      <c r="D2154" s="7" t="s">
        <v>11124</v>
      </c>
      <c r="E2154" s="7" t="s">
        <v>11108</v>
      </c>
      <c r="F2154" s="7" t="s">
        <v>11125</v>
      </c>
      <c r="G2154" s="7" t="s">
        <v>244</v>
      </c>
      <c r="H2154" s="7" t="s">
        <v>146</v>
      </c>
      <c r="I2154" s="7" t="s">
        <v>11126</v>
      </c>
      <c r="J2154" s="7"/>
      <c r="K2154" s="7" t="s">
        <v>11127</v>
      </c>
    </row>
    <row r="2155" customFormat="false" ht="35.05" hidden="false" customHeight="false" outlineLevel="0" collapsed="false">
      <c r="A2155" s="7" t="n">
        <v>2154</v>
      </c>
      <c r="B2155" s="7" t="s">
        <v>11128</v>
      </c>
      <c r="C2155" s="7" t="n">
        <v>2022</v>
      </c>
      <c r="D2155" s="7" t="s">
        <v>11129</v>
      </c>
      <c r="E2155" s="7" t="s">
        <v>11014</v>
      </c>
      <c r="F2155" s="7" t="s">
        <v>11130</v>
      </c>
      <c r="G2155" s="7" t="s">
        <v>7666</v>
      </c>
      <c r="H2155" s="7" t="s">
        <v>146</v>
      </c>
      <c r="I2155" s="7" t="s">
        <v>11131</v>
      </c>
      <c r="J2155" s="7" t="s">
        <v>116</v>
      </c>
      <c r="K2155" s="7" t="s">
        <v>11132</v>
      </c>
    </row>
    <row r="2156" customFormat="false" ht="23.85" hidden="false" customHeight="false" outlineLevel="0" collapsed="false">
      <c r="A2156" s="7" t="n">
        <v>2155</v>
      </c>
      <c r="B2156" s="7" t="s">
        <v>11133</v>
      </c>
      <c r="C2156" s="7" t="n">
        <v>2018</v>
      </c>
      <c r="D2156" s="7" t="s">
        <v>11134</v>
      </c>
      <c r="E2156" s="7" t="s">
        <v>10512</v>
      </c>
      <c r="F2156" s="7" t="s">
        <v>11135</v>
      </c>
      <c r="G2156" s="7" t="s">
        <v>512</v>
      </c>
      <c r="H2156" s="7" t="s">
        <v>146</v>
      </c>
      <c r="I2156" s="7" t="s">
        <v>11136</v>
      </c>
      <c r="J2156" s="7" t="s">
        <v>114</v>
      </c>
      <c r="K2156" s="7" t="s">
        <v>11137</v>
      </c>
    </row>
    <row r="2157" customFormat="false" ht="35.05" hidden="false" customHeight="false" outlineLevel="0" collapsed="false">
      <c r="A2157" s="7" t="n">
        <v>2156</v>
      </c>
      <c r="B2157" s="7" t="s">
        <v>11138</v>
      </c>
      <c r="C2157" s="7" t="n">
        <v>2018</v>
      </c>
      <c r="D2157" s="7" t="s">
        <v>11139</v>
      </c>
      <c r="E2157" s="7" t="s">
        <v>10512</v>
      </c>
      <c r="F2157" s="7" t="s">
        <v>11140</v>
      </c>
      <c r="G2157" s="7" t="s">
        <v>145</v>
      </c>
      <c r="H2157" s="7" t="s">
        <v>146</v>
      </c>
      <c r="I2157" s="7" t="s">
        <v>11141</v>
      </c>
      <c r="J2157" s="7" t="s">
        <v>114</v>
      </c>
      <c r="K2157" s="7" t="s">
        <v>11142</v>
      </c>
    </row>
    <row r="2158" customFormat="false" ht="35.05" hidden="false" customHeight="false" outlineLevel="0" collapsed="false">
      <c r="A2158" s="7" t="n">
        <v>2157</v>
      </c>
      <c r="B2158" s="7" t="s">
        <v>11143</v>
      </c>
      <c r="C2158" s="7" t="n">
        <v>2024</v>
      </c>
      <c r="D2158" s="7" t="s">
        <v>11144</v>
      </c>
      <c r="E2158" s="7" t="s">
        <v>10512</v>
      </c>
      <c r="F2158" s="7" t="s">
        <v>11145</v>
      </c>
      <c r="G2158" s="7" t="s">
        <v>11146</v>
      </c>
      <c r="H2158" s="7" t="s">
        <v>146</v>
      </c>
      <c r="I2158" s="7" t="s">
        <v>11147</v>
      </c>
      <c r="J2158" s="7" t="s">
        <v>116</v>
      </c>
      <c r="K2158" s="7" t="s">
        <v>11148</v>
      </c>
    </row>
    <row r="2159" customFormat="false" ht="35.05" hidden="false" customHeight="false" outlineLevel="0" collapsed="false">
      <c r="A2159" s="7" t="n">
        <v>2158</v>
      </c>
      <c r="B2159" s="7" t="s">
        <v>11149</v>
      </c>
      <c r="C2159" s="7" t="n">
        <v>2022</v>
      </c>
      <c r="D2159" s="7" t="s">
        <v>11150</v>
      </c>
      <c r="E2159" s="7" t="s">
        <v>10512</v>
      </c>
      <c r="F2159" s="7" t="s">
        <v>11151</v>
      </c>
      <c r="G2159" s="7" t="s">
        <v>11152</v>
      </c>
      <c r="H2159" s="7" t="s">
        <v>146</v>
      </c>
      <c r="I2159" s="7" t="s">
        <v>11153</v>
      </c>
      <c r="J2159" s="7" t="s">
        <v>114</v>
      </c>
      <c r="K2159" s="7" t="s">
        <v>11154</v>
      </c>
    </row>
    <row r="2160" customFormat="false" ht="35.05" hidden="false" customHeight="false" outlineLevel="0" collapsed="false">
      <c r="A2160" s="7" t="n">
        <v>2159</v>
      </c>
      <c r="B2160" s="7" t="s">
        <v>11155</v>
      </c>
      <c r="C2160" s="7" t="n">
        <v>2024</v>
      </c>
      <c r="D2160" s="7" t="s">
        <v>11156</v>
      </c>
      <c r="E2160" s="7" t="s">
        <v>143</v>
      </c>
      <c r="F2160" s="7" t="s">
        <v>11157</v>
      </c>
      <c r="G2160" s="7" t="s">
        <v>11158</v>
      </c>
      <c r="H2160" s="7" t="s">
        <v>146</v>
      </c>
      <c r="I2160" s="7" t="s">
        <v>11159</v>
      </c>
      <c r="J2160" s="7" t="s">
        <v>116</v>
      </c>
      <c r="K2160" s="7" t="s">
        <v>11160</v>
      </c>
    </row>
    <row r="2161" customFormat="false" ht="35.05" hidden="false" customHeight="false" outlineLevel="0" collapsed="false">
      <c r="A2161" s="7" t="n">
        <v>2160</v>
      </c>
      <c r="B2161" s="7" t="s">
        <v>11161</v>
      </c>
      <c r="C2161" s="7" t="n">
        <v>2025</v>
      </c>
      <c r="D2161" s="7" t="s">
        <v>11162</v>
      </c>
      <c r="E2161" s="7" t="s">
        <v>587</v>
      </c>
      <c r="F2161" s="7" t="s">
        <v>11163</v>
      </c>
      <c r="G2161" s="7" t="s">
        <v>11158</v>
      </c>
      <c r="H2161" s="7" t="s">
        <v>146</v>
      </c>
      <c r="I2161" s="7" t="s">
        <v>11164</v>
      </c>
      <c r="J2161" s="7" t="s">
        <v>116</v>
      </c>
      <c r="K2161" s="7" t="s">
        <v>11165</v>
      </c>
    </row>
    <row r="2162" customFormat="false" ht="23.85" hidden="false" customHeight="false" outlineLevel="0" collapsed="false">
      <c r="A2162" s="7" t="n">
        <v>2161</v>
      </c>
      <c r="B2162" s="7" t="s">
        <v>11166</v>
      </c>
      <c r="C2162" s="7" t="n">
        <v>2024</v>
      </c>
      <c r="D2162" s="7" t="s">
        <v>11167</v>
      </c>
      <c r="E2162" s="7" t="s">
        <v>10512</v>
      </c>
      <c r="F2162" s="7" t="s">
        <v>11168</v>
      </c>
      <c r="G2162" s="7" t="s">
        <v>11158</v>
      </c>
      <c r="H2162" s="7" t="s">
        <v>146</v>
      </c>
      <c r="I2162" s="7" t="s">
        <v>11169</v>
      </c>
      <c r="J2162" s="7" t="s">
        <v>116</v>
      </c>
      <c r="K2162" s="7" t="s">
        <v>11170</v>
      </c>
    </row>
    <row r="2163" customFormat="false" ht="23.85" hidden="false" customHeight="false" outlineLevel="0" collapsed="false">
      <c r="A2163" s="7" t="n">
        <v>2162</v>
      </c>
      <c r="B2163" s="7" t="s">
        <v>11171</v>
      </c>
      <c r="C2163" s="7" t="n">
        <v>2023</v>
      </c>
      <c r="D2163" s="7" t="s">
        <v>11172</v>
      </c>
      <c r="E2163" s="7" t="s">
        <v>10652</v>
      </c>
      <c r="F2163" s="7" t="s">
        <v>11173</v>
      </c>
      <c r="G2163" s="7" t="s">
        <v>9323</v>
      </c>
      <c r="H2163" s="7" t="s">
        <v>146</v>
      </c>
      <c r="I2163" s="7" t="s">
        <v>11174</v>
      </c>
      <c r="J2163" s="7" t="s">
        <v>116</v>
      </c>
      <c r="K2163" s="7" t="s">
        <v>11175</v>
      </c>
    </row>
    <row r="2164" customFormat="false" ht="23.85" hidden="false" customHeight="false" outlineLevel="0" collapsed="false">
      <c r="A2164" s="7" t="n">
        <v>2163</v>
      </c>
      <c r="B2164" s="7" t="s">
        <v>11176</v>
      </c>
      <c r="C2164" s="7" t="n">
        <v>2019</v>
      </c>
      <c r="D2164" s="7" t="s">
        <v>11177</v>
      </c>
      <c r="E2164" s="7" t="s">
        <v>151</v>
      </c>
      <c r="F2164" s="7" t="s">
        <v>7634</v>
      </c>
      <c r="G2164" s="7" t="s">
        <v>145</v>
      </c>
      <c r="H2164" s="7" t="s">
        <v>146</v>
      </c>
      <c r="I2164" s="7" t="s">
        <v>11178</v>
      </c>
      <c r="J2164" s="7"/>
      <c r="K2164" s="7" t="s">
        <v>11179</v>
      </c>
    </row>
    <row r="2165" customFormat="false" ht="35.05" hidden="false" customHeight="false" outlineLevel="0" collapsed="false">
      <c r="A2165" s="7" t="n">
        <v>2164</v>
      </c>
      <c r="B2165" s="7" t="s">
        <v>8826</v>
      </c>
      <c r="C2165" s="7" t="n">
        <v>2023</v>
      </c>
      <c r="D2165" s="7" t="s">
        <v>11180</v>
      </c>
      <c r="E2165" s="7" t="s">
        <v>151</v>
      </c>
      <c r="F2165" s="7" t="s">
        <v>10915</v>
      </c>
      <c r="G2165" s="7" t="s">
        <v>145</v>
      </c>
      <c r="H2165" s="7" t="s">
        <v>146</v>
      </c>
      <c r="I2165" s="7" t="s">
        <v>11181</v>
      </c>
      <c r="J2165" s="7"/>
      <c r="K2165" s="7" t="s">
        <v>11182</v>
      </c>
    </row>
    <row r="2166" customFormat="false" ht="35.05" hidden="false" customHeight="false" outlineLevel="0" collapsed="false">
      <c r="A2166" s="7" t="n">
        <v>2165</v>
      </c>
      <c r="B2166" s="7" t="s">
        <v>11183</v>
      </c>
      <c r="C2166" s="7" t="n">
        <v>2021</v>
      </c>
      <c r="D2166" s="7" t="s">
        <v>11184</v>
      </c>
      <c r="E2166" s="7" t="s">
        <v>151</v>
      </c>
      <c r="F2166" s="7" t="s">
        <v>152</v>
      </c>
      <c r="G2166" s="7" t="s">
        <v>145</v>
      </c>
      <c r="H2166" s="7" t="s">
        <v>146</v>
      </c>
      <c r="I2166" s="7" t="s">
        <v>11185</v>
      </c>
      <c r="J2166" s="7"/>
      <c r="K2166" s="7" t="s">
        <v>11186</v>
      </c>
    </row>
    <row r="2167" customFormat="false" ht="23.85" hidden="false" customHeight="false" outlineLevel="0" collapsed="false">
      <c r="A2167" s="7" t="n">
        <v>2166</v>
      </c>
      <c r="B2167" s="7" t="s">
        <v>11187</v>
      </c>
      <c r="C2167" s="7" t="n">
        <v>2012</v>
      </c>
      <c r="D2167" s="7" t="s">
        <v>11188</v>
      </c>
      <c r="E2167" s="7" t="s">
        <v>11189</v>
      </c>
      <c r="F2167" s="7" t="s">
        <v>798</v>
      </c>
      <c r="G2167" s="7" t="s">
        <v>145</v>
      </c>
      <c r="H2167" s="7" t="s">
        <v>748</v>
      </c>
      <c r="I2167" s="7" t="s">
        <v>11190</v>
      </c>
      <c r="J2167" s="7"/>
      <c r="K2167" s="7" t="s">
        <v>11191</v>
      </c>
    </row>
    <row r="2168" customFormat="false" ht="35.05" hidden="false" customHeight="false" outlineLevel="0" collapsed="false">
      <c r="A2168" s="7" t="n">
        <v>2167</v>
      </c>
      <c r="B2168" s="7" t="s">
        <v>8826</v>
      </c>
      <c r="C2168" s="7" t="n">
        <v>2025</v>
      </c>
      <c r="D2168" s="7" t="s">
        <v>11192</v>
      </c>
      <c r="E2168" s="7" t="s">
        <v>151</v>
      </c>
      <c r="F2168" s="7" t="s">
        <v>11193</v>
      </c>
      <c r="G2168" s="7" t="s">
        <v>145</v>
      </c>
      <c r="H2168" s="7" t="s">
        <v>208</v>
      </c>
      <c r="I2168" s="7" t="s">
        <v>11194</v>
      </c>
      <c r="J2168" s="7"/>
      <c r="K2168" s="7" t="s">
        <v>11195</v>
      </c>
    </row>
    <row r="2169" customFormat="false" ht="23.85" hidden="false" customHeight="false" outlineLevel="0" collapsed="false">
      <c r="A2169" s="7" t="n">
        <v>2168</v>
      </c>
      <c r="B2169" s="7" t="s">
        <v>11196</v>
      </c>
      <c r="C2169" s="7" t="n">
        <v>2020</v>
      </c>
      <c r="D2169" s="7" t="s">
        <v>11197</v>
      </c>
      <c r="E2169" s="7" t="s">
        <v>3817</v>
      </c>
      <c r="F2169" s="7" t="s">
        <v>152</v>
      </c>
      <c r="G2169" s="7" t="s">
        <v>145</v>
      </c>
      <c r="H2169" s="7" t="s">
        <v>208</v>
      </c>
      <c r="I2169" s="7" t="s">
        <v>11198</v>
      </c>
      <c r="J2169" s="7"/>
      <c r="K2169" s="7" t="s">
        <v>11199</v>
      </c>
    </row>
    <row r="2170" customFormat="false" ht="35.05" hidden="false" customHeight="false" outlineLevel="0" collapsed="false">
      <c r="A2170" s="7" t="n">
        <v>2169</v>
      </c>
      <c r="B2170" s="7" t="s">
        <v>11200</v>
      </c>
      <c r="C2170" s="7" t="n">
        <v>2015</v>
      </c>
      <c r="D2170" s="7" t="s">
        <v>11201</v>
      </c>
      <c r="E2170" s="7" t="s">
        <v>11202</v>
      </c>
      <c r="F2170" s="7" t="s">
        <v>11203</v>
      </c>
      <c r="G2170" s="7" t="s">
        <v>181</v>
      </c>
      <c r="H2170" s="7" t="s">
        <v>146</v>
      </c>
      <c r="I2170" s="7" t="s">
        <v>11204</v>
      </c>
      <c r="J2170" s="7" t="s">
        <v>116</v>
      </c>
      <c r="K2170" s="7" t="s">
        <v>11205</v>
      </c>
    </row>
    <row r="2171" customFormat="false" ht="35.05" hidden="false" customHeight="false" outlineLevel="0" collapsed="false">
      <c r="A2171" s="7" t="n">
        <v>2170</v>
      </c>
      <c r="B2171" s="7" t="s">
        <v>11206</v>
      </c>
      <c r="C2171" s="7" t="n">
        <v>2024</v>
      </c>
      <c r="D2171" s="7" t="s">
        <v>11207</v>
      </c>
      <c r="E2171" s="7" t="s">
        <v>151</v>
      </c>
      <c r="F2171" s="7" t="s">
        <v>11208</v>
      </c>
      <c r="G2171" s="7" t="s">
        <v>11209</v>
      </c>
      <c r="H2171" s="7" t="s">
        <v>146</v>
      </c>
      <c r="I2171" s="7" t="s">
        <v>11210</v>
      </c>
      <c r="J2171" s="7"/>
      <c r="K2171" s="7" t="s">
        <v>11211</v>
      </c>
    </row>
    <row r="2172" customFormat="false" ht="23.85" hidden="false" customHeight="false" outlineLevel="0" collapsed="false">
      <c r="A2172" s="7" t="n">
        <v>2171</v>
      </c>
      <c r="B2172" s="7" t="s">
        <v>11212</v>
      </c>
      <c r="C2172" s="7" t="n">
        <v>2022</v>
      </c>
      <c r="D2172" s="7" t="s">
        <v>11213</v>
      </c>
      <c r="E2172" s="7" t="s">
        <v>151</v>
      </c>
      <c r="F2172" s="7" t="s">
        <v>11214</v>
      </c>
      <c r="G2172" s="7" t="s">
        <v>4711</v>
      </c>
      <c r="H2172" s="7" t="s">
        <v>146</v>
      </c>
      <c r="I2172" s="7" t="s">
        <v>11215</v>
      </c>
      <c r="J2172" s="7" t="s">
        <v>116</v>
      </c>
      <c r="K2172" s="7" t="s">
        <v>11216</v>
      </c>
    </row>
    <row r="2173" customFormat="false" ht="35.05" hidden="false" customHeight="false" outlineLevel="0" collapsed="false">
      <c r="A2173" s="7" t="n">
        <v>2172</v>
      </c>
      <c r="B2173" s="7" t="s">
        <v>11217</v>
      </c>
      <c r="C2173" s="7" t="n">
        <v>2024</v>
      </c>
      <c r="D2173" s="7" t="s">
        <v>11218</v>
      </c>
      <c r="E2173" s="7" t="s">
        <v>11219</v>
      </c>
      <c r="F2173" s="7" t="s">
        <v>11220</v>
      </c>
      <c r="G2173" s="7" t="s">
        <v>11221</v>
      </c>
      <c r="H2173" s="7" t="s">
        <v>146</v>
      </c>
      <c r="I2173" s="7" t="s">
        <v>11222</v>
      </c>
      <c r="J2173" s="7"/>
      <c r="K2173" s="7" t="s">
        <v>11223</v>
      </c>
    </row>
    <row r="2174" customFormat="false" ht="35.05" hidden="false" customHeight="false" outlineLevel="0" collapsed="false">
      <c r="A2174" s="7" t="n">
        <v>2173</v>
      </c>
      <c r="B2174" s="7" t="s">
        <v>2051</v>
      </c>
      <c r="C2174" s="7" t="n">
        <v>2020</v>
      </c>
      <c r="D2174" s="7" t="s">
        <v>11224</v>
      </c>
      <c r="E2174" s="7" t="s">
        <v>11225</v>
      </c>
      <c r="F2174" s="7" t="s">
        <v>11226</v>
      </c>
      <c r="G2174" s="7" t="s">
        <v>5238</v>
      </c>
      <c r="H2174" s="7" t="s">
        <v>146</v>
      </c>
      <c r="I2174" s="7" t="s">
        <v>11227</v>
      </c>
      <c r="J2174" s="7" t="s">
        <v>116</v>
      </c>
      <c r="K2174" s="7" t="s">
        <v>11228</v>
      </c>
    </row>
    <row r="2175" customFormat="false" ht="35.05" hidden="false" customHeight="false" outlineLevel="0" collapsed="false">
      <c r="A2175" s="7" t="n">
        <v>2174</v>
      </c>
      <c r="B2175" s="7" t="s">
        <v>11229</v>
      </c>
      <c r="C2175" s="7" t="n">
        <v>2022</v>
      </c>
      <c r="D2175" s="7" t="s">
        <v>11230</v>
      </c>
      <c r="E2175" s="7" t="s">
        <v>579</v>
      </c>
      <c r="F2175" s="7" t="s">
        <v>11231</v>
      </c>
      <c r="G2175" s="7" t="s">
        <v>11232</v>
      </c>
      <c r="H2175" s="7" t="s">
        <v>146</v>
      </c>
      <c r="I2175" s="7" t="s">
        <v>11233</v>
      </c>
      <c r="J2175" s="7" t="s">
        <v>116</v>
      </c>
      <c r="K2175" s="7" t="s">
        <v>11234</v>
      </c>
    </row>
    <row r="2176" customFormat="false" ht="23.85" hidden="false" customHeight="false" outlineLevel="0" collapsed="false">
      <c r="A2176" s="7" t="n">
        <v>2175</v>
      </c>
      <c r="B2176" s="7" t="s">
        <v>11235</v>
      </c>
      <c r="C2176" s="7" t="n">
        <v>2025</v>
      </c>
      <c r="D2176" s="7" t="s">
        <v>11236</v>
      </c>
      <c r="E2176" s="7" t="s">
        <v>151</v>
      </c>
      <c r="F2176" s="7" t="s">
        <v>11237</v>
      </c>
      <c r="G2176" s="7" t="s">
        <v>11238</v>
      </c>
      <c r="H2176" s="7" t="s">
        <v>146</v>
      </c>
      <c r="I2176" s="7" t="s">
        <v>11239</v>
      </c>
      <c r="J2176" s="7"/>
      <c r="K2176" s="7" t="s">
        <v>11240</v>
      </c>
    </row>
    <row r="2177" customFormat="false" ht="35.05" hidden="false" customHeight="false" outlineLevel="0" collapsed="false">
      <c r="A2177" s="7" t="n">
        <v>2176</v>
      </c>
      <c r="B2177" s="7" t="s">
        <v>11241</v>
      </c>
      <c r="C2177" s="7" t="n">
        <v>2021</v>
      </c>
      <c r="D2177" s="7" t="s">
        <v>11242</v>
      </c>
      <c r="E2177" s="7" t="s">
        <v>10672</v>
      </c>
      <c r="F2177" s="7" t="s">
        <v>11243</v>
      </c>
      <c r="G2177" s="7" t="s">
        <v>181</v>
      </c>
      <c r="H2177" s="7" t="s">
        <v>387</v>
      </c>
      <c r="I2177" s="7" t="s">
        <v>11244</v>
      </c>
      <c r="J2177" s="7"/>
      <c r="K2177" s="7" t="s">
        <v>11245</v>
      </c>
    </row>
    <row r="2178" customFormat="false" ht="35.05" hidden="false" customHeight="false" outlineLevel="0" collapsed="false">
      <c r="A2178" s="7" t="n">
        <v>2177</v>
      </c>
      <c r="B2178" s="7" t="s">
        <v>11246</v>
      </c>
      <c r="C2178" s="7" t="n">
        <v>2025</v>
      </c>
      <c r="D2178" s="7" t="s">
        <v>11247</v>
      </c>
      <c r="E2178" s="7" t="s">
        <v>201</v>
      </c>
      <c r="F2178" s="7" t="s">
        <v>11248</v>
      </c>
      <c r="G2178" s="7" t="s">
        <v>512</v>
      </c>
      <c r="H2178" s="7" t="s">
        <v>146</v>
      </c>
      <c r="I2178" s="7" t="s">
        <v>11249</v>
      </c>
      <c r="J2178" s="7"/>
      <c r="K2178" s="7" t="s">
        <v>11250</v>
      </c>
    </row>
    <row r="2179" customFormat="false" ht="23.85" hidden="false" customHeight="false" outlineLevel="0" collapsed="false">
      <c r="A2179" s="7" t="n">
        <v>2178</v>
      </c>
      <c r="B2179" s="7" t="s">
        <v>11251</v>
      </c>
      <c r="C2179" s="7" t="n">
        <v>2018</v>
      </c>
      <c r="D2179" s="7" t="s">
        <v>11252</v>
      </c>
      <c r="E2179" s="7" t="s">
        <v>201</v>
      </c>
      <c r="F2179" s="7" t="s">
        <v>11253</v>
      </c>
      <c r="G2179" s="7" t="s">
        <v>721</v>
      </c>
      <c r="H2179" s="7" t="s">
        <v>146</v>
      </c>
      <c r="I2179" s="7" t="s">
        <v>11254</v>
      </c>
      <c r="J2179" s="7"/>
      <c r="K2179" s="7" t="s">
        <v>11255</v>
      </c>
    </row>
    <row r="2180" customFormat="false" ht="35.05" hidden="false" customHeight="false" outlineLevel="0" collapsed="false">
      <c r="A2180" s="7" t="n">
        <v>2179</v>
      </c>
      <c r="B2180" s="7" t="s">
        <v>11235</v>
      </c>
      <c r="C2180" s="7" t="n">
        <v>2025</v>
      </c>
      <c r="D2180" s="7" t="s">
        <v>11256</v>
      </c>
      <c r="E2180" s="7" t="s">
        <v>151</v>
      </c>
      <c r="F2180" s="7" t="s">
        <v>11257</v>
      </c>
      <c r="G2180" s="7" t="s">
        <v>11258</v>
      </c>
      <c r="H2180" s="7" t="s">
        <v>146</v>
      </c>
      <c r="I2180" s="7" t="s">
        <v>11259</v>
      </c>
      <c r="J2180" s="7"/>
      <c r="K2180" s="7" t="s">
        <v>11260</v>
      </c>
    </row>
    <row r="2181" customFormat="false" ht="23.85" hidden="false" customHeight="false" outlineLevel="0" collapsed="false">
      <c r="A2181" s="7" t="n">
        <v>2180</v>
      </c>
      <c r="B2181" s="7" t="s">
        <v>11261</v>
      </c>
      <c r="C2181" s="7" t="n">
        <v>2024</v>
      </c>
      <c r="D2181" s="7" t="s">
        <v>11262</v>
      </c>
      <c r="E2181" s="7" t="s">
        <v>11263</v>
      </c>
      <c r="F2181" s="7" t="s">
        <v>11264</v>
      </c>
      <c r="G2181" s="7" t="s">
        <v>11265</v>
      </c>
      <c r="H2181" s="7" t="s">
        <v>208</v>
      </c>
      <c r="I2181" s="7" t="s">
        <v>11266</v>
      </c>
      <c r="J2181" s="7" t="s">
        <v>116</v>
      </c>
      <c r="K2181" s="7" t="s">
        <v>11267</v>
      </c>
    </row>
    <row r="2182" customFormat="false" ht="35.05" hidden="false" customHeight="false" outlineLevel="0" collapsed="false">
      <c r="A2182" s="7" t="n">
        <v>2181</v>
      </c>
      <c r="B2182" s="7" t="s">
        <v>11268</v>
      </c>
      <c r="C2182" s="7" t="n">
        <v>2024</v>
      </c>
      <c r="D2182" s="7" t="s">
        <v>11269</v>
      </c>
      <c r="E2182" s="7" t="s">
        <v>11270</v>
      </c>
      <c r="F2182" s="7" t="s">
        <v>798</v>
      </c>
      <c r="G2182" s="7" t="s">
        <v>145</v>
      </c>
      <c r="H2182" s="7" t="s">
        <v>208</v>
      </c>
      <c r="I2182" s="7" t="s">
        <v>11271</v>
      </c>
      <c r="J2182" s="7" t="s">
        <v>116</v>
      </c>
      <c r="K2182" s="7" t="s">
        <v>11272</v>
      </c>
    </row>
    <row r="2183" customFormat="false" ht="23.85" hidden="false" customHeight="false" outlineLevel="0" collapsed="false">
      <c r="A2183" s="7" t="n">
        <v>2182</v>
      </c>
      <c r="B2183" s="7" t="s">
        <v>11273</v>
      </c>
      <c r="C2183" s="7" t="n">
        <v>2024</v>
      </c>
      <c r="D2183" s="7" t="s">
        <v>11274</v>
      </c>
      <c r="E2183" s="7" t="s">
        <v>201</v>
      </c>
      <c r="F2183" s="7" t="s">
        <v>11275</v>
      </c>
      <c r="G2183" s="7" t="s">
        <v>11276</v>
      </c>
      <c r="H2183" s="7" t="s">
        <v>208</v>
      </c>
      <c r="I2183" s="7" t="s">
        <v>11277</v>
      </c>
      <c r="J2183" s="7" t="s">
        <v>116</v>
      </c>
      <c r="K2183" s="7" t="s">
        <v>11278</v>
      </c>
    </row>
    <row r="2184" customFormat="false" ht="35.05" hidden="false" customHeight="false" outlineLevel="0" collapsed="false">
      <c r="A2184" s="7" t="n">
        <v>2183</v>
      </c>
      <c r="B2184" s="7" t="s">
        <v>5984</v>
      </c>
      <c r="C2184" s="7" t="n">
        <v>2018</v>
      </c>
      <c r="D2184" s="7" t="s">
        <v>11279</v>
      </c>
      <c r="E2184" s="7" t="s">
        <v>10512</v>
      </c>
      <c r="F2184" s="7" t="s">
        <v>11280</v>
      </c>
      <c r="G2184" s="7" t="s">
        <v>11281</v>
      </c>
      <c r="H2184" s="7" t="s">
        <v>208</v>
      </c>
      <c r="I2184" s="7" t="s">
        <v>11282</v>
      </c>
      <c r="J2184" s="7" t="s">
        <v>116</v>
      </c>
      <c r="K2184" s="7" t="s">
        <v>11283</v>
      </c>
    </row>
    <row r="2185" customFormat="false" ht="23.85" hidden="false" customHeight="false" outlineLevel="0" collapsed="false">
      <c r="A2185" s="7" t="n">
        <v>2184</v>
      </c>
      <c r="B2185" s="7" t="s">
        <v>11206</v>
      </c>
      <c r="C2185" s="7" t="n">
        <v>2024</v>
      </c>
      <c r="D2185" s="7" t="s">
        <v>11284</v>
      </c>
      <c r="E2185" s="7" t="s">
        <v>151</v>
      </c>
      <c r="F2185" s="7" t="s">
        <v>11285</v>
      </c>
      <c r="G2185" s="7" t="s">
        <v>11286</v>
      </c>
      <c r="H2185" s="7" t="s">
        <v>208</v>
      </c>
      <c r="I2185" s="7" t="s">
        <v>11287</v>
      </c>
      <c r="J2185" s="7"/>
      <c r="K2185" s="7" t="s">
        <v>11288</v>
      </c>
    </row>
    <row r="2186" customFormat="false" ht="23.85" hidden="false" customHeight="false" outlineLevel="0" collapsed="false">
      <c r="A2186" s="7" t="n">
        <v>2185</v>
      </c>
      <c r="B2186" s="7" t="s">
        <v>11289</v>
      </c>
      <c r="C2186" s="7" t="n">
        <v>2024</v>
      </c>
      <c r="D2186" s="7" t="s">
        <v>11290</v>
      </c>
      <c r="E2186" s="7" t="s">
        <v>579</v>
      </c>
      <c r="F2186" s="7" t="s">
        <v>11264</v>
      </c>
      <c r="G2186" s="7" t="s">
        <v>2262</v>
      </c>
      <c r="H2186" s="7" t="s">
        <v>208</v>
      </c>
      <c r="I2186" s="7" t="s">
        <v>11291</v>
      </c>
      <c r="J2186" s="7" t="s">
        <v>116</v>
      </c>
      <c r="K2186" s="7" t="s">
        <v>11292</v>
      </c>
    </row>
    <row r="2187" customFormat="false" ht="23.85" hidden="false" customHeight="false" outlineLevel="0" collapsed="false">
      <c r="A2187" s="7" t="n">
        <v>2186</v>
      </c>
      <c r="B2187" s="7" t="s">
        <v>11293</v>
      </c>
      <c r="C2187" s="7" t="n">
        <v>2023</v>
      </c>
      <c r="D2187" s="7" t="s">
        <v>11294</v>
      </c>
      <c r="E2187" s="7" t="s">
        <v>151</v>
      </c>
      <c r="F2187" s="7" t="s">
        <v>11295</v>
      </c>
      <c r="G2187" s="7" t="s">
        <v>11296</v>
      </c>
      <c r="H2187" s="7" t="s">
        <v>208</v>
      </c>
      <c r="I2187" s="7" t="s">
        <v>11297</v>
      </c>
      <c r="J2187" s="7" t="s">
        <v>116</v>
      </c>
      <c r="K2187" s="7" t="s">
        <v>11298</v>
      </c>
    </row>
    <row r="2188" customFormat="false" ht="35.05" hidden="false" customHeight="false" outlineLevel="0" collapsed="false">
      <c r="A2188" s="7" t="n">
        <v>2187</v>
      </c>
      <c r="B2188" s="7" t="s">
        <v>11235</v>
      </c>
      <c r="C2188" s="7" t="n">
        <v>2025</v>
      </c>
      <c r="D2188" s="7" t="s">
        <v>11299</v>
      </c>
      <c r="E2188" s="7" t="s">
        <v>151</v>
      </c>
      <c r="F2188" s="7" t="s">
        <v>11086</v>
      </c>
      <c r="G2188" s="7" t="s">
        <v>11300</v>
      </c>
      <c r="H2188" s="7" t="s">
        <v>748</v>
      </c>
      <c r="I2188" s="7" t="s">
        <v>11301</v>
      </c>
      <c r="J2188" s="7"/>
      <c r="K2188" s="7" t="s">
        <v>11302</v>
      </c>
    </row>
    <row r="2189" customFormat="false" ht="35.05" hidden="false" customHeight="false" outlineLevel="0" collapsed="false">
      <c r="A2189" s="7" t="n">
        <v>2188</v>
      </c>
      <c r="B2189" s="7" t="s">
        <v>11303</v>
      </c>
      <c r="C2189" s="7" t="n">
        <v>2023</v>
      </c>
      <c r="D2189" s="7" t="s">
        <v>11304</v>
      </c>
      <c r="E2189" s="7" t="s">
        <v>10512</v>
      </c>
      <c r="F2189" s="7" t="s">
        <v>11305</v>
      </c>
      <c r="G2189" s="7" t="s">
        <v>11306</v>
      </c>
      <c r="H2189" s="7" t="s">
        <v>146</v>
      </c>
      <c r="I2189" s="7" t="s">
        <v>11307</v>
      </c>
      <c r="J2189" s="7" t="s">
        <v>114</v>
      </c>
      <c r="K2189" s="7" t="s">
        <v>11308</v>
      </c>
    </row>
    <row r="2190" customFormat="false" ht="35.05" hidden="false" customHeight="false" outlineLevel="0" collapsed="false">
      <c r="A2190" s="7" t="n">
        <v>2189</v>
      </c>
      <c r="B2190" s="7" t="s">
        <v>11309</v>
      </c>
      <c r="C2190" s="7" t="n">
        <v>2022</v>
      </c>
      <c r="D2190" s="7" t="s">
        <v>11310</v>
      </c>
      <c r="E2190" s="7" t="s">
        <v>10512</v>
      </c>
      <c r="F2190" s="7" t="s">
        <v>11311</v>
      </c>
      <c r="G2190" s="7" t="s">
        <v>11312</v>
      </c>
      <c r="H2190" s="7" t="s">
        <v>146</v>
      </c>
      <c r="I2190" s="7" t="s">
        <v>11313</v>
      </c>
      <c r="J2190" s="7" t="s">
        <v>116</v>
      </c>
      <c r="K2190" s="7" t="s">
        <v>11314</v>
      </c>
    </row>
    <row r="2191" customFormat="false" ht="35.05" hidden="false" customHeight="false" outlineLevel="0" collapsed="false">
      <c r="A2191" s="7" t="n">
        <v>2190</v>
      </c>
      <c r="B2191" s="7" t="s">
        <v>10945</v>
      </c>
      <c r="C2191" s="7" t="n">
        <v>2025</v>
      </c>
      <c r="D2191" s="7" t="s">
        <v>11315</v>
      </c>
      <c r="E2191" s="7" t="s">
        <v>10652</v>
      </c>
      <c r="F2191" s="7" t="s">
        <v>11316</v>
      </c>
      <c r="G2191" s="7" t="s">
        <v>11317</v>
      </c>
      <c r="H2191" s="7" t="s">
        <v>146</v>
      </c>
      <c r="I2191" s="7" t="s">
        <v>11318</v>
      </c>
      <c r="J2191" s="7" t="s">
        <v>116</v>
      </c>
      <c r="K2191" s="7" t="s">
        <v>11319</v>
      </c>
    </row>
    <row r="2192" customFormat="false" ht="35.05" hidden="false" customHeight="false" outlineLevel="0" collapsed="false">
      <c r="A2192" s="7" t="n">
        <v>2191</v>
      </c>
      <c r="B2192" s="7" t="s">
        <v>11320</v>
      </c>
      <c r="C2192" s="7" t="n">
        <v>2024</v>
      </c>
      <c r="D2192" s="7" t="s">
        <v>11321</v>
      </c>
      <c r="E2192" s="7" t="s">
        <v>143</v>
      </c>
      <c r="F2192" s="7" t="s">
        <v>11322</v>
      </c>
      <c r="G2192" s="7" t="s">
        <v>145</v>
      </c>
      <c r="H2192" s="7" t="s">
        <v>146</v>
      </c>
      <c r="I2192" s="7" t="s">
        <v>11323</v>
      </c>
      <c r="J2192" s="7"/>
      <c r="K2192" s="7" t="s">
        <v>11324</v>
      </c>
    </row>
    <row r="2193" customFormat="false" ht="35.05" hidden="false" customHeight="false" outlineLevel="0" collapsed="false">
      <c r="A2193" s="7" t="n">
        <v>2192</v>
      </c>
      <c r="B2193" s="7" t="s">
        <v>11325</v>
      </c>
      <c r="C2193" s="7" t="n">
        <v>2021</v>
      </c>
      <c r="D2193" s="7" t="s">
        <v>11326</v>
      </c>
      <c r="E2193" s="7" t="s">
        <v>1645</v>
      </c>
      <c r="F2193" s="7" t="s">
        <v>11327</v>
      </c>
      <c r="G2193" s="7" t="s">
        <v>11328</v>
      </c>
      <c r="H2193" s="7" t="s">
        <v>208</v>
      </c>
      <c r="I2193" s="7" t="s">
        <v>11329</v>
      </c>
      <c r="J2193" s="7"/>
      <c r="K2193" s="7" t="s">
        <v>11330</v>
      </c>
    </row>
    <row r="2194" customFormat="false" ht="35.05" hidden="false" customHeight="false" outlineLevel="0" collapsed="false">
      <c r="A2194" s="7" t="n">
        <v>2193</v>
      </c>
      <c r="B2194" s="7" t="s">
        <v>11331</v>
      </c>
      <c r="C2194" s="7" t="n">
        <v>2025</v>
      </c>
      <c r="D2194" s="7" t="s">
        <v>11332</v>
      </c>
      <c r="E2194" s="7" t="s">
        <v>11202</v>
      </c>
      <c r="F2194" s="7" t="s">
        <v>213</v>
      </c>
      <c r="G2194" s="7" t="s">
        <v>145</v>
      </c>
      <c r="H2194" s="7" t="s">
        <v>748</v>
      </c>
      <c r="I2194" s="7" t="s">
        <v>11333</v>
      </c>
      <c r="J2194" s="7"/>
      <c r="K2194" s="7" t="s">
        <v>11334</v>
      </c>
    </row>
    <row r="2195" customFormat="false" ht="23.85" hidden="false" customHeight="false" outlineLevel="0" collapsed="false">
      <c r="A2195" s="7" t="n">
        <v>2194</v>
      </c>
      <c r="B2195" s="7" t="s">
        <v>11335</v>
      </c>
      <c r="C2195" s="7" t="n">
        <v>2024</v>
      </c>
      <c r="D2195" s="7" t="s">
        <v>11336</v>
      </c>
      <c r="E2195" s="7" t="s">
        <v>11337</v>
      </c>
      <c r="F2195" s="7" t="s">
        <v>11077</v>
      </c>
      <c r="G2195" s="7" t="s">
        <v>145</v>
      </c>
      <c r="H2195" s="7" t="s">
        <v>387</v>
      </c>
      <c r="I2195" s="7" t="s">
        <v>11338</v>
      </c>
      <c r="J2195" s="7" t="s">
        <v>116</v>
      </c>
      <c r="K2195" s="7" t="s">
        <v>11339</v>
      </c>
    </row>
    <row r="2196" customFormat="false" ht="35.05" hidden="false" customHeight="false" outlineLevel="0" collapsed="false">
      <c r="A2196" s="7" t="n">
        <v>2195</v>
      </c>
      <c r="B2196" s="7" t="s">
        <v>11340</v>
      </c>
      <c r="C2196" s="7" t="n">
        <v>2023</v>
      </c>
      <c r="D2196" s="7" t="s">
        <v>11341</v>
      </c>
      <c r="E2196" s="7" t="s">
        <v>201</v>
      </c>
      <c r="F2196" s="7" t="s">
        <v>11342</v>
      </c>
      <c r="G2196" s="7" t="s">
        <v>145</v>
      </c>
      <c r="H2196" s="7" t="s">
        <v>146</v>
      </c>
      <c r="I2196" s="7" t="s">
        <v>11343</v>
      </c>
      <c r="J2196" s="7"/>
      <c r="K2196" s="7" t="s">
        <v>11344</v>
      </c>
    </row>
    <row r="2197" customFormat="false" ht="23.85" hidden="false" customHeight="false" outlineLevel="0" collapsed="false">
      <c r="A2197" s="7" t="n">
        <v>2196</v>
      </c>
      <c r="B2197" s="7" t="s">
        <v>11345</v>
      </c>
      <c r="C2197" s="7" t="n">
        <v>2023</v>
      </c>
      <c r="D2197" s="7" t="s">
        <v>11346</v>
      </c>
      <c r="E2197" s="7" t="s">
        <v>151</v>
      </c>
      <c r="F2197" s="7" t="s">
        <v>11347</v>
      </c>
      <c r="G2197" s="7" t="s">
        <v>11348</v>
      </c>
      <c r="H2197" s="7" t="s">
        <v>146</v>
      </c>
      <c r="I2197" s="7" t="s">
        <v>11349</v>
      </c>
      <c r="J2197" s="7"/>
      <c r="K2197" s="7" t="s">
        <v>11350</v>
      </c>
    </row>
    <row r="2198" customFormat="false" ht="35.05" hidden="false" customHeight="false" outlineLevel="0" collapsed="false">
      <c r="A2198" s="7" t="n">
        <v>2197</v>
      </c>
      <c r="B2198" s="7" t="s">
        <v>11351</v>
      </c>
      <c r="C2198" s="7" t="n">
        <v>2019</v>
      </c>
      <c r="D2198" s="7" t="s">
        <v>11352</v>
      </c>
      <c r="E2198" s="7" t="s">
        <v>10672</v>
      </c>
      <c r="F2198" s="7" t="s">
        <v>11353</v>
      </c>
      <c r="G2198" s="7" t="s">
        <v>327</v>
      </c>
      <c r="H2198" s="7" t="s">
        <v>146</v>
      </c>
      <c r="I2198" s="7" t="s">
        <v>11354</v>
      </c>
      <c r="J2198" s="7"/>
      <c r="K2198" s="7" t="s">
        <v>11355</v>
      </c>
    </row>
    <row r="2199" customFormat="false" ht="35.05" hidden="false" customHeight="false" outlineLevel="0" collapsed="false">
      <c r="A2199" s="7" t="n">
        <v>2198</v>
      </c>
      <c r="B2199" s="7" t="s">
        <v>11356</v>
      </c>
      <c r="C2199" s="7" t="n">
        <v>2015</v>
      </c>
      <c r="D2199" s="7" t="s">
        <v>11357</v>
      </c>
      <c r="E2199" s="7" t="s">
        <v>11358</v>
      </c>
      <c r="F2199" s="7" t="s">
        <v>11359</v>
      </c>
      <c r="G2199" s="7" t="s">
        <v>145</v>
      </c>
      <c r="H2199" s="7" t="s">
        <v>208</v>
      </c>
      <c r="I2199" s="7" t="s">
        <v>11360</v>
      </c>
      <c r="J2199" s="7"/>
      <c r="K2199" s="7" t="s">
        <v>11361</v>
      </c>
    </row>
    <row r="2200" customFormat="false" ht="23.85" hidden="false" customHeight="false" outlineLevel="0" collapsed="false">
      <c r="A2200" s="7" t="n">
        <v>2199</v>
      </c>
      <c r="B2200" s="7" t="s">
        <v>11362</v>
      </c>
      <c r="C2200" s="7" t="n">
        <v>2020</v>
      </c>
      <c r="D2200" s="7" t="s">
        <v>11363</v>
      </c>
      <c r="E2200" s="7" t="s">
        <v>10512</v>
      </c>
      <c r="F2200" s="7" t="s">
        <v>11364</v>
      </c>
      <c r="G2200" s="7" t="s">
        <v>181</v>
      </c>
      <c r="H2200" s="7" t="s">
        <v>146</v>
      </c>
      <c r="I2200" s="7" t="s">
        <v>11365</v>
      </c>
      <c r="J2200" s="7"/>
      <c r="K2200" s="7" t="s">
        <v>11366</v>
      </c>
    </row>
    <row r="2201" customFormat="false" ht="35.05" hidden="false" customHeight="false" outlineLevel="0" collapsed="false">
      <c r="A2201" s="7" t="n">
        <v>2200</v>
      </c>
      <c r="B2201" s="7" t="s">
        <v>11367</v>
      </c>
      <c r="C2201" s="7" t="n">
        <v>2021</v>
      </c>
      <c r="D2201" s="7" t="s">
        <v>11368</v>
      </c>
      <c r="E2201" s="7" t="s">
        <v>143</v>
      </c>
      <c r="F2201" s="7" t="s">
        <v>11369</v>
      </c>
      <c r="G2201" s="7" t="s">
        <v>4711</v>
      </c>
      <c r="H2201" s="7" t="s">
        <v>146</v>
      </c>
      <c r="I2201" s="7" t="s">
        <v>11370</v>
      </c>
      <c r="J2201" s="7"/>
      <c r="K2201" s="7" t="s">
        <v>11371</v>
      </c>
    </row>
    <row r="2202" customFormat="false" ht="35.05" hidden="false" customHeight="false" outlineLevel="0" collapsed="false">
      <c r="A2202" s="7" t="n">
        <v>2201</v>
      </c>
      <c r="B2202" s="7" t="s">
        <v>11372</v>
      </c>
      <c r="C2202" s="7" t="n">
        <v>2021</v>
      </c>
      <c r="D2202" s="7" t="s">
        <v>11373</v>
      </c>
      <c r="E2202" s="7" t="s">
        <v>201</v>
      </c>
      <c r="F2202" s="7" t="s">
        <v>1424</v>
      </c>
      <c r="G2202" s="7" t="s">
        <v>145</v>
      </c>
      <c r="H2202" s="7" t="s">
        <v>146</v>
      </c>
      <c r="I2202" s="7" t="s">
        <v>11374</v>
      </c>
      <c r="J2202" s="7"/>
      <c r="K2202" s="7" t="s">
        <v>11375</v>
      </c>
    </row>
    <row r="2203" customFormat="false" ht="23.85" hidden="false" customHeight="false" outlineLevel="0" collapsed="false">
      <c r="A2203" s="7" t="n">
        <v>2202</v>
      </c>
      <c r="B2203" s="7" t="s">
        <v>11376</v>
      </c>
      <c r="C2203" s="7" t="n">
        <v>2022</v>
      </c>
      <c r="D2203" s="7" t="s">
        <v>11377</v>
      </c>
      <c r="E2203" s="7" t="s">
        <v>143</v>
      </c>
      <c r="F2203" s="7" t="s">
        <v>11378</v>
      </c>
      <c r="G2203" s="7" t="s">
        <v>145</v>
      </c>
      <c r="H2203" s="7" t="s">
        <v>146</v>
      </c>
      <c r="I2203" s="7" t="s">
        <v>11379</v>
      </c>
      <c r="J2203" s="7"/>
      <c r="K2203" s="7" t="s">
        <v>11380</v>
      </c>
    </row>
    <row r="2204" customFormat="false" ht="23.85" hidden="false" customHeight="false" outlineLevel="0" collapsed="false">
      <c r="A2204" s="7" t="n">
        <v>2203</v>
      </c>
      <c r="B2204" s="7" t="s">
        <v>11381</v>
      </c>
      <c r="C2204" s="7" t="n">
        <v>2017</v>
      </c>
      <c r="D2204" s="7" t="s">
        <v>11382</v>
      </c>
      <c r="E2204" s="7" t="s">
        <v>4040</v>
      </c>
      <c r="F2204" s="7" t="s">
        <v>11383</v>
      </c>
      <c r="G2204" s="7" t="s">
        <v>7146</v>
      </c>
      <c r="H2204" s="7" t="s">
        <v>146</v>
      </c>
      <c r="I2204" s="7" t="s">
        <v>11384</v>
      </c>
      <c r="J2204" s="7"/>
      <c r="K2204" s="7" t="s">
        <v>11385</v>
      </c>
    </row>
    <row r="2205" customFormat="false" ht="35.05" hidden="false" customHeight="false" outlineLevel="0" collapsed="false">
      <c r="A2205" s="7" t="n">
        <v>2204</v>
      </c>
      <c r="B2205" s="7" t="s">
        <v>11386</v>
      </c>
      <c r="C2205" s="7"/>
      <c r="D2205" s="7" t="s">
        <v>11388</v>
      </c>
      <c r="E2205" s="7" t="s">
        <v>11108</v>
      </c>
      <c r="F2205" s="7" t="s">
        <v>11389</v>
      </c>
      <c r="G2205" s="7" t="s">
        <v>181</v>
      </c>
      <c r="H2205" s="7" t="s">
        <v>146</v>
      </c>
      <c r="I2205" s="7" t="s">
        <v>11390</v>
      </c>
      <c r="J2205" s="7" t="s">
        <v>114</v>
      </c>
      <c r="K2205" s="7" t="s">
        <v>11391</v>
      </c>
    </row>
    <row r="2206" customFormat="false" ht="35.05" hidden="false" customHeight="false" outlineLevel="0" collapsed="false">
      <c r="A2206" s="7" t="n">
        <v>2205</v>
      </c>
      <c r="B2206" s="7" t="s">
        <v>11392</v>
      </c>
      <c r="C2206" s="7" t="n">
        <v>2025</v>
      </c>
      <c r="D2206" s="7" t="s">
        <v>11393</v>
      </c>
      <c r="E2206" s="7" t="s">
        <v>4040</v>
      </c>
      <c r="F2206" s="7" t="s">
        <v>11046</v>
      </c>
      <c r="G2206" s="7" t="s">
        <v>145</v>
      </c>
      <c r="H2206" s="7" t="s">
        <v>146</v>
      </c>
      <c r="I2206" s="7" t="s">
        <v>11394</v>
      </c>
      <c r="J2206" s="7"/>
      <c r="K2206" s="7" t="s">
        <v>11395</v>
      </c>
    </row>
    <row r="2207" customFormat="false" ht="35.05" hidden="false" customHeight="false" outlineLevel="0" collapsed="false">
      <c r="A2207" s="7" t="n">
        <v>2206</v>
      </c>
      <c r="B2207" s="7" t="s">
        <v>2603</v>
      </c>
      <c r="C2207" s="7" t="n">
        <v>2024</v>
      </c>
      <c r="D2207" s="7" t="s">
        <v>11396</v>
      </c>
      <c r="E2207" s="7" t="s">
        <v>151</v>
      </c>
      <c r="F2207" s="7" t="s">
        <v>11397</v>
      </c>
      <c r="G2207" s="7" t="s">
        <v>145</v>
      </c>
      <c r="H2207" s="7" t="s">
        <v>146</v>
      </c>
      <c r="I2207" s="7" t="s">
        <v>11398</v>
      </c>
      <c r="J2207" s="7"/>
      <c r="K2207" s="7" t="s">
        <v>11399</v>
      </c>
    </row>
    <row r="2208" customFormat="false" ht="23.85" hidden="false" customHeight="false" outlineLevel="0" collapsed="false">
      <c r="A2208" s="7" t="n">
        <v>2207</v>
      </c>
      <c r="B2208" s="7" t="s">
        <v>11400</v>
      </c>
      <c r="C2208" s="7" t="n">
        <v>2024</v>
      </c>
      <c r="D2208" s="7" t="s">
        <v>11401</v>
      </c>
      <c r="E2208" s="7" t="s">
        <v>201</v>
      </c>
      <c r="F2208" s="7" t="s">
        <v>11402</v>
      </c>
      <c r="G2208" s="7" t="s">
        <v>145</v>
      </c>
      <c r="H2208" s="7" t="s">
        <v>748</v>
      </c>
      <c r="I2208" s="7" t="s">
        <v>11403</v>
      </c>
      <c r="J2208" s="7"/>
      <c r="K2208" s="7" t="s">
        <v>11404</v>
      </c>
    </row>
    <row r="2209" customFormat="false" ht="35.05" hidden="false" customHeight="false" outlineLevel="0" collapsed="false">
      <c r="A2209" s="7" t="n">
        <v>2208</v>
      </c>
      <c r="B2209" s="7" t="s">
        <v>11405</v>
      </c>
      <c r="C2209" s="7" t="n">
        <v>2022</v>
      </c>
      <c r="D2209" s="7" t="s">
        <v>11406</v>
      </c>
      <c r="E2209" s="7" t="s">
        <v>11407</v>
      </c>
      <c r="F2209" s="7" t="s">
        <v>1080</v>
      </c>
      <c r="G2209" s="7" t="s">
        <v>145</v>
      </c>
      <c r="H2209" s="7" t="s">
        <v>146</v>
      </c>
      <c r="I2209" s="7" t="s">
        <v>11408</v>
      </c>
      <c r="J2209" s="7"/>
      <c r="K2209" s="7" t="s">
        <v>11409</v>
      </c>
    </row>
    <row r="2210" customFormat="false" ht="35.05" hidden="false" customHeight="false" outlineLevel="0" collapsed="false">
      <c r="A2210" s="7" t="n">
        <v>2209</v>
      </c>
      <c r="B2210" s="7" t="s">
        <v>11410</v>
      </c>
      <c r="C2210" s="7" t="n">
        <v>2017</v>
      </c>
      <c r="D2210" s="7" t="s">
        <v>11411</v>
      </c>
      <c r="E2210" s="7" t="s">
        <v>151</v>
      </c>
      <c r="F2210" s="7" t="s">
        <v>572</v>
      </c>
      <c r="G2210" s="7" t="s">
        <v>11412</v>
      </c>
      <c r="H2210" s="7" t="s">
        <v>146</v>
      </c>
      <c r="I2210" s="7" t="s">
        <v>11413</v>
      </c>
      <c r="J2210" s="7" t="s">
        <v>114</v>
      </c>
      <c r="K2210" s="7" t="s">
        <v>11414</v>
      </c>
    </row>
    <row r="2211" customFormat="false" ht="57.45" hidden="false" customHeight="false" outlineLevel="0" collapsed="false">
      <c r="A2211" s="7" t="n">
        <v>2210</v>
      </c>
      <c r="B2211" s="7" t="s">
        <v>1940</v>
      </c>
      <c r="C2211" s="7" t="n">
        <v>2024</v>
      </c>
      <c r="D2211" s="7" t="s">
        <v>11415</v>
      </c>
      <c r="E2211" s="7" t="s">
        <v>15838</v>
      </c>
      <c r="F2211" s="7" t="s">
        <v>15839</v>
      </c>
      <c r="G2211" s="7" t="s">
        <v>1213</v>
      </c>
      <c r="H2211" s="7" t="s">
        <v>146</v>
      </c>
      <c r="I2211" s="7" t="s">
        <v>15840</v>
      </c>
      <c r="J2211" s="7" t="s">
        <v>112</v>
      </c>
      <c r="K2211" s="7" t="s">
        <v>15841</v>
      </c>
    </row>
    <row r="2212" customFormat="false" ht="35.05" hidden="false" customHeight="false" outlineLevel="0" collapsed="false">
      <c r="A2212" s="7" t="n">
        <v>2211</v>
      </c>
      <c r="B2212" s="7" t="s">
        <v>3243</v>
      </c>
      <c r="C2212" s="7" t="n">
        <v>2024</v>
      </c>
      <c r="D2212" s="7" t="s">
        <v>11421</v>
      </c>
      <c r="E2212" s="7" t="s">
        <v>201</v>
      </c>
      <c r="F2212" s="7" t="s">
        <v>11422</v>
      </c>
      <c r="G2212" s="7" t="s">
        <v>11423</v>
      </c>
      <c r="H2212" s="7" t="s">
        <v>208</v>
      </c>
      <c r="I2212" s="7" t="s">
        <v>11424</v>
      </c>
      <c r="J2212" s="7" t="s">
        <v>116</v>
      </c>
      <c r="K2212" s="7" t="s">
        <v>11425</v>
      </c>
    </row>
    <row r="2213" customFormat="false" ht="35.05" hidden="false" customHeight="false" outlineLevel="0" collapsed="false">
      <c r="A2213" s="7" t="n">
        <v>2212</v>
      </c>
      <c r="B2213" s="7" t="s">
        <v>11071</v>
      </c>
      <c r="C2213" s="7" t="n">
        <v>2024</v>
      </c>
      <c r="D2213" s="7" t="s">
        <v>11426</v>
      </c>
      <c r="E2213" s="7" t="s">
        <v>151</v>
      </c>
      <c r="F2213" s="7" t="s">
        <v>11427</v>
      </c>
      <c r="G2213" s="7" t="s">
        <v>11428</v>
      </c>
      <c r="H2213" s="7" t="s">
        <v>208</v>
      </c>
      <c r="I2213" s="7" t="s">
        <v>11429</v>
      </c>
      <c r="J2213" s="7"/>
      <c r="K2213" s="7" t="s">
        <v>11430</v>
      </c>
    </row>
    <row r="2214" customFormat="false" ht="35.05" hidden="false" customHeight="false" outlineLevel="0" collapsed="false">
      <c r="A2214" s="7" t="n">
        <v>2213</v>
      </c>
      <c r="B2214" s="7" t="s">
        <v>11431</v>
      </c>
      <c r="C2214" s="7" t="n">
        <v>2024</v>
      </c>
      <c r="D2214" s="7" t="s">
        <v>11432</v>
      </c>
      <c r="E2214" s="7" t="s">
        <v>151</v>
      </c>
      <c r="F2214" s="7" t="s">
        <v>11433</v>
      </c>
      <c r="G2214" s="7" t="s">
        <v>145</v>
      </c>
      <c r="H2214" s="7" t="s">
        <v>146</v>
      </c>
      <c r="I2214" s="7" t="s">
        <v>11434</v>
      </c>
      <c r="J2214" s="7"/>
      <c r="K2214" s="7" t="s">
        <v>11435</v>
      </c>
    </row>
    <row r="2215" customFormat="false" ht="23.85" hidden="false" customHeight="false" outlineLevel="0" collapsed="false">
      <c r="A2215" s="7" t="n">
        <v>2214</v>
      </c>
      <c r="B2215" s="7" t="s">
        <v>11436</v>
      </c>
      <c r="C2215" s="7" t="n">
        <v>2021</v>
      </c>
      <c r="D2215" s="7" t="s">
        <v>11437</v>
      </c>
      <c r="E2215" s="7" t="s">
        <v>11014</v>
      </c>
      <c r="F2215" s="7" t="s">
        <v>11438</v>
      </c>
      <c r="G2215" s="7" t="s">
        <v>11439</v>
      </c>
      <c r="H2215" s="7" t="s">
        <v>146</v>
      </c>
      <c r="I2215" s="7" t="s">
        <v>11440</v>
      </c>
      <c r="J2215" s="7"/>
      <c r="K2215" s="7" t="s">
        <v>11441</v>
      </c>
    </row>
    <row r="2216" customFormat="false" ht="23.85" hidden="false" customHeight="false" outlineLevel="0" collapsed="false">
      <c r="A2216" s="7" t="n">
        <v>2215</v>
      </c>
      <c r="B2216" s="7" t="s">
        <v>11084</v>
      </c>
      <c r="C2216" s="7" t="n">
        <v>2025</v>
      </c>
      <c r="D2216" s="7" t="s">
        <v>11442</v>
      </c>
      <c r="E2216" s="7" t="s">
        <v>151</v>
      </c>
      <c r="F2216" s="7" t="s">
        <v>11443</v>
      </c>
      <c r="G2216" s="7" t="s">
        <v>11444</v>
      </c>
      <c r="H2216" s="7" t="s">
        <v>146</v>
      </c>
      <c r="I2216" s="7" t="s">
        <v>11445</v>
      </c>
      <c r="J2216" s="7"/>
      <c r="K2216" s="7" t="s">
        <v>11446</v>
      </c>
    </row>
    <row r="2217" customFormat="false" ht="23.85" hidden="false" customHeight="false" outlineLevel="0" collapsed="false">
      <c r="A2217" s="7" t="n">
        <v>2216</v>
      </c>
      <c r="B2217" s="7" t="s">
        <v>11447</v>
      </c>
      <c r="C2217" s="7" t="n">
        <v>2024</v>
      </c>
      <c r="D2217" s="7" t="s">
        <v>11448</v>
      </c>
      <c r="E2217" s="7" t="s">
        <v>151</v>
      </c>
      <c r="F2217" s="7" t="s">
        <v>11449</v>
      </c>
      <c r="G2217" s="7" t="s">
        <v>11450</v>
      </c>
      <c r="H2217" s="7" t="s">
        <v>387</v>
      </c>
      <c r="I2217" s="7" t="s">
        <v>11451</v>
      </c>
      <c r="J2217" s="7"/>
      <c r="K2217" s="7" t="s">
        <v>11452</v>
      </c>
    </row>
    <row r="2218" customFormat="false" ht="35.05" hidden="false" customHeight="false" outlineLevel="0" collapsed="false">
      <c r="A2218" s="7" t="n">
        <v>2217</v>
      </c>
      <c r="B2218" s="7" t="s">
        <v>1476</v>
      </c>
      <c r="C2218" s="7" t="n">
        <v>2024</v>
      </c>
      <c r="D2218" s="7" t="s">
        <v>11453</v>
      </c>
      <c r="E2218" s="7" t="s">
        <v>11108</v>
      </c>
      <c r="F2218" s="7" t="s">
        <v>11454</v>
      </c>
      <c r="G2218" s="7" t="s">
        <v>11455</v>
      </c>
      <c r="H2218" s="7" t="s">
        <v>146</v>
      </c>
      <c r="I2218" s="7" t="s">
        <v>11456</v>
      </c>
      <c r="J2218" s="7"/>
      <c r="K2218" s="7" t="s">
        <v>11457</v>
      </c>
    </row>
    <row r="2219" customFormat="false" ht="35.05" hidden="false" customHeight="false" outlineLevel="0" collapsed="false">
      <c r="A2219" s="7" t="n">
        <v>2218</v>
      </c>
      <c r="B2219" s="7" t="s">
        <v>11458</v>
      </c>
      <c r="C2219" s="7" t="n">
        <v>2024</v>
      </c>
      <c r="D2219" s="7" t="s">
        <v>11459</v>
      </c>
      <c r="E2219" s="7" t="s">
        <v>11108</v>
      </c>
      <c r="F2219" s="7" t="s">
        <v>11460</v>
      </c>
      <c r="G2219" s="7" t="s">
        <v>5455</v>
      </c>
      <c r="H2219" s="7" t="s">
        <v>146</v>
      </c>
      <c r="I2219" s="7" t="s">
        <v>11461</v>
      </c>
      <c r="J2219" s="7"/>
      <c r="K2219" s="7" t="s">
        <v>11462</v>
      </c>
    </row>
    <row r="2220" customFormat="false" ht="35.05" hidden="false" customHeight="false" outlineLevel="0" collapsed="false">
      <c r="A2220" s="7" t="n">
        <v>2219</v>
      </c>
      <c r="B2220" s="7" t="s">
        <v>11463</v>
      </c>
      <c r="C2220" s="7" t="n">
        <v>2023</v>
      </c>
      <c r="D2220" s="7" t="s">
        <v>11464</v>
      </c>
      <c r="E2220" s="7" t="s">
        <v>9198</v>
      </c>
      <c r="F2220" s="7" t="s">
        <v>11465</v>
      </c>
      <c r="G2220" s="7" t="s">
        <v>145</v>
      </c>
      <c r="H2220" s="7" t="s">
        <v>146</v>
      </c>
      <c r="I2220" s="7" t="s">
        <v>11466</v>
      </c>
      <c r="J2220" s="7"/>
      <c r="K2220" s="7" t="s">
        <v>11467</v>
      </c>
    </row>
    <row r="2221" customFormat="false" ht="23.85" hidden="false" customHeight="false" outlineLevel="0" collapsed="false">
      <c r="A2221" s="7" t="n">
        <v>2220</v>
      </c>
      <c r="B2221" s="7" t="s">
        <v>11056</v>
      </c>
      <c r="C2221" s="7"/>
      <c r="D2221" s="7" t="s">
        <v>11468</v>
      </c>
      <c r="E2221" s="7" t="s">
        <v>143</v>
      </c>
      <c r="F2221" s="7" t="s">
        <v>11469</v>
      </c>
      <c r="G2221" s="7" t="s">
        <v>4711</v>
      </c>
      <c r="H2221" s="7" t="s">
        <v>146</v>
      </c>
      <c r="I2221" s="7" t="s">
        <v>11470</v>
      </c>
      <c r="J2221" s="7" t="s">
        <v>116</v>
      </c>
      <c r="K2221" s="7" t="s">
        <v>11471</v>
      </c>
    </row>
    <row r="2222" customFormat="false" ht="35.05" hidden="false" customHeight="false" outlineLevel="0" collapsed="false">
      <c r="A2222" s="7" t="n">
        <v>2221</v>
      </c>
      <c r="B2222" s="7" t="s">
        <v>11472</v>
      </c>
      <c r="C2222" s="7" t="n">
        <v>2022</v>
      </c>
      <c r="D2222" s="7" t="s">
        <v>11473</v>
      </c>
      <c r="E2222" s="7" t="s">
        <v>3817</v>
      </c>
      <c r="F2222" s="7" t="s">
        <v>798</v>
      </c>
      <c r="G2222" s="7" t="s">
        <v>145</v>
      </c>
      <c r="H2222" s="7" t="s">
        <v>146</v>
      </c>
      <c r="I2222" s="7" t="s">
        <v>11474</v>
      </c>
      <c r="J2222" s="7" t="s">
        <v>116</v>
      </c>
      <c r="K2222" s="7" t="s">
        <v>11475</v>
      </c>
    </row>
    <row r="2223" customFormat="false" ht="23.85" hidden="false" customHeight="false" outlineLevel="0" collapsed="false">
      <c r="A2223" s="7" t="n">
        <v>2222</v>
      </c>
      <c r="B2223" s="7" t="s">
        <v>11476</v>
      </c>
      <c r="C2223" s="7" t="n">
        <v>2022</v>
      </c>
      <c r="D2223" s="7" t="s">
        <v>11477</v>
      </c>
      <c r="E2223" s="7" t="s">
        <v>143</v>
      </c>
      <c r="F2223" s="7" t="s">
        <v>11478</v>
      </c>
      <c r="G2223" s="7" t="s">
        <v>145</v>
      </c>
      <c r="H2223" s="7" t="s">
        <v>146</v>
      </c>
      <c r="I2223" s="7" t="s">
        <v>11479</v>
      </c>
      <c r="J2223" s="7"/>
      <c r="K2223" s="7" t="s">
        <v>11480</v>
      </c>
    </row>
    <row r="2224" customFormat="false" ht="35.05" hidden="false" customHeight="false" outlineLevel="0" collapsed="false">
      <c r="A2224" s="7" t="n">
        <v>2223</v>
      </c>
      <c r="B2224" s="7" t="s">
        <v>11481</v>
      </c>
      <c r="C2224" s="7" t="n">
        <v>2024</v>
      </c>
      <c r="D2224" s="7" t="s">
        <v>11482</v>
      </c>
      <c r="E2224" s="7" t="s">
        <v>11108</v>
      </c>
      <c r="F2224" s="7" t="s">
        <v>11483</v>
      </c>
      <c r="G2224" s="7" t="s">
        <v>11484</v>
      </c>
      <c r="H2224" s="7" t="s">
        <v>146</v>
      </c>
      <c r="I2224" s="7" t="s">
        <v>11485</v>
      </c>
      <c r="J2224" s="7" t="s">
        <v>116</v>
      </c>
      <c r="K2224" s="7" t="s">
        <v>11486</v>
      </c>
    </row>
    <row r="2225" customFormat="false" ht="35.05" hidden="false" customHeight="false" outlineLevel="0" collapsed="false">
      <c r="A2225" s="7" t="n">
        <v>2224</v>
      </c>
      <c r="B2225" s="7" t="s">
        <v>11487</v>
      </c>
      <c r="C2225" s="7" t="n">
        <v>2021</v>
      </c>
      <c r="D2225" s="7" t="s">
        <v>11488</v>
      </c>
      <c r="E2225" s="7" t="s">
        <v>11489</v>
      </c>
      <c r="F2225" s="7" t="s">
        <v>11490</v>
      </c>
      <c r="G2225" s="7" t="s">
        <v>11491</v>
      </c>
      <c r="H2225" s="7" t="s">
        <v>146</v>
      </c>
      <c r="I2225" s="7" t="s">
        <v>11492</v>
      </c>
      <c r="J2225" s="7"/>
      <c r="K2225" s="7" t="s">
        <v>11493</v>
      </c>
    </row>
    <row r="2226" customFormat="false" ht="23.85" hidden="false" customHeight="false" outlineLevel="0" collapsed="false">
      <c r="A2226" s="7" t="n">
        <v>2225</v>
      </c>
      <c r="B2226" s="7" t="s">
        <v>11494</v>
      </c>
      <c r="C2226" s="7" t="n">
        <v>2024</v>
      </c>
      <c r="D2226" s="7" t="s">
        <v>11495</v>
      </c>
      <c r="E2226" s="7" t="s">
        <v>151</v>
      </c>
      <c r="F2226" s="7" t="s">
        <v>11496</v>
      </c>
      <c r="G2226" s="7" t="s">
        <v>11497</v>
      </c>
      <c r="H2226" s="7" t="s">
        <v>146</v>
      </c>
      <c r="I2226" s="7" t="s">
        <v>11498</v>
      </c>
      <c r="J2226" s="7"/>
      <c r="K2226" s="7" t="s">
        <v>11499</v>
      </c>
    </row>
    <row r="2227" customFormat="false" ht="23.85" hidden="false" customHeight="false" outlineLevel="0" collapsed="false">
      <c r="A2227" s="7" t="n">
        <v>2226</v>
      </c>
      <c r="B2227" s="7" t="s">
        <v>11500</v>
      </c>
      <c r="C2227" s="7" t="n">
        <v>2023</v>
      </c>
      <c r="D2227" s="7" t="s">
        <v>11501</v>
      </c>
      <c r="E2227" s="7" t="s">
        <v>151</v>
      </c>
      <c r="F2227" s="7" t="s">
        <v>11502</v>
      </c>
      <c r="G2227" s="7" t="s">
        <v>11503</v>
      </c>
      <c r="H2227" s="7" t="s">
        <v>146</v>
      </c>
      <c r="I2227" s="7" t="s">
        <v>11504</v>
      </c>
      <c r="J2227" s="7"/>
      <c r="K2227" s="7" t="s">
        <v>11505</v>
      </c>
    </row>
    <row r="2228" customFormat="false" ht="35.05" hidden="false" customHeight="false" outlineLevel="0" collapsed="false">
      <c r="A2228" s="7" t="n">
        <v>2227</v>
      </c>
      <c r="B2228" s="7" t="s">
        <v>11506</v>
      </c>
      <c r="C2228" s="7" t="n">
        <v>2022</v>
      </c>
      <c r="D2228" s="7" t="s">
        <v>11507</v>
      </c>
      <c r="E2228" s="7" t="s">
        <v>10672</v>
      </c>
      <c r="F2228" s="7" t="s">
        <v>11508</v>
      </c>
      <c r="G2228" s="7" t="s">
        <v>678</v>
      </c>
      <c r="H2228" s="7" t="s">
        <v>146</v>
      </c>
      <c r="I2228" s="7" t="s">
        <v>11509</v>
      </c>
      <c r="J2228" s="7"/>
      <c r="K2228" s="7" t="s">
        <v>11510</v>
      </c>
    </row>
    <row r="2229" customFormat="false" ht="23.85" hidden="false" customHeight="false" outlineLevel="0" collapsed="false">
      <c r="A2229" s="7" t="n">
        <v>2228</v>
      </c>
      <c r="B2229" s="7" t="s">
        <v>11511</v>
      </c>
      <c r="C2229" s="7" t="n">
        <v>2023</v>
      </c>
      <c r="D2229" s="7" t="s">
        <v>11512</v>
      </c>
      <c r="E2229" s="7" t="s">
        <v>11108</v>
      </c>
      <c r="F2229" s="7" t="s">
        <v>11513</v>
      </c>
      <c r="G2229" s="7" t="s">
        <v>11514</v>
      </c>
      <c r="H2229" s="7" t="s">
        <v>146</v>
      </c>
      <c r="I2229" s="7" t="s">
        <v>11515</v>
      </c>
      <c r="J2229" s="7" t="s">
        <v>116</v>
      </c>
      <c r="K2229" s="7" t="s">
        <v>11516</v>
      </c>
    </row>
    <row r="2230" customFormat="false" ht="23.85" hidden="false" customHeight="false" outlineLevel="0" collapsed="false">
      <c r="A2230" s="7" t="n">
        <v>2229</v>
      </c>
      <c r="B2230" s="7" t="s">
        <v>11517</v>
      </c>
      <c r="C2230" s="7" t="n">
        <v>2025</v>
      </c>
      <c r="D2230" s="7" t="s">
        <v>11518</v>
      </c>
      <c r="E2230" s="7" t="s">
        <v>151</v>
      </c>
      <c r="F2230" s="7" t="s">
        <v>11519</v>
      </c>
      <c r="G2230" s="7" t="s">
        <v>11520</v>
      </c>
      <c r="H2230" s="7" t="s">
        <v>146</v>
      </c>
      <c r="I2230" s="7" t="s">
        <v>11521</v>
      </c>
      <c r="J2230" s="7"/>
      <c r="K2230" s="7" t="s">
        <v>11522</v>
      </c>
    </row>
    <row r="2231" customFormat="false" ht="35.05" hidden="false" customHeight="false" outlineLevel="0" collapsed="false">
      <c r="A2231" s="7" t="n">
        <v>2230</v>
      </c>
      <c r="B2231" s="7" t="s">
        <v>11523</v>
      </c>
      <c r="C2231" s="7" t="n">
        <v>2022</v>
      </c>
      <c r="D2231" s="7" t="s">
        <v>11524</v>
      </c>
      <c r="E2231" s="7" t="s">
        <v>151</v>
      </c>
      <c r="F2231" s="7" t="s">
        <v>10445</v>
      </c>
      <c r="G2231" s="7" t="s">
        <v>145</v>
      </c>
      <c r="H2231" s="7" t="s">
        <v>146</v>
      </c>
      <c r="I2231" s="7" t="s">
        <v>11525</v>
      </c>
      <c r="J2231" s="7"/>
      <c r="K2231" s="7" t="s">
        <v>11526</v>
      </c>
    </row>
    <row r="2232" customFormat="false" ht="23.85" hidden="false" customHeight="false" outlineLevel="0" collapsed="false">
      <c r="A2232" s="7" t="n">
        <v>2231</v>
      </c>
      <c r="B2232" s="7" t="s">
        <v>5984</v>
      </c>
      <c r="C2232" s="7" t="n">
        <v>2016</v>
      </c>
      <c r="D2232" s="7" t="s">
        <v>11527</v>
      </c>
      <c r="E2232" s="7" t="s">
        <v>201</v>
      </c>
      <c r="F2232" s="7" t="s">
        <v>11528</v>
      </c>
      <c r="G2232" s="7" t="s">
        <v>145</v>
      </c>
      <c r="H2232" s="7" t="s">
        <v>146</v>
      </c>
      <c r="I2232" s="7" t="s">
        <v>11529</v>
      </c>
      <c r="J2232" s="7"/>
      <c r="K2232" s="7" t="s">
        <v>11530</v>
      </c>
    </row>
    <row r="2233" customFormat="false" ht="23.85" hidden="false" customHeight="false" outlineLevel="0" collapsed="false">
      <c r="A2233" s="7" t="n">
        <v>2232</v>
      </c>
      <c r="B2233" s="7" t="s">
        <v>11531</v>
      </c>
      <c r="C2233" s="7" t="n">
        <v>2025</v>
      </c>
      <c r="D2233" s="7" t="s">
        <v>11532</v>
      </c>
      <c r="E2233" s="7" t="s">
        <v>10652</v>
      </c>
      <c r="F2233" s="7" t="s">
        <v>11533</v>
      </c>
      <c r="G2233" s="7" t="s">
        <v>1904</v>
      </c>
      <c r="H2233" s="7" t="s">
        <v>146</v>
      </c>
      <c r="I2233" s="7" t="s">
        <v>11534</v>
      </c>
      <c r="J2233" s="7" t="s">
        <v>116</v>
      </c>
      <c r="K2233" s="7" t="s">
        <v>11535</v>
      </c>
    </row>
    <row r="2234" customFormat="false" ht="35.05" hidden="false" customHeight="false" outlineLevel="0" collapsed="false">
      <c r="A2234" s="7" t="n">
        <v>2233</v>
      </c>
      <c r="B2234" s="7" t="s">
        <v>11536</v>
      </c>
      <c r="C2234" s="7" t="n">
        <v>2025</v>
      </c>
      <c r="D2234" s="7" t="s">
        <v>11537</v>
      </c>
      <c r="E2234" s="7" t="s">
        <v>10512</v>
      </c>
      <c r="F2234" s="7" t="s">
        <v>11538</v>
      </c>
      <c r="G2234" s="7" t="s">
        <v>11539</v>
      </c>
      <c r="H2234" s="7" t="s">
        <v>146</v>
      </c>
      <c r="I2234" s="7" t="s">
        <v>11540</v>
      </c>
      <c r="J2234" s="7" t="s">
        <v>116</v>
      </c>
      <c r="K2234" s="7" t="s">
        <v>11541</v>
      </c>
    </row>
    <row r="2235" customFormat="false" ht="35.05" hidden="false" customHeight="false" outlineLevel="0" collapsed="false">
      <c r="A2235" s="7" t="n">
        <v>2234</v>
      </c>
      <c r="B2235" s="7" t="s">
        <v>11542</v>
      </c>
      <c r="C2235" s="7" t="n">
        <v>2025</v>
      </c>
      <c r="D2235" s="7" t="s">
        <v>11543</v>
      </c>
      <c r="E2235" s="7" t="s">
        <v>10652</v>
      </c>
      <c r="F2235" s="7" t="s">
        <v>11544</v>
      </c>
      <c r="G2235" s="7" t="s">
        <v>1904</v>
      </c>
      <c r="H2235" s="7" t="s">
        <v>146</v>
      </c>
      <c r="I2235" s="7" t="s">
        <v>11545</v>
      </c>
      <c r="J2235" s="7" t="s">
        <v>114</v>
      </c>
      <c r="K2235" s="7" t="s">
        <v>11546</v>
      </c>
    </row>
    <row r="2236" customFormat="false" ht="23.85" hidden="false" customHeight="false" outlineLevel="0" collapsed="false">
      <c r="A2236" s="7" t="n">
        <v>2235</v>
      </c>
      <c r="B2236" s="7" t="s">
        <v>11547</v>
      </c>
      <c r="C2236" s="7" t="n">
        <v>2024</v>
      </c>
      <c r="D2236" s="7" t="s">
        <v>11548</v>
      </c>
      <c r="E2236" s="7" t="s">
        <v>4040</v>
      </c>
      <c r="F2236" s="7" t="s">
        <v>11549</v>
      </c>
      <c r="G2236" s="7" t="s">
        <v>11550</v>
      </c>
      <c r="H2236" s="7" t="s">
        <v>387</v>
      </c>
      <c r="I2236" s="7" t="s">
        <v>11551</v>
      </c>
      <c r="J2236" s="7"/>
      <c r="K2236" s="7" t="s">
        <v>11552</v>
      </c>
    </row>
    <row r="2237" customFormat="false" ht="23.85" hidden="false" customHeight="false" outlineLevel="0" collapsed="false">
      <c r="A2237" s="7" t="n">
        <v>2236</v>
      </c>
      <c r="B2237" s="7" t="s">
        <v>11553</v>
      </c>
      <c r="C2237" s="7" t="n">
        <v>2025</v>
      </c>
      <c r="D2237" s="7" t="s">
        <v>11554</v>
      </c>
      <c r="E2237" s="7" t="s">
        <v>11014</v>
      </c>
      <c r="F2237" s="7" t="s">
        <v>11555</v>
      </c>
      <c r="G2237" s="7" t="s">
        <v>11556</v>
      </c>
      <c r="H2237" s="7" t="s">
        <v>11094</v>
      </c>
      <c r="I2237" s="7" t="s">
        <v>11557</v>
      </c>
      <c r="J2237" s="7"/>
      <c r="K2237" s="7" t="s">
        <v>11558</v>
      </c>
    </row>
    <row r="2238" customFormat="false" ht="23.85" hidden="false" customHeight="false" outlineLevel="0" collapsed="false">
      <c r="A2238" s="7" t="n">
        <v>2237</v>
      </c>
      <c r="B2238" s="7" t="s">
        <v>11559</v>
      </c>
      <c r="C2238" s="7" t="n">
        <v>2025</v>
      </c>
      <c r="D2238" s="7" t="s">
        <v>11560</v>
      </c>
      <c r="E2238" s="7" t="s">
        <v>10512</v>
      </c>
      <c r="F2238" s="7" t="s">
        <v>11561</v>
      </c>
      <c r="G2238" s="7" t="s">
        <v>721</v>
      </c>
      <c r="H2238" s="7" t="s">
        <v>387</v>
      </c>
      <c r="I2238" s="7" t="s">
        <v>11562</v>
      </c>
      <c r="J2238" s="7"/>
      <c r="K2238" s="7" t="s">
        <v>11563</v>
      </c>
    </row>
    <row r="2239" customFormat="false" ht="35.05" hidden="false" customHeight="false" outlineLevel="0" collapsed="false">
      <c r="A2239" s="7" t="n">
        <v>2238</v>
      </c>
      <c r="B2239" s="7" t="s">
        <v>11564</v>
      </c>
      <c r="C2239" s="7" t="n">
        <v>2025</v>
      </c>
      <c r="D2239" s="7" t="s">
        <v>11565</v>
      </c>
      <c r="E2239" s="7" t="s">
        <v>10672</v>
      </c>
      <c r="F2239" s="7" t="s">
        <v>11566</v>
      </c>
      <c r="G2239" s="7" t="s">
        <v>145</v>
      </c>
      <c r="H2239" s="7" t="s">
        <v>146</v>
      </c>
      <c r="I2239" s="7" t="s">
        <v>11567</v>
      </c>
      <c r="J2239" s="7"/>
      <c r="K2239" s="7" t="s">
        <v>11568</v>
      </c>
    </row>
    <row r="2240" customFormat="false" ht="35.05" hidden="false" customHeight="false" outlineLevel="0" collapsed="false">
      <c r="A2240" s="7" t="n">
        <v>2239</v>
      </c>
      <c r="B2240" s="7" t="s">
        <v>11569</v>
      </c>
      <c r="C2240" s="7" t="n">
        <v>2022</v>
      </c>
      <c r="D2240" s="7" t="s">
        <v>11570</v>
      </c>
      <c r="E2240" s="7" t="s">
        <v>201</v>
      </c>
      <c r="F2240" s="7" t="s">
        <v>11433</v>
      </c>
      <c r="G2240" s="7" t="s">
        <v>145</v>
      </c>
      <c r="H2240" s="7" t="s">
        <v>146</v>
      </c>
      <c r="I2240" s="7" t="s">
        <v>11571</v>
      </c>
      <c r="J2240" s="7"/>
      <c r="K2240" s="7" t="s">
        <v>11572</v>
      </c>
    </row>
    <row r="2241" customFormat="false" ht="23.85" hidden="false" customHeight="false" outlineLevel="0" collapsed="false">
      <c r="A2241" s="7" t="n">
        <v>2240</v>
      </c>
      <c r="B2241" s="7" t="s">
        <v>11573</v>
      </c>
      <c r="C2241" s="7" t="n">
        <v>2022</v>
      </c>
      <c r="D2241" s="7" t="s">
        <v>11574</v>
      </c>
      <c r="E2241" s="7" t="s">
        <v>11108</v>
      </c>
      <c r="F2241" s="7" t="s">
        <v>11575</v>
      </c>
      <c r="G2241" s="7" t="s">
        <v>11576</v>
      </c>
      <c r="H2241" s="7" t="s">
        <v>11094</v>
      </c>
      <c r="I2241" s="7" t="s">
        <v>11577</v>
      </c>
      <c r="J2241" s="7"/>
      <c r="K2241" s="7" t="s">
        <v>11578</v>
      </c>
    </row>
    <row r="2242" customFormat="false" ht="23.85" hidden="false" customHeight="false" outlineLevel="0" collapsed="false">
      <c r="A2242" s="7" t="n">
        <v>2241</v>
      </c>
      <c r="B2242" s="7" t="s">
        <v>11579</v>
      </c>
      <c r="C2242" s="7" t="n">
        <v>2017</v>
      </c>
      <c r="D2242" s="7" t="s">
        <v>11580</v>
      </c>
      <c r="E2242" s="7" t="s">
        <v>143</v>
      </c>
      <c r="F2242" s="7" t="s">
        <v>11581</v>
      </c>
      <c r="G2242" s="7" t="s">
        <v>11582</v>
      </c>
      <c r="H2242" s="7" t="s">
        <v>146</v>
      </c>
      <c r="I2242" s="7" t="s">
        <v>11583</v>
      </c>
      <c r="J2242" s="7"/>
      <c r="K2242" s="7" t="s">
        <v>11584</v>
      </c>
    </row>
    <row r="2243" customFormat="false" ht="35.05" hidden="false" customHeight="false" outlineLevel="0" collapsed="false">
      <c r="A2243" s="7" t="n">
        <v>2242</v>
      </c>
      <c r="B2243" s="7" t="s">
        <v>11585</v>
      </c>
      <c r="C2243" s="7" t="n">
        <v>2018</v>
      </c>
      <c r="D2243" s="7" t="s">
        <v>11586</v>
      </c>
      <c r="E2243" s="7" t="s">
        <v>11108</v>
      </c>
      <c r="F2243" s="7" t="s">
        <v>11587</v>
      </c>
      <c r="G2243" s="7" t="s">
        <v>11588</v>
      </c>
      <c r="H2243" s="7" t="s">
        <v>11094</v>
      </c>
      <c r="I2243" s="7" t="s">
        <v>11589</v>
      </c>
      <c r="J2243" s="7"/>
      <c r="K2243" s="7" t="s">
        <v>11590</v>
      </c>
    </row>
    <row r="2244" customFormat="false" ht="35.05" hidden="false" customHeight="false" outlineLevel="0" collapsed="false">
      <c r="A2244" s="7" t="n">
        <v>2243</v>
      </c>
      <c r="B2244" s="7" t="s">
        <v>11591</v>
      </c>
      <c r="C2244" s="7" t="n">
        <v>2024</v>
      </c>
      <c r="D2244" s="7" t="s">
        <v>11592</v>
      </c>
      <c r="E2244" s="7" t="s">
        <v>10512</v>
      </c>
      <c r="F2244" s="7" t="s">
        <v>11593</v>
      </c>
      <c r="G2244" s="7" t="s">
        <v>11594</v>
      </c>
      <c r="H2244" s="7" t="s">
        <v>146</v>
      </c>
      <c r="I2244" s="7" t="s">
        <v>11595</v>
      </c>
      <c r="J2244" s="7" t="s">
        <v>116</v>
      </c>
      <c r="K2244" s="7" t="s">
        <v>11596</v>
      </c>
    </row>
    <row r="2245" customFormat="false" ht="23.85" hidden="false" customHeight="false" outlineLevel="0" collapsed="false">
      <c r="A2245" s="7" t="n">
        <v>2244</v>
      </c>
      <c r="B2245" s="7" t="s">
        <v>11597</v>
      </c>
      <c r="C2245" s="7" t="n">
        <v>2024</v>
      </c>
      <c r="D2245" s="7" t="s">
        <v>11598</v>
      </c>
      <c r="E2245" s="7" t="s">
        <v>10512</v>
      </c>
      <c r="F2245" s="7" t="s">
        <v>11599</v>
      </c>
      <c r="G2245" s="7" t="s">
        <v>11600</v>
      </c>
      <c r="H2245" s="7" t="s">
        <v>146</v>
      </c>
      <c r="I2245" s="7" t="s">
        <v>11601</v>
      </c>
      <c r="J2245" s="7" t="s">
        <v>116</v>
      </c>
      <c r="K2245" s="7" t="s">
        <v>11602</v>
      </c>
    </row>
    <row r="2246" customFormat="false" ht="35.05" hidden="false" customHeight="false" outlineLevel="0" collapsed="false">
      <c r="A2246" s="7" t="n">
        <v>2245</v>
      </c>
      <c r="B2246" s="7" t="s">
        <v>11603</v>
      </c>
      <c r="C2246" s="7" t="n">
        <v>2022</v>
      </c>
      <c r="D2246" s="7" t="s">
        <v>11604</v>
      </c>
      <c r="E2246" s="7" t="s">
        <v>151</v>
      </c>
      <c r="F2246" s="7" t="s">
        <v>11605</v>
      </c>
      <c r="G2246" s="7" t="s">
        <v>145</v>
      </c>
      <c r="H2246" s="7" t="s">
        <v>146</v>
      </c>
      <c r="I2246" s="7" t="s">
        <v>11606</v>
      </c>
      <c r="J2246" s="7"/>
      <c r="K2246" s="7" t="s">
        <v>11607</v>
      </c>
    </row>
    <row r="2247" customFormat="false" ht="35.05" hidden="false" customHeight="false" outlineLevel="0" collapsed="false">
      <c r="A2247" s="7" t="n">
        <v>2246</v>
      </c>
      <c r="B2247" s="7" t="s">
        <v>11608</v>
      </c>
      <c r="C2247" s="7" t="n">
        <v>2023</v>
      </c>
      <c r="D2247" s="7" t="s">
        <v>11609</v>
      </c>
      <c r="E2247" s="7" t="s">
        <v>11014</v>
      </c>
      <c r="F2247" s="7" t="s">
        <v>11610</v>
      </c>
      <c r="G2247" s="7" t="s">
        <v>4711</v>
      </c>
      <c r="H2247" s="7" t="s">
        <v>146</v>
      </c>
      <c r="I2247" s="7" t="s">
        <v>11611</v>
      </c>
      <c r="J2247" s="7"/>
      <c r="K2247" s="7" t="s">
        <v>11612</v>
      </c>
    </row>
    <row r="2248" customFormat="false" ht="23.85" hidden="false" customHeight="false" outlineLevel="0" collapsed="false">
      <c r="A2248" s="7" t="n">
        <v>2247</v>
      </c>
      <c r="B2248" s="7" t="s">
        <v>11613</v>
      </c>
      <c r="C2248" s="7" t="n">
        <v>2023</v>
      </c>
      <c r="D2248" s="7" t="s">
        <v>11614</v>
      </c>
      <c r="E2248" s="7" t="s">
        <v>1494</v>
      </c>
      <c r="F2248" s="7" t="s">
        <v>11615</v>
      </c>
      <c r="G2248" s="7" t="s">
        <v>145</v>
      </c>
      <c r="H2248" s="7" t="s">
        <v>387</v>
      </c>
      <c r="I2248" s="7" t="s">
        <v>11616</v>
      </c>
      <c r="J2248" s="7" t="s">
        <v>114</v>
      </c>
      <c r="K2248" s="7" t="s">
        <v>11617</v>
      </c>
    </row>
    <row r="2249" customFormat="false" ht="35.05" hidden="false" customHeight="false" outlineLevel="0" collapsed="false">
      <c r="A2249" s="7" t="n">
        <v>2248</v>
      </c>
      <c r="B2249" s="7" t="s">
        <v>11618</v>
      </c>
      <c r="C2249" s="7" t="n">
        <v>2024</v>
      </c>
      <c r="D2249" s="7" t="s">
        <v>11619</v>
      </c>
      <c r="E2249" s="7" t="s">
        <v>8720</v>
      </c>
      <c r="F2249" s="7" t="s">
        <v>11620</v>
      </c>
      <c r="G2249" s="7" t="s">
        <v>11621</v>
      </c>
      <c r="H2249" s="7" t="s">
        <v>146</v>
      </c>
      <c r="I2249" s="7" t="s">
        <v>11622</v>
      </c>
      <c r="J2249" s="7" t="s">
        <v>114</v>
      </c>
      <c r="K2249" s="7" t="s">
        <v>11623</v>
      </c>
    </row>
    <row r="2250" customFormat="false" ht="35.05" hidden="false" customHeight="false" outlineLevel="0" collapsed="false">
      <c r="A2250" s="7" t="n">
        <v>2249</v>
      </c>
      <c r="B2250" s="7" t="s">
        <v>11624</v>
      </c>
      <c r="C2250" s="7" t="n">
        <v>2024</v>
      </c>
      <c r="D2250" s="7" t="s">
        <v>11625</v>
      </c>
      <c r="E2250" s="7" t="s">
        <v>10652</v>
      </c>
      <c r="F2250" s="7" t="s">
        <v>11626</v>
      </c>
      <c r="G2250" s="7" t="s">
        <v>8437</v>
      </c>
      <c r="H2250" s="7" t="s">
        <v>146</v>
      </c>
      <c r="I2250" s="7" t="s">
        <v>11627</v>
      </c>
      <c r="J2250" s="7"/>
      <c r="K2250" s="7" t="s">
        <v>11628</v>
      </c>
    </row>
    <row r="2251" customFormat="false" ht="35.05" hidden="false" customHeight="false" outlineLevel="0" collapsed="false">
      <c r="A2251" s="7" t="n">
        <v>2250</v>
      </c>
      <c r="B2251" s="7" t="s">
        <v>11629</v>
      </c>
      <c r="C2251" s="7" t="n">
        <v>2023</v>
      </c>
      <c r="D2251" s="7" t="s">
        <v>11630</v>
      </c>
      <c r="E2251" s="7" t="s">
        <v>201</v>
      </c>
      <c r="F2251" s="7" t="s">
        <v>4113</v>
      </c>
      <c r="G2251" s="7" t="s">
        <v>145</v>
      </c>
      <c r="H2251" s="7" t="s">
        <v>11094</v>
      </c>
      <c r="I2251" s="7" t="s">
        <v>11631</v>
      </c>
      <c r="J2251" s="7"/>
      <c r="K2251" s="7" t="s">
        <v>11632</v>
      </c>
    </row>
    <row r="2252" customFormat="false" ht="23.85" hidden="false" customHeight="false" outlineLevel="0" collapsed="false">
      <c r="A2252" s="7" t="n">
        <v>2251</v>
      </c>
      <c r="B2252" s="7" t="s">
        <v>11517</v>
      </c>
      <c r="C2252" s="7" t="n">
        <v>2024</v>
      </c>
      <c r="D2252" s="7" t="s">
        <v>11633</v>
      </c>
      <c r="E2252" s="7" t="s">
        <v>151</v>
      </c>
      <c r="F2252" s="7" t="s">
        <v>11634</v>
      </c>
      <c r="G2252" s="7" t="s">
        <v>11635</v>
      </c>
      <c r="H2252" s="7" t="s">
        <v>11094</v>
      </c>
      <c r="I2252" s="7" t="s">
        <v>11636</v>
      </c>
      <c r="J2252" s="7"/>
      <c r="K2252" s="7" t="s">
        <v>11637</v>
      </c>
    </row>
    <row r="2253" customFormat="false" ht="35.05" hidden="false" customHeight="false" outlineLevel="0" collapsed="false">
      <c r="A2253" s="7" t="n">
        <v>2252</v>
      </c>
      <c r="B2253" s="7" t="s">
        <v>11638</v>
      </c>
      <c r="C2253" s="7" t="n">
        <v>2024</v>
      </c>
      <c r="D2253" s="7" t="s">
        <v>11639</v>
      </c>
      <c r="E2253" s="7" t="s">
        <v>151</v>
      </c>
      <c r="F2253" s="7" t="s">
        <v>798</v>
      </c>
      <c r="G2253" s="7" t="s">
        <v>11640</v>
      </c>
      <c r="H2253" s="7" t="s">
        <v>146</v>
      </c>
      <c r="I2253" s="7" t="s">
        <v>11641</v>
      </c>
      <c r="J2253" s="7"/>
      <c r="K2253" s="7" t="s">
        <v>11642</v>
      </c>
    </row>
    <row r="2254" customFormat="false" ht="35.05" hidden="false" customHeight="false" outlineLevel="0" collapsed="false">
      <c r="A2254" s="7" t="n">
        <v>2253</v>
      </c>
      <c r="B2254" s="7" t="s">
        <v>11643</v>
      </c>
      <c r="C2254" s="7" t="n">
        <v>2021</v>
      </c>
      <c r="D2254" s="7" t="s">
        <v>11644</v>
      </c>
      <c r="E2254" s="7" t="s">
        <v>151</v>
      </c>
      <c r="F2254" s="7" t="s">
        <v>11645</v>
      </c>
      <c r="G2254" s="7" t="s">
        <v>11646</v>
      </c>
      <c r="H2254" s="7" t="s">
        <v>11647</v>
      </c>
      <c r="I2254" s="7" t="s">
        <v>11648</v>
      </c>
      <c r="J2254" s="7"/>
      <c r="K2254" s="7" t="s">
        <v>11649</v>
      </c>
    </row>
    <row r="2255" customFormat="false" ht="23.85" hidden="false" customHeight="false" outlineLevel="0" collapsed="false">
      <c r="A2255" s="7" t="n">
        <v>2254</v>
      </c>
      <c r="B2255" s="7" t="s">
        <v>11206</v>
      </c>
      <c r="C2255" s="7" t="n">
        <v>2024</v>
      </c>
      <c r="D2255" s="7" t="s">
        <v>11650</v>
      </c>
      <c r="E2255" s="7" t="s">
        <v>151</v>
      </c>
      <c r="F2255" s="7" t="s">
        <v>11651</v>
      </c>
      <c r="G2255" s="7" t="s">
        <v>11652</v>
      </c>
      <c r="H2255" s="7" t="s">
        <v>387</v>
      </c>
      <c r="I2255" s="7" t="s">
        <v>11653</v>
      </c>
      <c r="J2255" s="7"/>
      <c r="K2255" s="7" t="s">
        <v>11654</v>
      </c>
    </row>
    <row r="2256" customFormat="false" ht="23.85" hidden="false" customHeight="false" outlineLevel="0" collapsed="false">
      <c r="A2256" s="7" t="n">
        <v>2255</v>
      </c>
      <c r="B2256" s="7" t="s">
        <v>11655</v>
      </c>
      <c r="C2256" s="7" t="n">
        <v>2022</v>
      </c>
      <c r="D2256" s="7" t="s">
        <v>11656</v>
      </c>
      <c r="E2256" s="7" t="s">
        <v>201</v>
      </c>
      <c r="F2256" s="7" t="s">
        <v>11657</v>
      </c>
      <c r="G2256" s="7" t="s">
        <v>11658</v>
      </c>
      <c r="H2256" s="7" t="s">
        <v>387</v>
      </c>
      <c r="I2256" s="7" t="s">
        <v>11659</v>
      </c>
      <c r="J2256" s="7"/>
      <c r="K2256" s="7" t="s">
        <v>11660</v>
      </c>
    </row>
    <row r="2257" customFormat="false" ht="23.85" hidden="false" customHeight="false" outlineLevel="0" collapsed="false">
      <c r="A2257" s="7" t="n">
        <v>2256</v>
      </c>
      <c r="B2257" s="7" t="s">
        <v>11661</v>
      </c>
      <c r="C2257" s="7" t="n">
        <v>2021</v>
      </c>
      <c r="D2257" s="7" t="s">
        <v>11662</v>
      </c>
      <c r="E2257" s="7" t="s">
        <v>11108</v>
      </c>
      <c r="F2257" s="7" t="s">
        <v>11663</v>
      </c>
      <c r="G2257" s="7" t="s">
        <v>11664</v>
      </c>
      <c r="H2257" s="7" t="s">
        <v>387</v>
      </c>
      <c r="I2257" s="7" t="s">
        <v>11665</v>
      </c>
      <c r="J2257" s="7"/>
      <c r="K2257" s="7" t="s">
        <v>11666</v>
      </c>
    </row>
    <row r="2258" customFormat="false" ht="23.85" hidden="false" customHeight="false" outlineLevel="0" collapsed="false">
      <c r="A2258" s="7" t="n">
        <v>2257</v>
      </c>
      <c r="B2258" s="7" t="s">
        <v>11667</v>
      </c>
      <c r="C2258" s="7" t="n">
        <v>2022</v>
      </c>
      <c r="D2258" s="7" t="s">
        <v>11668</v>
      </c>
      <c r="E2258" s="7" t="s">
        <v>11014</v>
      </c>
      <c r="F2258" s="7" t="s">
        <v>1678</v>
      </c>
      <c r="G2258" s="7" t="s">
        <v>11669</v>
      </c>
      <c r="H2258" s="7" t="s">
        <v>387</v>
      </c>
      <c r="I2258" s="7" t="s">
        <v>11670</v>
      </c>
      <c r="J2258" s="7"/>
      <c r="K2258" s="7" t="s">
        <v>11671</v>
      </c>
    </row>
    <row r="2259" customFormat="false" ht="23.85" hidden="false" customHeight="false" outlineLevel="0" collapsed="false">
      <c r="A2259" s="7" t="n">
        <v>2258</v>
      </c>
      <c r="B2259" s="7" t="s">
        <v>11672</v>
      </c>
      <c r="C2259" s="7" t="n">
        <v>2024</v>
      </c>
      <c r="D2259" s="7" t="s">
        <v>11673</v>
      </c>
      <c r="E2259" s="7" t="s">
        <v>11108</v>
      </c>
      <c r="F2259" s="7" t="s">
        <v>11674</v>
      </c>
      <c r="G2259" s="7" t="s">
        <v>11669</v>
      </c>
      <c r="H2259" s="7" t="s">
        <v>11647</v>
      </c>
      <c r="I2259" s="7" t="s">
        <v>11675</v>
      </c>
      <c r="J2259" s="7" t="s">
        <v>116</v>
      </c>
      <c r="K2259" s="7" t="s">
        <v>11676</v>
      </c>
    </row>
    <row r="2260" customFormat="false" ht="35.05" hidden="false" customHeight="false" outlineLevel="0" collapsed="false">
      <c r="A2260" s="7" t="n">
        <v>2259</v>
      </c>
      <c r="B2260" s="7" t="s">
        <v>11677</v>
      </c>
      <c r="C2260" s="7" t="n">
        <v>2024</v>
      </c>
      <c r="D2260" s="7" t="s">
        <v>11678</v>
      </c>
      <c r="E2260" s="7" t="s">
        <v>151</v>
      </c>
      <c r="F2260" s="7" t="s">
        <v>11679</v>
      </c>
      <c r="G2260" s="7" t="s">
        <v>11680</v>
      </c>
      <c r="H2260" s="7" t="s">
        <v>11681</v>
      </c>
      <c r="I2260" s="7" t="s">
        <v>10114</v>
      </c>
      <c r="J2260" s="7"/>
      <c r="K2260" s="7" t="s">
        <v>11682</v>
      </c>
    </row>
    <row r="2261" customFormat="false" ht="23.85" hidden="false" customHeight="false" outlineLevel="0" collapsed="false">
      <c r="A2261" s="7" t="n">
        <v>2260</v>
      </c>
      <c r="B2261" s="7" t="s">
        <v>11683</v>
      </c>
      <c r="C2261" s="7" t="n">
        <v>2024</v>
      </c>
      <c r="D2261" s="7" t="s">
        <v>11684</v>
      </c>
      <c r="E2261" s="7" t="s">
        <v>143</v>
      </c>
      <c r="F2261" s="7" t="s">
        <v>11685</v>
      </c>
      <c r="G2261" s="7" t="s">
        <v>145</v>
      </c>
      <c r="H2261" s="7" t="s">
        <v>387</v>
      </c>
      <c r="I2261" s="7" t="s">
        <v>11686</v>
      </c>
      <c r="J2261" s="7" t="s">
        <v>114</v>
      </c>
      <c r="K2261" s="7" t="s">
        <v>11687</v>
      </c>
    </row>
    <row r="2262" customFormat="false" ht="35.05" hidden="false" customHeight="false" outlineLevel="0" collapsed="false">
      <c r="A2262" s="7" t="n">
        <v>2261</v>
      </c>
      <c r="B2262" s="7" t="s">
        <v>11688</v>
      </c>
      <c r="C2262" s="7" t="n">
        <v>2024</v>
      </c>
      <c r="D2262" s="7" t="s">
        <v>11689</v>
      </c>
      <c r="E2262" s="7" t="s">
        <v>10297</v>
      </c>
      <c r="F2262" s="7" t="s">
        <v>11690</v>
      </c>
      <c r="G2262" s="7" t="s">
        <v>145</v>
      </c>
      <c r="H2262" s="7" t="s">
        <v>146</v>
      </c>
      <c r="I2262" s="7" t="s">
        <v>11691</v>
      </c>
      <c r="J2262" s="7"/>
      <c r="K2262" s="7" t="s">
        <v>11692</v>
      </c>
    </row>
    <row r="2263" customFormat="false" ht="35.05" hidden="false" customHeight="false" outlineLevel="0" collapsed="false">
      <c r="A2263" s="7" t="n">
        <v>2262</v>
      </c>
      <c r="B2263" s="7" t="s">
        <v>1831</v>
      </c>
      <c r="C2263" s="7"/>
      <c r="D2263" s="7" t="s">
        <v>11693</v>
      </c>
      <c r="E2263" s="7" t="s">
        <v>3677</v>
      </c>
      <c r="F2263" s="7" t="s">
        <v>11694</v>
      </c>
      <c r="G2263" s="7" t="s">
        <v>423</v>
      </c>
      <c r="H2263" s="7" t="s">
        <v>146</v>
      </c>
      <c r="I2263" s="7" t="s">
        <v>11695</v>
      </c>
      <c r="J2263" s="7" t="s">
        <v>112</v>
      </c>
      <c r="K2263" s="7" t="s">
        <v>11696</v>
      </c>
    </row>
    <row r="2264" customFormat="false" ht="23.85" hidden="false" customHeight="false" outlineLevel="0" collapsed="false">
      <c r="A2264" s="7" t="n">
        <v>2263</v>
      </c>
      <c r="B2264" s="7" t="s">
        <v>8989</v>
      </c>
      <c r="C2264" s="7" t="n">
        <v>2025</v>
      </c>
      <c r="D2264" s="7" t="s">
        <v>11697</v>
      </c>
      <c r="E2264" s="7" t="s">
        <v>201</v>
      </c>
      <c r="F2264" s="7" t="s">
        <v>626</v>
      </c>
      <c r="G2264" s="7" t="s">
        <v>145</v>
      </c>
      <c r="H2264" s="7" t="s">
        <v>153</v>
      </c>
      <c r="I2264" s="7" t="s">
        <v>11698</v>
      </c>
      <c r="J2264" s="7" t="s">
        <v>112</v>
      </c>
      <c r="K2264" s="7" t="s">
        <v>11699</v>
      </c>
    </row>
    <row r="2265" customFormat="false" ht="23.85" hidden="false" customHeight="false" outlineLevel="0" collapsed="false">
      <c r="A2265" s="7" t="n">
        <v>2264</v>
      </c>
      <c r="B2265" s="7" t="s">
        <v>8010</v>
      </c>
      <c r="C2265" s="7" t="n">
        <v>2025</v>
      </c>
      <c r="D2265" s="7" t="s">
        <v>11700</v>
      </c>
      <c r="E2265" s="7" t="s">
        <v>151</v>
      </c>
      <c r="F2265" s="7" t="s">
        <v>572</v>
      </c>
      <c r="G2265" s="7" t="s">
        <v>11701</v>
      </c>
      <c r="H2265" s="7" t="s">
        <v>153</v>
      </c>
      <c r="I2265" s="7" t="s">
        <v>11702</v>
      </c>
      <c r="J2265" s="7" t="s">
        <v>114</v>
      </c>
      <c r="K2265" s="7" t="s">
        <v>11703</v>
      </c>
    </row>
    <row r="2266" customFormat="false" ht="23.85" hidden="false" customHeight="false" outlineLevel="0" collapsed="false">
      <c r="A2266" s="7" t="n">
        <v>2265</v>
      </c>
      <c r="B2266" s="7" t="s">
        <v>2658</v>
      </c>
      <c r="C2266" s="7" t="n">
        <v>2021</v>
      </c>
      <c r="D2266" s="7" t="s">
        <v>11704</v>
      </c>
      <c r="E2266" s="7" t="s">
        <v>151</v>
      </c>
      <c r="F2266" s="7" t="s">
        <v>11397</v>
      </c>
      <c r="G2266" s="7" t="s">
        <v>145</v>
      </c>
      <c r="H2266" s="7" t="s">
        <v>146</v>
      </c>
      <c r="I2266" s="7" t="s">
        <v>11705</v>
      </c>
      <c r="J2266" s="7" t="s">
        <v>114</v>
      </c>
      <c r="K2266" s="7" t="s">
        <v>11706</v>
      </c>
    </row>
    <row r="2267" customFormat="false" ht="23.85" hidden="false" customHeight="false" outlineLevel="0" collapsed="false">
      <c r="A2267" s="7" t="n">
        <v>2266</v>
      </c>
      <c r="B2267" s="7" t="s">
        <v>11707</v>
      </c>
      <c r="C2267" s="7" t="n">
        <v>2024</v>
      </c>
      <c r="D2267" s="7" t="s">
        <v>11708</v>
      </c>
      <c r="E2267" s="7" t="s">
        <v>151</v>
      </c>
      <c r="F2267" s="7" t="s">
        <v>213</v>
      </c>
      <c r="G2267" s="7" t="s">
        <v>145</v>
      </c>
      <c r="H2267" s="7" t="s">
        <v>153</v>
      </c>
      <c r="I2267" s="7" t="s">
        <v>11709</v>
      </c>
      <c r="J2267" s="7"/>
      <c r="K2267" s="7" t="s">
        <v>11710</v>
      </c>
    </row>
    <row r="2268" customFormat="false" ht="35.05" hidden="false" customHeight="false" outlineLevel="0" collapsed="false">
      <c r="A2268" s="7" t="n">
        <v>2267</v>
      </c>
      <c r="B2268" s="7" t="s">
        <v>635</v>
      </c>
      <c r="C2268" s="7" t="n">
        <v>2024</v>
      </c>
      <c r="D2268" s="7" t="s">
        <v>11711</v>
      </c>
      <c r="E2268" s="7" t="s">
        <v>201</v>
      </c>
      <c r="F2268" s="7" t="s">
        <v>11712</v>
      </c>
      <c r="G2268" s="7" t="s">
        <v>145</v>
      </c>
      <c r="H2268" s="7" t="s">
        <v>153</v>
      </c>
      <c r="I2268" s="7" t="s">
        <v>11713</v>
      </c>
      <c r="J2268" s="7" t="s">
        <v>114</v>
      </c>
      <c r="K2268" s="7" t="s">
        <v>11714</v>
      </c>
    </row>
    <row r="2269" customFormat="false" ht="35.05" hidden="false" customHeight="false" outlineLevel="0" collapsed="false">
      <c r="A2269" s="7" t="n">
        <v>2268</v>
      </c>
      <c r="B2269" s="7" t="s">
        <v>11715</v>
      </c>
      <c r="C2269" s="7" t="n">
        <v>2019</v>
      </c>
      <c r="D2269" s="7" t="s">
        <v>11716</v>
      </c>
      <c r="E2269" s="7" t="s">
        <v>11717</v>
      </c>
      <c r="F2269" s="7" t="s">
        <v>152</v>
      </c>
      <c r="G2269" s="7" t="s">
        <v>11718</v>
      </c>
      <c r="H2269" s="7" t="s">
        <v>208</v>
      </c>
      <c r="I2269" s="7" t="s">
        <v>11719</v>
      </c>
      <c r="J2269" s="7"/>
      <c r="K2269" s="7" t="s">
        <v>11720</v>
      </c>
    </row>
    <row r="2270" customFormat="false" ht="35.05" hidden="false" customHeight="false" outlineLevel="0" collapsed="false">
      <c r="A2270" s="7" t="n">
        <v>2269</v>
      </c>
      <c r="B2270" s="7" t="s">
        <v>11721</v>
      </c>
      <c r="C2270" s="7" t="n">
        <v>2021</v>
      </c>
      <c r="D2270" s="7" t="s">
        <v>11722</v>
      </c>
      <c r="E2270" s="7" t="s">
        <v>11723</v>
      </c>
      <c r="F2270" s="7" t="s">
        <v>798</v>
      </c>
      <c r="G2270" s="7" t="s">
        <v>145</v>
      </c>
      <c r="H2270" s="7" t="s">
        <v>208</v>
      </c>
      <c r="I2270" s="7" t="s">
        <v>11724</v>
      </c>
      <c r="J2270" s="7"/>
      <c r="K2270" s="7" t="s">
        <v>11725</v>
      </c>
    </row>
    <row r="2271" customFormat="false" ht="35.05" hidden="false" customHeight="false" outlineLevel="0" collapsed="false">
      <c r="A2271" s="7" t="n">
        <v>2270</v>
      </c>
      <c r="B2271" s="7" t="s">
        <v>11726</v>
      </c>
      <c r="C2271" s="7" t="n">
        <v>2023</v>
      </c>
      <c r="D2271" s="7" t="s">
        <v>11727</v>
      </c>
      <c r="E2271" s="7" t="s">
        <v>11108</v>
      </c>
      <c r="F2271" s="7" t="s">
        <v>11728</v>
      </c>
      <c r="G2271" s="7" t="s">
        <v>1904</v>
      </c>
      <c r="H2271" s="7" t="s">
        <v>146</v>
      </c>
      <c r="I2271" s="7" t="s">
        <v>11729</v>
      </c>
      <c r="J2271" s="7" t="s">
        <v>114</v>
      </c>
      <c r="K2271" s="7" t="s">
        <v>11730</v>
      </c>
    </row>
    <row r="2272" customFormat="false" ht="23.85" hidden="false" customHeight="false" outlineLevel="0" collapsed="false">
      <c r="A2272" s="7" t="n">
        <v>2271</v>
      </c>
      <c r="B2272" s="7" t="s">
        <v>11731</v>
      </c>
      <c r="C2272" s="7" t="n">
        <v>2024</v>
      </c>
      <c r="D2272" s="7" t="s">
        <v>11732</v>
      </c>
      <c r="E2272" s="7" t="s">
        <v>151</v>
      </c>
      <c r="F2272" s="7" t="s">
        <v>11733</v>
      </c>
      <c r="G2272" s="7" t="s">
        <v>11734</v>
      </c>
      <c r="H2272" s="7" t="s">
        <v>208</v>
      </c>
      <c r="I2272" s="7" t="s">
        <v>11735</v>
      </c>
      <c r="J2272" s="7"/>
      <c r="K2272" s="7" t="s">
        <v>11736</v>
      </c>
    </row>
    <row r="2273" customFormat="false" ht="35.05" hidden="false" customHeight="false" outlineLevel="0" collapsed="false">
      <c r="A2273" s="7" t="n">
        <v>2272</v>
      </c>
      <c r="B2273" s="7" t="s">
        <v>11737</v>
      </c>
      <c r="C2273" s="7"/>
      <c r="D2273" s="7" t="s">
        <v>11738</v>
      </c>
      <c r="E2273" s="7" t="s">
        <v>4040</v>
      </c>
      <c r="F2273" s="7" t="s">
        <v>11739</v>
      </c>
      <c r="G2273" s="7" t="s">
        <v>145</v>
      </c>
      <c r="H2273" s="7" t="s">
        <v>11740</v>
      </c>
      <c r="I2273" s="7" t="s">
        <v>11741</v>
      </c>
      <c r="J2273" s="7"/>
      <c r="K2273" s="7" t="s">
        <v>11742</v>
      </c>
    </row>
    <row r="2274" customFormat="false" ht="35.05" hidden="false" customHeight="false" outlineLevel="0" collapsed="false">
      <c r="A2274" s="7" t="n">
        <v>2273</v>
      </c>
      <c r="B2274" s="7" t="s">
        <v>11743</v>
      </c>
      <c r="C2274" s="7" t="n">
        <v>2022</v>
      </c>
      <c r="D2274" s="7" t="s">
        <v>11744</v>
      </c>
      <c r="E2274" s="7" t="s">
        <v>201</v>
      </c>
      <c r="F2274" s="7" t="s">
        <v>11745</v>
      </c>
      <c r="G2274" s="7" t="s">
        <v>181</v>
      </c>
      <c r="H2274" s="7" t="s">
        <v>11647</v>
      </c>
      <c r="I2274" s="7" t="s">
        <v>11746</v>
      </c>
      <c r="J2274" s="7" t="s">
        <v>116</v>
      </c>
      <c r="K2274" s="7" t="s">
        <v>11747</v>
      </c>
    </row>
    <row r="2275" customFormat="false" ht="35.05" hidden="false" customHeight="false" outlineLevel="0" collapsed="false">
      <c r="A2275" s="7" t="n">
        <v>2274</v>
      </c>
      <c r="B2275" s="7" t="s">
        <v>11748</v>
      </c>
      <c r="C2275" s="7" t="n">
        <v>2021</v>
      </c>
      <c r="D2275" s="7" t="s">
        <v>11749</v>
      </c>
      <c r="E2275" s="7" t="s">
        <v>9198</v>
      </c>
      <c r="F2275" s="7" t="s">
        <v>1080</v>
      </c>
      <c r="G2275" s="7" t="s">
        <v>145</v>
      </c>
      <c r="H2275" s="7" t="s">
        <v>208</v>
      </c>
      <c r="I2275" s="7" t="s">
        <v>11750</v>
      </c>
      <c r="J2275" s="7"/>
      <c r="K2275" s="7" t="s">
        <v>11751</v>
      </c>
    </row>
    <row r="2276" customFormat="false" ht="23.85" hidden="false" customHeight="false" outlineLevel="0" collapsed="false">
      <c r="A2276" s="7" t="n">
        <v>2275</v>
      </c>
      <c r="B2276" s="7" t="s">
        <v>11752</v>
      </c>
      <c r="C2276" s="7" t="n">
        <v>2023</v>
      </c>
      <c r="D2276" s="7" t="s">
        <v>11753</v>
      </c>
      <c r="E2276" s="7" t="s">
        <v>143</v>
      </c>
      <c r="F2276" s="7" t="s">
        <v>11754</v>
      </c>
      <c r="G2276" s="7" t="s">
        <v>145</v>
      </c>
      <c r="H2276" s="7" t="s">
        <v>208</v>
      </c>
      <c r="I2276" s="7" t="s">
        <v>11755</v>
      </c>
      <c r="J2276" s="7" t="s">
        <v>116</v>
      </c>
      <c r="K2276" s="7" t="s">
        <v>11756</v>
      </c>
    </row>
    <row r="2277" customFormat="false" ht="35.05" hidden="false" customHeight="false" outlineLevel="0" collapsed="false">
      <c r="A2277" s="7" t="n">
        <v>2276</v>
      </c>
      <c r="B2277" s="7" t="s">
        <v>11757</v>
      </c>
      <c r="C2277" s="7" t="n">
        <v>2021</v>
      </c>
      <c r="D2277" s="7" t="s">
        <v>11758</v>
      </c>
      <c r="E2277" s="7" t="s">
        <v>151</v>
      </c>
      <c r="F2277" s="7" t="s">
        <v>4170</v>
      </c>
      <c r="G2277" s="7" t="s">
        <v>512</v>
      </c>
      <c r="H2277" s="7" t="s">
        <v>208</v>
      </c>
      <c r="I2277" s="7" t="s">
        <v>11759</v>
      </c>
      <c r="J2277" s="7"/>
      <c r="K2277" s="7" t="s">
        <v>11760</v>
      </c>
    </row>
    <row r="2278" customFormat="false" ht="35.05" hidden="false" customHeight="false" outlineLevel="0" collapsed="false">
      <c r="A2278" s="7" t="n">
        <v>2277</v>
      </c>
      <c r="B2278" s="7" t="s">
        <v>11761</v>
      </c>
      <c r="C2278" s="7" t="n">
        <v>2024</v>
      </c>
      <c r="D2278" s="7" t="s">
        <v>11762</v>
      </c>
      <c r="E2278" s="7" t="s">
        <v>143</v>
      </c>
      <c r="F2278" s="7" t="s">
        <v>11763</v>
      </c>
      <c r="G2278" s="7" t="s">
        <v>4711</v>
      </c>
      <c r="H2278" s="7" t="s">
        <v>208</v>
      </c>
      <c r="I2278" s="7" t="s">
        <v>11764</v>
      </c>
      <c r="J2278" s="7"/>
      <c r="K2278" s="7" t="s">
        <v>11765</v>
      </c>
    </row>
    <row r="2279" customFormat="false" ht="23.85" hidden="false" customHeight="false" outlineLevel="0" collapsed="false">
      <c r="A2279" s="7" t="n">
        <v>2278</v>
      </c>
      <c r="B2279" s="7" t="s">
        <v>11065</v>
      </c>
      <c r="C2279" s="7" t="n">
        <v>2025</v>
      </c>
      <c r="D2279" s="7" t="s">
        <v>11766</v>
      </c>
      <c r="E2279" s="7" t="s">
        <v>151</v>
      </c>
      <c r="F2279" s="7" t="s">
        <v>11767</v>
      </c>
      <c r="G2279" s="7" t="s">
        <v>11768</v>
      </c>
      <c r="H2279" s="7" t="s">
        <v>208</v>
      </c>
      <c r="I2279" s="7" t="s">
        <v>11769</v>
      </c>
      <c r="J2279" s="7"/>
      <c r="K2279" s="7" t="s">
        <v>11770</v>
      </c>
    </row>
    <row r="2280" customFormat="false" ht="23.85" hidden="false" customHeight="false" outlineLevel="0" collapsed="false">
      <c r="A2280" s="7" t="n">
        <v>2279</v>
      </c>
      <c r="B2280" s="7" t="s">
        <v>11771</v>
      </c>
      <c r="C2280" s="7" t="n">
        <v>2021</v>
      </c>
      <c r="D2280" s="7" t="s">
        <v>11772</v>
      </c>
      <c r="E2280" s="7" t="s">
        <v>151</v>
      </c>
      <c r="F2280" s="7" t="s">
        <v>11773</v>
      </c>
      <c r="G2280" s="7" t="s">
        <v>11774</v>
      </c>
      <c r="H2280" s="7" t="s">
        <v>11775</v>
      </c>
      <c r="I2280" s="7" t="s">
        <v>11776</v>
      </c>
      <c r="J2280" s="7"/>
      <c r="K2280" s="7" t="s">
        <v>11777</v>
      </c>
    </row>
    <row r="2281" customFormat="false" ht="23.85" hidden="false" customHeight="false" outlineLevel="0" collapsed="false">
      <c r="A2281" s="7" t="n">
        <v>2280</v>
      </c>
      <c r="B2281" s="7" t="s">
        <v>11778</v>
      </c>
      <c r="C2281" s="7" t="n">
        <v>2020</v>
      </c>
      <c r="D2281" s="7" t="s">
        <v>11779</v>
      </c>
      <c r="E2281" s="7" t="s">
        <v>11780</v>
      </c>
      <c r="F2281" s="7" t="s">
        <v>11781</v>
      </c>
      <c r="G2281" s="7" t="s">
        <v>11782</v>
      </c>
      <c r="H2281" s="7" t="s">
        <v>11775</v>
      </c>
      <c r="I2281" s="7" t="s">
        <v>11783</v>
      </c>
      <c r="J2281" s="7"/>
      <c r="K2281" s="7" t="s">
        <v>11784</v>
      </c>
    </row>
    <row r="2282" customFormat="false" ht="23.85" hidden="false" customHeight="false" outlineLevel="0" collapsed="false">
      <c r="A2282" s="7" t="n">
        <v>2281</v>
      </c>
      <c r="B2282" s="7" t="s">
        <v>11785</v>
      </c>
      <c r="C2282" s="7" t="n">
        <v>2025</v>
      </c>
      <c r="D2282" s="7" t="s">
        <v>11786</v>
      </c>
      <c r="E2282" s="7" t="s">
        <v>151</v>
      </c>
      <c r="F2282" s="7" t="s">
        <v>11787</v>
      </c>
      <c r="G2282" s="7" t="s">
        <v>11788</v>
      </c>
      <c r="H2282" s="7" t="s">
        <v>387</v>
      </c>
      <c r="I2282" s="7" t="s">
        <v>11789</v>
      </c>
      <c r="J2282" s="7"/>
      <c r="K2282" s="7" t="s">
        <v>11790</v>
      </c>
    </row>
    <row r="2283" customFormat="false" ht="23.85" hidden="false" customHeight="false" outlineLevel="0" collapsed="false">
      <c r="A2283" s="7" t="n">
        <v>2282</v>
      </c>
      <c r="B2283" s="7" t="s">
        <v>11065</v>
      </c>
      <c r="C2283" s="7" t="n">
        <v>2025</v>
      </c>
      <c r="D2283" s="7" t="s">
        <v>11791</v>
      </c>
      <c r="E2283" s="7" t="s">
        <v>151</v>
      </c>
      <c r="F2283" s="7" t="s">
        <v>11792</v>
      </c>
      <c r="G2283" s="7" t="s">
        <v>11793</v>
      </c>
      <c r="H2283" s="7" t="s">
        <v>387</v>
      </c>
      <c r="I2283" s="7" t="s">
        <v>11794</v>
      </c>
      <c r="J2283" s="7"/>
      <c r="K2283" s="7" t="s">
        <v>11795</v>
      </c>
    </row>
    <row r="2284" customFormat="false" ht="23.85" hidden="false" customHeight="false" outlineLevel="0" collapsed="false">
      <c r="A2284" s="7" t="n">
        <v>2283</v>
      </c>
      <c r="B2284" s="7" t="s">
        <v>11796</v>
      </c>
      <c r="C2284" s="7" t="n">
        <v>2024</v>
      </c>
      <c r="D2284" s="7" t="s">
        <v>11797</v>
      </c>
      <c r="E2284" s="7" t="s">
        <v>151</v>
      </c>
      <c r="F2284" s="7" t="s">
        <v>11798</v>
      </c>
      <c r="G2284" s="7" t="s">
        <v>145</v>
      </c>
      <c r="H2284" s="7" t="s">
        <v>748</v>
      </c>
      <c r="I2284" s="7" t="s">
        <v>11799</v>
      </c>
      <c r="J2284" s="7" t="s">
        <v>116</v>
      </c>
      <c r="K2284" s="7" t="s">
        <v>11800</v>
      </c>
    </row>
    <row r="2285" customFormat="false" ht="23.85" hidden="false" customHeight="false" outlineLevel="0" collapsed="false">
      <c r="A2285" s="7" t="n">
        <v>2284</v>
      </c>
      <c r="B2285" s="7" t="s">
        <v>11801</v>
      </c>
      <c r="C2285" s="7" t="n">
        <v>2025</v>
      </c>
      <c r="D2285" s="7" t="s">
        <v>11802</v>
      </c>
      <c r="E2285" s="7" t="s">
        <v>11803</v>
      </c>
      <c r="F2285" s="7" t="s">
        <v>4170</v>
      </c>
      <c r="G2285" s="7" t="s">
        <v>512</v>
      </c>
      <c r="H2285" s="7" t="s">
        <v>208</v>
      </c>
      <c r="I2285" s="7" t="s">
        <v>11804</v>
      </c>
      <c r="J2285" s="7"/>
      <c r="K2285" s="7" t="s">
        <v>11805</v>
      </c>
    </row>
    <row r="2286" customFormat="false" ht="35.05" hidden="false" customHeight="false" outlineLevel="0" collapsed="false">
      <c r="A2286" s="7" t="n">
        <v>2285</v>
      </c>
      <c r="B2286" s="7" t="s">
        <v>11806</v>
      </c>
      <c r="C2286" s="7" t="n">
        <v>2023</v>
      </c>
      <c r="D2286" s="7" t="s">
        <v>11807</v>
      </c>
      <c r="E2286" s="7" t="s">
        <v>201</v>
      </c>
      <c r="F2286" s="7" t="s">
        <v>11808</v>
      </c>
      <c r="G2286" s="7" t="s">
        <v>145</v>
      </c>
      <c r="H2286" s="7" t="s">
        <v>208</v>
      </c>
      <c r="I2286" s="7" t="s">
        <v>11809</v>
      </c>
      <c r="J2286" s="7" t="s">
        <v>116</v>
      </c>
      <c r="K2286" s="7" t="s">
        <v>11810</v>
      </c>
    </row>
    <row r="2287" customFormat="false" ht="35.05" hidden="false" customHeight="false" outlineLevel="0" collapsed="false">
      <c r="A2287" s="7" t="n">
        <v>2286</v>
      </c>
      <c r="B2287" s="7" t="s">
        <v>11811</v>
      </c>
      <c r="C2287" s="7" t="n">
        <v>2024</v>
      </c>
      <c r="D2287" s="7" t="s">
        <v>11812</v>
      </c>
      <c r="E2287" s="7" t="s">
        <v>11108</v>
      </c>
      <c r="F2287" s="7" t="s">
        <v>11813</v>
      </c>
      <c r="G2287" s="7" t="s">
        <v>11814</v>
      </c>
      <c r="H2287" s="7" t="s">
        <v>11647</v>
      </c>
      <c r="I2287" s="7" t="s">
        <v>11815</v>
      </c>
      <c r="J2287" s="7" t="s">
        <v>116</v>
      </c>
      <c r="K2287" s="7" t="s">
        <v>11816</v>
      </c>
    </row>
    <row r="2288" customFormat="false" ht="23.85" hidden="false" customHeight="false" outlineLevel="0" collapsed="false">
      <c r="A2288" s="7" t="n">
        <v>2287</v>
      </c>
      <c r="B2288" s="7" t="s">
        <v>11817</v>
      </c>
      <c r="C2288" s="7" t="n">
        <v>2025</v>
      </c>
      <c r="D2288" s="7" t="s">
        <v>11818</v>
      </c>
      <c r="E2288" s="7" t="s">
        <v>151</v>
      </c>
      <c r="F2288" s="7" t="s">
        <v>11819</v>
      </c>
      <c r="G2288" s="7" t="s">
        <v>11635</v>
      </c>
      <c r="H2288" s="7" t="s">
        <v>208</v>
      </c>
      <c r="I2288" s="7" t="s">
        <v>11820</v>
      </c>
      <c r="J2288" s="7"/>
      <c r="K2288" s="7" t="s">
        <v>11821</v>
      </c>
    </row>
    <row r="2289" customFormat="false" ht="23.85" hidden="false" customHeight="false" outlineLevel="0" collapsed="false">
      <c r="A2289" s="7" t="n">
        <v>2288</v>
      </c>
      <c r="B2289" s="7" t="s">
        <v>11822</v>
      </c>
      <c r="C2289" s="7" t="n">
        <v>2021</v>
      </c>
      <c r="D2289" s="7" t="s">
        <v>11823</v>
      </c>
      <c r="E2289" s="7" t="s">
        <v>1645</v>
      </c>
      <c r="F2289" s="7" t="s">
        <v>4170</v>
      </c>
      <c r="G2289" s="7" t="s">
        <v>145</v>
      </c>
      <c r="H2289" s="7" t="s">
        <v>208</v>
      </c>
      <c r="I2289" s="7" t="s">
        <v>11824</v>
      </c>
      <c r="J2289" s="7"/>
      <c r="K2289" s="7" t="s">
        <v>11825</v>
      </c>
    </row>
    <row r="2290" customFormat="false" ht="35.05" hidden="false" customHeight="false" outlineLevel="0" collapsed="false">
      <c r="A2290" s="7" t="n">
        <v>2289</v>
      </c>
      <c r="B2290" s="7" t="s">
        <v>11826</v>
      </c>
      <c r="C2290" s="7" t="n">
        <v>2022</v>
      </c>
      <c r="D2290" s="7" t="s">
        <v>11827</v>
      </c>
      <c r="E2290" s="7" t="s">
        <v>11828</v>
      </c>
      <c r="F2290" s="7" t="s">
        <v>3919</v>
      </c>
      <c r="G2290" s="7" t="s">
        <v>4711</v>
      </c>
      <c r="H2290" s="7" t="s">
        <v>208</v>
      </c>
      <c r="I2290" s="7" t="s">
        <v>11829</v>
      </c>
      <c r="J2290" s="7" t="s">
        <v>116</v>
      </c>
      <c r="K2290" s="7" t="s">
        <v>11830</v>
      </c>
    </row>
    <row r="2291" customFormat="false" ht="35.05" hidden="false" customHeight="false" outlineLevel="0" collapsed="false">
      <c r="A2291" s="7" t="n">
        <v>2290</v>
      </c>
      <c r="B2291" s="7" t="s">
        <v>11831</v>
      </c>
      <c r="C2291" s="7" t="n">
        <v>2021</v>
      </c>
      <c r="D2291" s="7" t="s">
        <v>11832</v>
      </c>
      <c r="E2291" s="7" t="s">
        <v>11833</v>
      </c>
      <c r="F2291" s="7" t="s">
        <v>11834</v>
      </c>
      <c r="G2291" s="7" t="s">
        <v>11835</v>
      </c>
      <c r="H2291" s="7" t="s">
        <v>146</v>
      </c>
      <c r="I2291" s="7" t="s">
        <v>11836</v>
      </c>
      <c r="J2291" s="7" t="s">
        <v>116</v>
      </c>
      <c r="K2291" s="7" t="s">
        <v>11837</v>
      </c>
    </row>
    <row r="2292" customFormat="false" ht="23.85" hidden="false" customHeight="false" outlineLevel="0" collapsed="false">
      <c r="A2292" s="7" t="n">
        <v>2291</v>
      </c>
      <c r="B2292" s="7" t="s">
        <v>11065</v>
      </c>
      <c r="C2292" s="7" t="n">
        <v>2025</v>
      </c>
      <c r="D2292" s="7" t="s">
        <v>11838</v>
      </c>
      <c r="E2292" s="7" t="s">
        <v>151</v>
      </c>
      <c r="F2292" s="7" t="s">
        <v>11839</v>
      </c>
      <c r="G2292" s="7" t="s">
        <v>11840</v>
      </c>
      <c r="H2292" s="7" t="s">
        <v>146</v>
      </c>
      <c r="I2292" s="7" t="s">
        <v>11841</v>
      </c>
      <c r="J2292" s="7"/>
      <c r="K2292" s="7" t="s">
        <v>11842</v>
      </c>
    </row>
    <row r="2293" customFormat="false" ht="35.05" hidden="false" customHeight="false" outlineLevel="0" collapsed="false">
      <c r="A2293" s="7" t="n">
        <v>2292</v>
      </c>
      <c r="B2293" s="7" t="s">
        <v>11843</v>
      </c>
      <c r="C2293" s="7" t="n">
        <v>2006</v>
      </c>
      <c r="D2293" s="7" t="s">
        <v>11844</v>
      </c>
      <c r="E2293" s="7" t="s">
        <v>11845</v>
      </c>
      <c r="F2293" s="7" t="s">
        <v>11846</v>
      </c>
      <c r="G2293" s="7" t="s">
        <v>145</v>
      </c>
      <c r="H2293" s="7" t="s">
        <v>11847</v>
      </c>
      <c r="I2293" s="7" t="s">
        <v>11848</v>
      </c>
      <c r="J2293" s="7" t="s">
        <v>116</v>
      </c>
      <c r="K2293" s="7" t="s">
        <v>11849</v>
      </c>
    </row>
    <row r="2294" customFormat="false" ht="23.85" hidden="false" customHeight="false" outlineLevel="0" collapsed="false">
      <c r="A2294" s="7" t="n">
        <v>2293</v>
      </c>
      <c r="B2294" s="7" t="s">
        <v>11850</v>
      </c>
      <c r="C2294" s="7" t="n">
        <v>2021</v>
      </c>
      <c r="D2294" s="7" t="s">
        <v>11851</v>
      </c>
      <c r="E2294" s="7" t="s">
        <v>151</v>
      </c>
      <c r="F2294" s="7" t="s">
        <v>11852</v>
      </c>
      <c r="G2294" s="7" t="s">
        <v>145</v>
      </c>
      <c r="H2294" s="7" t="s">
        <v>146</v>
      </c>
      <c r="I2294" s="7" t="s">
        <v>11853</v>
      </c>
      <c r="J2294" s="7"/>
      <c r="K2294" s="7" t="s">
        <v>11854</v>
      </c>
    </row>
    <row r="2295" customFormat="false" ht="23.85" hidden="false" customHeight="false" outlineLevel="0" collapsed="false">
      <c r="A2295" s="7" t="n">
        <v>2294</v>
      </c>
      <c r="B2295" s="7" t="s">
        <v>11855</v>
      </c>
      <c r="C2295" s="7" t="n">
        <v>2007</v>
      </c>
      <c r="D2295" s="7" t="s">
        <v>11857</v>
      </c>
      <c r="E2295" s="7" t="s">
        <v>151</v>
      </c>
      <c r="F2295" s="7" t="s">
        <v>11359</v>
      </c>
      <c r="G2295" s="7" t="s">
        <v>11858</v>
      </c>
      <c r="H2295" s="7" t="s">
        <v>11847</v>
      </c>
      <c r="I2295" s="7" t="s">
        <v>11859</v>
      </c>
      <c r="J2295" s="7"/>
      <c r="K2295" s="7" t="s">
        <v>11860</v>
      </c>
    </row>
    <row r="2296" customFormat="false" ht="35.05" hidden="false" customHeight="false" outlineLevel="0" collapsed="false">
      <c r="A2296" s="7" t="n">
        <v>2295</v>
      </c>
      <c r="B2296" s="7" t="s">
        <v>3243</v>
      </c>
      <c r="C2296" s="7" t="n">
        <v>2023</v>
      </c>
      <c r="D2296" s="7" t="s">
        <v>11861</v>
      </c>
      <c r="E2296" s="7" t="s">
        <v>143</v>
      </c>
      <c r="F2296" s="7" t="s">
        <v>11862</v>
      </c>
      <c r="G2296" s="7" t="s">
        <v>11863</v>
      </c>
      <c r="H2296" s="7" t="s">
        <v>146</v>
      </c>
      <c r="I2296" s="7" t="s">
        <v>11864</v>
      </c>
      <c r="J2296" s="7"/>
      <c r="K2296" s="7" t="s">
        <v>11865</v>
      </c>
    </row>
    <row r="2297" customFormat="false" ht="23.85" hidden="false" customHeight="false" outlineLevel="0" collapsed="false">
      <c r="A2297" s="7" t="n">
        <v>2296</v>
      </c>
      <c r="B2297" s="7" t="s">
        <v>11050</v>
      </c>
      <c r="C2297" s="7" t="n">
        <v>2025</v>
      </c>
      <c r="D2297" s="7" t="s">
        <v>11866</v>
      </c>
      <c r="E2297" s="7" t="s">
        <v>151</v>
      </c>
      <c r="F2297" s="7" t="s">
        <v>11792</v>
      </c>
      <c r="G2297" s="7" t="s">
        <v>11867</v>
      </c>
      <c r="H2297" s="7" t="s">
        <v>11847</v>
      </c>
      <c r="I2297" s="7" t="s">
        <v>11868</v>
      </c>
      <c r="J2297" s="7"/>
      <c r="K2297" s="7" t="s">
        <v>11869</v>
      </c>
    </row>
    <row r="2298" customFormat="false" ht="35.05" hidden="false" customHeight="false" outlineLevel="0" collapsed="false">
      <c r="A2298" s="7" t="n">
        <v>2297</v>
      </c>
      <c r="B2298" s="7" t="s">
        <v>11870</v>
      </c>
      <c r="C2298" s="7" t="n">
        <v>2025</v>
      </c>
      <c r="D2298" s="7" t="s">
        <v>11871</v>
      </c>
      <c r="E2298" s="7" t="s">
        <v>151</v>
      </c>
      <c r="F2298" s="7" t="s">
        <v>11872</v>
      </c>
      <c r="G2298" s="7" t="s">
        <v>11873</v>
      </c>
      <c r="H2298" s="7" t="s">
        <v>146</v>
      </c>
      <c r="I2298" s="7" t="s">
        <v>11874</v>
      </c>
      <c r="J2298" s="7" t="s">
        <v>114</v>
      </c>
      <c r="K2298" s="7" t="s">
        <v>11875</v>
      </c>
    </row>
    <row r="2299" customFormat="false" ht="35.05" hidden="false" customHeight="false" outlineLevel="0" collapsed="false">
      <c r="A2299" s="7" t="n">
        <v>2298</v>
      </c>
      <c r="B2299" s="7" t="s">
        <v>11876</v>
      </c>
      <c r="C2299" s="7"/>
      <c r="D2299" s="7" t="s">
        <v>11877</v>
      </c>
      <c r="E2299" s="7" t="s">
        <v>1494</v>
      </c>
      <c r="F2299" s="7" t="s">
        <v>11878</v>
      </c>
      <c r="G2299" s="7" t="s">
        <v>4711</v>
      </c>
      <c r="H2299" s="7" t="s">
        <v>146</v>
      </c>
      <c r="I2299" s="7" t="s">
        <v>11879</v>
      </c>
      <c r="J2299" s="7" t="s">
        <v>116</v>
      </c>
      <c r="K2299" s="7" t="s">
        <v>11880</v>
      </c>
    </row>
    <row r="2300" customFormat="false" ht="35.05" hidden="false" customHeight="false" outlineLevel="0" collapsed="false">
      <c r="A2300" s="7" t="n">
        <v>2299</v>
      </c>
      <c r="B2300" s="7" t="s">
        <v>11881</v>
      </c>
      <c r="C2300" s="7" t="n">
        <v>2016</v>
      </c>
      <c r="D2300" s="7" t="s">
        <v>11882</v>
      </c>
      <c r="E2300" s="7" t="s">
        <v>11883</v>
      </c>
      <c r="F2300" s="7" t="s">
        <v>798</v>
      </c>
      <c r="G2300" s="7" t="s">
        <v>11884</v>
      </c>
      <c r="H2300" s="7" t="s">
        <v>146</v>
      </c>
      <c r="I2300" s="7" t="s">
        <v>11885</v>
      </c>
      <c r="J2300" s="7"/>
      <c r="K2300" s="7" t="s">
        <v>11886</v>
      </c>
    </row>
    <row r="2301" customFormat="false" ht="35.05" hidden="false" customHeight="false" outlineLevel="0" collapsed="false">
      <c r="A2301" s="7" t="n">
        <v>2300</v>
      </c>
      <c r="B2301" s="7" t="s">
        <v>11887</v>
      </c>
      <c r="C2301" s="7" t="n">
        <v>2023</v>
      </c>
      <c r="D2301" s="7" t="s">
        <v>11888</v>
      </c>
      <c r="E2301" s="7" t="s">
        <v>151</v>
      </c>
      <c r="F2301" s="7" t="s">
        <v>11889</v>
      </c>
      <c r="G2301" s="7" t="s">
        <v>11890</v>
      </c>
      <c r="H2301" s="7" t="s">
        <v>146</v>
      </c>
      <c r="I2301" s="7" t="s">
        <v>11891</v>
      </c>
      <c r="J2301" s="7"/>
      <c r="K2301" s="7" t="s">
        <v>11892</v>
      </c>
    </row>
    <row r="2302" customFormat="false" ht="35.05" hidden="false" customHeight="false" outlineLevel="0" collapsed="false">
      <c r="A2302" s="7" t="n">
        <v>2301</v>
      </c>
      <c r="B2302" s="7" t="s">
        <v>11893</v>
      </c>
      <c r="C2302" s="7" t="n">
        <v>2023</v>
      </c>
      <c r="D2302" s="7" t="s">
        <v>11894</v>
      </c>
      <c r="E2302" s="7" t="s">
        <v>4040</v>
      </c>
      <c r="F2302" s="7" t="s">
        <v>11895</v>
      </c>
      <c r="G2302" s="7" t="s">
        <v>3295</v>
      </c>
      <c r="H2302" s="7" t="s">
        <v>146</v>
      </c>
      <c r="I2302" s="7" t="s">
        <v>11896</v>
      </c>
      <c r="J2302" s="7"/>
      <c r="K2302" s="7" t="s">
        <v>11897</v>
      </c>
    </row>
    <row r="2303" customFormat="false" ht="35.05" hidden="false" customHeight="false" outlineLevel="0" collapsed="false">
      <c r="A2303" s="7" t="n">
        <v>2302</v>
      </c>
      <c r="B2303" s="7" t="s">
        <v>11898</v>
      </c>
      <c r="C2303" s="7" t="n">
        <v>2024</v>
      </c>
      <c r="D2303" s="7" t="s">
        <v>11899</v>
      </c>
      <c r="E2303" s="7" t="s">
        <v>151</v>
      </c>
      <c r="F2303" s="7" t="s">
        <v>11900</v>
      </c>
      <c r="G2303" s="7" t="s">
        <v>11901</v>
      </c>
      <c r="H2303" s="7" t="s">
        <v>146</v>
      </c>
      <c r="I2303" s="7" t="s">
        <v>11902</v>
      </c>
      <c r="J2303" s="7"/>
      <c r="K2303" s="7" t="s">
        <v>11903</v>
      </c>
    </row>
    <row r="2304" customFormat="false" ht="35.05" hidden="false" customHeight="false" outlineLevel="0" collapsed="false">
      <c r="A2304" s="7" t="n">
        <v>2303</v>
      </c>
      <c r="B2304" s="7" t="s">
        <v>11904</v>
      </c>
      <c r="C2304" s="7" t="n">
        <v>2023</v>
      </c>
      <c r="D2304" s="7" t="s">
        <v>11905</v>
      </c>
      <c r="E2304" s="7" t="s">
        <v>11108</v>
      </c>
      <c r="F2304" s="7" t="s">
        <v>11906</v>
      </c>
      <c r="G2304" s="7" t="s">
        <v>11907</v>
      </c>
      <c r="H2304" s="7" t="s">
        <v>11740</v>
      </c>
      <c r="I2304" s="7" t="s">
        <v>11908</v>
      </c>
      <c r="J2304" s="7" t="s">
        <v>114</v>
      </c>
      <c r="K2304" s="7" t="s">
        <v>11909</v>
      </c>
    </row>
    <row r="2305" customFormat="false" ht="23.85" hidden="false" customHeight="false" outlineLevel="0" collapsed="false">
      <c r="A2305" s="7" t="n">
        <v>2304</v>
      </c>
      <c r="B2305" s="7" t="s">
        <v>11910</v>
      </c>
      <c r="C2305" s="7" t="n">
        <v>2021</v>
      </c>
      <c r="D2305" s="7" t="s">
        <v>11911</v>
      </c>
      <c r="E2305" s="7" t="s">
        <v>143</v>
      </c>
      <c r="F2305" s="7" t="s">
        <v>11912</v>
      </c>
      <c r="G2305" s="7" t="s">
        <v>11913</v>
      </c>
      <c r="H2305" s="7" t="s">
        <v>11740</v>
      </c>
      <c r="I2305" s="7" t="s">
        <v>11914</v>
      </c>
      <c r="J2305" s="7"/>
      <c r="K2305" s="7" t="s">
        <v>11915</v>
      </c>
    </row>
    <row r="2306" customFormat="false" ht="23.85" hidden="false" customHeight="false" outlineLevel="0" collapsed="false">
      <c r="A2306" s="7" t="n">
        <v>2305</v>
      </c>
      <c r="B2306" s="7" t="s">
        <v>11916</v>
      </c>
      <c r="C2306" s="7" t="n">
        <v>2024</v>
      </c>
      <c r="D2306" s="7" t="s">
        <v>11917</v>
      </c>
      <c r="E2306" s="7" t="s">
        <v>11108</v>
      </c>
      <c r="F2306" s="7" t="s">
        <v>11918</v>
      </c>
      <c r="G2306" s="7" t="s">
        <v>11919</v>
      </c>
      <c r="H2306" s="7" t="s">
        <v>11740</v>
      </c>
      <c r="I2306" s="7" t="s">
        <v>11920</v>
      </c>
      <c r="J2306" s="7" t="s">
        <v>114</v>
      </c>
      <c r="K2306" s="7" t="s">
        <v>11921</v>
      </c>
    </row>
    <row r="2307" customFormat="false" ht="35.05" hidden="false" customHeight="false" outlineLevel="0" collapsed="false">
      <c r="A2307" s="7" t="n">
        <v>2306</v>
      </c>
      <c r="B2307" s="7" t="s">
        <v>11922</v>
      </c>
      <c r="C2307" s="7" t="n">
        <v>2025</v>
      </c>
      <c r="D2307" s="7" t="s">
        <v>11923</v>
      </c>
      <c r="E2307" s="7" t="s">
        <v>201</v>
      </c>
      <c r="F2307" s="7" t="s">
        <v>1080</v>
      </c>
      <c r="G2307" s="7" t="s">
        <v>4310</v>
      </c>
      <c r="H2307" s="7" t="s">
        <v>11740</v>
      </c>
      <c r="I2307" s="7" t="s">
        <v>11924</v>
      </c>
      <c r="J2307" s="7"/>
      <c r="K2307" s="7" t="s">
        <v>11925</v>
      </c>
    </row>
    <row r="2308" customFormat="false" ht="35.05" hidden="false" customHeight="false" outlineLevel="0" collapsed="false">
      <c r="A2308" s="7" t="n">
        <v>2307</v>
      </c>
      <c r="B2308" s="7" t="s">
        <v>11926</v>
      </c>
      <c r="C2308" s="7" t="n">
        <v>2020</v>
      </c>
      <c r="D2308" s="7" t="s">
        <v>11927</v>
      </c>
      <c r="E2308" s="7" t="s">
        <v>11108</v>
      </c>
      <c r="F2308" s="7" t="s">
        <v>11928</v>
      </c>
      <c r="G2308" s="7" t="s">
        <v>11929</v>
      </c>
      <c r="H2308" s="7" t="s">
        <v>146</v>
      </c>
      <c r="I2308" s="7" t="s">
        <v>11930</v>
      </c>
      <c r="J2308" s="7" t="s">
        <v>116</v>
      </c>
      <c r="K2308" s="7" t="s">
        <v>11931</v>
      </c>
    </row>
    <row r="2309" customFormat="false" ht="35.05" hidden="false" customHeight="false" outlineLevel="0" collapsed="false">
      <c r="A2309" s="7" t="n">
        <v>2308</v>
      </c>
      <c r="B2309" s="7" t="s">
        <v>11932</v>
      </c>
      <c r="C2309" s="7" t="n">
        <v>2023</v>
      </c>
      <c r="D2309" s="7" t="s">
        <v>11933</v>
      </c>
      <c r="E2309" s="7" t="s">
        <v>151</v>
      </c>
      <c r="F2309" s="7" t="s">
        <v>10445</v>
      </c>
      <c r="G2309" s="7" t="s">
        <v>145</v>
      </c>
      <c r="H2309" s="7" t="s">
        <v>208</v>
      </c>
      <c r="I2309" s="7" t="s">
        <v>11934</v>
      </c>
      <c r="J2309" s="7"/>
      <c r="K2309" s="7" t="s">
        <v>11935</v>
      </c>
    </row>
    <row r="2310" customFormat="false" ht="35.05" hidden="false" customHeight="false" outlineLevel="0" collapsed="false">
      <c r="A2310" s="7" t="n">
        <v>2309</v>
      </c>
      <c r="B2310" s="7" t="s">
        <v>11936</v>
      </c>
      <c r="C2310" s="7" t="n">
        <v>2023</v>
      </c>
      <c r="D2310" s="7" t="s">
        <v>11937</v>
      </c>
      <c r="E2310" s="7" t="s">
        <v>151</v>
      </c>
      <c r="F2310" s="7" t="s">
        <v>1678</v>
      </c>
      <c r="G2310" s="7" t="s">
        <v>11938</v>
      </c>
      <c r="H2310" s="7" t="s">
        <v>208</v>
      </c>
      <c r="I2310" s="7" t="s">
        <v>11939</v>
      </c>
      <c r="J2310" s="7"/>
      <c r="K2310" s="7" t="s">
        <v>11940</v>
      </c>
    </row>
    <row r="2311" customFormat="false" ht="35.05" hidden="false" customHeight="false" outlineLevel="0" collapsed="false">
      <c r="A2311" s="7" t="n">
        <v>2310</v>
      </c>
      <c r="B2311" s="7" t="s">
        <v>11941</v>
      </c>
      <c r="C2311" s="7" t="n">
        <v>2024</v>
      </c>
      <c r="D2311" s="7" t="s">
        <v>11942</v>
      </c>
      <c r="E2311" s="7" t="s">
        <v>151</v>
      </c>
      <c r="F2311" s="7" t="s">
        <v>1619</v>
      </c>
      <c r="G2311" s="7" t="s">
        <v>145</v>
      </c>
      <c r="H2311" s="7" t="s">
        <v>208</v>
      </c>
      <c r="I2311" s="7" t="s">
        <v>11943</v>
      </c>
      <c r="J2311" s="7"/>
      <c r="K2311" s="7" t="s">
        <v>11944</v>
      </c>
    </row>
    <row r="2312" customFormat="false" ht="35.05" hidden="false" customHeight="false" outlineLevel="0" collapsed="false">
      <c r="A2312" s="7" t="n">
        <v>2311</v>
      </c>
      <c r="B2312" s="7" t="s">
        <v>11945</v>
      </c>
      <c r="C2312" s="7" t="n">
        <v>2018</v>
      </c>
      <c r="D2312" s="7" t="s">
        <v>11946</v>
      </c>
      <c r="E2312" s="7" t="s">
        <v>201</v>
      </c>
      <c r="F2312" s="7" t="s">
        <v>10445</v>
      </c>
      <c r="G2312" s="7" t="s">
        <v>11947</v>
      </c>
      <c r="H2312" s="7" t="s">
        <v>748</v>
      </c>
      <c r="I2312" s="7" t="s">
        <v>11948</v>
      </c>
      <c r="J2312" s="7" t="s">
        <v>116</v>
      </c>
      <c r="K2312" s="7" t="s">
        <v>11949</v>
      </c>
    </row>
    <row r="2313" customFormat="false" ht="35.05" hidden="false" customHeight="false" outlineLevel="0" collapsed="false">
      <c r="A2313" s="7" t="n">
        <v>2312</v>
      </c>
      <c r="B2313" s="7" t="s">
        <v>11950</v>
      </c>
      <c r="C2313" s="7" t="n">
        <v>2023</v>
      </c>
      <c r="D2313" s="7" t="s">
        <v>11951</v>
      </c>
      <c r="E2313" s="7" t="s">
        <v>143</v>
      </c>
      <c r="F2313" s="7" t="s">
        <v>11952</v>
      </c>
      <c r="G2313" s="7" t="s">
        <v>145</v>
      </c>
      <c r="H2313" s="7" t="s">
        <v>208</v>
      </c>
      <c r="I2313" s="7" t="s">
        <v>11953</v>
      </c>
      <c r="J2313" s="7" t="s">
        <v>114</v>
      </c>
      <c r="K2313" s="7" t="s">
        <v>11954</v>
      </c>
    </row>
    <row r="2314" customFormat="false" ht="23.85" hidden="false" customHeight="false" outlineLevel="0" collapsed="false">
      <c r="A2314" s="7" t="n">
        <v>2313</v>
      </c>
      <c r="B2314" s="7" t="s">
        <v>11955</v>
      </c>
      <c r="C2314" s="7" t="n">
        <v>2024</v>
      </c>
      <c r="D2314" s="7" t="s">
        <v>11956</v>
      </c>
      <c r="E2314" s="7" t="s">
        <v>151</v>
      </c>
      <c r="F2314" s="7" t="s">
        <v>1678</v>
      </c>
      <c r="G2314" s="7" t="s">
        <v>11957</v>
      </c>
      <c r="H2314" s="7" t="s">
        <v>748</v>
      </c>
      <c r="I2314" s="7" t="s">
        <v>11958</v>
      </c>
      <c r="J2314" s="7"/>
      <c r="K2314" s="7" t="s">
        <v>11959</v>
      </c>
    </row>
    <row r="2315" customFormat="false" ht="23.85" hidden="false" customHeight="false" outlineLevel="0" collapsed="false">
      <c r="A2315" s="7" t="n">
        <v>2314</v>
      </c>
      <c r="B2315" s="7" t="s">
        <v>11960</v>
      </c>
      <c r="C2315" s="7" t="n">
        <v>2024</v>
      </c>
      <c r="D2315" s="7" t="s">
        <v>11961</v>
      </c>
      <c r="E2315" s="7" t="s">
        <v>151</v>
      </c>
      <c r="F2315" s="7" t="s">
        <v>11889</v>
      </c>
      <c r="G2315" s="7" t="s">
        <v>11962</v>
      </c>
      <c r="H2315" s="7" t="s">
        <v>11681</v>
      </c>
      <c r="I2315" s="7" t="s">
        <v>11963</v>
      </c>
      <c r="J2315" s="7"/>
      <c r="K2315" s="7" t="s">
        <v>11964</v>
      </c>
    </row>
    <row r="2316" customFormat="false" ht="23.85" hidden="false" customHeight="false" outlineLevel="0" collapsed="false">
      <c r="A2316" s="7" t="n">
        <v>2315</v>
      </c>
      <c r="B2316" s="7" t="s">
        <v>11965</v>
      </c>
      <c r="C2316" s="7" t="n">
        <v>2024</v>
      </c>
      <c r="D2316" s="7" t="s">
        <v>11966</v>
      </c>
      <c r="E2316" s="7" t="s">
        <v>151</v>
      </c>
      <c r="F2316" s="7" t="s">
        <v>11967</v>
      </c>
      <c r="G2316" s="7" t="s">
        <v>11968</v>
      </c>
      <c r="H2316" s="7" t="s">
        <v>208</v>
      </c>
      <c r="I2316" s="7" t="s">
        <v>11969</v>
      </c>
      <c r="J2316" s="7" t="s">
        <v>114</v>
      </c>
      <c r="K2316" s="7" t="s">
        <v>11970</v>
      </c>
    </row>
    <row r="2317" customFormat="false" ht="35.05" hidden="false" customHeight="false" outlineLevel="0" collapsed="false">
      <c r="A2317" s="7" t="n">
        <v>2316</v>
      </c>
      <c r="B2317" s="7" t="s">
        <v>11971</v>
      </c>
      <c r="C2317" s="7" t="n">
        <v>2024</v>
      </c>
      <c r="D2317" s="7" t="s">
        <v>11972</v>
      </c>
      <c r="E2317" s="7" t="s">
        <v>151</v>
      </c>
      <c r="F2317" s="7" t="s">
        <v>11973</v>
      </c>
      <c r="G2317" s="7" t="s">
        <v>945</v>
      </c>
      <c r="H2317" s="7" t="s">
        <v>11647</v>
      </c>
      <c r="I2317" s="7" t="s">
        <v>11974</v>
      </c>
      <c r="J2317" s="7"/>
      <c r="K2317" s="7" t="s">
        <v>11975</v>
      </c>
    </row>
    <row r="2318" customFormat="false" ht="23.85" hidden="false" customHeight="false" outlineLevel="0" collapsed="false">
      <c r="A2318" s="7" t="n">
        <v>2317</v>
      </c>
      <c r="B2318" s="7" t="s">
        <v>11976</v>
      </c>
      <c r="C2318" s="7" t="n">
        <v>2024</v>
      </c>
      <c r="D2318" s="7" t="s">
        <v>11977</v>
      </c>
      <c r="E2318" s="7" t="s">
        <v>151</v>
      </c>
      <c r="F2318" s="7" t="s">
        <v>11978</v>
      </c>
      <c r="G2318" s="7" t="s">
        <v>11979</v>
      </c>
      <c r="H2318" s="7" t="s">
        <v>208</v>
      </c>
      <c r="I2318" s="7" t="s">
        <v>11980</v>
      </c>
      <c r="J2318" s="7"/>
      <c r="K2318" s="7" t="s">
        <v>11981</v>
      </c>
    </row>
    <row r="2319" customFormat="false" ht="35.05" hidden="false" customHeight="false" outlineLevel="0" collapsed="false">
      <c r="A2319" s="7" t="n">
        <v>2318</v>
      </c>
      <c r="B2319" s="7" t="s">
        <v>11982</v>
      </c>
      <c r="C2319" s="7" t="n">
        <v>2023</v>
      </c>
      <c r="D2319" s="7" t="s">
        <v>11983</v>
      </c>
      <c r="E2319" s="7" t="s">
        <v>11108</v>
      </c>
      <c r="F2319" s="7" t="s">
        <v>11984</v>
      </c>
      <c r="G2319" s="7" t="s">
        <v>11985</v>
      </c>
      <c r="H2319" s="7" t="s">
        <v>11986</v>
      </c>
      <c r="I2319" s="7" t="s">
        <v>11987</v>
      </c>
      <c r="J2319" s="7" t="s">
        <v>116</v>
      </c>
      <c r="K2319" s="7" t="s">
        <v>11988</v>
      </c>
    </row>
    <row r="2320" customFormat="false" ht="35.05" hidden="false" customHeight="false" outlineLevel="0" collapsed="false">
      <c r="A2320" s="7" t="n">
        <v>2319</v>
      </c>
      <c r="B2320" s="7" t="s">
        <v>11989</v>
      </c>
      <c r="C2320" s="7" t="n">
        <v>2024</v>
      </c>
      <c r="D2320" s="7" t="s">
        <v>11990</v>
      </c>
      <c r="E2320" s="7" t="s">
        <v>11014</v>
      </c>
      <c r="F2320" s="7" t="s">
        <v>11991</v>
      </c>
      <c r="G2320" s="7" t="s">
        <v>11992</v>
      </c>
      <c r="H2320" s="7" t="s">
        <v>11986</v>
      </c>
      <c r="I2320" s="7" t="s">
        <v>11993</v>
      </c>
      <c r="J2320" s="7" t="s">
        <v>116</v>
      </c>
      <c r="K2320" s="7" t="s">
        <v>11994</v>
      </c>
    </row>
    <row r="2321" customFormat="false" ht="35.05" hidden="false" customHeight="false" outlineLevel="0" collapsed="false">
      <c r="A2321" s="7" t="n">
        <v>2320</v>
      </c>
      <c r="B2321" s="7" t="s">
        <v>11995</v>
      </c>
      <c r="C2321" s="7"/>
      <c r="D2321" s="7" t="s">
        <v>11996</v>
      </c>
      <c r="E2321" s="7" t="s">
        <v>11108</v>
      </c>
      <c r="F2321" s="7" t="s">
        <v>11997</v>
      </c>
      <c r="G2321" s="7" t="s">
        <v>11998</v>
      </c>
      <c r="H2321" s="7" t="s">
        <v>11986</v>
      </c>
      <c r="I2321" s="7" t="s">
        <v>11999</v>
      </c>
      <c r="J2321" s="7" t="s">
        <v>116</v>
      </c>
      <c r="K2321" s="7" t="s">
        <v>12000</v>
      </c>
    </row>
    <row r="2322" customFormat="false" ht="23.85" hidden="false" customHeight="false" outlineLevel="0" collapsed="false">
      <c r="A2322" s="7" t="n">
        <v>2321</v>
      </c>
      <c r="B2322" s="7" t="s">
        <v>12001</v>
      </c>
      <c r="C2322" s="7"/>
      <c r="D2322" s="7" t="s">
        <v>12002</v>
      </c>
      <c r="E2322" s="7" t="s">
        <v>151</v>
      </c>
      <c r="F2322" s="7" t="s">
        <v>12003</v>
      </c>
      <c r="G2322" s="7" t="s">
        <v>12004</v>
      </c>
      <c r="H2322" s="7" t="s">
        <v>11986</v>
      </c>
      <c r="I2322" s="7" t="s">
        <v>12005</v>
      </c>
      <c r="J2322" s="7"/>
      <c r="K2322" s="7" t="s">
        <v>12006</v>
      </c>
    </row>
    <row r="2323" customFormat="false" ht="35.05" hidden="false" customHeight="false" outlineLevel="0" collapsed="false">
      <c r="A2323" s="7" t="n">
        <v>2322</v>
      </c>
      <c r="B2323" s="7" t="s">
        <v>12007</v>
      </c>
      <c r="C2323" s="7" t="n">
        <v>2018</v>
      </c>
      <c r="D2323" s="7" t="s">
        <v>12008</v>
      </c>
      <c r="E2323" s="7" t="s">
        <v>151</v>
      </c>
      <c r="F2323" s="7" t="s">
        <v>798</v>
      </c>
      <c r="G2323" s="7" t="s">
        <v>12009</v>
      </c>
      <c r="H2323" s="7" t="s">
        <v>11681</v>
      </c>
      <c r="I2323" s="7" t="s">
        <v>12010</v>
      </c>
      <c r="J2323" s="7"/>
      <c r="K2323" s="7" t="s">
        <v>12011</v>
      </c>
    </row>
    <row r="2324" customFormat="false" ht="35.05" hidden="false" customHeight="false" outlineLevel="0" collapsed="false">
      <c r="A2324" s="7" t="n">
        <v>2323</v>
      </c>
      <c r="B2324" s="7" t="s">
        <v>12012</v>
      </c>
      <c r="C2324" s="7" t="n">
        <v>2019</v>
      </c>
      <c r="D2324" s="7" t="s">
        <v>12013</v>
      </c>
      <c r="E2324" s="7" t="s">
        <v>201</v>
      </c>
      <c r="F2324" s="7" t="s">
        <v>12014</v>
      </c>
      <c r="G2324" s="7" t="s">
        <v>12015</v>
      </c>
      <c r="H2324" s="7" t="s">
        <v>748</v>
      </c>
      <c r="I2324" s="7" t="s">
        <v>12016</v>
      </c>
      <c r="J2324" s="7" t="s">
        <v>116</v>
      </c>
      <c r="K2324" s="7" t="s">
        <v>12017</v>
      </c>
    </row>
    <row r="2325" customFormat="false" ht="35.05" hidden="false" customHeight="false" outlineLevel="0" collapsed="false">
      <c r="A2325" s="7" t="n">
        <v>2324</v>
      </c>
      <c r="B2325" s="7" t="s">
        <v>12018</v>
      </c>
      <c r="C2325" s="7" t="n">
        <v>2012</v>
      </c>
      <c r="D2325" s="7" t="s">
        <v>12019</v>
      </c>
      <c r="E2325" s="7" t="s">
        <v>11108</v>
      </c>
      <c r="F2325" s="7" t="s">
        <v>12020</v>
      </c>
      <c r="G2325" s="7" t="s">
        <v>12021</v>
      </c>
      <c r="H2325" s="7" t="s">
        <v>748</v>
      </c>
      <c r="I2325" s="7" t="s">
        <v>12022</v>
      </c>
      <c r="J2325" s="7" t="s">
        <v>116</v>
      </c>
      <c r="K2325" s="7" t="s">
        <v>12023</v>
      </c>
    </row>
    <row r="2326" customFormat="false" ht="35.05" hidden="false" customHeight="false" outlineLevel="0" collapsed="false">
      <c r="A2326" s="7" t="n">
        <v>2325</v>
      </c>
      <c r="B2326" s="7" t="s">
        <v>12024</v>
      </c>
      <c r="C2326" s="7" t="n">
        <v>2022</v>
      </c>
      <c r="D2326" s="7" t="s">
        <v>12025</v>
      </c>
      <c r="E2326" s="7" t="s">
        <v>151</v>
      </c>
      <c r="F2326" s="7" t="s">
        <v>798</v>
      </c>
      <c r="G2326" s="7" t="s">
        <v>12026</v>
      </c>
      <c r="H2326" s="7" t="s">
        <v>11681</v>
      </c>
      <c r="I2326" s="7" t="s">
        <v>12027</v>
      </c>
      <c r="J2326" s="7"/>
      <c r="K2326" s="7" t="s">
        <v>12028</v>
      </c>
    </row>
    <row r="2327" customFormat="false" ht="23.85" hidden="false" customHeight="false" outlineLevel="0" collapsed="false">
      <c r="A2327" s="7" t="n">
        <v>2326</v>
      </c>
      <c r="B2327" s="7" t="s">
        <v>12029</v>
      </c>
      <c r="C2327" s="7" t="n">
        <v>2025</v>
      </c>
      <c r="D2327" s="7" t="s">
        <v>12030</v>
      </c>
      <c r="E2327" s="7" t="s">
        <v>151</v>
      </c>
      <c r="F2327" s="7" t="s">
        <v>11634</v>
      </c>
      <c r="G2327" s="7" t="s">
        <v>12031</v>
      </c>
      <c r="H2327" s="7" t="s">
        <v>11681</v>
      </c>
      <c r="I2327" s="7" t="s">
        <v>12032</v>
      </c>
      <c r="J2327" s="7"/>
      <c r="K2327" s="7" t="s">
        <v>12033</v>
      </c>
    </row>
    <row r="2328" customFormat="false" ht="35.05" hidden="false" customHeight="false" outlineLevel="0" collapsed="false">
      <c r="A2328" s="7" t="n">
        <v>2327</v>
      </c>
      <c r="B2328" s="7" t="s">
        <v>12034</v>
      </c>
      <c r="C2328" s="7" t="n">
        <v>2024</v>
      </c>
      <c r="D2328" s="7" t="s">
        <v>12035</v>
      </c>
      <c r="E2328" s="7" t="s">
        <v>11014</v>
      </c>
      <c r="F2328" s="7" t="s">
        <v>12036</v>
      </c>
      <c r="G2328" s="7" t="s">
        <v>12037</v>
      </c>
      <c r="H2328" s="7" t="s">
        <v>12038</v>
      </c>
      <c r="I2328" s="7" t="s">
        <v>12039</v>
      </c>
      <c r="J2328" s="7" t="s">
        <v>116</v>
      </c>
      <c r="K2328" s="7" t="s">
        <v>12040</v>
      </c>
    </row>
    <row r="2329" customFormat="false" ht="35.05" hidden="false" customHeight="false" outlineLevel="0" collapsed="false">
      <c r="A2329" s="7" t="n">
        <v>2328</v>
      </c>
      <c r="B2329" s="7" t="s">
        <v>12041</v>
      </c>
      <c r="C2329" s="7" t="n">
        <v>2023</v>
      </c>
      <c r="D2329" s="7" t="s">
        <v>12042</v>
      </c>
      <c r="E2329" s="7" t="s">
        <v>11108</v>
      </c>
      <c r="F2329" s="7" t="s">
        <v>12043</v>
      </c>
      <c r="G2329" s="7" t="s">
        <v>12044</v>
      </c>
      <c r="H2329" s="7" t="s">
        <v>12038</v>
      </c>
      <c r="I2329" s="7" t="s">
        <v>12045</v>
      </c>
      <c r="J2329" s="7" t="s">
        <v>116</v>
      </c>
      <c r="K2329" s="7" t="s">
        <v>12046</v>
      </c>
    </row>
    <row r="2330" customFormat="false" ht="35.05" hidden="false" customHeight="false" outlineLevel="0" collapsed="false">
      <c r="A2330" s="7" t="n">
        <v>2329</v>
      </c>
      <c r="B2330" s="7" t="s">
        <v>2603</v>
      </c>
      <c r="C2330" s="7" t="n">
        <v>2023</v>
      </c>
      <c r="D2330" s="7" t="s">
        <v>12047</v>
      </c>
      <c r="E2330" s="7" t="s">
        <v>201</v>
      </c>
      <c r="F2330" s="7" t="s">
        <v>10445</v>
      </c>
      <c r="G2330" s="7" t="s">
        <v>12048</v>
      </c>
      <c r="H2330" s="7" t="s">
        <v>208</v>
      </c>
      <c r="I2330" s="7" t="s">
        <v>12049</v>
      </c>
      <c r="J2330" s="7" t="s">
        <v>116</v>
      </c>
      <c r="K2330" s="7" t="s">
        <v>12050</v>
      </c>
    </row>
    <row r="2331" customFormat="false" ht="35.05" hidden="false" customHeight="false" outlineLevel="0" collapsed="false">
      <c r="A2331" s="7" t="n">
        <v>2330</v>
      </c>
      <c r="B2331" s="7" t="s">
        <v>12051</v>
      </c>
      <c r="C2331" s="7" t="n">
        <v>2021</v>
      </c>
      <c r="D2331" s="7" t="s">
        <v>12052</v>
      </c>
      <c r="E2331" s="7" t="s">
        <v>12053</v>
      </c>
      <c r="F2331" s="7" t="s">
        <v>798</v>
      </c>
      <c r="G2331" s="7" t="s">
        <v>12054</v>
      </c>
      <c r="H2331" s="7" t="s">
        <v>208</v>
      </c>
      <c r="I2331" s="7" t="s">
        <v>12055</v>
      </c>
      <c r="J2331" s="7"/>
      <c r="K2331" s="7" t="s">
        <v>12056</v>
      </c>
    </row>
    <row r="2332" customFormat="false" ht="23.85" hidden="false" customHeight="false" outlineLevel="0" collapsed="false">
      <c r="A2332" s="7" t="n">
        <v>2331</v>
      </c>
      <c r="B2332" s="7" t="s">
        <v>12057</v>
      </c>
      <c r="C2332" s="7" t="n">
        <v>2018</v>
      </c>
      <c r="D2332" s="7" t="s">
        <v>12058</v>
      </c>
      <c r="E2332" s="7" t="s">
        <v>151</v>
      </c>
      <c r="F2332" s="7" t="s">
        <v>4170</v>
      </c>
      <c r="G2332" s="7" t="s">
        <v>145</v>
      </c>
      <c r="H2332" s="7" t="s">
        <v>208</v>
      </c>
      <c r="I2332" s="7" t="s">
        <v>12059</v>
      </c>
      <c r="J2332" s="7"/>
      <c r="K2332" s="7" t="s">
        <v>12060</v>
      </c>
    </row>
    <row r="2333" customFormat="false" ht="35.05" hidden="false" customHeight="false" outlineLevel="0" collapsed="false">
      <c r="A2333" s="7" t="n">
        <v>2332</v>
      </c>
      <c r="B2333" s="7" t="s">
        <v>12061</v>
      </c>
      <c r="C2333" s="7" t="n">
        <v>2025</v>
      </c>
      <c r="D2333" s="7" t="s">
        <v>12062</v>
      </c>
      <c r="E2333" s="7" t="s">
        <v>151</v>
      </c>
      <c r="F2333" s="7" t="s">
        <v>12003</v>
      </c>
      <c r="G2333" s="7" t="s">
        <v>12063</v>
      </c>
      <c r="H2333" s="7" t="s">
        <v>208</v>
      </c>
      <c r="I2333" s="7" t="s">
        <v>12064</v>
      </c>
      <c r="J2333" s="7"/>
      <c r="K2333" s="7" t="s">
        <v>12065</v>
      </c>
    </row>
    <row r="2334" customFormat="false" ht="35.05" hidden="false" customHeight="false" outlineLevel="0" collapsed="false">
      <c r="A2334" s="7" t="n">
        <v>2333</v>
      </c>
      <c r="B2334" s="7" t="s">
        <v>12066</v>
      </c>
      <c r="C2334" s="7" t="n">
        <v>2020</v>
      </c>
      <c r="D2334" s="7" t="s">
        <v>12067</v>
      </c>
      <c r="E2334" s="7" t="s">
        <v>11014</v>
      </c>
      <c r="F2334" s="7" t="s">
        <v>12068</v>
      </c>
      <c r="G2334" s="7" t="s">
        <v>12069</v>
      </c>
      <c r="H2334" s="7" t="s">
        <v>12038</v>
      </c>
      <c r="I2334" s="7" t="s">
        <v>12070</v>
      </c>
      <c r="J2334" s="7" t="s">
        <v>116</v>
      </c>
      <c r="K2334" s="7" t="s">
        <v>12071</v>
      </c>
    </row>
    <row r="2335" customFormat="false" ht="23.85" hidden="false" customHeight="false" outlineLevel="0" collapsed="false">
      <c r="A2335" s="7" t="n">
        <v>2334</v>
      </c>
      <c r="B2335" s="7" t="s">
        <v>12072</v>
      </c>
      <c r="C2335" s="7" t="n">
        <v>2023</v>
      </c>
      <c r="D2335" s="7" t="s">
        <v>12073</v>
      </c>
      <c r="E2335" s="7" t="s">
        <v>151</v>
      </c>
      <c r="F2335" s="7" t="s">
        <v>798</v>
      </c>
      <c r="G2335" s="7" t="s">
        <v>145</v>
      </c>
      <c r="H2335" s="7" t="s">
        <v>12038</v>
      </c>
      <c r="I2335" s="7" t="s">
        <v>12074</v>
      </c>
      <c r="J2335" s="7"/>
      <c r="K2335" s="7" t="s">
        <v>12075</v>
      </c>
    </row>
    <row r="2336" customFormat="false" ht="23.85" hidden="false" customHeight="false" outlineLevel="0" collapsed="false">
      <c r="A2336" s="7" t="n">
        <v>2335</v>
      </c>
      <c r="B2336" s="7" t="s">
        <v>12076</v>
      </c>
      <c r="C2336" s="7" t="n">
        <v>2017</v>
      </c>
      <c r="D2336" s="7" t="s">
        <v>12077</v>
      </c>
      <c r="E2336" s="7" t="s">
        <v>11014</v>
      </c>
      <c r="F2336" s="7" t="s">
        <v>12078</v>
      </c>
      <c r="G2336" s="7" t="s">
        <v>12079</v>
      </c>
      <c r="H2336" s="7" t="s">
        <v>11681</v>
      </c>
      <c r="I2336" s="7" t="s">
        <v>12080</v>
      </c>
      <c r="J2336" s="7" t="s">
        <v>116</v>
      </c>
      <c r="K2336" s="7" t="s">
        <v>12081</v>
      </c>
    </row>
    <row r="2337" customFormat="false" ht="35.05" hidden="false" customHeight="false" outlineLevel="0" collapsed="false">
      <c r="A2337" s="7" t="n">
        <v>2336</v>
      </c>
      <c r="B2337" s="7" t="s">
        <v>12082</v>
      </c>
      <c r="C2337" s="7" t="n">
        <v>2016</v>
      </c>
      <c r="D2337" s="7" t="s">
        <v>12083</v>
      </c>
      <c r="E2337" s="7" t="s">
        <v>1645</v>
      </c>
      <c r="F2337" s="7" t="s">
        <v>152</v>
      </c>
      <c r="G2337" s="7" t="s">
        <v>12084</v>
      </c>
      <c r="H2337" s="7" t="s">
        <v>11681</v>
      </c>
      <c r="I2337" s="7" t="s">
        <v>12085</v>
      </c>
      <c r="J2337" s="7" t="s">
        <v>116</v>
      </c>
      <c r="K2337" s="7" t="s">
        <v>12086</v>
      </c>
    </row>
    <row r="2338" customFormat="false" ht="23.85" hidden="false" customHeight="false" outlineLevel="0" collapsed="false">
      <c r="A2338" s="7" t="n">
        <v>2337</v>
      </c>
      <c r="B2338" s="7" t="s">
        <v>12087</v>
      </c>
      <c r="C2338" s="7" t="n">
        <v>2020</v>
      </c>
      <c r="D2338" s="7" t="s">
        <v>12088</v>
      </c>
      <c r="E2338" s="7" t="s">
        <v>201</v>
      </c>
      <c r="F2338" s="7" t="s">
        <v>12089</v>
      </c>
      <c r="G2338" s="7" t="s">
        <v>12090</v>
      </c>
      <c r="H2338" s="7" t="s">
        <v>12091</v>
      </c>
      <c r="I2338" s="7" t="s">
        <v>12092</v>
      </c>
      <c r="J2338" s="7" t="s">
        <v>116</v>
      </c>
      <c r="K2338" s="7" t="s">
        <v>12093</v>
      </c>
    </row>
    <row r="2339" customFormat="false" ht="23.85" hidden="false" customHeight="false" outlineLevel="0" collapsed="false">
      <c r="A2339" s="7" t="n">
        <v>2338</v>
      </c>
      <c r="B2339" s="7" t="s">
        <v>12094</v>
      </c>
      <c r="C2339" s="7" t="n">
        <v>2025</v>
      </c>
      <c r="D2339" s="7" t="s">
        <v>12095</v>
      </c>
      <c r="E2339" s="7" t="s">
        <v>151</v>
      </c>
      <c r="F2339" s="7" t="s">
        <v>12096</v>
      </c>
      <c r="G2339" s="7" t="s">
        <v>12063</v>
      </c>
      <c r="H2339" s="7" t="s">
        <v>12038</v>
      </c>
      <c r="I2339" s="7" t="s">
        <v>12097</v>
      </c>
      <c r="J2339" s="7"/>
      <c r="K2339" s="7" t="s">
        <v>12098</v>
      </c>
    </row>
    <row r="2340" customFormat="false" ht="35.05" hidden="false" customHeight="false" outlineLevel="0" collapsed="false">
      <c r="A2340" s="7" t="n">
        <v>2339</v>
      </c>
      <c r="B2340" s="7" t="s">
        <v>12099</v>
      </c>
      <c r="C2340" s="7" t="n">
        <v>2023</v>
      </c>
      <c r="D2340" s="7" t="s">
        <v>12100</v>
      </c>
      <c r="E2340" s="7" t="s">
        <v>11108</v>
      </c>
      <c r="F2340" s="7" t="s">
        <v>12101</v>
      </c>
      <c r="G2340" s="7" t="s">
        <v>12102</v>
      </c>
      <c r="H2340" s="7" t="s">
        <v>11681</v>
      </c>
      <c r="I2340" s="7" t="s">
        <v>12103</v>
      </c>
      <c r="J2340" s="7" t="s">
        <v>116</v>
      </c>
      <c r="K2340" s="7" t="s">
        <v>12104</v>
      </c>
    </row>
    <row r="2341" customFormat="false" ht="23.85" hidden="false" customHeight="false" outlineLevel="0" collapsed="false">
      <c r="A2341" s="7" t="n">
        <v>2340</v>
      </c>
      <c r="B2341" s="7" t="s">
        <v>12105</v>
      </c>
      <c r="C2341" s="7" t="n">
        <v>2024</v>
      </c>
      <c r="D2341" s="7" t="s">
        <v>12106</v>
      </c>
      <c r="E2341" s="7" t="s">
        <v>11108</v>
      </c>
      <c r="F2341" s="7" t="s">
        <v>12107</v>
      </c>
      <c r="G2341" s="7" t="s">
        <v>12108</v>
      </c>
      <c r="H2341" s="7" t="s">
        <v>12038</v>
      </c>
      <c r="I2341" s="7" t="s">
        <v>12109</v>
      </c>
      <c r="J2341" s="7" t="s">
        <v>116</v>
      </c>
      <c r="K2341" s="7" t="s">
        <v>12110</v>
      </c>
    </row>
    <row r="2342" customFormat="false" ht="23.85" hidden="false" customHeight="false" outlineLevel="0" collapsed="false">
      <c r="A2342" s="7" t="n">
        <v>2341</v>
      </c>
      <c r="B2342" s="7" t="s">
        <v>12111</v>
      </c>
      <c r="C2342" s="7" t="n">
        <v>2025</v>
      </c>
      <c r="D2342" s="7" t="s">
        <v>12112</v>
      </c>
      <c r="E2342" s="7" t="s">
        <v>151</v>
      </c>
      <c r="F2342" s="7" t="s">
        <v>11679</v>
      </c>
      <c r="G2342" s="7" t="s">
        <v>12113</v>
      </c>
      <c r="H2342" s="7" t="s">
        <v>11681</v>
      </c>
      <c r="I2342" s="7" t="s">
        <v>12114</v>
      </c>
      <c r="J2342" s="7"/>
      <c r="K2342" s="7" t="s">
        <v>12115</v>
      </c>
    </row>
    <row r="2343" customFormat="false" ht="35.05" hidden="false" customHeight="false" outlineLevel="0" collapsed="false">
      <c r="A2343" s="7" t="n">
        <v>2342</v>
      </c>
      <c r="B2343" s="7" t="s">
        <v>12116</v>
      </c>
      <c r="C2343" s="7" t="n">
        <v>2016</v>
      </c>
      <c r="D2343" s="7" t="s">
        <v>12117</v>
      </c>
      <c r="E2343" s="7" t="s">
        <v>201</v>
      </c>
      <c r="F2343" s="7" t="s">
        <v>798</v>
      </c>
      <c r="G2343" s="7" t="s">
        <v>145</v>
      </c>
      <c r="H2343" s="7" t="s">
        <v>387</v>
      </c>
      <c r="I2343" s="7" t="s">
        <v>12118</v>
      </c>
      <c r="J2343" s="7"/>
      <c r="K2343" s="7" t="s">
        <v>12119</v>
      </c>
    </row>
    <row r="2344" customFormat="false" ht="35.05" hidden="false" customHeight="false" outlineLevel="0" collapsed="false">
      <c r="A2344" s="7" t="n">
        <v>2343</v>
      </c>
      <c r="B2344" s="7" t="s">
        <v>12120</v>
      </c>
      <c r="C2344" s="7" t="n">
        <v>2023</v>
      </c>
      <c r="D2344" s="7" t="s">
        <v>12121</v>
      </c>
      <c r="E2344" s="7" t="s">
        <v>11014</v>
      </c>
      <c r="F2344" s="7" t="s">
        <v>12122</v>
      </c>
      <c r="G2344" s="7" t="s">
        <v>12123</v>
      </c>
      <c r="H2344" s="7" t="s">
        <v>11847</v>
      </c>
      <c r="I2344" s="7" t="s">
        <v>12124</v>
      </c>
      <c r="J2344" s="7" t="s">
        <v>116</v>
      </c>
      <c r="K2344" s="7" t="s">
        <v>12125</v>
      </c>
    </row>
    <row r="2345" customFormat="false" ht="35.05" hidden="false" customHeight="false" outlineLevel="0" collapsed="false">
      <c r="A2345" s="7" t="n">
        <v>2344</v>
      </c>
      <c r="B2345" s="7" t="s">
        <v>12126</v>
      </c>
      <c r="C2345" s="7" t="n">
        <v>2021</v>
      </c>
      <c r="D2345" s="7" t="s">
        <v>12127</v>
      </c>
      <c r="E2345" s="7" t="s">
        <v>151</v>
      </c>
      <c r="F2345" s="7" t="s">
        <v>12128</v>
      </c>
      <c r="G2345" s="7" t="s">
        <v>145</v>
      </c>
      <c r="H2345" s="7" t="s">
        <v>208</v>
      </c>
      <c r="I2345" s="7" t="s">
        <v>12129</v>
      </c>
      <c r="J2345" s="7"/>
      <c r="K2345" s="7" t="s">
        <v>12130</v>
      </c>
    </row>
    <row r="2346" customFormat="false" ht="35.05" hidden="false" customHeight="false" outlineLevel="0" collapsed="false">
      <c r="A2346" s="7" t="n">
        <v>2345</v>
      </c>
      <c r="B2346" s="7" t="s">
        <v>12029</v>
      </c>
      <c r="C2346" s="7" t="n">
        <v>2025</v>
      </c>
      <c r="D2346" s="7" t="s">
        <v>12131</v>
      </c>
      <c r="E2346" s="7" t="s">
        <v>151</v>
      </c>
      <c r="F2346" s="7" t="s">
        <v>12132</v>
      </c>
      <c r="G2346" s="7" t="s">
        <v>11348</v>
      </c>
      <c r="H2346" s="7" t="s">
        <v>208</v>
      </c>
      <c r="I2346" s="7" t="s">
        <v>12133</v>
      </c>
      <c r="J2346" s="7"/>
      <c r="K2346" s="7" t="s">
        <v>12134</v>
      </c>
    </row>
    <row r="2347" customFormat="false" ht="35.05" hidden="false" customHeight="false" outlineLevel="0" collapsed="false">
      <c r="A2347" s="7" t="n">
        <v>2346</v>
      </c>
      <c r="B2347" s="7" t="s">
        <v>10864</v>
      </c>
      <c r="C2347" s="7" t="n">
        <v>2018</v>
      </c>
      <c r="D2347" s="7" t="s">
        <v>12135</v>
      </c>
      <c r="E2347" s="7" t="s">
        <v>12136</v>
      </c>
      <c r="F2347" s="7" t="s">
        <v>12137</v>
      </c>
      <c r="G2347" s="7" t="s">
        <v>12138</v>
      </c>
      <c r="H2347" s="7" t="s">
        <v>387</v>
      </c>
      <c r="I2347" s="7" t="s">
        <v>12139</v>
      </c>
      <c r="J2347" s="7" t="s">
        <v>116</v>
      </c>
      <c r="K2347" s="7" t="s">
        <v>12140</v>
      </c>
    </row>
    <row r="2348" customFormat="false" ht="23.85" hidden="false" customHeight="false" outlineLevel="0" collapsed="false">
      <c r="A2348" s="7" t="n">
        <v>2347</v>
      </c>
      <c r="B2348" s="7" t="s">
        <v>12141</v>
      </c>
      <c r="C2348" s="7" t="n">
        <v>2022</v>
      </c>
      <c r="D2348" s="7" t="s">
        <v>12142</v>
      </c>
      <c r="E2348" s="7" t="s">
        <v>10512</v>
      </c>
      <c r="F2348" s="7" t="s">
        <v>12143</v>
      </c>
      <c r="G2348" s="7" t="s">
        <v>12144</v>
      </c>
      <c r="H2348" s="7" t="s">
        <v>208</v>
      </c>
      <c r="I2348" s="7" t="s">
        <v>12145</v>
      </c>
      <c r="J2348" s="7" t="s">
        <v>114</v>
      </c>
      <c r="K2348" s="7" t="s">
        <v>12146</v>
      </c>
    </row>
    <row r="2349" customFormat="false" ht="35.05" hidden="false" customHeight="false" outlineLevel="0" collapsed="false">
      <c r="A2349" s="7" t="n">
        <v>2348</v>
      </c>
      <c r="B2349" s="7" t="s">
        <v>12147</v>
      </c>
      <c r="C2349" s="7" t="n">
        <v>2024</v>
      </c>
      <c r="D2349" s="7" t="s">
        <v>12148</v>
      </c>
      <c r="E2349" s="7" t="s">
        <v>1494</v>
      </c>
      <c r="F2349" s="7" t="s">
        <v>12149</v>
      </c>
      <c r="G2349" s="7" t="s">
        <v>4711</v>
      </c>
      <c r="H2349" s="7" t="s">
        <v>208</v>
      </c>
      <c r="I2349" s="7" t="s">
        <v>12150</v>
      </c>
      <c r="J2349" s="7" t="s">
        <v>114</v>
      </c>
      <c r="K2349" s="7" t="s">
        <v>12151</v>
      </c>
    </row>
    <row r="2350" customFormat="false" ht="35.05" hidden="false" customHeight="false" outlineLevel="0" collapsed="false">
      <c r="A2350" s="7" t="n">
        <v>2349</v>
      </c>
      <c r="B2350" s="7" t="s">
        <v>12152</v>
      </c>
      <c r="C2350" s="7" t="n">
        <v>2010</v>
      </c>
      <c r="D2350" s="7" t="s">
        <v>12153</v>
      </c>
      <c r="E2350" s="7" t="s">
        <v>10652</v>
      </c>
      <c r="F2350" s="7" t="s">
        <v>12154</v>
      </c>
      <c r="G2350" s="7" t="s">
        <v>12144</v>
      </c>
      <c r="H2350" s="7" t="s">
        <v>208</v>
      </c>
      <c r="I2350" s="7" t="s">
        <v>12155</v>
      </c>
      <c r="J2350" s="7" t="s">
        <v>114</v>
      </c>
      <c r="K2350" s="7" t="s">
        <v>12156</v>
      </c>
    </row>
    <row r="2351" customFormat="false" ht="35.05" hidden="false" customHeight="false" outlineLevel="0" collapsed="false">
      <c r="A2351" s="7" t="n">
        <v>2350</v>
      </c>
      <c r="B2351" s="7" t="s">
        <v>12157</v>
      </c>
      <c r="C2351" s="7" t="n">
        <v>2021</v>
      </c>
      <c r="D2351" s="7" t="s">
        <v>12158</v>
      </c>
      <c r="E2351" s="7" t="s">
        <v>11014</v>
      </c>
      <c r="F2351" s="7" t="s">
        <v>12159</v>
      </c>
      <c r="G2351" s="7" t="s">
        <v>12160</v>
      </c>
      <c r="H2351" s="7" t="s">
        <v>748</v>
      </c>
      <c r="I2351" s="7" t="s">
        <v>12161</v>
      </c>
      <c r="J2351" s="7" t="s">
        <v>116</v>
      </c>
      <c r="K2351" s="7" t="s">
        <v>12162</v>
      </c>
    </row>
    <row r="2352" customFormat="false" ht="35.05" hidden="false" customHeight="false" outlineLevel="0" collapsed="false">
      <c r="A2352" s="7" t="n">
        <v>2351</v>
      </c>
      <c r="B2352" s="7" t="s">
        <v>12163</v>
      </c>
      <c r="C2352" s="7" t="n">
        <v>2021</v>
      </c>
      <c r="D2352" s="7" t="s">
        <v>12164</v>
      </c>
      <c r="E2352" s="7" t="s">
        <v>151</v>
      </c>
      <c r="F2352" s="7" t="s">
        <v>12165</v>
      </c>
      <c r="G2352" s="7" t="s">
        <v>12166</v>
      </c>
      <c r="H2352" s="7" t="s">
        <v>11740</v>
      </c>
      <c r="I2352" s="7" t="s">
        <v>12167</v>
      </c>
      <c r="J2352" s="7" t="s">
        <v>116</v>
      </c>
      <c r="K2352" s="7" t="s">
        <v>12168</v>
      </c>
    </row>
    <row r="2353" customFormat="false" ht="35.05" hidden="false" customHeight="false" outlineLevel="0" collapsed="false">
      <c r="A2353" s="7" t="n">
        <v>2352</v>
      </c>
      <c r="B2353" s="7" t="s">
        <v>12169</v>
      </c>
      <c r="C2353" s="7" t="n">
        <v>2019</v>
      </c>
      <c r="D2353" s="7" t="s">
        <v>12170</v>
      </c>
      <c r="E2353" s="7" t="s">
        <v>12171</v>
      </c>
      <c r="F2353" s="7" t="s">
        <v>798</v>
      </c>
      <c r="G2353" s="7" t="s">
        <v>12172</v>
      </c>
      <c r="H2353" s="7" t="s">
        <v>11740</v>
      </c>
      <c r="I2353" s="7" t="s">
        <v>12173</v>
      </c>
      <c r="J2353" s="7"/>
      <c r="K2353" s="7" t="s">
        <v>12174</v>
      </c>
    </row>
    <row r="2354" customFormat="false" ht="35.05" hidden="false" customHeight="false" outlineLevel="0" collapsed="false">
      <c r="A2354" s="7" t="n">
        <v>2353</v>
      </c>
      <c r="B2354" s="7" t="s">
        <v>12175</v>
      </c>
      <c r="C2354" s="7" t="n">
        <v>2023</v>
      </c>
      <c r="D2354" s="7" t="s">
        <v>12176</v>
      </c>
      <c r="E2354" s="7" t="s">
        <v>143</v>
      </c>
      <c r="F2354" s="7" t="s">
        <v>12177</v>
      </c>
      <c r="G2354" s="7" t="s">
        <v>12178</v>
      </c>
      <c r="H2354" s="7" t="s">
        <v>11740</v>
      </c>
      <c r="I2354" s="7" t="s">
        <v>12179</v>
      </c>
      <c r="J2354" s="7" t="s">
        <v>114</v>
      </c>
      <c r="K2354" s="7" t="s">
        <v>12180</v>
      </c>
    </row>
    <row r="2355" customFormat="false" ht="23.85" hidden="false" customHeight="false" outlineLevel="0" collapsed="false">
      <c r="A2355" s="7" t="n">
        <v>2354</v>
      </c>
      <c r="B2355" s="7" t="s">
        <v>12181</v>
      </c>
      <c r="C2355" s="7" t="n">
        <v>2022</v>
      </c>
      <c r="D2355" s="7" t="s">
        <v>12182</v>
      </c>
      <c r="E2355" s="7" t="s">
        <v>143</v>
      </c>
      <c r="F2355" s="7" t="s">
        <v>12183</v>
      </c>
      <c r="G2355" s="7" t="s">
        <v>145</v>
      </c>
      <c r="H2355" s="7" t="s">
        <v>208</v>
      </c>
      <c r="I2355" s="7" t="s">
        <v>12184</v>
      </c>
      <c r="J2355" s="7" t="s">
        <v>114</v>
      </c>
      <c r="K2355" s="7" t="s">
        <v>12185</v>
      </c>
    </row>
    <row r="2356" customFormat="false" ht="35.05" hidden="false" customHeight="false" outlineLevel="0" collapsed="false">
      <c r="A2356" s="7" t="n">
        <v>2355</v>
      </c>
      <c r="B2356" s="7" t="s">
        <v>12186</v>
      </c>
      <c r="C2356" s="7" t="n">
        <v>2022</v>
      </c>
      <c r="D2356" s="7" t="s">
        <v>12187</v>
      </c>
      <c r="E2356" s="7" t="s">
        <v>151</v>
      </c>
      <c r="F2356" s="7" t="s">
        <v>12188</v>
      </c>
      <c r="G2356" s="7" t="s">
        <v>12189</v>
      </c>
      <c r="H2356" s="7" t="s">
        <v>146</v>
      </c>
      <c r="I2356" s="7" t="s">
        <v>12190</v>
      </c>
      <c r="J2356" s="7"/>
      <c r="K2356" s="7" t="s">
        <v>12191</v>
      </c>
    </row>
    <row r="2357" customFormat="false" ht="35.05" hidden="false" customHeight="false" outlineLevel="0" collapsed="false">
      <c r="A2357" s="7" t="n">
        <v>2356</v>
      </c>
      <c r="B2357" s="7" t="s">
        <v>12192</v>
      </c>
      <c r="C2357" s="7" t="n">
        <v>2024</v>
      </c>
      <c r="D2357" s="7" t="s">
        <v>12193</v>
      </c>
      <c r="E2357" s="7" t="s">
        <v>12194</v>
      </c>
      <c r="F2357" s="7" t="s">
        <v>1264</v>
      </c>
      <c r="G2357" s="7" t="s">
        <v>145</v>
      </c>
      <c r="H2357" s="7" t="s">
        <v>387</v>
      </c>
      <c r="I2357" s="7" t="s">
        <v>12195</v>
      </c>
      <c r="J2357" s="7" t="s">
        <v>114</v>
      </c>
      <c r="K2357" s="7" t="s">
        <v>12196</v>
      </c>
    </row>
    <row r="2358" customFormat="false" ht="35.05" hidden="false" customHeight="false" outlineLevel="0" collapsed="false">
      <c r="A2358" s="7" t="n">
        <v>2357</v>
      </c>
      <c r="B2358" s="7" t="s">
        <v>12197</v>
      </c>
      <c r="C2358" s="7" t="n">
        <v>2022</v>
      </c>
      <c r="D2358" s="7" t="s">
        <v>12198</v>
      </c>
      <c r="E2358" s="7" t="s">
        <v>11202</v>
      </c>
      <c r="F2358" s="7" t="s">
        <v>1080</v>
      </c>
      <c r="G2358" s="7" t="s">
        <v>12199</v>
      </c>
      <c r="H2358" s="7" t="s">
        <v>146</v>
      </c>
      <c r="I2358" s="7" t="s">
        <v>12200</v>
      </c>
      <c r="J2358" s="7"/>
      <c r="K2358" s="7" t="s">
        <v>12201</v>
      </c>
    </row>
    <row r="2359" customFormat="false" ht="35.05" hidden="false" customHeight="false" outlineLevel="0" collapsed="false">
      <c r="A2359" s="7" t="n">
        <v>2358</v>
      </c>
      <c r="B2359" s="7" t="s">
        <v>12202</v>
      </c>
      <c r="C2359" s="7" t="n">
        <v>2023</v>
      </c>
      <c r="D2359" s="7" t="s">
        <v>12203</v>
      </c>
      <c r="E2359" s="7" t="s">
        <v>201</v>
      </c>
      <c r="F2359" s="7" t="s">
        <v>12204</v>
      </c>
      <c r="G2359" s="7" t="s">
        <v>12205</v>
      </c>
      <c r="H2359" s="7" t="s">
        <v>12206</v>
      </c>
      <c r="I2359" s="7" t="s">
        <v>12207</v>
      </c>
      <c r="J2359" s="7"/>
      <c r="K2359" s="7" t="s">
        <v>12208</v>
      </c>
    </row>
    <row r="2360" customFormat="false" ht="23.85" hidden="false" customHeight="false" outlineLevel="0" collapsed="false">
      <c r="A2360" s="7" t="n">
        <v>2359</v>
      </c>
      <c r="B2360" s="7" t="s">
        <v>12209</v>
      </c>
      <c r="C2360" s="7" t="n">
        <v>2020</v>
      </c>
      <c r="D2360" s="7" t="s">
        <v>12210</v>
      </c>
      <c r="E2360" s="7" t="s">
        <v>201</v>
      </c>
      <c r="F2360" s="7" t="s">
        <v>12211</v>
      </c>
      <c r="G2360" s="7" t="s">
        <v>12212</v>
      </c>
      <c r="H2360" s="7" t="s">
        <v>146</v>
      </c>
      <c r="I2360" s="7" t="s">
        <v>12213</v>
      </c>
      <c r="J2360" s="7" t="s">
        <v>114</v>
      </c>
      <c r="K2360" s="7" t="s">
        <v>12214</v>
      </c>
    </row>
    <row r="2361" customFormat="false" ht="35.05" hidden="false" customHeight="false" outlineLevel="0" collapsed="false">
      <c r="A2361" s="7" t="n">
        <v>2360</v>
      </c>
      <c r="B2361" s="7" t="s">
        <v>12215</v>
      </c>
      <c r="C2361" s="7" t="n">
        <v>2018</v>
      </c>
      <c r="D2361" s="7" t="s">
        <v>12216</v>
      </c>
      <c r="E2361" s="7" t="s">
        <v>201</v>
      </c>
      <c r="F2361" s="7" t="s">
        <v>12217</v>
      </c>
      <c r="G2361" s="7" t="s">
        <v>12218</v>
      </c>
      <c r="H2361" s="7" t="s">
        <v>146</v>
      </c>
      <c r="I2361" s="7" t="s">
        <v>12219</v>
      </c>
      <c r="J2361" s="7"/>
      <c r="K2361" s="7" t="s">
        <v>12220</v>
      </c>
    </row>
    <row r="2362" customFormat="false" ht="35.05" hidden="false" customHeight="false" outlineLevel="0" collapsed="false">
      <c r="A2362" s="7" t="n">
        <v>2361</v>
      </c>
      <c r="B2362" s="7" t="s">
        <v>12221</v>
      </c>
      <c r="C2362" s="7" t="n">
        <v>2021</v>
      </c>
      <c r="D2362" s="7" t="s">
        <v>12222</v>
      </c>
      <c r="E2362" s="7" t="s">
        <v>12223</v>
      </c>
      <c r="F2362" s="7" t="s">
        <v>12224</v>
      </c>
      <c r="G2362" s="7" t="s">
        <v>12225</v>
      </c>
      <c r="H2362" s="7" t="s">
        <v>146</v>
      </c>
      <c r="I2362" s="7" t="s">
        <v>12226</v>
      </c>
      <c r="J2362" s="7"/>
      <c r="K2362" s="7" t="s">
        <v>12227</v>
      </c>
    </row>
    <row r="2363" customFormat="false" ht="35.05" hidden="false" customHeight="false" outlineLevel="0" collapsed="false">
      <c r="A2363" s="7" t="n">
        <v>2362</v>
      </c>
      <c r="B2363" s="7" t="s">
        <v>12228</v>
      </c>
      <c r="C2363" s="7" t="n">
        <v>2018</v>
      </c>
      <c r="D2363" s="7" t="s">
        <v>12229</v>
      </c>
      <c r="E2363" s="7" t="s">
        <v>11263</v>
      </c>
      <c r="F2363" s="7" t="s">
        <v>4170</v>
      </c>
      <c r="G2363" s="7" t="s">
        <v>12230</v>
      </c>
      <c r="H2363" s="7" t="s">
        <v>146</v>
      </c>
      <c r="I2363" s="7" t="s">
        <v>12231</v>
      </c>
      <c r="J2363" s="7"/>
      <c r="K2363" s="7" t="s">
        <v>12232</v>
      </c>
    </row>
    <row r="2364" customFormat="false" ht="35.05" hidden="false" customHeight="false" outlineLevel="0" collapsed="false">
      <c r="A2364" s="7" t="n">
        <v>2363</v>
      </c>
      <c r="B2364" s="7" t="s">
        <v>12233</v>
      </c>
      <c r="C2364" s="7" t="n">
        <v>2022</v>
      </c>
      <c r="D2364" s="7" t="s">
        <v>12234</v>
      </c>
      <c r="E2364" s="7" t="s">
        <v>9198</v>
      </c>
      <c r="F2364" s="7" t="s">
        <v>798</v>
      </c>
      <c r="G2364" s="7" t="s">
        <v>5651</v>
      </c>
      <c r="H2364" s="7" t="s">
        <v>146</v>
      </c>
      <c r="I2364" s="7" t="s">
        <v>12235</v>
      </c>
      <c r="J2364" s="7"/>
      <c r="K2364" s="7" t="s">
        <v>12236</v>
      </c>
    </row>
    <row r="2365" customFormat="false" ht="35.05" hidden="false" customHeight="false" outlineLevel="0" collapsed="false">
      <c r="A2365" s="7" t="n">
        <v>2364</v>
      </c>
      <c r="B2365" s="7" t="s">
        <v>12237</v>
      </c>
      <c r="C2365" s="7" t="n">
        <v>2015</v>
      </c>
      <c r="D2365" s="7" t="s">
        <v>12238</v>
      </c>
      <c r="E2365" s="7" t="s">
        <v>11780</v>
      </c>
      <c r="F2365" s="7" t="s">
        <v>12217</v>
      </c>
      <c r="G2365" s="7" t="s">
        <v>12239</v>
      </c>
      <c r="H2365" s="7" t="s">
        <v>146</v>
      </c>
      <c r="I2365" s="7" t="s">
        <v>12240</v>
      </c>
      <c r="J2365" s="7" t="s">
        <v>116</v>
      </c>
      <c r="K2365" s="7" t="s">
        <v>12241</v>
      </c>
    </row>
    <row r="2366" customFormat="false" ht="23.85" hidden="false" customHeight="false" outlineLevel="0" collapsed="false">
      <c r="A2366" s="7" t="n">
        <v>2365</v>
      </c>
      <c r="B2366" s="7" t="s">
        <v>12242</v>
      </c>
      <c r="C2366" s="7"/>
      <c r="D2366" s="7" t="s">
        <v>12243</v>
      </c>
      <c r="E2366" s="7" t="s">
        <v>12244</v>
      </c>
      <c r="F2366" s="7" t="s">
        <v>12245</v>
      </c>
      <c r="G2366" s="7" t="s">
        <v>12246</v>
      </c>
      <c r="H2366" s="7" t="s">
        <v>146</v>
      </c>
      <c r="I2366" s="7" t="s">
        <v>12247</v>
      </c>
      <c r="J2366" s="7"/>
      <c r="K2366" s="7" t="s">
        <v>12248</v>
      </c>
    </row>
    <row r="2367" customFormat="false" ht="23.85" hidden="false" customHeight="false" outlineLevel="0" collapsed="false">
      <c r="A2367" s="7" t="n">
        <v>2366</v>
      </c>
      <c r="B2367" s="7" t="s">
        <v>12249</v>
      </c>
      <c r="C2367" s="7" t="n">
        <v>2025</v>
      </c>
      <c r="D2367" s="7" t="s">
        <v>12250</v>
      </c>
      <c r="E2367" s="7" t="s">
        <v>151</v>
      </c>
      <c r="F2367" s="7" t="s">
        <v>12251</v>
      </c>
      <c r="G2367" s="7" t="s">
        <v>12252</v>
      </c>
      <c r="H2367" s="7" t="s">
        <v>146</v>
      </c>
      <c r="I2367" s="7" t="s">
        <v>12253</v>
      </c>
      <c r="J2367" s="7"/>
      <c r="K2367" s="7" t="s">
        <v>12254</v>
      </c>
    </row>
    <row r="2368" customFormat="false" ht="23.85" hidden="false" customHeight="false" outlineLevel="0" collapsed="false">
      <c r="A2368" s="7" t="n">
        <v>2367</v>
      </c>
      <c r="B2368" s="7" t="s">
        <v>12255</v>
      </c>
      <c r="C2368" s="7" t="n">
        <v>2019</v>
      </c>
      <c r="D2368" s="7" t="s">
        <v>12256</v>
      </c>
      <c r="E2368" s="7" t="s">
        <v>4040</v>
      </c>
      <c r="F2368" s="7" t="s">
        <v>12257</v>
      </c>
      <c r="G2368" s="7" t="s">
        <v>145</v>
      </c>
      <c r="H2368" s="7" t="s">
        <v>12206</v>
      </c>
      <c r="I2368" s="7" t="s">
        <v>12258</v>
      </c>
      <c r="J2368" s="7"/>
      <c r="K2368" s="7" t="s">
        <v>12259</v>
      </c>
    </row>
    <row r="2369" customFormat="false" ht="35.05" hidden="false" customHeight="false" outlineLevel="0" collapsed="false">
      <c r="A2369" s="7" t="n">
        <v>2368</v>
      </c>
      <c r="B2369" s="7" t="s">
        <v>12260</v>
      </c>
      <c r="C2369" s="7" t="n">
        <v>2024</v>
      </c>
      <c r="D2369" s="7" t="s">
        <v>12261</v>
      </c>
      <c r="E2369" s="7" t="s">
        <v>12136</v>
      </c>
      <c r="F2369" s="7" t="s">
        <v>12262</v>
      </c>
      <c r="G2369" s="7" t="s">
        <v>12263</v>
      </c>
      <c r="H2369" s="7" t="s">
        <v>12264</v>
      </c>
      <c r="I2369" s="7" t="s">
        <v>12265</v>
      </c>
      <c r="J2369" s="7"/>
      <c r="K2369" s="7" t="s">
        <v>12266</v>
      </c>
    </row>
    <row r="2370" customFormat="false" ht="35.05" hidden="false" customHeight="false" outlineLevel="0" collapsed="false">
      <c r="A2370" s="7" t="n">
        <v>2369</v>
      </c>
      <c r="B2370" s="7" t="s">
        <v>12267</v>
      </c>
      <c r="C2370" s="7" t="n">
        <v>2014</v>
      </c>
      <c r="D2370" s="7" t="s">
        <v>12268</v>
      </c>
      <c r="E2370" s="7" t="s">
        <v>12269</v>
      </c>
      <c r="F2370" s="7" t="s">
        <v>12270</v>
      </c>
      <c r="G2370" s="7" t="s">
        <v>3169</v>
      </c>
      <c r="H2370" s="7" t="s">
        <v>387</v>
      </c>
      <c r="I2370" s="7" t="s">
        <v>12271</v>
      </c>
      <c r="J2370" s="7"/>
      <c r="K2370" s="7" t="s">
        <v>12272</v>
      </c>
    </row>
    <row r="2371" customFormat="false" ht="35.05" hidden="false" customHeight="false" outlineLevel="0" collapsed="false">
      <c r="A2371" s="7" t="n">
        <v>2370</v>
      </c>
      <c r="B2371" s="7" t="s">
        <v>12273</v>
      </c>
      <c r="C2371" s="7" t="n">
        <v>2023</v>
      </c>
      <c r="D2371" s="7" t="s">
        <v>12274</v>
      </c>
      <c r="E2371" s="7" t="s">
        <v>11108</v>
      </c>
      <c r="F2371" s="7" t="s">
        <v>12275</v>
      </c>
      <c r="G2371" s="7" t="s">
        <v>12276</v>
      </c>
      <c r="H2371" s="7" t="s">
        <v>11647</v>
      </c>
      <c r="I2371" s="7" t="s">
        <v>12277</v>
      </c>
      <c r="J2371" s="7"/>
      <c r="K2371" s="7" t="s">
        <v>12278</v>
      </c>
    </row>
    <row r="2372" customFormat="false" ht="35.05" hidden="false" customHeight="false" outlineLevel="0" collapsed="false">
      <c r="A2372" s="7" t="n">
        <v>2371</v>
      </c>
      <c r="B2372" s="7" t="s">
        <v>12279</v>
      </c>
      <c r="C2372" s="7" t="n">
        <v>2024</v>
      </c>
      <c r="D2372" s="7" t="s">
        <v>12280</v>
      </c>
      <c r="E2372" s="7" t="s">
        <v>151</v>
      </c>
      <c r="F2372" s="7" t="s">
        <v>12281</v>
      </c>
      <c r="G2372" s="7" t="s">
        <v>12282</v>
      </c>
      <c r="H2372" s="7" t="s">
        <v>146</v>
      </c>
      <c r="I2372" s="7" t="s">
        <v>12283</v>
      </c>
      <c r="J2372" s="7"/>
      <c r="K2372" s="7" t="s">
        <v>12284</v>
      </c>
    </row>
    <row r="2373" customFormat="false" ht="35.05" hidden="false" customHeight="false" outlineLevel="0" collapsed="false">
      <c r="A2373" s="7" t="n">
        <v>2372</v>
      </c>
      <c r="B2373" s="7" t="s">
        <v>12285</v>
      </c>
      <c r="C2373" s="7" t="n">
        <v>2023</v>
      </c>
      <c r="D2373" s="7" t="s">
        <v>12286</v>
      </c>
      <c r="E2373" s="7" t="s">
        <v>11108</v>
      </c>
      <c r="F2373" s="7" t="s">
        <v>12287</v>
      </c>
      <c r="G2373" s="7" t="s">
        <v>12288</v>
      </c>
      <c r="H2373" s="7" t="s">
        <v>146</v>
      </c>
      <c r="I2373" s="7" t="s">
        <v>12289</v>
      </c>
      <c r="J2373" s="7"/>
      <c r="K2373" s="7" t="s">
        <v>12290</v>
      </c>
    </row>
    <row r="2374" customFormat="false" ht="23.85" hidden="false" customHeight="false" outlineLevel="0" collapsed="false">
      <c r="A2374" s="7" t="n">
        <v>2373</v>
      </c>
      <c r="B2374" s="7" t="s">
        <v>12291</v>
      </c>
      <c r="C2374" s="7" t="n">
        <v>2024</v>
      </c>
      <c r="D2374" s="7" t="s">
        <v>12292</v>
      </c>
      <c r="E2374" s="7" t="s">
        <v>10512</v>
      </c>
      <c r="F2374" s="7" t="s">
        <v>12287</v>
      </c>
      <c r="G2374" s="7" t="s">
        <v>244</v>
      </c>
      <c r="H2374" s="7" t="s">
        <v>146</v>
      </c>
      <c r="I2374" s="7" t="s">
        <v>12293</v>
      </c>
      <c r="J2374" s="7"/>
      <c r="K2374" s="7" t="s">
        <v>12294</v>
      </c>
    </row>
    <row r="2375" customFormat="false" ht="23.85" hidden="false" customHeight="false" outlineLevel="0" collapsed="false">
      <c r="A2375" s="7" t="n">
        <v>2374</v>
      </c>
      <c r="B2375" s="7" t="s">
        <v>12295</v>
      </c>
      <c r="C2375" s="7" t="n">
        <v>2024</v>
      </c>
      <c r="D2375" s="7" t="s">
        <v>12296</v>
      </c>
      <c r="E2375" s="7" t="s">
        <v>12297</v>
      </c>
      <c r="F2375" s="7" t="s">
        <v>10445</v>
      </c>
      <c r="G2375" s="7" t="s">
        <v>12298</v>
      </c>
      <c r="H2375" s="7" t="s">
        <v>146</v>
      </c>
      <c r="I2375" s="7" t="s">
        <v>12299</v>
      </c>
      <c r="J2375" s="7"/>
      <c r="K2375" s="7" t="s">
        <v>12300</v>
      </c>
    </row>
    <row r="2376" customFormat="false" ht="35.05" hidden="false" customHeight="false" outlineLevel="0" collapsed="false">
      <c r="A2376" s="7" t="n">
        <v>2375</v>
      </c>
      <c r="B2376" s="7" t="s">
        <v>12301</v>
      </c>
      <c r="C2376" s="7" t="n">
        <v>2020</v>
      </c>
      <c r="D2376" s="7" t="s">
        <v>12302</v>
      </c>
      <c r="E2376" s="7" t="s">
        <v>12303</v>
      </c>
      <c r="F2376" s="7" t="s">
        <v>152</v>
      </c>
      <c r="G2376" s="7" t="s">
        <v>12304</v>
      </c>
      <c r="H2376" s="7" t="s">
        <v>387</v>
      </c>
      <c r="I2376" s="7" t="s">
        <v>12305</v>
      </c>
      <c r="J2376" s="7"/>
      <c r="K2376" s="7" t="s">
        <v>12306</v>
      </c>
    </row>
    <row r="2377" customFormat="false" ht="35.05" hidden="false" customHeight="false" outlineLevel="0" collapsed="false">
      <c r="A2377" s="7" t="n">
        <v>2376</v>
      </c>
      <c r="B2377" s="7" t="s">
        <v>2436</v>
      </c>
      <c r="C2377" s="7"/>
      <c r="D2377" s="7" t="s">
        <v>12307</v>
      </c>
      <c r="E2377" s="7" t="s">
        <v>201</v>
      </c>
      <c r="F2377" s="7" t="s">
        <v>798</v>
      </c>
      <c r="G2377" s="7" t="s">
        <v>12308</v>
      </c>
      <c r="H2377" s="7" t="s">
        <v>153</v>
      </c>
      <c r="I2377" s="7" t="s">
        <v>12309</v>
      </c>
      <c r="J2377" s="7"/>
      <c r="K2377" s="7" t="s">
        <v>12310</v>
      </c>
    </row>
    <row r="2378" customFormat="false" ht="23.85" hidden="false" customHeight="false" outlineLevel="0" collapsed="false">
      <c r="A2378" s="7" t="n">
        <v>2377</v>
      </c>
      <c r="B2378" s="7" t="s">
        <v>12311</v>
      </c>
      <c r="C2378" s="7" t="n">
        <v>2022</v>
      </c>
      <c r="D2378" s="7" t="s">
        <v>12312</v>
      </c>
      <c r="E2378" s="7" t="s">
        <v>12244</v>
      </c>
      <c r="F2378" s="7" t="s">
        <v>12313</v>
      </c>
      <c r="G2378" s="7" t="s">
        <v>145</v>
      </c>
      <c r="H2378" s="7" t="s">
        <v>748</v>
      </c>
      <c r="I2378" s="7" t="s">
        <v>12314</v>
      </c>
      <c r="J2378" s="7"/>
      <c r="K2378" s="7" t="s">
        <v>12315</v>
      </c>
    </row>
    <row r="2379" customFormat="false" ht="23.85" hidden="false" customHeight="false" outlineLevel="0" collapsed="false">
      <c r="A2379" s="7" t="n">
        <v>2378</v>
      </c>
      <c r="B2379" s="7" t="s">
        <v>12316</v>
      </c>
      <c r="C2379" s="7" t="n">
        <v>2024</v>
      </c>
      <c r="D2379" s="7" t="s">
        <v>12317</v>
      </c>
      <c r="E2379" s="7" t="s">
        <v>151</v>
      </c>
      <c r="F2379" s="7" t="s">
        <v>12318</v>
      </c>
      <c r="G2379" s="7" t="s">
        <v>12319</v>
      </c>
      <c r="H2379" s="7" t="s">
        <v>387</v>
      </c>
      <c r="I2379" s="7" t="s">
        <v>12320</v>
      </c>
      <c r="J2379" s="7"/>
      <c r="K2379" s="7" t="s">
        <v>12321</v>
      </c>
    </row>
    <row r="2380" customFormat="false" ht="23.85" hidden="false" customHeight="false" outlineLevel="0" collapsed="false">
      <c r="A2380" s="7" t="n">
        <v>2379</v>
      </c>
      <c r="B2380" s="7" t="s">
        <v>2658</v>
      </c>
      <c r="C2380" s="7" t="n">
        <v>2023</v>
      </c>
      <c r="D2380" s="7" t="s">
        <v>12322</v>
      </c>
      <c r="E2380" s="7" t="s">
        <v>12323</v>
      </c>
      <c r="F2380" s="7" t="s">
        <v>12324</v>
      </c>
      <c r="G2380" s="7" t="s">
        <v>145</v>
      </c>
      <c r="H2380" s="7" t="s">
        <v>387</v>
      </c>
      <c r="I2380" s="7" t="s">
        <v>12325</v>
      </c>
      <c r="J2380" s="7" t="s">
        <v>114</v>
      </c>
      <c r="K2380" s="7" t="s">
        <v>12326</v>
      </c>
    </row>
    <row r="2381" customFormat="false" ht="35.05" hidden="false" customHeight="false" outlineLevel="0" collapsed="false">
      <c r="A2381" s="7" t="n">
        <v>2380</v>
      </c>
      <c r="B2381" s="7" t="s">
        <v>12327</v>
      </c>
      <c r="C2381" s="7" t="n">
        <v>2023</v>
      </c>
      <c r="D2381" s="7" t="s">
        <v>12328</v>
      </c>
      <c r="E2381" s="7" t="s">
        <v>11014</v>
      </c>
      <c r="F2381" s="7" t="s">
        <v>12329</v>
      </c>
      <c r="G2381" s="7" t="s">
        <v>12330</v>
      </c>
      <c r="H2381" s="7" t="s">
        <v>748</v>
      </c>
      <c r="I2381" s="7" t="s">
        <v>12331</v>
      </c>
      <c r="J2381" s="7" t="s">
        <v>116</v>
      </c>
      <c r="K2381" s="7" t="s">
        <v>12332</v>
      </c>
    </row>
    <row r="2382" customFormat="false" ht="23.85" hidden="false" customHeight="false" outlineLevel="0" collapsed="false">
      <c r="A2382" s="7" t="n">
        <v>2381</v>
      </c>
      <c r="B2382" s="7" t="s">
        <v>12333</v>
      </c>
      <c r="C2382" s="7" t="n">
        <v>2022</v>
      </c>
      <c r="D2382" s="7" t="s">
        <v>12334</v>
      </c>
      <c r="E2382" s="7" t="s">
        <v>143</v>
      </c>
      <c r="F2382" s="7" t="s">
        <v>12335</v>
      </c>
      <c r="G2382" s="7" t="s">
        <v>145</v>
      </c>
      <c r="H2382" s="7" t="s">
        <v>387</v>
      </c>
      <c r="I2382" s="7" t="s">
        <v>12336</v>
      </c>
      <c r="J2382" s="7" t="s">
        <v>114</v>
      </c>
      <c r="K2382" s="7" t="s">
        <v>12337</v>
      </c>
    </row>
    <row r="2383" customFormat="false" ht="23.85" hidden="false" customHeight="false" outlineLevel="0" collapsed="false">
      <c r="A2383" s="7" t="n">
        <v>2382</v>
      </c>
      <c r="B2383" s="7" t="s">
        <v>12338</v>
      </c>
      <c r="C2383" s="7" t="n">
        <v>2023</v>
      </c>
      <c r="D2383" s="7" t="s">
        <v>12339</v>
      </c>
      <c r="E2383" s="7" t="s">
        <v>201</v>
      </c>
      <c r="F2383" s="7" t="s">
        <v>12340</v>
      </c>
      <c r="G2383" s="7" t="s">
        <v>12341</v>
      </c>
      <c r="H2383" s="7" t="s">
        <v>153</v>
      </c>
      <c r="I2383" s="7" t="s">
        <v>12342</v>
      </c>
      <c r="J2383" s="7" t="s">
        <v>114</v>
      </c>
      <c r="K2383" s="7" t="s">
        <v>12343</v>
      </c>
    </row>
    <row r="2384" customFormat="false" ht="35.05" hidden="false" customHeight="false" outlineLevel="0" collapsed="false">
      <c r="A2384" s="7" t="n">
        <v>2383</v>
      </c>
      <c r="B2384" s="7" t="s">
        <v>11206</v>
      </c>
      <c r="C2384" s="7" t="n">
        <v>2024</v>
      </c>
      <c r="D2384" s="7" t="s">
        <v>12344</v>
      </c>
      <c r="E2384" s="7" t="s">
        <v>151</v>
      </c>
      <c r="F2384" s="7" t="s">
        <v>12345</v>
      </c>
      <c r="G2384" s="7" t="s">
        <v>12346</v>
      </c>
      <c r="H2384" s="7" t="s">
        <v>387</v>
      </c>
      <c r="I2384" s="7" t="s">
        <v>12347</v>
      </c>
      <c r="J2384" s="7"/>
      <c r="K2384" s="7" t="s">
        <v>12348</v>
      </c>
    </row>
    <row r="2385" customFormat="false" ht="23.85" hidden="false" customHeight="false" outlineLevel="0" collapsed="false">
      <c r="A2385" s="7" t="n">
        <v>2384</v>
      </c>
      <c r="B2385" s="7" t="s">
        <v>12349</v>
      </c>
      <c r="C2385" s="7" t="n">
        <v>2022</v>
      </c>
      <c r="D2385" s="7" t="s">
        <v>12350</v>
      </c>
      <c r="E2385" s="7" t="s">
        <v>201</v>
      </c>
      <c r="F2385" s="7" t="s">
        <v>12351</v>
      </c>
      <c r="G2385" s="7" t="s">
        <v>12352</v>
      </c>
      <c r="H2385" s="7" t="s">
        <v>208</v>
      </c>
      <c r="I2385" s="7" t="s">
        <v>12353</v>
      </c>
      <c r="J2385" s="7"/>
      <c r="K2385" s="7" t="s">
        <v>12354</v>
      </c>
    </row>
    <row r="2386" customFormat="false" ht="35.05" hidden="false" customHeight="false" outlineLevel="0" collapsed="false">
      <c r="A2386" s="7" t="n">
        <v>2385</v>
      </c>
      <c r="B2386" s="7" t="s">
        <v>12355</v>
      </c>
      <c r="C2386" s="7" t="n">
        <v>2023</v>
      </c>
      <c r="D2386" s="7" t="s">
        <v>12356</v>
      </c>
      <c r="E2386" s="7" t="s">
        <v>12357</v>
      </c>
      <c r="F2386" s="7" t="s">
        <v>12358</v>
      </c>
      <c r="G2386" s="7" t="s">
        <v>12359</v>
      </c>
      <c r="H2386" s="7" t="s">
        <v>146</v>
      </c>
      <c r="I2386" s="7" t="s">
        <v>12360</v>
      </c>
      <c r="J2386" s="7" t="s">
        <v>114</v>
      </c>
      <c r="K2386" s="7" t="s">
        <v>12361</v>
      </c>
    </row>
    <row r="2387" customFormat="false" ht="35.05" hidden="false" customHeight="false" outlineLevel="0" collapsed="false">
      <c r="A2387" s="7" t="n">
        <v>2386</v>
      </c>
      <c r="B2387" s="7" t="s">
        <v>12362</v>
      </c>
      <c r="C2387" s="7" t="n">
        <v>2017</v>
      </c>
      <c r="D2387" s="7" t="s">
        <v>12363</v>
      </c>
      <c r="E2387" s="7" t="s">
        <v>579</v>
      </c>
      <c r="F2387" s="7" t="s">
        <v>12364</v>
      </c>
      <c r="G2387" s="7" t="s">
        <v>145</v>
      </c>
      <c r="H2387" s="7" t="s">
        <v>387</v>
      </c>
      <c r="I2387" s="7" t="s">
        <v>12365</v>
      </c>
      <c r="J2387" s="7"/>
      <c r="K2387" s="7" t="s">
        <v>12366</v>
      </c>
    </row>
    <row r="2388" customFormat="false" ht="35.05" hidden="false" customHeight="false" outlineLevel="0" collapsed="false">
      <c r="A2388" s="7" t="n">
        <v>2387</v>
      </c>
      <c r="B2388" s="7" t="s">
        <v>12367</v>
      </c>
      <c r="C2388" s="7" t="n">
        <v>2011</v>
      </c>
      <c r="D2388" s="7" t="s">
        <v>12368</v>
      </c>
      <c r="E2388" s="7" t="s">
        <v>201</v>
      </c>
      <c r="F2388" s="7" t="s">
        <v>12369</v>
      </c>
      <c r="G2388" s="7" t="s">
        <v>145</v>
      </c>
      <c r="H2388" s="7" t="s">
        <v>146</v>
      </c>
      <c r="I2388" s="7" t="s">
        <v>12370</v>
      </c>
      <c r="J2388" s="7"/>
      <c r="K2388" s="7" t="s">
        <v>12371</v>
      </c>
    </row>
    <row r="2389" customFormat="false" ht="23.85" hidden="false" customHeight="false" outlineLevel="0" collapsed="false">
      <c r="A2389" s="7" t="n">
        <v>2388</v>
      </c>
      <c r="B2389" s="7" t="s">
        <v>11084</v>
      </c>
      <c r="C2389" s="7" t="n">
        <v>2025</v>
      </c>
      <c r="D2389" s="7" t="s">
        <v>12372</v>
      </c>
      <c r="E2389" s="7" t="s">
        <v>151</v>
      </c>
      <c r="F2389" s="7" t="s">
        <v>12373</v>
      </c>
      <c r="G2389" s="7" t="s">
        <v>12374</v>
      </c>
      <c r="H2389" s="7" t="s">
        <v>146</v>
      </c>
      <c r="I2389" s="7" t="s">
        <v>12375</v>
      </c>
      <c r="J2389" s="7"/>
      <c r="K2389" s="7" t="s">
        <v>12376</v>
      </c>
    </row>
    <row r="2390" customFormat="false" ht="23.85" hidden="false" customHeight="false" outlineLevel="0" collapsed="false">
      <c r="A2390" s="7" t="n">
        <v>2389</v>
      </c>
      <c r="B2390" s="7" t="s">
        <v>12377</v>
      </c>
      <c r="C2390" s="7" t="n">
        <v>2023</v>
      </c>
      <c r="D2390" s="7" t="s">
        <v>12378</v>
      </c>
      <c r="E2390" s="7" t="s">
        <v>10672</v>
      </c>
      <c r="F2390" s="7" t="s">
        <v>4170</v>
      </c>
      <c r="G2390" s="7" t="s">
        <v>145</v>
      </c>
      <c r="H2390" s="7" t="s">
        <v>146</v>
      </c>
      <c r="I2390" s="7" t="s">
        <v>12379</v>
      </c>
      <c r="J2390" s="7"/>
      <c r="K2390" s="7" t="s">
        <v>12380</v>
      </c>
    </row>
    <row r="2391" customFormat="false" ht="35.05" hidden="false" customHeight="false" outlineLevel="0" collapsed="false">
      <c r="A2391" s="7" t="n">
        <v>2390</v>
      </c>
      <c r="B2391" s="7" t="s">
        <v>12381</v>
      </c>
      <c r="C2391" s="7" t="n">
        <v>2018</v>
      </c>
      <c r="D2391" s="7" t="s">
        <v>12382</v>
      </c>
      <c r="E2391" s="7" t="s">
        <v>201</v>
      </c>
      <c r="F2391" s="7" t="s">
        <v>12383</v>
      </c>
      <c r="G2391" s="7" t="s">
        <v>12384</v>
      </c>
      <c r="H2391" s="7" t="s">
        <v>146</v>
      </c>
      <c r="I2391" s="7" t="s">
        <v>12385</v>
      </c>
      <c r="J2391" s="7"/>
      <c r="K2391" s="7" t="s">
        <v>12386</v>
      </c>
    </row>
    <row r="2392" customFormat="false" ht="35.05" hidden="false" customHeight="false" outlineLevel="0" collapsed="false">
      <c r="A2392" s="7" t="n">
        <v>2391</v>
      </c>
      <c r="B2392" s="7" t="s">
        <v>12387</v>
      </c>
      <c r="C2392" s="7" t="n">
        <v>2025</v>
      </c>
      <c r="D2392" s="7" t="s">
        <v>12388</v>
      </c>
      <c r="E2392" s="7" t="s">
        <v>12389</v>
      </c>
      <c r="F2392" s="7" t="s">
        <v>4170</v>
      </c>
      <c r="G2392" s="7" t="s">
        <v>145</v>
      </c>
      <c r="H2392" s="7" t="s">
        <v>146</v>
      </c>
      <c r="I2392" s="7" t="s">
        <v>12390</v>
      </c>
      <c r="J2392" s="7"/>
      <c r="K2392" s="7" t="s">
        <v>12391</v>
      </c>
    </row>
    <row r="2393" customFormat="false" ht="35.05" hidden="false" customHeight="false" outlineLevel="0" collapsed="false">
      <c r="A2393" s="7" t="n">
        <v>2392</v>
      </c>
      <c r="B2393" s="7" t="s">
        <v>12392</v>
      </c>
      <c r="C2393" s="7" t="n">
        <v>2025</v>
      </c>
      <c r="D2393" s="7" t="s">
        <v>12393</v>
      </c>
      <c r="E2393" s="7" t="s">
        <v>11045</v>
      </c>
      <c r="F2393" s="7" t="s">
        <v>4170</v>
      </c>
      <c r="G2393" s="7" t="s">
        <v>145</v>
      </c>
      <c r="H2393" s="7" t="s">
        <v>146</v>
      </c>
      <c r="I2393" s="7" t="s">
        <v>12394</v>
      </c>
      <c r="J2393" s="7"/>
      <c r="K2393" s="7" t="s">
        <v>12395</v>
      </c>
    </row>
    <row r="2394" customFormat="false" ht="35.05" hidden="false" customHeight="false" outlineLevel="0" collapsed="false">
      <c r="A2394" s="7" t="n">
        <v>2393</v>
      </c>
      <c r="B2394" s="7" t="s">
        <v>12396</v>
      </c>
      <c r="C2394" s="7" t="n">
        <v>2020</v>
      </c>
      <c r="D2394" s="7" t="s">
        <v>12397</v>
      </c>
      <c r="E2394" s="7" t="s">
        <v>11717</v>
      </c>
      <c r="F2394" s="7" t="s">
        <v>12398</v>
      </c>
      <c r="G2394" s="7" t="s">
        <v>145</v>
      </c>
      <c r="H2394" s="7" t="s">
        <v>146</v>
      </c>
      <c r="I2394" s="7" t="s">
        <v>12399</v>
      </c>
      <c r="J2394" s="7"/>
      <c r="K2394" s="7" t="s">
        <v>12400</v>
      </c>
    </row>
    <row r="2395" customFormat="false" ht="35.05" hidden="false" customHeight="false" outlineLevel="0" collapsed="false">
      <c r="A2395" s="7" t="n">
        <v>2394</v>
      </c>
      <c r="B2395" s="7" t="s">
        <v>11206</v>
      </c>
      <c r="C2395" s="7" t="n">
        <v>2024</v>
      </c>
      <c r="D2395" s="7" t="s">
        <v>12401</v>
      </c>
      <c r="E2395" s="7" t="s">
        <v>151</v>
      </c>
      <c r="F2395" s="7" t="s">
        <v>12402</v>
      </c>
      <c r="G2395" s="7" t="s">
        <v>12403</v>
      </c>
      <c r="H2395" s="7" t="s">
        <v>146</v>
      </c>
      <c r="I2395" s="7" t="s">
        <v>12404</v>
      </c>
      <c r="J2395" s="7"/>
      <c r="K2395" s="7" t="s">
        <v>12405</v>
      </c>
    </row>
    <row r="2396" customFormat="false" ht="35.05" hidden="false" customHeight="false" outlineLevel="0" collapsed="false">
      <c r="A2396" s="7" t="n">
        <v>2395</v>
      </c>
      <c r="B2396" s="7" t="s">
        <v>12406</v>
      </c>
      <c r="C2396" s="7" t="n">
        <v>2025</v>
      </c>
      <c r="D2396" s="7" t="s">
        <v>12407</v>
      </c>
      <c r="E2396" s="7" t="s">
        <v>11108</v>
      </c>
      <c r="F2396" s="7" t="s">
        <v>12408</v>
      </c>
      <c r="G2396" s="7" t="s">
        <v>12409</v>
      </c>
      <c r="H2396" s="7" t="s">
        <v>748</v>
      </c>
      <c r="I2396" s="7" t="s">
        <v>12410</v>
      </c>
      <c r="J2396" s="7" t="s">
        <v>116</v>
      </c>
      <c r="K2396" s="7" t="s">
        <v>12411</v>
      </c>
    </row>
    <row r="2397" customFormat="false" ht="35.05" hidden="false" customHeight="false" outlineLevel="0" collapsed="false">
      <c r="A2397" s="7" t="n">
        <v>2396</v>
      </c>
      <c r="B2397" s="7" t="s">
        <v>12412</v>
      </c>
      <c r="C2397" s="7" t="n">
        <v>2025</v>
      </c>
      <c r="D2397" s="7" t="s">
        <v>12413</v>
      </c>
      <c r="E2397" s="7" t="s">
        <v>201</v>
      </c>
      <c r="F2397" s="7" t="s">
        <v>12414</v>
      </c>
      <c r="G2397" s="7" t="s">
        <v>12415</v>
      </c>
      <c r="H2397" s="7" t="s">
        <v>387</v>
      </c>
      <c r="I2397" s="7" t="s">
        <v>12416</v>
      </c>
      <c r="J2397" s="7" t="s">
        <v>114</v>
      </c>
      <c r="K2397" s="7" t="s">
        <v>12417</v>
      </c>
    </row>
    <row r="2398" customFormat="false" ht="35.05" hidden="false" customHeight="false" outlineLevel="0" collapsed="false">
      <c r="A2398" s="7" t="n">
        <v>2397</v>
      </c>
      <c r="B2398" s="7" t="s">
        <v>12418</v>
      </c>
      <c r="C2398" s="7" t="n">
        <v>2019</v>
      </c>
      <c r="D2398" s="7" t="s">
        <v>12419</v>
      </c>
      <c r="E2398" s="7" t="s">
        <v>151</v>
      </c>
      <c r="F2398" s="7" t="s">
        <v>12420</v>
      </c>
      <c r="G2398" s="7" t="s">
        <v>145</v>
      </c>
      <c r="H2398" s="7" t="s">
        <v>146</v>
      </c>
      <c r="I2398" s="7" t="s">
        <v>12421</v>
      </c>
      <c r="J2398" s="7"/>
      <c r="K2398" s="7" t="s">
        <v>12422</v>
      </c>
    </row>
    <row r="2399" customFormat="false" ht="35.05" hidden="false" customHeight="false" outlineLevel="0" collapsed="false">
      <c r="A2399" s="7" t="n">
        <v>2398</v>
      </c>
      <c r="B2399" s="7" t="s">
        <v>12423</v>
      </c>
      <c r="C2399" s="7" t="n">
        <v>2024</v>
      </c>
      <c r="D2399" s="7" t="s">
        <v>12424</v>
      </c>
      <c r="E2399" s="7" t="s">
        <v>143</v>
      </c>
      <c r="F2399" s="7" t="s">
        <v>12425</v>
      </c>
      <c r="G2399" s="7" t="s">
        <v>10838</v>
      </c>
      <c r="H2399" s="7" t="s">
        <v>153</v>
      </c>
      <c r="I2399" s="7" t="s">
        <v>12426</v>
      </c>
      <c r="J2399" s="7" t="s">
        <v>110</v>
      </c>
      <c r="K2399" s="7" t="s">
        <v>12427</v>
      </c>
    </row>
    <row r="2400" customFormat="false" ht="23.85" hidden="false" customHeight="false" outlineLevel="0" collapsed="false">
      <c r="A2400" s="7" t="n">
        <v>2399</v>
      </c>
      <c r="B2400" s="7" t="s">
        <v>12428</v>
      </c>
      <c r="C2400" s="7" t="n">
        <v>2025</v>
      </c>
      <c r="D2400" s="7" t="s">
        <v>12429</v>
      </c>
      <c r="E2400" s="7" t="s">
        <v>151</v>
      </c>
      <c r="F2400" s="7" t="s">
        <v>12430</v>
      </c>
      <c r="G2400" s="7" t="s">
        <v>12431</v>
      </c>
      <c r="H2400" s="7" t="s">
        <v>146</v>
      </c>
      <c r="I2400" s="7" t="s">
        <v>12432</v>
      </c>
      <c r="J2400" s="7"/>
      <c r="K2400" s="7" t="s">
        <v>12433</v>
      </c>
    </row>
    <row r="2401" customFormat="false" ht="23.85" hidden="false" customHeight="false" outlineLevel="0" collapsed="false">
      <c r="A2401" s="7" t="n">
        <v>2400</v>
      </c>
      <c r="B2401" s="7" t="s">
        <v>12434</v>
      </c>
      <c r="C2401" s="7" t="n">
        <v>2023</v>
      </c>
      <c r="D2401" s="7" t="s">
        <v>12435</v>
      </c>
      <c r="E2401" s="7" t="s">
        <v>10672</v>
      </c>
      <c r="F2401" s="7" t="s">
        <v>12436</v>
      </c>
      <c r="G2401" s="7" t="s">
        <v>145</v>
      </c>
      <c r="H2401" s="7" t="s">
        <v>146</v>
      </c>
      <c r="I2401" s="7" t="s">
        <v>12437</v>
      </c>
      <c r="J2401" s="7"/>
      <c r="K2401" s="7" t="s">
        <v>12438</v>
      </c>
    </row>
    <row r="2402" customFormat="false" ht="35.05" hidden="false" customHeight="false" outlineLevel="0" collapsed="false">
      <c r="A2402" s="7" t="n">
        <v>2401</v>
      </c>
      <c r="B2402" s="7" t="s">
        <v>12439</v>
      </c>
      <c r="C2402" s="7" t="n">
        <v>2023</v>
      </c>
      <c r="D2402" s="7" t="s">
        <v>12440</v>
      </c>
      <c r="E2402" s="7" t="s">
        <v>12244</v>
      </c>
      <c r="F2402" s="7" t="s">
        <v>12441</v>
      </c>
      <c r="G2402" s="7" t="s">
        <v>145</v>
      </c>
      <c r="H2402" s="7" t="s">
        <v>146</v>
      </c>
      <c r="I2402" s="7" t="s">
        <v>12442</v>
      </c>
      <c r="J2402" s="7"/>
      <c r="K2402" s="7" t="s">
        <v>12443</v>
      </c>
    </row>
    <row r="2403" customFormat="false" ht="35.05" hidden="false" customHeight="false" outlineLevel="0" collapsed="false">
      <c r="A2403" s="7" t="n">
        <v>2402</v>
      </c>
      <c r="B2403" s="7" t="s">
        <v>12444</v>
      </c>
      <c r="C2403" s="7" t="n">
        <v>2022</v>
      </c>
      <c r="D2403" s="7" t="s">
        <v>12445</v>
      </c>
      <c r="E2403" s="7" t="s">
        <v>10672</v>
      </c>
      <c r="F2403" s="7" t="s">
        <v>12446</v>
      </c>
      <c r="G2403" s="7" t="s">
        <v>12447</v>
      </c>
      <c r="H2403" s="7" t="s">
        <v>146</v>
      </c>
      <c r="I2403" s="7" t="s">
        <v>12448</v>
      </c>
      <c r="J2403" s="7"/>
      <c r="K2403" s="7" t="s">
        <v>12449</v>
      </c>
    </row>
    <row r="2404" customFormat="false" ht="35.05" hidden="false" customHeight="false" outlineLevel="0" collapsed="false">
      <c r="A2404" s="7" t="n">
        <v>2403</v>
      </c>
      <c r="B2404" s="7" t="s">
        <v>12450</v>
      </c>
      <c r="C2404" s="7" t="n">
        <v>2024</v>
      </c>
      <c r="D2404" s="7" t="s">
        <v>12451</v>
      </c>
      <c r="E2404" s="7" t="s">
        <v>151</v>
      </c>
      <c r="F2404" s="7" t="s">
        <v>12452</v>
      </c>
      <c r="G2404" s="7" t="s">
        <v>12453</v>
      </c>
      <c r="H2404" s="7" t="s">
        <v>146</v>
      </c>
      <c r="I2404" s="7" t="s">
        <v>12454</v>
      </c>
      <c r="J2404" s="7"/>
      <c r="K2404" s="7" t="s">
        <v>12455</v>
      </c>
    </row>
    <row r="2405" customFormat="false" ht="35.05" hidden="false" customHeight="false" outlineLevel="0" collapsed="false">
      <c r="A2405" s="7" t="n">
        <v>2404</v>
      </c>
      <c r="B2405" s="7" t="s">
        <v>10996</v>
      </c>
      <c r="C2405" s="7" t="n">
        <v>2025</v>
      </c>
      <c r="D2405" s="7" t="s">
        <v>12456</v>
      </c>
      <c r="E2405" s="7" t="s">
        <v>151</v>
      </c>
      <c r="F2405" s="7" t="s">
        <v>12457</v>
      </c>
      <c r="G2405" s="7" t="s">
        <v>12458</v>
      </c>
      <c r="H2405" s="7" t="s">
        <v>387</v>
      </c>
      <c r="I2405" s="7" t="s">
        <v>12459</v>
      </c>
      <c r="J2405" s="7"/>
      <c r="K2405" s="7" t="s">
        <v>12460</v>
      </c>
    </row>
    <row r="2406" customFormat="false" ht="35.05" hidden="false" customHeight="false" outlineLevel="0" collapsed="false">
      <c r="A2406" s="7" t="n">
        <v>2405</v>
      </c>
      <c r="B2406" s="7" t="s">
        <v>12461</v>
      </c>
      <c r="C2406" s="7" t="n">
        <v>2020</v>
      </c>
      <c r="D2406" s="7" t="s">
        <v>12462</v>
      </c>
      <c r="E2406" s="7" t="s">
        <v>12223</v>
      </c>
      <c r="F2406" s="7" t="s">
        <v>12463</v>
      </c>
      <c r="G2406" s="7" t="s">
        <v>145</v>
      </c>
      <c r="H2406" s="7" t="s">
        <v>146</v>
      </c>
      <c r="I2406" s="7" t="s">
        <v>12464</v>
      </c>
      <c r="J2406" s="7"/>
      <c r="K2406" s="7" t="s">
        <v>12465</v>
      </c>
    </row>
    <row r="2407" customFormat="false" ht="35.05" hidden="false" customHeight="false" outlineLevel="0" collapsed="false">
      <c r="A2407" s="7" t="n">
        <v>2406</v>
      </c>
      <c r="B2407" s="7" t="s">
        <v>12466</v>
      </c>
      <c r="C2407" s="7" t="n">
        <v>2023</v>
      </c>
      <c r="D2407" s="7" t="s">
        <v>12467</v>
      </c>
      <c r="E2407" s="7" t="s">
        <v>12468</v>
      </c>
      <c r="F2407" s="7" t="s">
        <v>12469</v>
      </c>
      <c r="G2407" s="7" t="s">
        <v>2262</v>
      </c>
      <c r="H2407" s="7" t="s">
        <v>146</v>
      </c>
      <c r="I2407" s="7" t="s">
        <v>12470</v>
      </c>
      <c r="J2407" s="7"/>
      <c r="K2407" s="7" t="s">
        <v>12471</v>
      </c>
    </row>
    <row r="2408" customFormat="false" ht="35.05" hidden="false" customHeight="false" outlineLevel="0" collapsed="false">
      <c r="A2408" s="7" t="n">
        <v>2407</v>
      </c>
      <c r="B2408" s="7" t="s">
        <v>12472</v>
      </c>
      <c r="C2408" s="7" t="n">
        <v>2022</v>
      </c>
      <c r="D2408" s="7" t="s">
        <v>12473</v>
      </c>
      <c r="E2408" s="7" t="s">
        <v>10672</v>
      </c>
      <c r="F2408" s="7" t="s">
        <v>12474</v>
      </c>
      <c r="G2408" s="7" t="s">
        <v>12475</v>
      </c>
      <c r="H2408" s="7" t="s">
        <v>748</v>
      </c>
      <c r="I2408" s="7" t="s">
        <v>12476</v>
      </c>
      <c r="J2408" s="7" t="s">
        <v>116</v>
      </c>
      <c r="K2408" s="7" t="s">
        <v>12477</v>
      </c>
    </row>
    <row r="2409" customFormat="false" ht="23.85" hidden="false" customHeight="false" outlineLevel="0" collapsed="false">
      <c r="A2409" s="7" t="n">
        <v>2408</v>
      </c>
      <c r="B2409" s="7" t="s">
        <v>12478</v>
      </c>
      <c r="C2409" s="7" t="n">
        <v>2024</v>
      </c>
      <c r="D2409" s="7" t="s">
        <v>12479</v>
      </c>
      <c r="E2409" s="7" t="s">
        <v>11108</v>
      </c>
      <c r="F2409" s="7" t="s">
        <v>12480</v>
      </c>
      <c r="G2409" s="7" t="s">
        <v>12481</v>
      </c>
      <c r="H2409" s="7" t="s">
        <v>387</v>
      </c>
      <c r="I2409" s="7" t="s">
        <v>12482</v>
      </c>
      <c r="J2409" s="7" t="s">
        <v>114</v>
      </c>
      <c r="K2409" s="7" t="s">
        <v>12483</v>
      </c>
    </row>
    <row r="2410" customFormat="false" ht="35.05" hidden="false" customHeight="false" outlineLevel="0" collapsed="false">
      <c r="A2410" s="7" t="n">
        <v>2409</v>
      </c>
      <c r="B2410" s="7" t="s">
        <v>12484</v>
      </c>
      <c r="C2410" s="7" t="n">
        <v>2022</v>
      </c>
      <c r="D2410" s="7" t="s">
        <v>12485</v>
      </c>
      <c r="E2410" s="7" t="s">
        <v>12486</v>
      </c>
      <c r="F2410" s="7" t="s">
        <v>12487</v>
      </c>
      <c r="G2410" s="7" t="s">
        <v>145</v>
      </c>
      <c r="H2410" s="7" t="s">
        <v>208</v>
      </c>
      <c r="I2410" s="7" t="s">
        <v>12488</v>
      </c>
      <c r="J2410" s="7"/>
      <c r="K2410" s="7" t="s">
        <v>12489</v>
      </c>
    </row>
    <row r="2411" customFormat="false" ht="35.05" hidden="false" customHeight="false" outlineLevel="0" collapsed="false">
      <c r="A2411" s="7" t="n">
        <v>2410</v>
      </c>
      <c r="B2411" s="7" t="s">
        <v>12490</v>
      </c>
      <c r="C2411" s="7" t="n">
        <v>2025</v>
      </c>
      <c r="D2411" s="7" t="s">
        <v>12491</v>
      </c>
      <c r="E2411" s="7" t="s">
        <v>10512</v>
      </c>
      <c r="F2411" s="7" t="s">
        <v>12492</v>
      </c>
      <c r="G2411" s="7" t="s">
        <v>12493</v>
      </c>
      <c r="H2411" s="7" t="s">
        <v>387</v>
      </c>
      <c r="I2411" s="7" t="s">
        <v>12494</v>
      </c>
      <c r="J2411" s="7" t="s">
        <v>114</v>
      </c>
      <c r="K2411" s="7" t="s">
        <v>12495</v>
      </c>
    </row>
    <row r="2412" customFormat="false" ht="35.05" hidden="false" customHeight="false" outlineLevel="0" collapsed="false">
      <c r="A2412" s="7" t="n">
        <v>2411</v>
      </c>
      <c r="B2412" s="7" t="s">
        <v>2958</v>
      </c>
      <c r="C2412" s="7" t="n">
        <v>2025</v>
      </c>
      <c r="D2412" s="7" t="s">
        <v>12496</v>
      </c>
      <c r="E2412" s="7" t="s">
        <v>1494</v>
      </c>
      <c r="F2412" s="7" t="s">
        <v>12497</v>
      </c>
      <c r="G2412" s="7" t="s">
        <v>145</v>
      </c>
      <c r="H2412" s="7" t="s">
        <v>153</v>
      </c>
      <c r="I2412" s="7" t="s">
        <v>12498</v>
      </c>
      <c r="J2412" s="7" t="s">
        <v>114</v>
      </c>
      <c r="K2412" s="7" t="s">
        <v>12499</v>
      </c>
    </row>
    <row r="2413" customFormat="false" ht="35.05" hidden="false" customHeight="false" outlineLevel="0" collapsed="false">
      <c r="A2413" s="7" t="n">
        <v>2412</v>
      </c>
      <c r="B2413" s="7" t="s">
        <v>12500</v>
      </c>
      <c r="C2413" s="7" t="n">
        <v>2024</v>
      </c>
      <c r="D2413" s="7" t="s">
        <v>12501</v>
      </c>
      <c r="E2413" s="7" t="s">
        <v>8720</v>
      </c>
      <c r="F2413" s="7" t="s">
        <v>12502</v>
      </c>
      <c r="G2413" s="7" t="s">
        <v>1689</v>
      </c>
      <c r="H2413" s="7" t="s">
        <v>146</v>
      </c>
      <c r="I2413" s="7" t="s">
        <v>12503</v>
      </c>
      <c r="J2413" s="7" t="s">
        <v>114</v>
      </c>
      <c r="K2413" s="7" t="s">
        <v>12504</v>
      </c>
    </row>
    <row r="2414" customFormat="false" ht="23.85" hidden="false" customHeight="false" outlineLevel="0" collapsed="false">
      <c r="A2414" s="7" t="n">
        <v>2413</v>
      </c>
      <c r="B2414" s="7" t="s">
        <v>12505</v>
      </c>
      <c r="C2414" s="7" t="n">
        <v>2025</v>
      </c>
      <c r="D2414" s="7" t="s">
        <v>12506</v>
      </c>
      <c r="E2414" s="7" t="s">
        <v>8720</v>
      </c>
      <c r="F2414" s="7" t="s">
        <v>12507</v>
      </c>
      <c r="G2414" s="7" t="s">
        <v>327</v>
      </c>
      <c r="H2414" s="7" t="s">
        <v>146</v>
      </c>
      <c r="I2414" s="7" t="s">
        <v>12508</v>
      </c>
      <c r="J2414" s="7" t="s">
        <v>114</v>
      </c>
      <c r="K2414" s="7" t="s">
        <v>12509</v>
      </c>
    </row>
    <row r="2415" customFormat="false" ht="35.05" hidden="false" customHeight="false" outlineLevel="0" collapsed="false">
      <c r="A2415" s="7" t="n">
        <v>2414</v>
      </c>
      <c r="B2415" s="7" t="s">
        <v>8826</v>
      </c>
      <c r="C2415" s="7" t="n">
        <v>2024</v>
      </c>
      <c r="D2415" s="7" t="s">
        <v>12510</v>
      </c>
      <c r="E2415" s="7" t="s">
        <v>12511</v>
      </c>
      <c r="F2415" s="7" t="s">
        <v>12512</v>
      </c>
      <c r="G2415" s="7" t="s">
        <v>11328</v>
      </c>
      <c r="H2415" s="7" t="s">
        <v>146</v>
      </c>
      <c r="I2415" s="7" t="s">
        <v>12513</v>
      </c>
      <c r="J2415" s="7" t="s">
        <v>116</v>
      </c>
      <c r="K2415" s="7" t="s">
        <v>12514</v>
      </c>
    </row>
    <row r="2416" customFormat="false" ht="35.05" hidden="false" customHeight="false" outlineLevel="0" collapsed="false">
      <c r="A2416" s="7" t="n">
        <v>2415</v>
      </c>
      <c r="B2416" s="7" t="s">
        <v>12515</v>
      </c>
      <c r="C2416" s="7" t="n">
        <v>2024</v>
      </c>
      <c r="D2416" s="7" t="s">
        <v>12516</v>
      </c>
      <c r="E2416" s="7" t="s">
        <v>10512</v>
      </c>
      <c r="F2416" s="7" t="s">
        <v>12517</v>
      </c>
      <c r="G2416" s="7" t="s">
        <v>12518</v>
      </c>
      <c r="H2416" s="7" t="s">
        <v>146</v>
      </c>
      <c r="I2416" s="7" t="s">
        <v>12519</v>
      </c>
      <c r="J2416" s="7" t="s">
        <v>116</v>
      </c>
      <c r="K2416" s="7" t="s">
        <v>12520</v>
      </c>
    </row>
    <row r="2417" customFormat="false" ht="35.05" hidden="false" customHeight="false" outlineLevel="0" collapsed="false">
      <c r="A2417" s="7" t="n">
        <v>2416</v>
      </c>
      <c r="B2417" s="7" t="s">
        <v>12521</v>
      </c>
      <c r="C2417" s="7"/>
      <c r="D2417" s="7" t="s">
        <v>12522</v>
      </c>
      <c r="E2417" s="7" t="s">
        <v>11108</v>
      </c>
      <c r="F2417" s="7" t="s">
        <v>12523</v>
      </c>
      <c r="G2417" s="7" t="s">
        <v>12524</v>
      </c>
      <c r="H2417" s="7" t="s">
        <v>146</v>
      </c>
      <c r="I2417" s="7" t="s">
        <v>12525</v>
      </c>
      <c r="J2417" s="7" t="s">
        <v>116</v>
      </c>
      <c r="K2417" s="7" t="s">
        <v>12526</v>
      </c>
    </row>
    <row r="2418" customFormat="false" ht="35.05" hidden="false" customHeight="false" outlineLevel="0" collapsed="false">
      <c r="A2418" s="7" t="n">
        <v>2417</v>
      </c>
      <c r="B2418" s="7" t="s">
        <v>12527</v>
      </c>
      <c r="C2418" s="7" t="n">
        <v>2019</v>
      </c>
      <c r="D2418" s="7" t="s">
        <v>12528</v>
      </c>
      <c r="E2418" s="7" t="s">
        <v>12529</v>
      </c>
      <c r="F2418" s="7" t="s">
        <v>12530</v>
      </c>
      <c r="G2418" s="7" t="s">
        <v>12531</v>
      </c>
      <c r="H2418" s="7" t="s">
        <v>11740</v>
      </c>
      <c r="I2418" s="7" t="s">
        <v>12532</v>
      </c>
      <c r="J2418" s="7"/>
      <c r="K2418" s="7" t="s">
        <v>12533</v>
      </c>
    </row>
    <row r="2419" customFormat="false" ht="35.05" hidden="false" customHeight="false" outlineLevel="0" collapsed="false">
      <c r="A2419" s="7" t="n">
        <v>2418</v>
      </c>
      <c r="B2419" s="7" t="s">
        <v>12534</v>
      </c>
      <c r="C2419" s="7" t="n">
        <v>2025</v>
      </c>
      <c r="D2419" s="7" t="s">
        <v>12535</v>
      </c>
      <c r="E2419" s="7" t="s">
        <v>143</v>
      </c>
      <c r="F2419" s="7" t="s">
        <v>12536</v>
      </c>
      <c r="G2419" s="7" t="s">
        <v>12537</v>
      </c>
      <c r="H2419" s="7" t="s">
        <v>11740</v>
      </c>
      <c r="I2419" s="7" t="s">
        <v>12538</v>
      </c>
      <c r="J2419" s="7" t="s">
        <v>116</v>
      </c>
      <c r="K2419" s="7" t="s">
        <v>12539</v>
      </c>
    </row>
    <row r="2420" customFormat="false" ht="35.05" hidden="false" customHeight="false" outlineLevel="0" collapsed="false">
      <c r="A2420" s="7" t="n">
        <v>2419</v>
      </c>
      <c r="B2420" s="7" t="s">
        <v>12540</v>
      </c>
      <c r="C2420" s="7" t="n">
        <v>2021</v>
      </c>
      <c r="D2420" s="7" t="s">
        <v>12541</v>
      </c>
      <c r="E2420" s="7" t="s">
        <v>12542</v>
      </c>
      <c r="F2420" s="7" t="s">
        <v>12543</v>
      </c>
      <c r="G2420" s="7" t="s">
        <v>12544</v>
      </c>
      <c r="H2420" s="7" t="s">
        <v>208</v>
      </c>
      <c r="I2420" s="7" t="s">
        <v>12545</v>
      </c>
      <c r="J2420" s="7"/>
      <c r="K2420" s="7" t="s">
        <v>12546</v>
      </c>
    </row>
    <row r="2421" customFormat="false" ht="23.85" hidden="false" customHeight="false" outlineLevel="0" collapsed="false">
      <c r="A2421" s="7" t="n">
        <v>2420</v>
      </c>
      <c r="B2421" s="7" t="s">
        <v>12547</v>
      </c>
      <c r="C2421" s="7" t="n">
        <v>2019</v>
      </c>
      <c r="D2421" s="7" t="s">
        <v>12548</v>
      </c>
      <c r="E2421" s="7" t="s">
        <v>12549</v>
      </c>
      <c r="F2421" s="7" t="s">
        <v>12550</v>
      </c>
      <c r="G2421" s="7" t="s">
        <v>1075</v>
      </c>
      <c r="H2421" s="7" t="s">
        <v>11647</v>
      </c>
      <c r="I2421" s="7" t="s">
        <v>12551</v>
      </c>
      <c r="J2421" s="7" t="s">
        <v>116</v>
      </c>
      <c r="K2421" s="7" t="s">
        <v>12552</v>
      </c>
    </row>
    <row r="2422" customFormat="false" ht="23.85" hidden="false" customHeight="false" outlineLevel="0" collapsed="false">
      <c r="A2422" s="7" t="n">
        <v>2421</v>
      </c>
      <c r="B2422" s="7" t="s">
        <v>12553</v>
      </c>
      <c r="C2422" s="7" t="n">
        <v>2020</v>
      </c>
      <c r="D2422" s="7" t="s">
        <v>12554</v>
      </c>
      <c r="E2422" s="7" t="s">
        <v>12269</v>
      </c>
      <c r="F2422" s="7" t="s">
        <v>12555</v>
      </c>
      <c r="G2422" s="7" t="s">
        <v>914</v>
      </c>
      <c r="H2422" s="7" t="s">
        <v>146</v>
      </c>
      <c r="I2422" s="7" t="s">
        <v>12556</v>
      </c>
      <c r="J2422" s="7" t="s">
        <v>114</v>
      </c>
      <c r="K2422" s="7" t="s">
        <v>12557</v>
      </c>
    </row>
    <row r="2423" customFormat="false" ht="35.05" hidden="false" customHeight="false" outlineLevel="0" collapsed="false">
      <c r="A2423" s="7" t="n">
        <v>2422</v>
      </c>
      <c r="B2423" s="7" t="s">
        <v>12558</v>
      </c>
      <c r="C2423" s="7" t="n">
        <v>2025</v>
      </c>
      <c r="D2423" s="7" t="s">
        <v>12559</v>
      </c>
      <c r="E2423" s="7" t="s">
        <v>143</v>
      </c>
      <c r="F2423" s="7" t="s">
        <v>12560</v>
      </c>
      <c r="G2423" s="7" t="s">
        <v>12561</v>
      </c>
      <c r="H2423" s="7" t="s">
        <v>146</v>
      </c>
      <c r="I2423" s="7" t="s">
        <v>12562</v>
      </c>
      <c r="J2423" s="7" t="s">
        <v>114</v>
      </c>
      <c r="K2423" s="7" t="s">
        <v>12563</v>
      </c>
    </row>
    <row r="2424" customFormat="false" ht="35.05" hidden="false" customHeight="false" outlineLevel="0" collapsed="false">
      <c r="A2424" s="7" t="n">
        <v>2423</v>
      </c>
      <c r="B2424" s="7" t="s">
        <v>12564</v>
      </c>
      <c r="C2424" s="7" t="n">
        <v>2015</v>
      </c>
      <c r="D2424" s="7" t="s">
        <v>12565</v>
      </c>
      <c r="E2424" s="7" t="s">
        <v>143</v>
      </c>
      <c r="F2424" s="7" t="s">
        <v>1264</v>
      </c>
      <c r="G2424" s="7" t="s">
        <v>145</v>
      </c>
      <c r="H2424" s="7" t="s">
        <v>522</v>
      </c>
      <c r="I2424" s="7" t="s">
        <v>523</v>
      </c>
      <c r="J2424" s="7" t="s">
        <v>116</v>
      </c>
      <c r="K2424" s="7" t="s">
        <v>12566</v>
      </c>
    </row>
    <row r="2425" customFormat="false" ht="23.85" hidden="false" customHeight="false" outlineLevel="0" collapsed="false">
      <c r="A2425" s="7" t="n">
        <v>2424</v>
      </c>
      <c r="B2425" s="7" t="s">
        <v>12567</v>
      </c>
      <c r="C2425" s="7" t="n">
        <v>2005</v>
      </c>
      <c r="D2425" s="7" t="s">
        <v>12568</v>
      </c>
      <c r="E2425" s="7" t="s">
        <v>143</v>
      </c>
      <c r="F2425" s="7" t="s">
        <v>1678</v>
      </c>
      <c r="G2425" s="7" t="s">
        <v>145</v>
      </c>
      <c r="H2425" s="7" t="s">
        <v>522</v>
      </c>
      <c r="I2425" s="7" t="s">
        <v>10747</v>
      </c>
      <c r="J2425" s="7"/>
      <c r="K2425" s="7" t="s">
        <v>12569</v>
      </c>
    </row>
    <row r="2426" customFormat="false" ht="35.05" hidden="false" customHeight="false" outlineLevel="0" collapsed="false">
      <c r="A2426" s="7" t="n">
        <v>2425</v>
      </c>
      <c r="B2426" s="7" t="s">
        <v>12570</v>
      </c>
      <c r="C2426" s="7" t="n">
        <v>2014</v>
      </c>
      <c r="D2426" s="7" t="s">
        <v>12571</v>
      </c>
      <c r="E2426" s="7" t="s">
        <v>143</v>
      </c>
      <c r="F2426" s="7" t="s">
        <v>152</v>
      </c>
      <c r="G2426" s="7" t="s">
        <v>145</v>
      </c>
      <c r="H2426" s="7" t="s">
        <v>522</v>
      </c>
      <c r="I2426" s="7" t="s">
        <v>523</v>
      </c>
      <c r="J2426" s="7" t="s">
        <v>114</v>
      </c>
      <c r="K2426" s="7" t="s">
        <v>12572</v>
      </c>
    </row>
    <row r="2427" customFormat="false" ht="35.05" hidden="false" customHeight="false" outlineLevel="0" collapsed="false">
      <c r="A2427" s="7" t="n">
        <v>2426</v>
      </c>
      <c r="B2427" s="7" t="s">
        <v>12573</v>
      </c>
      <c r="C2427" s="7" t="n">
        <v>2015</v>
      </c>
      <c r="D2427" s="7" t="s">
        <v>12574</v>
      </c>
      <c r="E2427" s="7" t="s">
        <v>143</v>
      </c>
      <c r="F2427" s="7" t="s">
        <v>152</v>
      </c>
      <c r="G2427" s="7" t="s">
        <v>145</v>
      </c>
      <c r="H2427" s="7" t="s">
        <v>522</v>
      </c>
      <c r="I2427" s="7" t="s">
        <v>12575</v>
      </c>
      <c r="J2427" s="7" t="s">
        <v>116</v>
      </c>
      <c r="K2427" s="7" t="s">
        <v>12576</v>
      </c>
    </row>
    <row r="2428" customFormat="false" ht="35.05" hidden="false" customHeight="false" outlineLevel="0" collapsed="false">
      <c r="A2428" s="7" t="n">
        <v>2427</v>
      </c>
      <c r="B2428" s="7" t="s">
        <v>12577</v>
      </c>
      <c r="C2428" s="7" t="n">
        <v>2009</v>
      </c>
      <c r="D2428" s="7" t="s">
        <v>12578</v>
      </c>
      <c r="E2428" s="7" t="s">
        <v>201</v>
      </c>
      <c r="F2428" s="7" t="s">
        <v>12579</v>
      </c>
      <c r="G2428" s="7" t="s">
        <v>12580</v>
      </c>
      <c r="H2428" s="7" t="s">
        <v>146</v>
      </c>
      <c r="I2428" s="7" t="s">
        <v>1901</v>
      </c>
      <c r="J2428" s="7" t="s">
        <v>116</v>
      </c>
      <c r="K2428" s="7" t="s">
        <v>12581</v>
      </c>
    </row>
    <row r="2429" customFormat="false" ht="35.05" hidden="false" customHeight="false" outlineLevel="0" collapsed="false">
      <c r="A2429" s="7" t="n">
        <v>2428</v>
      </c>
      <c r="B2429" s="7" t="s">
        <v>362</v>
      </c>
      <c r="C2429" s="7" t="n">
        <v>2005</v>
      </c>
      <c r="D2429" s="7" t="s">
        <v>12582</v>
      </c>
      <c r="E2429" s="7" t="s">
        <v>201</v>
      </c>
      <c r="F2429" s="7" t="s">
        <v>364</v>
      </c>
      <c r="G2429" s="7" t="s">
        <v>145</v>
      </c>
      <c r="H2429" s="7" t="s">
        <v>533</v>
      </c>
      <c r="I2429" s="7" t="s">
        <v>594</v>
      </c>
      <c r="J2429" s="7" t="s">
        <v>116</v>
      </c>
      <c r="K2429" s="7" t="s">
        <v>12583</v>
      </c>
    </row>
    <row r="2430" customFormat="false" ht="23.85" hidden="false" customHeight="false" outlineLevel="0" collapsed="false">
      <c r="A2430" s="7" t="n">
        <v>2429</v>
      </c>
      <c r="B2430" s="7" t="s">
        <v>12584</v>
      </c>
      <c r="C2430" s="7" t="n">
        <v>2004</v>
      </c>
      <c r="D2430" s="7" t="s">
        <v>12585</v>
      </c>
      <c r="E2430" s="7" t="s">
        <v>143</v>
      </c>
      <c r="F2430" s="7" t="s">
        <v>12586</v>
      </c>
      <c r="G2430" s="7" t="s">
        <v>145</v>
      </c>
      <c r="H2430" s="7" t="s">
        <v>146</v>
      </c>
      <c r="I2430" s="7" t="s">
        <v>491</v>
      </c>
      <c r="J2430" s="7" t="s">
        <v>116</v>
      </c>
      <c r="K2430" s="7" t="s">
        <v>12587</v>
      </c>
    </row>
    <row r="2431" customFormat="false" ht="35.05" hidden="false" customHeight="false" outlineLevel="0" collapsed="false">
      <c r="A2431" s="7" t="n">
        <v>2430</v>
      </c>
      <c r="B2431" s="7" t="s">
        <v>12588</v>
      </c>
      <c r="C2431" s="7" t="n">
        <v>2007</v>
      </c>
      <c r="D2431" s="7" t="s">
        <v>12589</v>
      </c>
      <c r="E2431" s="7" t="s">
        <v>151</v>
      </c>
      <c r="F2431" s="7" t="s">
        <v>12590</v>
      </c>
      <c r="G2431" s="7" t="s">
        <v>2168</v>
      </c>
      <c r="H2431" s="7" t="s">
        <v>146</v>
      </c>
      <c r="I2431" s="7" t="s">
        <v>12591</v>
      </c>
      <c r="J2431" s="7" t="s">
        <v>112</v>
      </c>
      <c r="K2431" s="7" t="s">
        <v>12592</v>
      </c>
    </row>
    <row r="2432" customFormat="false" ht="35.05" hidden="false" customHeight="false" outlineLevel="0" collapsed="false">
      <c r="A2432" s="7" t="n">
        <v>2431</v>
      </c>
      <c r="B2432" s="7" t="s">
        <v>12593</v>
      </c>
      <c r="C2432" s="7" t="n">
        <v>2016</v>
      </c>
      <c r="D2432" s="7" t="s">
        <v>12594</v>
      </c>
      <c r="E2432" s="7" t="s">
        <v>201</v>
      </c>
      <c r="F2432" s="7" t="s">
        <v>5045</v>
      </c>
      <c r="G2432" s="7" t="s">
        <v>12595</v>
      </c>
      <c r="H2432" s="7" t="s">
        <v>146</v>
      </c>
      <c r="I2432" s="7" t="s">
        <v>12596</v>
      </c>
      <c r="J2432" s="7" t="s">
        <v>116</v>
      </c>
      <c r="K2432" s="7" t="s">
        <v>12597</v>
      </c>
    </row>
    <row r="2433" customFormat="false" ht="35.05" hidden="false" customHeight="false" outlineLevel="0" collapsed="false">
      <c r="A2433" s="7" t="n">
        <v>2432</v>
      </c>
      <c r="B2433" s="7" t="s">
        <v>12598</v>
      </c>
      <c r="C2433" s="7" t="n">
        <v>2019</v>
      </c>
      <c r="D2433" s="7" t="s">
        <v>12599</v>
      </c>
      <c r="E2433" s="7" t="s">
        <v>201</v>
      </c>
      <c r="F2433" s="7" t="s">
        <v>12600</v>
      </c>
      <c r="G2433" s="7" t="s">
        <v>327</v>
      </c>
      <c r="H2433" s="7" t="s">
        <v>146</v>
      </c>
      <c r="I2433" s="7" t="s">
        <v>12601</v>
      </c>
      <c r="J2433" s="7" t="s">
        <v>114</v>
      </c>
      <c r="K2433" s="7" t="s">
        <v>12602</v>
      </c>
    </row>
    <row r="2434" customFormat="false" ht="23.85" hidden="false" customHeight="false" outlineLevel="0" collapsed="false">
      <c r="A2434" s="7" t="n">
        <v>2433</v>
      </c>
      <c r="B2434" s="7" t="s">
        <v>9962</v>
      </c>
      <c r="C2434" s="7" t="n">
        <v>2008</v>
      </c>
      <c r="D2434" s="7" t="s">
        <v>12603</v>
      </c>
      <c r="E2434" s="7" t="s">
        <v>143</v>
      </c>
      <c r="F2434" s="7" t="s">
        <v>12604</v>
      </c>
      <c r="G2434" s="7" t="s">
        <v>1373</v>
      </c>
      <c r="H2434" s="7" t="s">
        <v>146</v>
      </c>
      <c r="I2434" s="7" t="s">
        <v>3553</v>
      </c>
      <c r="J2434" s="7" t="s">
        <v>116</v>
      </c>
      <c r="K2434" s="7" t="s">
        <v>12605</v>
      </c>
    </row>
    <row r="2435" customFormat="false" ht="23.85" hidden="false" customHeight="false" outlineLevel="0" collapsed="false">
      <c r="A2435" s="7" t="n">
        <v>2434</v>
      </c>
      <c r="B2435" s="7" t="s">
        <v>12606</v>
      </c>
      <c r="C2435" s="7" t="n">
        <v>2016</v>
      </c>
      <c r="D2435" s="7" t="s">
        <v>12607</v>
      </c>
      <c r="E2435" s="7" t="s">
        <v>151</v>
      </c>
      <c r="F2435" s="7" t="s">
        <v>830</v>
      </c>
      <c r="G2435" s="7" t="s">
        <v>12608</v>
      </c>
      <c r="H2435" s="7" t="s">
        <v>387</v>
      </c>
      <c r="I2435" s="7" t="s">
        <v>12609</v>
      </c>
      <c r="J2435" s="7" t="s">
        <v>116</v>
      </c>
      <c r="K2435" s="7" t="s">
        <v>12610</v>
      </c>
    </row>
    <row r="2436" customFormat="false" ht="23.85" hidden="false" customHeight="false" outlineLevel="0" collapsed="false">
      <c r="A2436" s="7" t="n">
        <v>2435</v>
      </c>
      <c r="B2436" s="7" t="s">
        <v>12611</v>
      </c>
      <c r="C2436" s="7" t="n">
        <v>2011</v>
      </c>
      <c r="D2436" s="7" t="s">
        <v>12612</v>
      </c>
      <c r="E2436" s="7" t="s">
        <v>143</v>
      </c>
      <c r="F2436" s="7" t="s">
        <v>1619</v>
      </c>
      <c r="G2436" s="7" t="s">
        <v>512</v>
      </c>
      <c r="H2436" s="7" t="s">
        <v>522</v>
      </c>
      <c r="I2436" s="7" t="s">
        <v>523</v>
      </c>
      <c r="J2436" s="7" t="s">
        <v>114</v>
      </c>
      <c r="K2436" s="7" t="s">
        <v>12613</v>
      </c>
    </row>
    <row r="2437" customFormat="false" ht="35.05" hidden="false" customHeight="false" outlineLevel="0" collapsed="false">
      <c r="A2437" s="7" t="n">
        <v>2436</v>
      </c>
      <c r="B2437" s="7" t="s">
        <v>12614</v>
      </c>
      <c r="C2437" s="7" t="n">
        <v>2017</v>
      </c>
      <c r="D2437" s="7" t="s">
        <v>12615</v>
      </c>
      <c r="E2437" s="7" t="s">
        <v>143</v>
      </c>
      <c r="F2437" s="7" t="s">
        <v>1619</v>
      </c>
      <c r="G2437" s="7" t="s">
        <v>12616</v>
      </c>
      <c r="H2437" s="7" t="s">
        <v>387</v>
      </c>
      <c r="I2437" s="7" t="s">
        <v>785</v>
      </c>
      <c r="J2437" s="7" t="s">
        <v>116</v>
      </c>
      <c r="K2437" s="7" t="s">
        <v>12617</v>
      </c>
    </row>
    <row r="2438" customFormat="false" ht="35.05" hidden="false" customHeight="false" outlineLevel="0" collapsed="false">
      <c r="A2438" s="7" t="n">
        <v>2437</v>
      </c>
      <c r="B2438" s="7" t="s">
        <v>12618</v>
      </c>
      <c r="C2438" s="7" t="n">
        <v>2017</v>
      </c>
      <c r="D2438" s="7" t="s">
        <v>12619</v>
      </c>
      <c r="E2438" s="7" t="s">
        <v>143</v>
      </c>
      <c r="F2438" s="7" t="s">
        <v>12620</v>
      </c>
      <c r="G2438" s="7" t="s">
        <v>501</v>
      </c>
      <c r="H2438" s="7" t="s">
        <v>146</v>
      </c>
      <c r="I2438" s="7" t="s">
        <v>12621</v>
      </c>
      <c r="J2438" s="7" t="s">
        <v>116</v>
      </c>
      <c r="K2438" s="7" t="s">
        <v>12622</v>
      </c>
    </row>
    <row r="2439" customFormat="false" ht="35.05" hidden="false" customHeight="false" outlineLevel="0" collapsed="false">
      <c r="A2439" s="7" t="n">
        <v>2438</v>
      </c>
      <c r="B2439" s="7" t="s">
        <v>12623</v>
      </c>
      <c r="C2439" s="7" t="n">
        <v>2021</v>
      </c>
      <c r="D2439" s="7" t="s">
        <v>12624</v>
      </c>
      <c r="E2439" s="7" t="s">
        <v>143</v>
      </c>
      <c r="F2439" s="7" t="s">
        <v>12625</v>
      </c>
      <c r="G2439" s="7" t="s">
        <v>2846</v>
      </c>
      <c r="H2439" s="7" t="s">
        <v>748</v>
      </c>
      <c r="I2439" s="7" t="s">
        <v>12626</v>
      </c>
      <c r="J2439" s="7" t="s">
        <v>116</v>
      </c>
      <c r="K2439" s="7" t="s">
        <v>12627</v>
      </c>
    </row>
    <row r="2440" customFormat="false" ht="23.85" hidden="false" customHeight="false" outlineLevel="0" collapsed="false">
      <c r="A2440" s="7" t="n">
        <v>2439</v>
      </c>
      <c r="B2440" s="7" t="s">
        <v>12628</v>
      </c>
      <c r="C2440" s="7" t="n">
        <v>2017</v>
      </c>
      <c r="D2440" s="7" t="s">
        <v>12629</v>
      </c>
      <c r="E2440" s="7" t="s">
        <v>201</v>
      </c>
      <c r="F2440" s="7" t="s">
        <v>8879</v>
      </c>
      <c r="G2440" s="7" t="s">
        <v>12630</v>
      </c>
      <c r="H2440" s="7" t="s">
        <v>522</v>
      </c>
      <c r="I2440" s="7" t="s">
        <v>12631</v>
      </c>
      <c r="J2440" s="7" t="s">
        <v>112</v>
      </c>
      <c r="K2440" s="7" t="s">
        <v>12632</v>
      </c>
    </row>
    <row r="2441" customFormat="false" ht="35.05" hidden="false" customHeight="false" outlineLevel="0" collapsed="false">
      <c r="A2441" s="7" t="n">
        <v>2440</v>
      </c>
      <c r="B2441" s="7" t="s">
        <v>12633</v>
      </c>
      <c r="C2441" s="7" t="n">
        <v>2016</v>
      </c>
      <c r="D2441" s="7" t="s">
        <v>12634</v>
      </c>
      <c r="E2441" s="7" t="s">
        <v>143</v>
      </c>
      <c r="F2441" s="7" t="s">
        <v>6721</v>
      </c>
      <c r="G2441" s="7" t="s">
        <v>12635</v>
      </c>
      <c r="H2441" s="7" t="s">
        <v>146</v>
      </c>
      <c r="I2441" s="7" t="s">
        <v>7512</v>
      </c>
      <c r="J2441" s="7" t="s">
        <v>116</v>
      </c>
      <c r="K2441" s="7" t="s">
        <v>12636</v>
      </c>
    </row>
    <row r="2442" customFormat="false" ht="23.85" hidden="false" customHeight="false" outlineLevel="0" collapsed="false">
      <c r="A2442" s="7" t="n">
        <v>2441</v>
      </c>
      <c r="B2442" s="7" t="s">
        <v>12637</v>
      </c>
      <c r="C2442" s="7" t="n">
        <v>2013</v>
      </c>
      <c r="D2442" s="7" t="s">
        <v>12638</v>
      </c>
      <c r="E2442" s="7" t="s">
        <v>143</v>
      </c>
      <c r="F2442" s="7" t="s">
        <v>832</v>
      </c>
      <c r="G2442" s="7" t="s">
        <v>145</v>
      </c>
      <c r="H2442" s="7" t="s">
        <v>146</v>
      </c>
      <c r="I2442" s="7" t="s">
        <v>12639</v>
      </c>
      <c r="J2442" s="7" t="s">
        <v>116</v>
      </c>
      <c r="K2442" s="7" t="s">
        <v>12640</v>
      </c>
    </row>
    <row r="2443" customFormat="false" ht="35.05" hidden="false" customHeight="false" outlineLevel="0" collapsed="false">
      <c r="A2443" s="7" t="n">
        <v>2442</v>
      </c>
      <c r="B2443" s="7" t="s">
        <v>12641</v>
      </c>
      <c r="C2443" s="7" t="n">
        <v>2014</v>
      </c>
      <c r="D2443" s="7" t="s">
        <v>12642</v>
      </c>
      <c r="E2443" s="7" t="s">
        <v>143</v>
      </c>
      <c r="F2443" s="7" t="s">
        <v>12643</v>
      </c>
      <c r="G2443" s="7" t="s">
        <v>3254</v>
      </c>
      <c r="H2443" s="7" t="s">
        <v>146</v>
      </c>
      <c r="I2443" s="7" t="s">
        <v>3553</v>
      </c>
      <c r="J2443" s="7" t="s">
        <v>116</v>
      </c>
      <c r="K2443" s="7" t="s">
        <v>12644</v>
      </c>
    </row>
    <row r="2444" customFormat="false" ht="35.05" hidden="false" customHeight="false" outlineLevel="0" collapsed="false">
      <c r="A2444" s="7" t="n">
        <v>2443</v>
      </c>
      <c r="B2444" s="7" t="s">
        <v>12564</v>
      </c>
      <c r="C2444" s="7" t="n">
        <v>2010</v>
      </c>
      <c r="D2444" s="7" t="s">
        <v>12645</v>
      </c>
      <c r="E2444" s="7" t="s">
        <v>143</v>
      </c>
      <c r="F2444" s="7" t="s">
        <v>152</v>
      </c>
      <c r="G2444" s="7" t="s">
        <v>145</v>
      </c>
      <c r="H2444" s="7" t="s">
        <v>146</v>
      </c>
      <c r="I2444" s="7" t="s">
        <v>12646</v>
      </c>
      <c r="J2444" s="7" t="s">
        <v>116</v>
      </c>
      <c r="K2444" s="7" t="s">
        <v>12647</v>
      </c>
    </row>
    <row r="2445" customFormat="false" ht="23.85" hidden="false" customHeight="false" outlineLevel="0" collapsed="false">
      <c r="A2445" s="7" t="n">
        <v>2444</v>
      </c>
      <c r="B2445" s="7" t="s">
        <v>12648</v>
      </c>
      <c r="C2445" s="7" t="n">
        <v>2010</v>
      </c>
      <c r="D2445" s="7" t="s">
        <v>12649</v>
      </c>
      <c r="E2445" s="7" t="s">
        <v>143</v>
      </c>
      <c r="F2445" s="7" t="s">
        <v>1499</v>
      </c>
      <c r="G2445" s="7" t="s">
        <v>145</v>
      </c>
      <c r="H2445" s="7" t="s">
        <v>387</v>
      </c>
      <c r="I2445" s="7" t="s">
        <v>1921</v>
      </c>
      <c r="J2445" s="7" t="s">
        <v>114</v>
      </c>
      <c r="K2445" s="7" t="s">
        <v>12650</v>
      </c>
    </row>
    <row r="2446" customFormat="false" ht="35.05" hidden="false" customHeight="false" outlineLevel="0" collapsed="false">
      <c r="A2446" s="7" t="n">
        <v>2445</v>
      </c>
      <c r="B2446" s="7" t="s">
        <v>12651</v>
      </c>
      <c r="C2446" s="7" t="n">
        <v>2014</v>
      </c>
      <c r="D2446" s="7" t="s">
        <v>12652</v>
      </c>
      <c r="E2446" s="7" t="s">
        <v>143</v>
      </c>
      <c r="F2446" s="7" t="s">
        <v>8335</v>
      </c>
      <c r="G2446" s="7" t="s">
        <v>3254</v>
      </c>
      <c r="H2446" s="7" t="s">
        <v>146</v>
      </c>
      <c r="I2446" s="7" t="s">
        <v>12653</v>
      </c>
      <c r="J2446" s="7" t="s">
        <v>116</v>
      </c>
      <c r="K2446" s="7" t="s">
        <v>12654</v>
      </c>
    </row>
    <row r="2447" customFormat="false" ht="35.05" hidden="false" customHeight="false" outlineLevel="0" collapsed="false">
      <c r="A2447" s="7" t="n">
        <v>2446</v>
      </c>
      <c r="B2447" s="7" t="s">
        <v>12655</v>
      </c>
      <c r="C2447" s="7" t="n">
        <v>2016</v>
      </c>
      <c r="D2447" s="7" t="s">
        <v>12656</v>
      </c>
      <c r="E2447" s="7" t="s">
        <v>579</v>
      </c>
      <c r="F2447" s="7" t="s">
        <v>7296</v>
      </c>
      <c r="G2447" s="7" t="s">
        <v>12657</v>
      </c>
      <c r="H2447" s="7" t="s">
        <v>387</v>
      </c>
      <c r="I2447" s="7" t="s">
        <v>12658</v>
      </c>
      <c r="J2447" s="7" t="s">
        <v>116</v>
      </c>
      <c r="K2447" s="7" t="s">
        <v>12659</v>
      </c>
    </row>
    <row r="2448" customFormat="false" ht="23.85" hidden="false" customHeight="false" outlineLevel="0" collapsed="false">
      <c r="A2448" s="7" t="n">
        <v>2447</v>
      </c>
      <c r="B2448" s="7" t="s">
        <v>12660</v>
      </c>
      <c r="C2448" s="7" t="n">
        <v>2020</v>
      </c>
      <c r="D2448" s="7" t="s">
        <v>12661</v>
      </c>
      <c r="E2448" s="7" t="s">
        <v>143</v>
      </c>
      <c r="F2448" s="7" t="s">
        <v>348</v>
      </c>
      <c r="G2448" s="7" t="s">
        <v>145</v>
      </c>
      <c r="H2448" s="7" t="s">
        <v>153</v>
      </c>
      <c r="I2448" s="7" t="s">
        <v>12662</v>
      </c>
      <c r="J2448" s="7"/>
      <c r="K2448" s="7" t="s">
        <v>12663</v>
      </c>
    </row>
    <row r="2449" customFormat="false" ht="23.85" hidden="false" customHeight="false" outlineLevel="0" collapsed="false">
      <c r="A2449" s="7" t="n">
        <v>2448</v>
      </c>
      <c r="B2449" s="7" t="s">
        <v>12664</v>
      </c>
      <c r="C2449" s="7" t="n">
        <v>2020</v>
      </c>
      <c r="D2449" s="7" t="s">
        <v>12665</v>
      </c>
      <c r="E2449" s="7" t="s">
        <v>143</v>
      </c>
      <c r="F2449" s="7" t="s">
        <v>12666</v>
      </c>
      <c r="G2449" s="7" t="s">
        <v>145</v>
      </c>
      <c r="H2449" s="7" t="s">
        <v>146</v>
      </c>
      <c r="I2449" s="7" t="s">
        <v>12667</v>
      </c>
      <c r="J2449" s="7" t="s">
        <v>116</v>
      </c>
      <c r="K2449" s="7" t="s">
        <v>12668</v>
      </c>
    </row>
    <row r="2450" customFormat="false" ht="35.05" hidden="false" customHeight="false" outlineLevel="0" collapsed="false">
      <c r="A2450" s="7" t="n">
        <v>2449</v>
      </c>
      <c r="B2450" s="7" t="s">
        <v>12669</v>
      </c>
      <c r="C2450" s="7" t="n">
        <v>2021</v>
      </c>
      <c r="D2450" s="7" t="s">
        <v>12670</v>
      </c>
      <c r="E2450" s="7" t="s">
        <v>143</v>
      </c>
      <c r="F2450" s="7" t="s">
        <v>7355</v>
      </c>
      <c r="G2450" s="7" t="s">
        <v>678</v>
      </c>
      <c r="H2450" s="7" t="s">
        <v>146</v>
      </c>
      <c r="I2450" s="7" t="s">
        <v>12601</v>
      </c>
      <c r="J2450" s="7" t="s">
        <v>116</v>
      </c>
      <c r="K2450" s="7" t="s">
        <v>12671</v>
      </c>
    </row>
    <row r="2451" customFormat="false" ht="23.85" hidden="false" customHeight="false" outlineLevel="0" collapsed="false">
      <c r="A2451" s="7" t="n">
        <v>2450</v>
      </c>
      <c r="B2451" s="7" t="s">
        <v>12672</v>
      </c>
      <c r="C2451" s="7" t="n">
        <v>2020</v>
      </c>
      <c r="D2451" s="7" t="s">
        <v>12673</v>
      </c>
      <c r="E2451" s="7" t="s">
        <v>143</v>
      </c>
      <c r="F2451" s="7" t="s">
        <v>152</v>
      </c>
      <c r="G2451" s="7" t="s">
        <v>145</v>
      </c>
      <c r="H2451" s="7" t="s">
        <v>522</v>
      </c>
      <c r="I2451" s="7" t="s">
        <v>12674</v>
      </c>
      <c r="J2451" s="7"/>
      <c r="K2451" s="7" t="s">
        <v>12675</v>
      </c>
    </row>
    <row r="2452" customFormat="false" ht="35.05" hidden="false" customHeight="false" outlineLevel="0" collapsed="false">
      <c r="A2452" s="7" t="n">
        <v>2451</v>
      </c>
      <c r="B2452" s="7" t="s">
        <v>12676</v>
      </c>
      <c r="C2452" s="7" t="n">
        <v>2013</v>
      </c>
      <c r="D2452" s="7" t="s">
        <v>12677</v>
      </c>
      <c r="E2452" s="7" t="s">
        <v>143</v>
      </c>
      <c r="F2452" s="7" t="s">
        <v>12678</v>
      </c>
      <c r="G2452" s="7" t="s">
        <v>779</v>
      </c>
      <c r="H2452" s="7" t="s">
        <v>748</v>
      </c>
      <c r="I2452" s="7" t="s">
        <v>12679</v>
      </c>
      <c r="J2452" s="7" t="s">
        <v>116</v>
      </c>
      <c r="K2452" s="7" t="s">
        <v>12680</v>
      </c>
    </row>
    <row r="2453" customFormat="false" ht="23.85" hidden="false" customHeight="false" outlineLevel="0" collapsed="false">
      <c r="A2453" s="7" t="n">
        <v>2452</v>
      </c>
      <c r="B2453" s="7" t="s">
        <v>12681</v>
      </c>
      <c r="C2453" s="7" t="n">
        <v>2002</v>
      </c>
      <c r="D2453" s="7" t="s">
        <v>12682</v>
      </c>
      <c r="E2453" s="7" t="s">
        <v>151</v>
      </c>
      <c r="F2453" s="7" t="s">
        <v>348</v>
      </c>
      <c r="G2453" s="7" t="s">
        <v>145</v>
      </c>
      <c r="H2453" s="7" t="s">
        <v>153</v>
      </c>
      <c r="I2453" s="7" t="s">
        <v>6504</v>
      </c>
      <c r="J2453" s="7"/>
      <c r="K2453" s="7" t="s">
        <v>12683</v>
      </c>
    </row>
    <row r="2454" customFormat="false" ht="23.85" hidden="false" customHeight="false" outlineLevel="0" collapsed="false">
      <c r="A2454" s="7" t="n">
        <v>2453</v>
      </c>
      <c r="B2454" s="7" t="s">
        <v>12684</v>
      </c>
      <c r="C2454" s="7" t="n">
        <v>2011</v>
      </c>
      <c r="D2454" s="7" t="s">
        <v>12685</v>
      </c>
      <c r="E2454" s="7" t="s">
        <v>151</v>
      </c>
      <c r="F2454" s="7" t="s">
        <v>348</v>
      </c>
      <c r="G2454" s="7" t="s">
        <v>145</v>
      </c>
      <c r="H2454" s="7" t="s">
        <v>153</v>
      </c>
      <c r="I2454" s="7" t="s">
        <v>6504</v>
      </c>
      <c r="J2454" s="7"/>
      <c r="K2454" s="7" t="s">
        <v>12686</v>
      </c>
    </row>
    <row r="2455" customFormat="false" ht="23.85" hidden="false" customHeight="false" outlineLevel="0" collapsed="false">
      <c r="A2455" s="7" t="n">
        <v>2454</v>
      </c>
      <c r="B2455" s="7" t="s">
        <v>12691</v>
      </c>
      <c r="C2455" s="7" t="n">
        <v>2008</v>
      </c>
      <c r="D2455" s="7" t="s">
        <v>12692</v>
      </c>
      <c r="E2455" s="7" t="s">
        <v>151</v>
      </c>
      <c r="F2455" s="7" t="s">
        <v>348</v>
      </c>
      <c r="G2455" s="7" t="s">
        <v>145</v>
      </c>
      <c r="H2455" s="7" t="s">
        <v>153</v>
      </c>
      <c r="I2455" s="7" t="s">
        <v>12693</v>
      </c>
      <c r="J2455" s="7"/>
      <c r="K2455" s="7" t="s">
        <v>12694</v>
      </c>
    </row>
    <row r="2456" customFormat="false" ht="23.85" hidden="false" customHeight="false" outlineLevel="0" collapsed="false">
      <c r="A2456" s="7" t="n">
        <v>2455</v>
      </c>
      <c r="B2456" s="7" t="s">
        <v>12695</v>
      </c>
      <c r="C2456" s="7" t="n">
        <v>2007</v>
      </c>
      <c r="D2456" s="7" t="s">
        <v>12696</v>
      </c>
      <c r="E2456" s="7" t="s">
        <v>579</v>
      </c>
      <c r="F2456" s="7" t="s">
        <v>12697</v>
      </c>
      <c r="G2456" s="7" t="s">
        <v>12698</v>
      </c>
      <c r="H2456" s="7" t="s">
        <v>146</v>
      </c>
      <c r="I2456" s="7" t="s">
        <v>12699</v>
      </c>
      <c r="J2456" s="7" t="s">
        <v>116</v>
      </c>
      <c r="K2456" s="7" t="s">
        <v>12700</v>
      </c>
    </row>
    <row r="2457" customFormat="false" ht="35.05" hidden="false" customHeight="false" outlineLevel="0" collapsed="false">
      <c r="A2457" s="7" t="n">
        <v>2456</v>
      </c>
      <c r="B2457" s="7" t="s">
        <v>12701</v>
      </c>
      <c r="C2457" s="7" t="n">
        <v>2014</v>
      </c>
      <c r="D2457" s="7" t="s">
        <v>12702</v>
      </c>
      <c r="E2457" s="7" t="s">
        <v>201</v>
      </c>
      <c r="F2457" s="7" t="s">
        <v>6567</v>
      </c>
      <c r="G2457" s="7" t="s">
        <v>3254</v>
      </c>
      <c r="H2457" s="7" t="s">
        <v>146</v>
      </c>
      <c r="I2457" s="7" t="s">
        <v>3553</v>
      </c>
      <c r="J2457" s="7" t="s">
        <v>116</v>
      </c>
      <c r="K2457" s="7" t="s">
        <v>12703</v>
      </c>
    </row>
    <row r="2458" customFormat="false" ht="35.05" hidden="false" customHeight="false" outlineLevel="0" collapsed="false">
      <c r="A2458" s="7" t="n">
        <v>2457</v>
      </c>
      <c r="B2458" s="7" t="s">
        <v>12704</v>
      </c>
      <c r="C2458" s="7" t="n">
        <v>2019</v>
      </c>
      <c r="D2458" s="7" t="s">
        <v>12705</v>
      </c>
      <c r="E2458" s="7" t="s">
        <v>143</v>
      </c>
      <c r="F2458" s="7" t="s">
        <v>12706</v>
      </c>
      <c r="G2458" s="7" t="s">
        <v>12707</v>
      </c>
      <c r="H2458" s="7" t="s">
        <v>387</v>
      </c>
      <c r="I2458" s="7" t="s">
        <v>12708</v>
      </c>
      <c r="J2458" s="7" t="s">
        <v>116</v>
      </c>
      <c r="K2458" s="7" t="s">
        <v>12709</v>
      </c>
    </row>
    <row r="2459" customFormat="false" ht="35.05" hidden="false" customHeight="false" outlineLevel="0" collapsed="false">
      <c r="A2459" s="7" t="n">
        <v>2458</v>
      </c>
      <c r="B2459" s="7" t="s">
        <v>12710</v>
      </c>
      <c r="C2459" s="7" t="n">
        <v>2020</v>
      </c>
      <c r="D2459" s="7" t="s">
        <v>12711</v>
      </c>
      <c r="E2459" s="7" t="s">
        <v>143</v>
      </c>
      <c r="F2459" s="7" t="s">
        <v>1900</v>
      </c>
      <c r="G2459" s="7" t="s">
        <v>327</v>
      </c>
      <c r="H2459" s="7" t="s">
        <v>146</v>
      </c>
      <c r="I2459" s="7" t="s">
        <v>12601</v>
      </c>
      <c r="J2459" s="7" t="s">
        <v>116</v>
      </c>
      <c r="K2459" s="7" t="s">
        <v>12712</v>
      </c>
    </row>
    <row r="2460" customFormat="false" ht="23.85" hidden="false" customHeight="false" outlineLevel="0" collapsed="false">
      <c r="A2460" s="7" t="n">
        <v>2459</v>
      </c>
      <c r="B2460" s="7" t="s">
        <v>12713</v>
      </c>
      <c r="C2460" s="7" t="n">
        <v>2020</v>
      </c>
      <c r="D2460" s="7" t="s">
        <v>12714</v>
      </c>
      <c r="E2460" s="7" t="s">
        <v>201</v>
      </c>
      <c r="F2460" s="7" t="s">
        <v>12715</v>
      </c>
      <c r="G2460" s="7" t="s">
        <v>12716</v>
      </c>
      <c r="H2460" s="7" t="s">
        <v>146</v>
      </c>
      <c r="I2460" s="7" t="s">
        <v>12717</v>
      </c>
      <c r="J2460" s="7" t="s">
        <v>116</v>
      </c>
      <c r="K2460" s="7" t="s">
        <v>12718</v>
      </c>
    </row>
    <row r="2461" customFormat="false" ht="23.85" hidden="false" customHeight="false" outlineLevel="0" collapsed="false">
      <c r="A2461" s="7" t="n">
        <v>2460</v>
      </c>
      <c r="B2461" s="7" t="s">
        <v>12719</v>
      </c>
      <c r="C2461" s="7" t="n">
        <v>2018</v>
      </c>
      <c r="D2461" s="7" t="s">
        <v>12720</v>
      </c>
      <c r="E2461" s="7" t="s">
        <v>151</v>
      </c>
      <c r="F2461" s="7" t="s">
        <v>12721</v>
      </c>
      <c r="G2461" s="7" t="s">
        <v>327</v>
      </c>
      <c r="H2461" s="7" t="s">
        <v>522</v>
      </c>
      <c r="I2461" s="7" t="s">
        <v>12722</v>
      </c>
      <c r="J2461" s="7" t="s">
        <v>112</v>
      </c>
      <c r="K2461" s="7" t="s">
        <v>12723</v>
      </c>
    </row>
    <row r="2462" customFormat="false" ht="35.05" hidden="false" customHeight="false" outlineLevel="0" collapsed="false">
      <c r="A2462" s="7" t="n">
        <v>2461</v>
      </c>
      <c r="B2462" s="7" t="s">
        <v>12724</v>
      </c>
      <c r="C2462" s="7" t="n">
        <v>2008</v>
      </c>
      <c r="D2462" s="7" t="s">
        <v>12725</v>
      </c>
      <c r="E2462" s="7" t="s">
        <v>201</v>
      </c>
      <c r="F2462" s="7" t="s">
        <v>12726</v>
      </c>
      <c r="G2462" s="7" t="s">
        <v>12727</v>
      </c>
      <c r="H2462" s="7" t="s">
        <v>387</v>
      </c>
      <c r="I2462" s="7" t="s">
        <v>12728</v>
      </c>
      <c r="J2462" s="7" t="s">
        <v>116</v>
      </c>
      <c r="K2462" s="7" t="s">
        <v>12729</v>
      </c>
    </row>
    <row r="2463" customFormat="false" ht="35.05" hidden="false" customHeight="false" outlineLevel="0" collapsed="false">
      <c r="A2463" s="7" t="n">
        <v>2462</v>
      </c>
      <c r="B2463" s="7" t="s">
        <v>12730</v>
      </c>
      <c r="C2463" s="7" t="n">
        <v>2014</v>
      </c>
      <c r="D2463" s="7" t="s">
        <v>12731</v>
      </c>
      <c r="E2463" s="7" t="s">
        <v>201</v>
      </c>
      <c r="F2463" s="7" t="s">
        <v>7355</v>
      </c>
      <c r="G2463" s="7" t="s">
        <v>12732</v>
      </c>
      <c r="H2463" s="7" t="s">
        <v>146</v>
      </c>
      <c r="I2463" s="7" t="s">
        <v>12601</v>
      </c>
      <c r="J2463" s="7" t="s">
        <v>116</v>
      </c>
      <c r="K2463" s="7" t="s">
        <v>12733</v>
      </c>
    </row>
    <row r="2464" customFormat="false" ht="23.85" hidden="false" customHeight="false" outlineLevel="0" collapsed="false">
      <c r="A2464" s="7" t="n">
        <v>2463</v>
      </c>
      <c r="B2464" s="7" t="s">
        <v>8826</v>
      </c>
      <c r="C2464" s="7" t="n">
        <v>2022</v>
      </c>
      <c r="D2464" s="7" t="s">
        <v>12734</v>
      </c>
      <c r="E2464" s="7" t="s">
        <v>143</v>
      </c>
      <c r="F2464" s="7" t="s">
        <v>12735</v>
      </c>
      <c r="G2464" s="7" t="s">
        <v>145</v>
      </c>
      <c r="H2464" s="7" t="s">
        <v>387</v>
      </c>
      <c r="I2464" s="7" t="s">
        <v>12736</v>
      </c>
      <c r="J2464" s="7" t="s">
        <v>114</v>
      </c>
      <c r="K2464" s="7" t="s">
        <v>12737</v>
      </c>
    </row>
    <row r="2465" customFormat="false" ht="35.05" hidden="false" customHeight="false" outlineLevel="0" collapsed="false">
      <c r="A2465" s="7" t="n">
        <v>2464</v>
      </c>
      <c r="B2465" s="7" t="s">
        <v>12738</v>
      </c>
      <c r="C2465" s="7" t="n">
        <v>2016</v>
      </c>
      <c r="D2465" s="7" t="s">
        <v>12739</v>
      </c>
      <c r="E2465" s="7" t="s">
        <v>143</v>
      </c>
      <c r="F2465" s="7" t="s">
        <v>12740</v>
      </c>
      <c r="G2465" s="7" t="s">
        <v>12741</v>
      </c>
      <c r="H2465" s="7" t="s">
        <v>146</v>
      </c>
      <c r="I2465" s="7" t="s">
        <v>8710</v>
      </c>
      <c r="J2465" s="7" t="s">
        <v>112</v>
      </c>
      <c r="K2465" s="7" t="s">
        <v>12742</v>
      </c>
    </row>
    <row r="2466" customFormat="false" ht="35.05" hidden="false" customHeight="false" outlineLevel="0" collapsed="false">
      <c r="A2466" s="7" t="n">
        <v>2465</v>
      </c>
      <c r="B2466" s="7" t="s">
        <v>12743</v>
      </c>
      <c r="C2466" s="7" t="n">
        <v>2021</v>
      </c>
      <c r="D2466" s="7" t="s">
        <v>12744</v>
      </c>
      <c r="E2466" s="7" t="s">
        <v>201</v>
      </c>
      <c r="F2466" s="7" t="s">
        <v>12745</v>
      </c>
      <c r="G2466" s="7" t="s">
        <v>12746</v>
      </c>
      <c r="H2466" s="7" t="s">
        <v>146</v>
      </c>
      <c r="I2466" s="7" t="s">
        <v>12747</v>
      </c>
      <c r="J2466" s="7" t="s">
        <v>116</v>
      </c>
      <c r="K2466" s="7" t="s">
        <v>12748</v>
      </c>
    </row>
    <row r="2467" customFormat="false" ht="35.05" hidden="false" customHeight="false" outlineLevel="0" collapsed="false">
      <c r="A2467" s="7" t="n">
        <v>2466</v>
      </c>
      <c r="B2467" s="7" t="s">
        <v>12749</v>
      </c>
      <c r="C2467" s="7" t="n">
        <v>2019</v>
      </c>
      <c r="D2467" s="7" t="s">
        <v>12750</v>
      </c>
      <c r="E2467" s="7" t="s">
        <v>143</v>
      </c>
      <c r="F2467" s="7" t="s">
        <v>1424</v>
      </c>
      <c r="G2467" s="7" t="s">
        <v>5924</v>
      </c>
      <c r="H2467" s="7" t="s">
        <v>146</v>
      </c>
      <c r="I2467" s="7" t="s">
        <v>12751</v>
      </c>
      <c r="J2467" s="7" t="s">
        <v>112</v>
      </c>
      <c r="K2467" s="7" t="s">
        <v>12752</v>
      </c>
    </row>
    <row r="2468" customFormat="false" ht="35.05" hidden="false" customHeight="false" outlineLevel="0" collapsed="false">
      <c r="A2468" s="7" t="n">
        <v>2467</v>
      </c>
      <c r="B2468" s="7" t="s">
        <v>12753</v>
      </c>
      <c r="C2468" s="7" t="n">
        <v>2021</v>
      </c>
      <c r="D2468" s="7" t="s">
        <v>12754</v>
      </c>
      <c r="E2468" s="7" t="s">
        <v>201</v>
      </c>
      <c r="F2468" s="7" t="s">
        <v>12755</v>
      </c>
      <c r="G2468" s="7" t="s">
        <v>12756</v>
      </c>
      <c r="H2468" s="7" t="s">
        <v>146</v>
      </c>
      <c r="I2468" s="7" t="s">
        <v>12757</v>
      </c>
      <c r="J2468" s="7" t="s">
        <v>112</v>
      </c>
      <c r="K2468" s="7" t="s">
        <v>12758</v>
      </c>
    </row>
    <row r="2469" customFormat="false" ht="23.85" hidden="false" customHeight="false" outlineLevel="0" collapsed="false">
      <c r="A2469" s="7" t="n">
        <v>2468</v>
      </c>
      <c r="B2469" s="7" t="s">
        <v>12759</v>
      </c>
      <c r="C2469" s="7" t="n">
        <v>2006</v>
      </c>
      <c r="D2469" s="7" t="s">
        <v>12760</v>
      </c>
      <c r="E2469" s="7" t="s">
        <v>143</v>
      </c>
      <c r="F2469" s="7" t="s">
        <v>12761</v>
      </c>
      <c r="G2469" s="7" t="s">
        <v>327</v>
      </c>
      <c r="H2469" s="7" t="s">
        <v>522</v>
      </c>
      <c r="I2469" s="7" t="s">
        <v>12762</v>
      </c>
      <c r="J2469" s="7" t="s">
        <v>114</v>
      </c>
      <c r="K2469" s="7" t="s">
        <v>12763</v>
      </c>
    </row>
    <row r="2470" customFormat="false" ht="23.85" hidden="false" customHeight="false" outlineLevel="0" collapsed="false">
      <c r="A2470" s="7" t="n">
        <v>2469</v>
      </c>
      <c r="B2470" s="7" t="s">
        <v>12764</v>
      </c>
      <c r="C2470" s="7" t="n">
        <v>2022</v>
      </c>
      <c r="D2470" s="7" t="s">
        <v>12765</v>
      </c>
      <c r="E2470" s="7" t="s">
        <v>143</v>
      </c>
      <c r="F2470" s="7" t="s">
        <v>12766</v>
      </c>
      <c r="G2470" s="7" t="s">
        <v>145</v>
      </c>
      <c r="H2470" s="7" t="s">
        <v>153</v>
      </c>
      <c r="I2470" s="7" t="s">
        <v>12767</v>
      </c>
      <c r="J2470" s="7" t="s">
        <v>114</v>
      </c>
      <c r="K2470" s="7" t="s">
        <v>12768</v>
      </c>
    </row>
    <row r="2471" customFormat="false" ht="35.05" hidden="false" customHeight="false" outlineLevel="0" collapsed="false">
      <c r="A2471" s="7" t="n">
        <v>2470</v>
      </c>
      <c r="B2471" s="7" t="s">
        <v>12769</v>
      </c>
      <c r="C2471" s="7" t="n">
        <v>2011</v>
      </c>
      <c r="D2471" s="7" t="s">
        <v>12770</v>
      </c>
      <c r="E2471" s="7" t="s">
        <v>143</v>
      </c>
      <c r="F2471" s="7" t="s">
        <v>12771</v>
      </c>
      <c r="G2471" s="7" t="s">
        <v>12772</v>
      </c>
      <c r="H2471" s="7" t="s">
        <v>146</v>
      </c>
      <c r="I2471" s="7" t="s">
        <v>12658</v>
      </c>
      <c r="J2471" s="7" t="s">
        <v>116</v>
      </c>
      <c r="K2471" s="7" t="s">
        <v>12773</v>
      </c>
    </row>
    <row r="2472" customFormat="false" ht="35.05" hidden="false" customHeight="false" outlineLevel="0" collapsed="false">
      <c r="A2472" s="7" t="n">
        <v>2471</v>
      </c>
      <c r="B2472" s="7" t="s">
        <v>1622</v>
      </c>
      <c r="C2472" s="7" t="n">
        <v>2022</v>
      </c>
      <c r="D2472" s="7" t="s">
        <v>12774</v>
      </c>
      <c r="E2472" s="7" t="s">
        <v>143</v>
      </c>
      <c r="F2472" s="7" t="s">
        <v>12775</v>
      </c>
      <c r="G2472" s="7" t="s">
        <v>327</v>
      </c>
      <c r="H2472" s="7" t="s">
        <v>522</v>
      </c>
      <c r="I2472" s="7" t="s">
        <v>12776</v>
      </c>
      <c r="J2472" s="7" t="s">
        <v>114</v>
      </c>
      <c r="K2472" s="7" t="s">
        <v>12777</v>
      </c>
    </row>
    <row r="2473" customFormat="false" ht="35.05" hidden="false" customHeight="false" outlineLevel="0" collapsed="false">
      <c r="A2473" s="7" t="n">
        <v>2472</v>
      </c>
      <c r="B2473" s="7" t="s">
        <v>12778</v>
      </c>
      <c r="C2473" s="7" t="n">
        <v>2021</v>
      </c>
      <c r="D2473" s="7" t="s">
        <v>12779</v>
      </c>
      <c r="E2473" s="7" t="s">
        <v>151</v>
      </c>
      <c r="F2473" s="7" t="s">
        <v>12780</v>
      </c>
      <c r="G2473" s="7" t="s">
        <v>12781</v>
      </c>
      <c r="H2473" s="7" t="s">
        <v>146</v>
      </c>
      <c r="I2473" s="7" t="s">
        <v>12782</v>
      </c>
      <c r="J2473" s="7" t="s">
        <v>116</v>
      </c>
      <c r="K2473" s="7" t="s">
        <v>12783</v>
      </c>
    </row>
    <row r="2474" customFormat="false" ht="35.05" hidden="false" customHeight="false" outlineLevel="0" collapsed="false">
      <c r="A2474" s="7" t="n">
        <v>2473</v>
      </c>
      <c r="B2474" s="7" t="s">
        <v>12784</v>
      </c>
      <c r="C2474" s="7" t="n">
        <v>2018</v>
      </c>
      <c r="D2474" s="7" t="s">
        <v>12785</v>
      </c>
      <c r="E2474" s="7" t="s">
        <v>151</v>
      </c>
      <c r="F2474" s="7" t="s">
        <v>12786</v>
      </c>
      <c r="G2474" s="7" t="s">
        <v>9323</v>
      </c>
      <c r="H2474" s="7" t="s">
        <v>146</v>
      </c>
      <c r="I2474" s="7" t="s">
        <v>12787</v>
      </c>
      <c r="J2474" s="7" t="s">
        <v>116</v>
      </c>
      <c r="K2474" s="7" t="s">
        <v>12788</v>
      </c>
    </row>
    <row r="2475" customFormat="false" ht="23.85" hidden="false" customHeight="false" outlineLevel="0" collapsed="false">
      <c r="A2475" s="7" t="n">
        <v>2474</v>
      </c>
      <c r="B2475" s="7" t="s">
        <v>12789</v>
      </c>
      <c r="C2475" s="7" t="n">
        <v>2020</v>
      </c>
      <c r="D2475" s="7" t="s">
        <v>12790</v>
      </c>
      <c r="E2475" s="7" t="s">
        <v>151</v>
      </c>
      <c r="F2475" s="7" t="s">
        <v>12791</v>
      </c>
      <c r="G2475" s="7" t="s">
        <v>4711</v>
      </c>
      <c r="H2475" s="7" t="s">
        <v>146</v>
      </c>
      <c r="I2475" s="7" t="s">
        <v>12792</v>
      </c>
      <c r="J2475" s="7" t="s">
        <v>116</v>
      </c>
      <c r="K2475" s="7" t="s">
        <v>12793</v>
      </c>
    </row>
    <row r="2476" customFormat="false" ht="35.05" hidden="false" customHeight="false" outlineLevel="0" collapsed="false">
      <c r="A2476" s="7" t="n">
        <v>2475</v>
      </c>
      <c r="B2476" s="7" t="s">
        <v>12794</v>
      </c>
      <c r="C2476" s="7" t="n">
        <v>2015</v>
      </c>
      <c r="D2476" s="7" t="s">
        <v>12795</v>
      </c>
      <c r="E2476" s="7" t="s">
        <v>143</v>
      </c>
      <c r="F2476" s="7" t="s">
        <v>12796</v>
      </c>
      <c r="G2476" s="7" t="s">
        <v>145</v>
      </c>
      <c r="H2476" s="7" t="s">
        <v>153</v>
      </c>
      <c r="I2476" s="7" t="s">
        <v>12797</v>
      </c>
      <c r="J2476" s="7" t="s">
        <v>114</v>
      </c>
      <c r="K2476" s="7" t="s">
        <v>12798</v>
      </c>
    </row>
    <row r="2477" customFormat="false" ht="23.85" hidden="false" customHeight="false" outlineLevel="0" collapsed="false">
      <c r="A2477" s="7" t="n">
        <v>2476</v>
      </c>
      <c r="B2477" s="7" t="s">
        <v>12799</v>
      </c>
      <c r="C2477" s="7" t="n">
        <v>1992</v>
      </c>
      <c r="D2477" s="7" t="s">
        <v>12800</v>
      </c>
      <c r="E2477" s="7" t="s">
        <v>143</v>
      </c>
      <c r="F2477" s="7" t="s">
        <v>12801</v>
      </c>
      <c r="G2477" s="7" t="s">
        <v>512</v>
      </c>
      <c r="H2477" s="7" t="s">
        <v>153</v>
      </c>
      <c r="I2477" s="7" t="s">
        <v>12802</v>
      </c>
      <c r="J2477" s="7" t="s">
        <v>114</v>
      </c>
      <c r="K2477" s="7" t="s">
        <v>12803</v>
      </c>
    </row>
    <row r="2478" customFormat="false" ht="35.05" hidden="false" customHeight="false" outlineLevel="0" collapsed="false">
      <c r="A2478" s="7" t="n">
        <v>2477</v>
      </c>
      <c r="B2478" s="7" t="s">
        <v>12804</v>
      </c>
      <c r="C2478" s="7" t="n">
        <v>2017</v>
      </c>
      <c r="D2478" s="7" t="s">
        <v>12805</v>
      </c>
      <c r="E2478" s="7" t="s">
        <v>201</v>
      </c>
      <c r="F2478" s="7" t="s">
        <v>364</v>
      </c>
      <c r="G2478" s="7" t="s">
        <v>145</v>
      </c>
      <c r="H2478" s="7" t="s">
        <v>533</v>
      </c>
      <c r="I2478" s="7" t="s">
        <v>9005</v>
      </c>
      <c r="J2478" s="7" t="s">
        <v>114</v>
      </c>
      <c r="K2478" s="7" t="s">
        <v>12806</v>
      </c>
    </row>
    <row r="2479" customFormat="false" ht="35.05" hidden="false" customHeight="false" outlineLevel="0" collapsed="false">
      <c r="A2479" s="7" t="n">
        <v>2478</v>
      </c>
      <c r="B2479" s="7" t="s">
        <v>12807</v>
      </c>
      <c r="C2479" s="7" t="n">
        <v>2021</v>
      </c>
      <c r="D2479" s="7" t="s">
        <v>12808</v>
      </c>
      <c r="E2479" s="7" t="s">
        <v>201</v>
      </c>
      <c r="F2479" s="7" t="s">
        <v>12809</v>
      </c>
      <c r="G2479" s="7" t="s">
        <v>12810</v>
      </c>
      <c r="H2479" s="7" t="s">
        <v>146</v>
      </c>
      <c r="I2479" s="7" t="s">
        <v>12811</v>
      </c>
      <c r="J2479" s="7" t="s">
        <v>116</v>
      </c>
      <c r="K2479" s="7" t="s">
        <v>12812</v>
      </c>
    </row>
    <row r="2480" customFormat="false" ht="23.85" hidden="false" customHeight="false" outlineLevel="0" collapsed="false">
      <c r="A2480" s="7" t="n">
        <v>2479</v>
      </c>
      <c r="B2480" s="7" t="s">
        <v>12813</v>
      </c>
      <c r="C2480" s="7" t="n">
        <v>2021</v>
      </c>
      <c r="D2480" s="7" t="s">
        <v>12814</v>
      </c>
      <c r="E2480" s="7" t="s">
        <v>151</v>
      </c>
      <c r="F2480" s="7" t="s">
        <v>348</v>
      </c>
      <c r="G2480" s="7" t="s">
        <v>145</v>
      </c>
      <c r="H2480" s="7" t="s">
        <v>153</v>
      </c>
      <c r="I2480" s="7" t="s">
        <v>12815</v>
      </c>
      <c r="J2480" s="7"/>
      <c r="K2480" s="7" t="s">
        <v>12816</v>
      </c>
    </row>
    <row r="2481" customFormat="false" ht="35.05" hidden="false" customHeight="false" outlineLevel="0" collapsed="false">
      <c r="A2481" s="7" t="n">
        <v>2480</v>
      </c>
      <c r="B2481" s="7" t="s">
        <v>12817</v>
      </c>
      <c r="C2481" s="7" t="n">
        <v>2009</v>
      </c>
      <c r="D2481" s="7" t="s">
        <v>12818</v>
      </c>
      <c r="E2481" s="7" t="s">
        <v>143</v>
      </c>
      <c r="F2481" s="7" t="s">
        <v>12819</v>
      </c>
      <c r="G2481" s="7" t="s">
        <v>145</v>
      </c>
      <c r="H2481" s="7" t="s">
        <v>387</v>
      </c>
      <c r="I2481" s="7" t="s">
        <v>12820</v>
      </c>
      <c r="J2481" s="7" t="s">
        <v>114</v>
      </c>
      <c r="K2481" s="7" t="s">
        <v>12821</v>
      </c>
    </row>
    <row r="2482" customFormat="false" ht="23.85" hidden="false" customHeight="false" outlineLevel="0" collapsed="false">
      <c r="A2482" s="7" t="n">
        <v>2481</v>
      </c>
      <c r="B2482" s="7" t="s">
        <v>12822</v>
      </c>
      <c r="C2482" s="7" t="n">
        <v>2013</v>
      </c>
      <c r="D2482" s="7" t="s">
        <v>12823</v>
      </c>
      <c r="E2482" s="7" t="s">
        <v>143</v>
      </c>
      <c r="F2482" s="7" t="s">
        <v>12643</v>
      </c>
      <c r="G2482" s="7" t="s">
        <v>12824</v>
      </c>
      <c r="H2482" s="7" t="s">
        <v>146</v>
      </c>
      <c r="I2482" s="7" t="s">
        <v>3553</v>
      </c>
      <c r="J2482" s="7" t="s">
        <v>116</v>
      </c>
      <c r="K2482" s="7" t="s">
        <v>12825</v>
      </c>
    </row>
    <row r="2483" customFormat="false" ht="35.05" hidden="false" customHeight="false" outlineLevel="0" collapsed="false">
      <c r="A2483" s="7" t="n">
        <v>2482</v>
      </c>
      <c r="B2483" s="7" t="s">
        <v>12826</v>
      </c>
      <c r="C2483" s="7" t="n">
        <v>2013</v>
      </c>
      <c r="D2483" s="7" t="s">
        <v>12827</v>
      </c>
      <c r="E2483" s="7" t="s">
        <v>201</v>
      </c>
      <c r="F2483" s="7" t="s">
        <v>3552</v>
      </c>
      <c r="G2483" s="7" t="s">
        <v>145</v>
      </c>
      <c r="H2483" s="7" t="s">
        <v>387</v>
      </c>
      <c r="I2483" s="7" t="s">
        <v>785</v>
      </c>
      <c r="J2483" s="7" t="s">
        <v>116</v>
      </c>
      <c r="K2483" s="7" t="s">
        <v>12828</v>
      </c>
    </row>
    <row r="2484" customFormat="false" ht="23.85" hidden="false" customHeight="false" outlineLevel="0" collapsed="false">
      <c r="A2484" s="7" t="n">
        <v>2483</v>
      </c>
      <c r="B2484" s="7" t="s">
        <v>12829</v>
      </c>
      <c r="C2484" s="7" t="n">
        <v>2014</v>
      </c>
      <c r="D2484" s="7" t="s">
        <v>12830</v>
      </c>
      <c r="E2484" s="7" t="s">
        <v>143</v>
      </c>
      <c r="F2484" s="7" t="s">
        <v>152</v>
      </c>
      <c r="G2484" s="7" t="s">
        <v>145</v>
      </c>
      <c r="H2484" s="7" t="s">
        <v>387</v>
      </c>
      <c r="I2484" s="7" t="s">
        <v>12831</v>
      </c>
      <c r="J2484" s="7" t="s">
        <v>114</v>
      </c>
      <c r="K2484" s="7" t="s">
        <v>12832</v>
      </c>
    </row>
    <row r="2485" customFormat="false" ht="35.05" hidden="false" customHeight="false" outlineLevel="0" collapsed="false">
      <c r="A2485" s="7" t="n">
        <v>2484</v>
      </c>
      <c r="B2485" s="7" t="s">
        <v>12833</v>
      </c>
      <c r="C2485" s="7" t="n">
        <v>2009</v>
      </c>
      <c r="D2485" s="7" t="s">
        <v>12834</v>
      </c>
      <c r="E2485" s="7" t="s">
        <v>201</v>
      </c>
      <c r="F2485" s="7" t="s">
        <v>1441</v>
      </c>
      <c r="G2485" s="7" t="s">
        <v>145</v>
      </c>
      <c r="H2485" s="7" t="s">
        <v>146</v>
      </c>
      <c r="I2485" s="7" t="s">
        <v>491</v>
      </c>
      <c r="J2485" s="7" t="s">
        <v>112</v>
      </c>
      <c r="K2485" s="7" t="s">
        <v>12835</v>
      </c>
    </row>
    <row r="2486" customFormat="false" ht="35.05" hidden="false" customHeight="false" outlineLevel="0" collapsed="false">
      <c r="A2486" s="7" t="n">
        <v>2485</v>
      </c>
      <c r="B2486" s="7" t="s">
        <v>12836</v>
      </c>
      <c r="C2486" s="7" t="n">
        <v>2008</v>
      </c>
      <c r="D2486" s="7" t="s">
        <v>12837</v>
      </c>
      <c r="E2486" s="7" t="s">
        <v>201</v>
      </c>
      <c r="F2486" s="7" t="s">
        <v>12838</v>
      </c>
      <c r="G2486" s="7" t="s">
        <v>3558</v>
      </c>
      <c r="H2486" s="7" t="s">
        <v>387</v>
      </c>
      <c r="I2486" s="7" t="s">
        <v>12839</v>
      </c>
      <c r="J2486" s="7" t="s">
        <v>116</v>
      </c>
      <c r="K2486" s="7" t="s">
        <v>12840</v>
      </c>
    </row>
    <row r="2487" customFormat="false" ht="35.05" hidden="false" customHeight="false" outlineLevel="0" collapsed="false">
      <c r="A2487" s="7" t="n">
        <v>2486</v>
      </c>
      <c r="B2487" s="7" t="s">
        <v>12841</v>
      </c>
      <c r="C2487" s="7" t="n">
        <v>2022</v>
      </c>
      <c r="D2487" s="7" t="s">
        <v>12842</v>
      </c>
      <c r="E2487" s="7" t="s">
        <v>151</v>
      </c>
      <c r="F2487" s="7" t="s">
        <v>12843</v>
      </c>
      <c r="G2487" s="7" t="s">
        <v>12844</v>
      </c>
      <c r="H2487" s="7" t="s">
        <v>146</v>
      </c>
      <c r="I2487" s="7" t="s">
        <v>12845</v>
      </c>
      <c r="J2487" s="7" t="s">
        <v>116</v>
      </c>
      <c r="K2487" s="7" t="s">
        <v>12846</v>
      </c>
    </row>
    <row r="2488" customFormat="false" ht="23.85" hidden="false" customHeight="false" outlineLevel="0" collapsed="false">
      <c r="A2488" s="7" t="n">
        <v>2487</v>
      </c>
      <c r="B2488" s="7" t="s">
        <v>12847</v>
      </c>
      <c r="C2488" s="7" t="n">
        <v>2013</v>
      </c>
      <c r="D2488" s="7" t="s">
        <v>12848</v>
      </c>
      <c r="E2488" s="7" t="s">
        <v>143</v>
      </c>
      <c r="F2488" s="7" t="s">
        <v>3510</v>
      </c>
      <c r="G2488" s="7" t="s">
        <v>12849</v>
      </c>
      <c r="H2488" s="7" t="s">
        <v>146</v>
      </c>
      <c r="I2488" s="7" t="s">
        <v>12850</v>
      </c>
      <c r="J2488" s="7" t="s">
        <v>116</v>
      </c>
      <c r="K2488" s="7" t="s">
        <v>12851</v>
      </c>
    </row>
    <row r="2489" customFormat="false" ht="35.05" hidden="false" customHeight="false" outlineLevel="0" collapsed="false">
      <c r="A2489" s="7" t="n">
        <v>2488</v>
      </c>
      <c r="B2489" s="7" t="s">
        <v>12852</v>
      </c>
      <c r="C2489" s="7" t="n">
        <v>2014</v>
      </c>
      <c r="D2489" s="7" t="s">
        <v>12853</v>
      </c>
      <c r="E2489" s="7" t="s">
        <v>201</v>
      </c>
      <c r="F2489" s="7" t="s">
        <v>12854</v>
      </c>
      <c r="G2489" s="7" t="s">
        <v>12855</v>
      </c>
      <c r="H2489" s="7" t="s">
        <v>146</v>
      </c>
      <c r="I2489" s="7" t="s">
        <v>12856</v>
      </c>
      <c r="J2489" s="7" t="s">
        <v>116</v>
      </c>
      <c r="K2489" s="7" t="s">
        <v>12857</v>
      </c>
    </row>
    <row r="2490" customFormat="false" ht="35.05" hidden="false" customHeight="false" outlineLevel="0" collapsed="false">
      <c r="A2490" s="7" t="n">
        <v>2489</v>
      </c>
      <c r="B2490" s="7" t="s">
        <v>12858</v>
      </c>
      <c r="C2490" s="7" t="n">
        <v>2014</v>
      </c>
      <c r="D2490" s="7" t="s">
        <v>12859</v>
      </c>
      <c r="E2490" s="7" t="s">
        <v>143</v>
      </c>
      <c r="F2490" s="7" t="s">
        <v>12860</v>
      </c>
      <c r="G2490" s="7" t="s">
        <v>12861</v>
      </c>
      <c r="H2490" s="7" t="s">
        <v>146</v>
      </c>
      <c r="I2490" s="7" t="s">
        <v>12862</v>
      </c>
      <c r="J2490" s="7" t="s">
        <v>116</v>
      </c>
      <c r="K2490" s="7" t="s">
        <v>12863</v>
      </c>
    </row>
    <row r="2491" customFormat="false" ht="35.05" hidden="false" customHeight="false" outlineLevel="0" collapsed="false">
      <c r="A2491" s="7" t="n">
        <v>2490</v>
      </c>
      <c r="B2491" s="7" t="s">
        <v>12864</v>
      </c>
      <c r="C2491" s="7" t="n">
        <v>2019</v>
      </c>
      <c r="D2491" s="7" t="s">
        <v>12865</v>
      </c>
      <c r="E2491" s="7" t="s">
        <v>151</v>
      </c>
      <c r="F2491" s="7" t="s">
        <v>3552</v>
      </c>
      <c r="G2491" s="7" t="s">
        <v>12866</v>
      </c>
      <c r="H2491" s="7" t="s">
        <v>748</v>
      </c>
      <c r="I2491" s="7" t="s">
        <v>12867</v>
      </c>
      <c r="J2491" s="7" t="s">
        <v>116</v>
      </c>
      <c r="K2491" s="7" t="s">
        <v>12868</v>
      </c>
    </row>
    <row r="2492" customFormat="false" ht="35.05" hidden="false" customHeight="false" outlineLevel="0" collapsed="false">
      <c r="A2492" s="7" t="n">
        <v>2491</v>
      </c>
      <c r="B2492" s="7" t="s">
        <v>12869</v>
      </c>
      <c r="C2492" s="7" t="n">
        <v>2013</v>
      </c>
      <c r="D2492" s="7" t="s">
        <v>12870</v>
      </c>
      <c r="E2492" s="7" t="s">
        <v>143</v>
      </c>
      <c r="F2492" s="7" t="s">
        <v>12871</v>
      </c>
      <c r="G2492" s="7" t="s">
        <v>12872</v>
      </c>
      <c r="H2492" s="7" t="s">
        <v>146</v>
      </c>
      <c r="I2492" s="7" t="s">
        <v>12873</v>
      </c>
      <c r="J2492" s="7" t="s">
        <v>116</v>
      </c>
      <c r="K2492" s="7" t="s">
        <v>12874</v>
      </c>
    </row>
    <row r="2493" customFormat="false" ht="35.05" hidden="false" customHeight="false" outlineLevel="0" collapsed="false">
      <c r="A2493" s="7" t="n">
        <v>2492</v>
      </c>
      <c r="B2493" s="7" t="s">
        <v>12875</v>
      </c>
      <c r="C2493" s="7" t="n">
        <v>2015</v>
      </c>
      <c r="D2493" s="7" t="s">
        <v>12876</v>
      </c>
      <c r="E2493" s="7" t="s">
        <v>151</v>
      </c>
      <c r="F2493" s="7" t="s">
        <v>12877</v>
      </c>
      <c r="G2493" s="7" t="s">
        <v>2037</v>
      </c>
      <c r="H2493" s="7" t="s">
        <v>146</v>
      </c>
      <c r="I2493" s="7" t="s">
        <v>691</v>
      </c>
      <c r="J2493" s="7" t="s">
        <v>116</v>
      </c>
      <c r="K2493" s="7" t="s">
        <v>12878</v>
      </c>
    </row>
    <row r="2494" customFormat="false" ht="23.85" hidden="false" customHeight="false" outlineLevel="0" collapsed="false">
      <c r="A2494" s="7" t="n">
        <v>2493</v>
      </c>
      <c r="B2494" s="7" t="s">
        <v>12879</v>
      </c>
      <c r="C2494" s="7" t="n">
        <v>2007</v>
      </c>
      <c r="D2494" s="7" t="s">
        <v>12880</v>
      </c>
      <c r="E2494" s="7" t="s">
        <v>201</v>
      </c>
      <c r="F2494" s="7" t="s">
        <v>152</v>
      </c>
      <c r="G2494" s="7" t="s">
        <v>145</v>
      </c>
      <c r="H2494" s="7" t="s">
        <v>153</v>
      </c>
      <c r="I2494" s="7" t="s">
        <v>12881</v>
      </c>
      <c r="J2494" s="7"/>
      <c r="K2494" s="7" t="s">
        <v>12882</v>
      </c>
    </row>
    <row r="2495" customFormat="false" ht="35.05" hidden="false" customHeight="false" outlineLevel="0" collapsed="false">
      <c r="A2495" s="7" t="n">
        <v>2494</v>
      </c>
      <c r="B2495" s="7" t="s">
        <v>12704</v>
      </c>
      <c r="C2495" s="7" t="n">
        <v>2021</v>
      </c>
      <c r="D2495" s="7" t="s">
        <v>12883</v>
      </c>
      <c r="E2495" s="7" t="s">
        <v>143</v>
      </c>
      <c r="F2495" s="7" t="s">
        <v>12884</v>
      </c>
      <c r="G2495" s="7" t="s">
        <v>9696</v>
      </c>
      <c r="H2495" s="7" t="s">
        <v>146</v>
      </c>
      <c r="I2495" s="7" t="s">
        <v>902</v>
      </c>
      <c r="J2495" s="7" t="s">
        <v>116</v>
      </c>
      <c r="K2495" s="7" t="s">
        <v>12885</v>
      </c>
    </row>
    <row r="2496" customFormat="false" ht="35.05" hidden="false" customHeight="false" outlineLevel="0" collapsed="false">
      <c r="A2496" s="7" t="n">
        <v>2495</v>
      </c>
      <c r="B2496" s="7" t="s">
        <v>12886</v>
      </c>
      <c r="C2496" s="7" t="n">
        <v>2015</v>
      </c>
      <c r="D2496" s="7" t="s">
        <v>12887</v>
      </c>
      <c r="E2496" s="7" t="s">
        <v>143</v>
      </c>
      <c r="F2496" s="7" t="s">
        <v>1619</v>
      </c>
      <c r="G2496" s="7" t="s">
        <v>2846</v>
      </c>
      <c r="H2496" s="7" t="s">
        <v>387</v>
      </c>
      <c r="I2496" s="7" t="s">
        <v>1921</v>
      </c>
      <c r="J2496" s="7" t="s">
        <v>116</v>
      </c>
      <c r="K2496" s="7" t="s">
        <v>12888</v>
      </c>
    </row>
    <row r="2497" customFormat="false" ht="23.85" hidden="false" customHeight="false" outlineLevel="0" collapsed="false">
      <c r="A2497" s="7" t="n">
        <v>2496</v>
      </c>
      <c r="B2497" s="7" t="s">
        <v>12889</v>
      </c>
      <c r="C2497" s="7" t="n">
        <v>2021</v>
      </c>
      <c r="D2497" s="7" t="s">
        <v>12890</v>
      </c>
      <c r="E2497" s="7" t="s">
        <v>143</v>
      </c>
      <c r="F2497" s="7" t="s">
        <v>832</v>
      </c>
      <c r="G2497" s="7" t="s">
        <v>4310</v>
      </c>
      <c r="H2497" s="7" t="s">
        <v>146</v>
      </c>
      <c r="I2497" s="7" t="s">
        <v>12891</v>
      </c>
      <c r="J2497" s="7" t="s">
        <v>116</v>
      </c>
      <c r="K2497" s="7" t="s">
        <v>12892</v>
      </c>
    </row>
    <row r="2498" customFormat="false" ht="35.05" hidden="false" customHeight="false" outlineLevel="0" collapsed="false">
      <c r="A2498" s="7" t="n">
        <v>2497</v>
      </c>
      <c r="B2498" s="7" t="s">
        <v>12893</v>
      </c>
      <c r="C2498" s="7" t="n">
        <v>2019</v>
      </c>
      <c r="D2498" s="7" t="s">
        <v>12894</v>
      </c>
      <c r="E2498" s="7" t="s">
        <v>143</v>
      </c>
      <c r="F2498" s="7" t="s">
        <v>1619</v>
      </c>
      <c r="G2498" s="7" t="s">
        <v>145</v>
      </c>
      <c r="H2498" s="7" t="s">
        <v>748</v>
      </c>
      <c r="I2498" s="7" t="s">
        <v>12895</v>
      </c>
      <c r="J2498" s="7" t="s">
        <v>114</v>
      </c>
      <c r="K2498" s="7" t="s">
        <v>12896</v>
      </c>
    </row>
    <row r="2499" customFormat="false" ht="23.85" hidden="false" customHeight="false" outlineLevel="0" collapsed="false">
      <c r="A2499" s="7" t="n">
        <v>2498</v>
      </c>
      <c r="B2499" s="7" t="s">
        <v>12897</v>
      </c>
      <c r="C2499" s="7" t="n">
        <v>2022</v>
      </c>
      <c r="D2499" s="7" t="s">
        <v>12898</v>
      </c>
      <c r="E2499" s="7" t="s">
        <v>151</v>
      </c>
      <c r="F2499" s="7" t="s">
        <v>12899</v>
      </c>
      <c r="G2499" s="7" t="s">
        <v>145</v>
      </c>
      <c r="H2499" s="7" t="s">
        <v>146</v>
      </c>
      <c r="I2499" s="7" t="s">
        <v>3553</v>
      </c>
      <c r="J2499" s="7" t="s">
        <v>116</v>
      </c>
      <c r="K2499" s="7" t="s">
        <v>12900</v>
      </c>
    </row>
    <row r="2500" customFormat="false" ht="35.05" hidden="false" customHeight="false" outlineLevel="0" collapsed="false">
      <c r="A2500" s="7" t="n">
        <v>2499</v>
      </c>
      <c r="B2500" s="7" t="s">
        <v>12901</v>
      </c>
      <c r="C2500" s="7" t="n">
        <v>2017</v>
      </c>
      <c r="D2500" s="7" t="s">
        <v>12902</v>
      </c>
      <c r="E2500" s="7" t="s">
        <v>201</v>
      </c>
      <c r="F2500" s="7" t="s">
        <v>12903</v>
      </c>
      <c r="G2500" s="7" t="s">
        <v>12904</v>
      </c>
      <c r="H2500" s="7" t="s">
        <v>146</v>
      </c>
      <c r="I2500" s="7" t="s">
        <v>12905</v>
      </c>
      <c r="J2500" s="7" t="s">
        <v>116</v>
      </c>
      <c r="K2500" s="7" t="s">
        <v>12906</v>
      </c>
    </row>
    <row r="2501" customFormat="false" ht="23.85" hidden="false" customHeight="false" outlineLevel="0" collapsed="false">
      <c r="A2501" s="7" t="n">
        <v>2500</v>
      </c>
      <c r="B2501" s="7" t="s">
        <v>12907</v>
      </c>
      <c r="C2501" s="7" t="n">
        <v>2015</v>
      </c>
      <c r="D2501" s="7" t="s">
        <v>12908</v>
      </c>
      <c r="E2501" s="7" t="s">
        <v>201</v>
      </c>
      <c r="F2501" s="7" t="s">
        <v>12909</v>
      </c>
      <c r="G2501" s="7" t="s">
        <v>12910</v>
      </c>
      <c r="H2501" s="7" t="s">
        <v>146</v>
      </c>
      <c r="I2501" s="7" t="s">
        <v>12911</v>
      </c>
      <c r="J2501" s="7" t="s">
        <v>112</v>
      </c>
      <c r="K2501" s="7" t="s">
        <v>12912</v>
      </c>
    </row>
    <row r="2502" customFormat="false" ht="35.05" hidden="false" customHeight="false" outlineLevel="0" collapsed="false">
      <c r="A2502" s="7" t="n">
        <v>2501</v>
      </c>
      <c r="B2502" s="7" t="s">
        <v>12913</v>
      </c>
      <c r="C2502" s="7" t="n">
        <v>2017</v>
      </c>
      <c r="D2502" s="7" t="s">
        <v>12914</v>
      </c>
      <c r="E2502" s="7" t="s">
        <v>151</v>
      </c>
      <c r="F2502" s="7" t="s">
        <v>12915</v>
      </c>
      <c r="G2502" s="7" t="s">
        <v>5271</v>
      </c>
      <c r="H2502" s="7" t="s">
        <v>146</v>
      </c>
      <c r="I2502" s="7" t="s">
        <v>12916</v>
      </c>
      <c r="J2502" s="7" t="s">
        <v>116</v>
      </c>
      <c r="K2502" s="7" t="s">
        <v>12917</v>
      </c>
    </row>
    <row r="2503" customFormat="false" ht="23.85" hidden="false" customHeight="false" outlineLevel="0" collapsed="false">
      <c r="A2503" s="7" t="n">
        <v>2502</v>
      </c>
      <c r="B2503" s="7" t="s">
        <v>8826</v>
      </c>
      <c r="C2503" s="7" t="n">
        <v>2018</v>
      </c>
      <c r="D2503" s="7" t="s">
        <v>12918</v>
      </c>
      <c r="E2503" s="7" t="s">
        <v>143</v>
      </c>
      <c r="F2503" s="7" t="s">
        <v>12919</v>
      </c>
      <c r="G2503" s="7" t="s">
        <v>12920</v>
      </c>
      <c r="H2503" s="7" t="s">
        <v>146</v>
      </c>
      <c r="I2503" s="7" t="s">
        <v>12921</v>
      </c>
      <c r="J2503" s="7" t="s">
        <v>116</v>
      </c>
      <c r="K2503" s="7" t="s">
        <v>12922</v>
      </c>
    </row>
    <row r="2504" customFormat="false" ht="35.05" hidden="false" customHeight="false" outlineLevel="0" collapsed="false">
      <c r="A2504" s="7" t="n">
        <v>2503</v>
      </c>
      <c r="B2504" s="7" t="s">
        <v>12923</v>
      </c>
      <c r="C2504" s="7" t="n">
        <v>2021</v>
      </c>
      <c r="D2504" s="7" t="s">
        <v>12924</v>
      </c>
      <c r="E2504" s="7" t="s">
        <v>143</v>
      </c>
      <c r="F2504" s="7" t="s">
        <v>12925</v>
      </c>
      <c r="G2504" s="7" t="s">
        <v>327</v>
      </c>
      <c r="H2504" s="7" t="s">
        <v>146</v>
      </c>
      <c r="I2504" s="7" t="s">
        <v>12926</v>
      </c>
      <c r="J2504" s="7" t="s">
        <v>116</v>
      </c>
      <c r="K2504" s="7" t="s">
        <v>12927</v>
      </c>
    </row>
    <row r="2505" customFormat="false" ht="35.05" hidden="false" customHeight="false" outlineLevel="0" collapsed="false">
      <c r="A2505" s="7" t="n">
        <v>2504</v>
      </c>
      <c r="B2505" s="7" t="s">
        <v>12928</v>
      </c>
      <c r="C2505" s="7" t="n">
        <v>2021</v>
      </c>
      <c r="D2505" s="7" t="s">
        <v>12929</v>
      </c>
      <c r="E2505" s="7" t="s">
        <v>201</v>
      </c>
      <c r="F2505" s="7" t="s">
        <v>12930</v>
      </c>
      <c r="G2505" s="7" t="s">
        <v>1904</v>
      </c>
      <c r="H2505" s="7" t="s">
        <v>146</v>
      </c>
      <c r="I2505" s="7" t="s">
        <v>12931</v>
      </c>
      <c r="J2505" s="7" t="s">
        <v>116</v>
      </c>
      <c r="K2505" s="7" t="s">
        <v>12932</v>
      </c>
    </row>
    <row r="2506" customFormat="false" ht="35.05" hidden="false" customHeight="false" outlineLevel="0" collapsed="false">
      <c r="A2506" s="7" t="n">
        <v>2505</v>
      </c>
      <c r="B2506" s="7" t="s">
        <v>12933</v>
      </c>
      <c r="C2506" s="7" t="n">
        <v>2015</v>
      </c>
      <c r="D2506" s="7" t="s">
        <v>12934</v>
      </c>
      <c r="E2506" s="7" t="s">
        <v>143</v>
      </c>
      <c r="F2506" s="7" t="s">
        <v>12935</v>
      </c>
      <c r="G2506" s="7" t="s">
        <v>12936</v>
      </c>
      <c r="H2506" s="7" t="s">
        <v>146</v>
      </c>
      <c r="I2506" s="7" t="s">
        <v>12937</v>
      </c>
      <c r="J2506" s="7" t="s">
        <v>116</v>
      </c>
      <c r="K2506" s="7" t="s">
        <v>12938</v>
      </c>
    </row>
    <row r="2507" customFormat="false" ht="23.85" hidden="false" customHeight="false" outlineLevel="0" collapsed="false">
      <c r="A2507" s="7" t="n">
        <v>2506</v>
      </c>
      <c r="B2507" s="7" t="s">
        <v>12939</v>
      </c>
      <c r="C2507" s="7" t="n">
        <v>2019</v>
      </c>
      <c r="D2507" s="7" t="s">
        <v>12940</v>
      </c>
      <c r="E2507" s="7" t="s">
        <v>143</v>
      </c>
      <c r="F2507" s="7" t="s">
        <v>12941</v>
      </c>
      <c r="G2507" s="7" t="s">
        <v>2037</v>
      </c>
      <c r="H2507" s="7" t="s">
        <v>146</v>
      </c>
      <c r="I2507" s="7" t="s">
        <v>12942</v>
      </c>
      <c r="J2507" s="7" t="s">
        <v>116</v>
      </c>
      <c r="K2507" s="7" t="s">
        <v>12943</v>
      </c>
    </row>
    <row r="2508" customFormat="false" ht="35.05" hidden="false" customHeight="false" outlineLevel="0" collapsed="false">
      <c r="A2508" s="7" t="n">
        <v>2507</v>
      </c>
      <c r="B2508" s="7" t="s">
        <v>12944</v>
      </c>
      <c r="C2508" s="7" t="n">
        <v>2018</v>
      </c>
      <c r="D2508" s="7" t="s">
        <v>12945</v>
      </c>
      <c r="E2508" s="7" t="s">
        <v>143</v>
      </c>
      <c r="F2508" s="7" t="s">
        <v>364</v>
      </c>
      <c r="G2508" s="7" t="s">
        <v>4294</v>
      </c>
      <c r="H2508" s="7" t="s">
        <v>153</v>
      </c>
      <c r="I2508" s="7" t="s">
        <v>12946</v>
      </c>
      <c r="J2508" s="7" t="s">
        <v>114</v>
      </c>
      <c r="K2508" s="7" t="s">
        <v>12947</v>
      </c>
    </row>
    <row r="2509" customFormat="false" ht="35.05" hidden="false" customHeight="false" outlineLevel="0" collapsed="false">
      <c r="A2509" s="7" t="n">
        <v>2508</v>
      </c>
      <c r="B2509" s="7" t="s">
        <v>12948</v>
      </c>
      <c r="C2509" s="7" t="n">
        <v>2021</v>
      </c>
      <c r="D2509" s="7" t="s">
        <v>12949</v>
      </c>
      <c r="E2509" s="7" t="s">
        <v>201</v>
      </c>
      <c r="F2509" s="7" t="s">
        <v>12950</v>
      </c>
      <c r="G2509" s="7" t="s">
        <v>12746</v>
      </c>
      <c r="H2509" s="7" t="s">
        <v>146</v>
      </c>
      <c r="I2509" s="7" t="s">
        <v>12951</v>
      </c>
      <c r="J2509" s="7" t="s">
        <v>116</v>
      </c>
      <c r="K2509" s="7" t="s">
        <v>12952</v>
      </c>
    </row>
    <row r="2510" customFormat="false" ht="35.05" hidden="false" customHeight="false" outlineLevel="0" collapsed="false">
      <c r="A2510" s="7" t="n">
        <v>2509</v>
      </c>
      <c r="B2510" s="7" t="s">
        <v>12953</v>
      </c>
      <c r="C2510" s="7" t="n">
        <v>2018</v>
      </c>
      <c r="D2510" s="7" t="s">
        <v>12954</v>
      </c>
      <c r="E2510" s="7" t="s">
        <v>143</v>
      </c>
      <c r="F2510" s="7" t="s">
        <v>12955</v>
      </c>
      <c r="G2510" s="7" t="s">
        <v>9830</v>
      </c>
      <c r="H2510" s="7" t="s">
        <v>146</v>
      </c>
      <c r="I2510" s="7" t="s">
        <v>12956</v>
      </c>
      <c r="J2510" s="7" t="s">
        <v>116</v>
      </c>
      <c r="K2510" s="7" t="s">
        <v>12957</v>
      </c>
    </row>
    <row r="2511" customFormat="false" ht="35.05" hidden="false" customHeight="false" outlineLevel="0" collapsed="false">
      <c r="A2511" s="7" t="n">
        <v>2510</v>
      </c>
      <c r="B2511" s="7" t="s">
        <v>12958</v>
      </c>
      <c r="C2511" s="7" t="n">
        <v>2016</v>
      </c>
      <c r="D2511" s="7" t="s">
        <v>12959</v>
      </c>
      <c r="E2511" s="7" t="s">
        <v>201</v>
      </c>
      <c r="F2511" s="7" t="s">
        <v>12960</v>
      </c>
      <c r="G2511" s="7" t="s">
        <v>12961</v>
      </c>
      <c r="H2511" s="7" t="s">
        <v>146</v>
      </c>
      <c r="I2511" s="7" t="s">
        <v>12962</v>
      </c>
      <c r="J2511" s="7" t="s">
        <v>116</v>
      </c>
      <c r="K2511" s="7" t="s">
        <v>12963</v>
      </c>
    </row>
    <row r="2512" customFormat="false" ht="35.05" hidden="false" customHeight="false" outlineLevel="0" collapsed="false">
      <c r="A2512" s="7" t="n">
        <v>2511</v>
      </c>
      <c r="B2512" s="7" t="s">
        <v>12964</v>
      </c>
      <c r="C2512" s="7" t="n">
        <v>2015</v>
      </c>
      <c r="D2512" s="7" t="s">
        <v>12965</v>
      </c>
      <c r="E2512" s="7" t="s">
        <v>143</v>
      </c>
      <c r="F2512" s="7" t="s">
        <v>12966</v>
      </c>
      <c r="G2512" s="7" t="s">
        <v>12967</v>
      </c>
      <c r="H2512" s="7" t="s">
        <v>146</v>
      </c>
      <c r="I2512" s="7" t="s">
        <v>12968</v>
      </c>
      <c r="J2512" s="7" t="s">
        <v>116</v>
      </c>
      <c r="K2512" s="7" t="s">
        <v>12969</v>
      </c>
    </row>
    <row r="2513" customFormat="false" ht="35.05" hidden="false" customHeight="false" outlineLevel="0" collapsed="false">
      <c r="A2513" s="7" t="n">
        <v>2512</v>
      </c>
      <c r="B2513" s="7" t="s">
        <v>12970</v>
      </c>
      <c r="C2513" s="7" t="n">
        <v>2017</v>
      </c>
      <c r="D2513" s="7" t="s">
        <v>12971</v>
      </c>
      <c r="E2513" s="7" t="s">
        <v>143</v>
      </c>
      <c r="F2513" s="7" t="s">
        <v>12972</v>
      </c>
      <c r="G2513" s="7" t="s">
        <v>12973</v>
      </c>
      <c r="H2513" s="7" t="s">
        <v>146</v>
      </c>
      <c r="I2513" s="7" t="s">
        <v>12974</v>
      </c>
      <c r="J2513" s="7" t="s">
        <v>112</v>
      </c>
      <c r="K2513" s="7" t="s">
        <v>12975</v>
      </c>
    </row>
    <row r="2514" customFormat="false" ht="35.05" hidden="false" customHeight="false" outlineLevel="0" collapsed="false">
      <c r="A2514" s="7" t="n">
        <v>2513</v>
      </c>
      <c r="B2514" s="7" t="s">
        <v>12976</v>
      </c>
      <c r="C2514" s="7" t="n">
        <v>2019</v>
      </c>
      <c r="D2514" s="7" t="s">
        <v>12977</v>
      </c>
      <c r="E2514" s="7" t="s">
        <v>151</v>
      </c>
      <c r="F2514" s="7" t="s">
        <v>12978</v>
      </c>
      <c r="G2514" s="7" t="s">
        <v>12979</v>
      </c>
      <c r="H2514" s="7" t="s">
        <v>146</v>
      </c>
      <c r="I2514" s="7" t="s">
        <v>12980</v>
      </c>
      <c r="J2514" s="7" t="s">
        <v>116</v>
      </c>
      <c r="K2514" s="7" t="s">
        <v>12981</v>
      </c>
    </row>
    <row r="2515" customFormat="false" ht="35.05" hidden="false" customHeight="false" outlineLevel="0" collapsed="false">
      <c r="A2515" s="7" t="n">
        <v>2514</v>
      </c>
      <c r="B2515" s="7" t="s">
        <v>12982</v>
      </c>
      <c r="C2515" s="7" t="n">
        <v>2020</v>
      </c>
      <c r="D2515" s="7" t="s">
        <v>12983</v>
      </c>
      <c r="E2515" s="7" t="s">
        <v>151</v>
      </c>
      <c r="F2515" s="7" t="s">
        <v>12984</v>
      </c>
      <c r="G2515" s="7" t="s">
        <v>490</v>
      </c>
      <c r="H2515" s="7" t="s">
        <v>748</v>
      </c>
      <c r="I2515" s="7" t="s">
        <v>12985</v>
      </c>
      <c r="J2515" s="7" t="s">
        <v>116</v>
      </c>
      <c r="K2515" s="7" t="s">
        <v>12986</v>
      </c>
    </row>
    <row r="2516" customFormat="false" ht="35.05" hidden="false" customHeight="false" outlineLevel="0" collapsed="false">
      <c r="A2516" s="7" t="n">
        <v>2515</v>
      </c>
      <c r="B2516" s="7" t="s">
        <v>12987</v>
      </c>
      <c r="C2516" s="7" t="n">
        <v>2015</v>
      </c>
      <c r="D2516" s="7" t="s">
        <v>12988</v>
      </c>
      <c r="E2516" s="7" t="s">
        <v>143</v>
      </c>
      <c r="F2516" s="7" t="s">
        <v>12989</v>
      </c>
      <c r="G2516" s="7" t="s">
        <v>501</v>
      </c>
      <c r="H2516" s="7" t="s">
        <v>146</v>
      </c>
      <c r="I2516" s="7" t="s">
        <v>12990</v>
      </c>
      <c r="J2516" s="7" t="s">
        <v>116</v>
      </c>
      <c r="K2516" s="7" t="s">
        <v>12991</v>
      </c>
    </row>
    <row r="2517" customFormat="false" ht="35.05" hidden="false" customHeight="false" outlineLevel="0" collapsed="false">
      <c r="A2517" s="7" t="n">
        <v>2516</v>
      </c>
      <c r="B2517" s="7" t="s">
        <v>12992</v>
      </c>
      <c r="C2517" s="7" t="n">
        <v>2020</v>
      </c>
      <c r="D2517" s="7" t="s">
        <v>12993</v>
      </c>
      <c r="E2517" s="7" t="s">
        <v>143</v>
      </c>
      <c r="F2517" s="7" t="s">
        <v>6079</v>
      </c>
      <c r="G2517" s="7" t="s">
        <v>145</v>
      </c>
      <c r="H2517" s="7" t="s">
        <v>146</v>
      </c>
      <c r="I2517" s="7" t="s">
        <v>12994</v>
      </c>
      <c r="J2517" s="7" t="s">
        <v>114</v>
      </c>
      <c r="K2517" s="7" t="s">
        <v>12995</v>
      </c>
    </row>
    <row r="2518" customFormat="false" ht="35.05" hidden="false" customHeight="false" outlineLevel="0" collapsed="false">
      <c r="A2518" s="7" t="n">
        <v>2517</v>
      </c>
      <c r="B2518" s="7" t="s">
        <v>12996</v>
      </c>
      <c r="C2518" s="7" t="n">
        <v>2014</v>
      </c>
      <c r="D2518" s="7" t="s">
        <v>12997</v>
      </c>
      <c r="E2518" s="7" t="s">
        <v>201</v>
      </c>
      <c r="F2518" s="7" t="s">
        <v>12998</v>
      </c>
      <c r="G2518" s="7" t="s">
        <v>12999</v>
      </c>
      <c r="H2518" s="7" t="s">
        <v>387</v>
      </c>
      <c r="I2518" s="7" t="s">
        <v>13000</v>
      </c>
      <c r="J2518" s="7" t="s">
        <v>116</v>
      </c>
      <c r="K2518" s="7" t="s">
        <v>13001</v>
      </c>
    </row>
    <row r="2519" customFormat="false" ht="35.05" hidden="false" customHeight="false" outlineLevel="0" collapsed="false">
      <c r="A2519" s="7" t="n">
        <v>2518</v>
      </c>
      <c r="B2519" s="7" t="s">
        <v>13002</v>
      </c>
      <c r="C2519" s="7" t="n">
        <v>2017</v>
      </c>
      <c r="D2519" s="7" t="s">
        <v>13003</v>
      </c>
      <c r="E2519" s="7" t="s">
        <v>143</v>
      </c>
      <c r="F2519" s="7" t="s">
        <v>13004</v>
      </c>
      <c r="G2519" s="7" t="s">
        <v>13005</v>
      </c>
      <c r="H2519" s="7" t="s">
        <v>146</v>
      </c>
      <c r="I2519" s="7" t="s">
        <v>13006</v>
      </c>
      <c r="J2519" s="7" t="s">
        <v>116</v>
      </c>
      <c r="K2519" s="7" t="s">
        <v>13007</v>
      </c>
    </row>
    <row r="2520" customFormat="false" ht="35.05" hidden="false" customHeight="false" outlineLevel="0" collapsed="false">
      <c r="A2520" s="7" t="n">
        <v>2519</v>
      </c>
      <c r="B2520" s="7" t="s">
        <v>13008</v>
      </c>
      <c r="C2520" s="7" t="n">
        <v>2022</v>
      </c>
      <c r="D2520" s="7" t="s">
        <v>13009</v>
      </c>
      <c r="E2520" s="7" t="s">
        <v>143</v>
      </c>
      <c r="F2520" s="7" t="s">
        <v>13010</v>
      </c>
      <c r="G2520" s="7" t="s">
        <v>327</v>
      </c>
      <c r="H2520" s="7" t="s">
        <v>146</v>
      </c>
      <c r="I2520" s="7" t="s">
        <v>13011</v>
      </c>
      <c r="J2520" s="7" t="s">
        <v>116</v>
      </c>
      <c r="K2520" s="7" t="s">
        <v>13012</v>
      </c>
    </row>
    <row r="2521" customFormat="false" ht="57.45" hidden="false" customHeight="false" outlineLevel="0" collapsed="false">
      <c r="A2521" s="7" t="n">
        <v>2520</v>
      </c>
      <c r="B2521" s="7" t="s">
        <v>2051</v>
      </c>
      <c r="C2521" s="7" t="n">
        <v>2022</v>
      </c>
      <c r="D2521" s="7" t="s">
        <v>13013</v>
      </c>
      <c r="E2521" s="7" t="s">
        <v>143</v>
      </c>
      <c r="F2521" s="7" t="s">
        <v>15842</v>
      </c>
      <c r="G2521" s="7" t="s">
        <v>145</v>
      </c>
      <c r="H2521" s="7" t="s">
        <v>15283</v>
      </c>
      <c r="I2521" s="7" t="s">
        <v>15843</v>
      </c>
      <c r="J2521" s="7" t="s">
        <v>112</v>
      </c>
      <c r="K2521" s="7" t="s">
        <v>15844</v>
      </c>
    </row>
    <row r="2522" customFormat="false" ht="23.85" hidden="false" customHeight="false" outlineLevel="0" collapsed="false">
      <c r="A2522" s="7" t="n">
        <v>2521</v>
      </c>
      <c r="B2522" s="7" t="s">
        <v>8162</v>
      </c>
      <c r="C2522" s="7" t="n">
        <v>2021</v>
      </c>
      <c r="D2522" s="7" t="s">
        <v>13017</v>
      </c>
      <c r="E2522" s="7" t="s">
        <v>143</v>
      </c>
      <c r="F2522" s="7" t="s">
        <v>13018</v>
      </c>
      <c r="G2522" s="7" t="s">
        <v>145</v>
      </c>
      <c r="H2522" s="7" t="s">
        <v>153</v>
      </c>
      <c r="I2522" s="7" t="s">
        <v>13019</v>
      </c>
      <c r="J2522" s="7" t="s">
        <v>114</v>
      </c>
      <c r="K2522" s="7" t="s">
        <v>13020</v>
      </c>
    </row>
    <row r="2523" customFormat="false" ht="35.05" hidden="false" customHeight="false" outlineLevel="0" collapsed="false">
      <c r="A2523" s="7" t="n">
        <v>2522</v>
      </c>
      <c r="B2523" s="7" t="s">
        <v>13021</v>
      </c>
      <c r="C2523" s="7" t="n">
        <v>2014</v>
      </c>
      <c r="D2523" s="7" t="s">
        <v>13022</v>
      </c>
      <c r="E2523" s="7" t="s">
        <v>143</v>
      </c>
      <c r="F2523" s="7" t="s">
        <v>1619</v>
      </c>
      <c r="G2523" s="7" t="s">
        <v>145</v>
      </c>
      <c r="H2523" s="7" t="s">
        <v>153</v>
      </c>
      <c r="I2523" s="7" t="s">
        <v>13023</v>
      </c>
      <c r="J2523" s="7" t="s">
        <v>114</v>
      </c>
      <c r="K2523" s="7" t="s">
        <v>13024</v>
      </c>
    </row>
    <row r="2524" customFormat="false" ht="35.05" hidden="false" customHeight="false" outlineLevel="0" collapsed="false">
      <c r="A2524" s="7" t="n">
        <v>2523</v>
      </c>
      <c r="B2524" s="7" t="s">
        <v>13025</v>
      </c>
      <c r="C2524" s="7" t="n">
        <v>2010</v>
      </c>
      <c r="D2524" s="7" t="s">
        <v>13026</v>
      </c>
      <c r="E2524" s="7" t="s">
        <v>143</v>
      </c>
      <c r="F2524" s="7" t="s">
        <v>13027</v>
      </c>
      <c r="G2524" s="7" t="s">
        <v>3254</v>
      </c>
      <c r="H2524" s="7" t="s">
        <v>146</v>
      </c>
      <c r="I2524" s="7" t="s">
        <v>13028</v>
      </c>
      <c r="J2524" s="7" t="s">
        <v>116</v>
      </c>
      <c r="K2524" s="7" t="s">
        <v>13029</v>
      </c>
    </row>
    <row r="2525" customFormat="false" ht="35.05" hidden="false" customHeight="false" outlineLevel="0" collapsed="false">
      <c r="A2525" s="7" t="n">
        <v>2524</v>
      </c>
      <c r="B2525" s="7" t="s">
        <v>13030</v>
      </c>
      <c r="C2525" s="7"/>
      <c r="D2525" s="7" t="s">
        <v>13032</v>
      </c>
      <c r="E2525" s="7" t="s">
        <v>143</v>
      </c>
      <c r="F2525" s="7" t="s">
        <v>13033</v>
      </c>
      <c r="G2525" s="7" t="s">
        <v>7146</v>
      </c>
      <c r="H2525" s="7" t="s">
        <v>522</v>
      </c>
      <c r="I2525" s="7" t="s">
        <v>13034</v>
      </c>
      <c r="J2525" s="7" t="s">
        <v>112</v>
      </c>
      <c r="K2525" s="7" t="s">
        <v>13035</v>
      </c>
    </row>
    <row r="2526" customFormat="false" ht="35.05" hidden="false" customHeight="false" outlineLevel="0" collapsed="false">
      <c r="A2526" s="7" t="n">
        <v>2525</v>
      </c>
      <c r="B2526" s="7" t="s">
        <v>2693</v>
      </c>
      <c r="C2526" s="7"/>
      <c r="D2526" s="7" t="s">
        <v>13036</v>
      </c>
      <c r="E2526" s="7" t="s">
        <v>143</v>
      </c>
      <c r="F2526" s="7" t="s">
        <v>13037</v>
      </c>
      <c r="G2526" s="7" t="s">
        <v>145</v>
      </c>
      <c r="H2526" s="7" t="s">
        <v>153</v>
      </c>
      <c r="I2526" s="7" t="s">
        <v>13038</v>
      </c>
      <c r="J2526" s="7"/>
      <c r="K2526" s="7" t="s">
        <v>13039</v>
      </c>
    </row>
    <row r="2527" customFormat="false" ht="23.85" hidden="false" customHeight="false" outlineLevel="0" collapsed="false">
      <c r="A2527" s="7" t="n">
        <v>2526</v>
      </c>
      <c r="B2527" s="7" t="s">
        <v>13042</v>
      </c>
      <c r="C2527" s="7"/>
      <c r="D2527" s="7" t="s">
        <v>13043</v>
      </c>
      <c r="E2527" s="7" t="s">
        <v>143</v>
      </c>
      <c r="F2527" s="7" t="s">
        <v>13044</v>
      </c>
      <c r="G2527" s="7" t="s">
        <v>145</v>
      </c>
      <c r="H2527" s="7" t="s">
        <v>522</v>
      </c>
      <c r="I2527" s="7" t="s">
        <v>13045</v>
      </c>
      <c r="J2527" s="7" t="s">
        <v>112</v>
      </c>
      <c r="K2527" s="7" t="s">
        <v>13046</v>
      </c>
    </row>
    <row r="2528" customFormat="false" ht="35.05" hidden="false" customHeight="false" outlineLevel="0" collapsed="false">
      <c r="A2528" s="7" t="n">
        <v>2527</v>
      </c>
      <c r="B2528" s="7" t="s">
        <v>13047</v>
      </c>
      <c r="C2528" s="7"/>
      <c r="D2528" s="7" t="s">
        <v>13048</v>
      </c>
      <c r="E2528" s="7" t="s">
        <v>143</v>
      </c>
      <c r="F2528" s="7" t="s">
        <v>13037</v>
      </c>
      <c r="G2528" s="7" t="s">
        <v>9323</v>
      </c>
      <c r="H2528" s="7" t="s">
        <v>522</v>
      </c>
      <c r="I2528" s="7" t="s">
        <v>13049</v>
      </c>
      <c r="J2528" s="7"/>
      <c r="K2528" s="7" t="s">
        <v>13050</v>
      </c>
    </row>
    <row r="2529" customFormat="false" ht="35.05" hidden="false" customHeight="false" outlineLevel="0" collapsed="false">
      <c r="A2529" s="7" t="n">
        <v>2528</v>
      </c>
      <c r="B2529" s="7" t="s">
        <v>13051</v>
      </c>
      <c r="C2529" s="7" t="n">
        <v>1992</v>
      </c>
      <c r="D2529" s="7" t="s">
        <v>13053</v>
      </c>
      <c r="E2529" s="7" t="s">
        <v>143</v>
      </c>
      <c r="F2529" s="7" t="s">
        <v>13037</v>
      </c>
      <c r="G2529" s="7" t="s">
        <v>145</v>
      </c>
      <c r="H2529" s="7" t="s">
        <v>153</v>
      </c>
      <c r="I2529" s="7" t="s">
        <v>13054</v>
      </c>
      <c r="J2529" s="7"/>
      <c r="K2529" s="7" t="s">
        <v>13055</v>
      </c>
    </row>
    <row r="2530" customFormat="false" ht="35.05" hidden="false" customHeight="false" outlineLevel="0" collapsed="false">
      <c r="A2530" s="7" t="n">
        <v>2529</v>
      </c>
      <c r="B2530" s="7" t="s">
        <v>13056</v>
      </c>
      <c r="C2530" s="7"/>
      <c r="D2530" s="7" t="s">
        <v>13057</v>
      </c>
      <c r="E2530" s="7" t="s">
        <v>579</v>
      </c>
      <c r="F2530" s="7" t="s">
        <v>197</v>
      </c>
      <c r="G2530" s="7" t="s">
        <v>901</v>
      </c>
      <c r="H2530" s="7" t="s">
        <v>153</v>
      </c>
      <c r="I2530" s="7" t="s">
        <v>13058</v>
      </c>
      <c r="J2530" s="7"/>
      <c r="K2530" s="7" t="s">
        <v>13059</v>
      </c>
    </row>
    <row r="2531" customFormat="false" ht="23.85" hidden="false" customHeight="false" outlineLevel="0" collapsed="false">
      <c r="A2531" s="7" t="n">
        <v>2530</v>
      </c>
      <c r="B2531" s="7" t="s">
        <v>2693</v>
      </c>
      <c r="C2531" s="7"/>
      <c r="D2531" s="7" t="s">
        <v>13060</v>
      </c>
      <c r="E2531" s="7" t="s">
        <v>143</v>
      </c>
      <c r="F2531" s="7" t="s">
        <v>1678</v>
      </c>
      <c r="G2531" s="7" t="s">
        <v>145</v>
      </c>
      <c r="H2531" s="7" t="s">
        <v>153</v>
      </c>
      <c r="I2531" s="7" t="s">
        <v>13061</v>
      </c>
      <c r="J2531" s="7"/>
      <c r="K2531" s="7" t="s">
        <v>13062</v>
      </c>
    </row>
    <row r="2532" customFormat="false" ht="23.85" hidden="false" customHeight="false" outlineLevel="0" collapsed="false">
      <c r="A2532" s="7" t="n">
        <v>2531</v>
      </c>
      <c r="B2532" s="7" t="s">
        <v>13063</v>
      </c>
      <c r="C2532" s="7"/>
      <c r="D2532" s="7" t="s">
        <v>13064</v>
      </c>
      <c r="E2532" s="7" t="s">
        <v>143</v>
      </c>
      <c r="F2532" s="7" t="s">
        <v>1619</v>
      </c>
      <c r="G2532" s="7" t="s">
        <v>145</v>
      </c>
      <c r="H2532" s="7" t="s">
        <v>153</v>
      </c>
      <c r="I2532" s="7" t="s">
        <v>13065</v>
      </c>
      <c r="J2532" s="7"/>
      <c r="K2532" s="7" t="s">
        <v>13066</v>
      </c>
    </row>
    <row r="2533" customFormat="false" ht="35.05" hidden="false" customHeight="false" outlineLevel="0" collapsed="false">
      <c r="A2533" s="7" t="n">
        <v>2532</v>
      </c>
      <c r="B2533" s="7" t="s">
        <v>2693</v>
      </c>
      <c r="C2533" s="7"/>
      <c r="D2533" s="7" t="s">
        <v>13067</v>
      </c>
      <c r="E2533" s="7" t="s">
        <v>143</v>
      </c>
      <c r="F2533" s="7" t="s">
        <v>13068</v>
      </c>
      <c r="G2533" s="7" t="s">
        <v>1373</v>
      </c>
      <c r="H2533" s="7" t="s">
        <v>522</v>
      </c>
      <c r="I2533" s="7" t="s">
        <v>13069</v>
      </c>
      <c r="J2533" s="7" t="s">
        <v>112</v>
      </c>
      <c r="K2533" s="7" t="s">
        <v>13070</v>
      </c>
    </row>
    <row r="2534" customFormat="false" ht="23.85" hidden="false" customHeight="false" outlineLevel="0" collapsed="false">
      <c r="A2534" s="7" t="n">
        <v>2533</v>
      </c>
      <c r="B2534" s="7" t="s">
        <v>13071</v>
      </c>
      <c r="C2534" s="7"/>
      <c r="D2534" s="7" t="s">
        <v>13072</v>
      </c>
      <c r="E2534" s="7" t="s">
        <v>143</v>
      </c>
      <c r="F2534" s="7" t="s">
        <v>1678</v>
      </c>
      <c r="G2534" s="7" t="s">
        <v>145</v>
      </c>
      <c r="H2534" s="7" t="s">
        <v>153</v>
      </c>
      <c r="I2534" s="7" t="s">
        <v>13073</v>
      </c>
      <c r="J2534" s="7" t="s">
        <v>112</v>
      </c>
      <c r="K2534" s="7" t="s">
        <v>13074</v>
      </c>
    </row>
    <row r="2535" customFormat="false" ht="23.85" hidden="false" customHeight="false" outlineLevel="0" collapsed="false">
      <c r="A2535" s="7" t="n">
        <v>2534</v>
      </c>
      <c r="B2535" s="7" t="s">
        <v>13056</v>
      </c>
      <c r="C2535" s="7"/>
      <c r="D2535" s="7" t="s">
        <v>13075</v>
      </c>
      <c r="E2535" s="7" t="s">
        <v>151</v>
      </c>
      <c r="F2535" s="7" t="s">
        <v>152</v>
      </c>
      <c r="G2535" s="7" t="s">
        <v>145</v>
      </c>
      <c r="H2535" s="7" t="s">
        <v>153</v>
      </c>
      <c r="I2535" s="7" t="s">
        <v>13076</v>
      </c>
      <c r="J2535" s="7"/>
      <c r="K2535" s="7" t="s">
        <v>13077</v>
      </c>
    </row>
    <row r="2536" customFormat="false" ht="35.05" hidden="false" customHeight="false" outlineLevel="0" collapsed="false">
      <c r="A2536" s="7" t="n">
        <v>2535</v>
      </c>
      <c r="B2536" s="7" t="s">
        <v>1622</v>
      </c>
      <c r="C2536" s="7"/>
      <c r="D2536" s="7" t="s">
        <v>13078</v>
      </c>
      <c r="E2536" s="7" t="s">
        <v>201</v>
      </c>
      <c r="F2536" s="7" t="s">
        <v>13079</v>
      </c>
      <c r="G2536" s="7" t="s">
        <v>327</v>
      </c>
      <c r="H2536" s="7" t="s">
        <v>522</v>
      </c>
      <c r="I2536" s="7" t="s">
        <v>13080</v>
      </c>
      <c r="J2536" s="7" t="s">
        <v>112</v>
      </c>
      <c r="K2536" s="7" t="s">
        <v>13081</v>
      </c>
    </row>
    <row r="2537" customFormat="false" ht="23.85" hidden="false" customHeight="false" outlineLevel="0" collapsed="false">
      <c r="A2537" s="7" t="n">
        <v>2536</v>
      </c>
      <c r="B2537" s="7" t="s">
        <v>13082</v>
      </c>
      <c r="C2537" s="7"/>
      <c r="D2537" s="7" t="s">
        <v>13083</v>
      </c>
      <c r="E2537" s="7" t="s">
        <v>201</v>
      </c>
      <c r="F2537" s="7" t="s">
        <v>13084</v>
      </c>
      <c r="G2537" s="7" t="s">
        <v>684</v>
      </c>
      <c r="H2537" s="7" t="s">
        <v>146</v>
      </c>
      <c r="I2537" s="7" t="s">
        <v>13085</v>
      </c>
      <c r="J2537" s="7" t="s">
        <v>112</v>
      </c>
      <c r="K2537" s="7" t="s">
        <v>13086</v>
      </c>
    </row>
    <row r="2538" customFormat="false" ht="23.85" hidden="false" customHeight="false" outlineLevel="0" collapsed="false">
      <c r="A2538" s="7" t="n">
        <v>2537</v>
      </c>
      <c r="B2538" s="7" t="s">
        <v>13087</v>
      </c>
      <c r="C2538" s="7" t="n">
        <v>2022</v>
      </c>
      <c r="D2538" s="7" t="s">
        <v>13088</v>
      </c>
      <c r="E2538" s="7" t="s">
        <v>151</v>
      </c>
      <c r="F2538" s="7" t="s">
        <v>13089</v>
      </c>
      <c r="G2538" s="7" t="s">
        <v>684</v>
      </c>
      <c r="H2538" s="7" t="s">
        <v>146</v>
      </c>
      <c r="I2538" s="7" t="s">
        <v>13090</v>
      </c>
      <c r="J2538" s="7" t="s">
        <v>112</v>
      </c>
      <c r="K2538" s="7" t="s">
        <v>13091</v>
      </c>
    </row>
    <row r="2539" customFormat="false" ht="23.85" hidden="false" customHeight="false" outlineLevel="0" collapsed="false">
      <c r="A2539" s="7" t="n">
        <v>2538</v>
      </c>
      <c r="B2539" s="7" t="s">
        <v>13092</v>
      </c>
      <c r="C2539" s="7"/>
      <c r="D2539" s="7" t="s">
        <v>13093</v>
      </c>
      <c r="E2539" s="7" t="s">
        <v>143</v>
      </c>
      <c r="F2539" s="7" t="s">
        <v>13094</v>
      </c>
      <c r="G2539" s="7" t="s">
        <v>684</v>
      </c>
      <c r="H2539" s="7" t="s">
        <v>146</v>
      </c>
      <c r="I2539" s="7" t="s">
        <v>13095</v>
      </c>
      <c r="J2539" s="7" t="s">
        <v>112</v>
      </c>
      <c r="K2539" s="7" t="s">
        <v>13096</v>
      </c>
    </row>
    <row r="2540" customFormat="false" ht="35.05" hidden="false" customHeight="false" outlineLevel="0" collapsed="false">
      <c r="A2540" s="7" t="n">
        <v>2539</v>
      </c>
      <c r="B2540" s="7" t="s">
        <v>11887</v>
      </c>
      <c r="C2540" s="7" t="n">
        <v>2022</v>
      </c>
      <c r="D2540" s="7" t="s">
        <v>13097</v>
      </c>
      <c r="E2540" s="7" t="s">
        <v>579</v>
      </c>
      <c r="F2540" s="7" t="s">
        <v>13098</v>
      </c>
      <c r="G2540" s="7" t="s">
        <v>684</v>
      </c>
      <c r="H2540" s="7" t="s">
        <v>146</v>
      </c>
      <c r="I2540" s="7" t="s">
        <v>13099</v>
      </c>
      <c r="J2540" s="7" t="s">
        <v>112</v>
      </c>
      <c r="K2540" s="7" t="s">
        <v>13100</v>
      </c>
    </row>
    <row r="2541" customFormat="false" ht="23.85" hidden="false" customHeight="false" outlineLevel="0" collapsed="false">
      <c r="A2541" s="7" t="n">
        <v>2540</v>
      </c>
      <c r="B2541" s="7" t="s">
        <v>13101</v>
      </c>
      <c r="C2541" s="7" t="n">
        <v>2021</v>
      </c>
      <c r="D2541" s="7" t="s">
        <v>13102</v>
      </c>
      <c r="E2541" s="7" t="s">
        <v>143</v>
      </c>
      <c r="F2541" s="7" t="s">
        <v>1264</v>
      </c>
      <c r="G2541" s="7" t="s">
        <v>684</v>
      </c>
      <c r="H2541" s="7" t="s">
        <v>146</v>
      </c>
      <c r="I2541" s="7" t="s">
        <v>13103</v>
      </c>
      <c r="J2541" s="7" t="s">
        <v>112</v>
      </c>
      <c r="K2541" s="7" t="s">
        <v>13104</v>
      </c>
    </row>
    <row r="2542" customFormat="false" ht="23.85" hidden="false" customHeight="false" outlineLevel="0" collapsed="false">
      <c r="A2542" s="7" t="n">
        <v>2541</v>
      </c>
      <c r="B2542" s="7" t="s">
        <v>1622</v>
      </c>
      <c r="C2542" s="7" t="n">
        <v>2021</v>
      </c>
      <c r="D2542" s="7" t="s">
        <v>13105</v>
      </c>
      <c r="E2542" s="7" t="s">
        <v>143</v>
      </c>
      <c r="F2542" s="7" t="s">
        <v>13106</v>
      </c>
      <c r="G2542" s="7" t="s">
        <v>327</v>
      </c>
      <c r="H2542" s="7" t="s">
        <v>153</v>
      </c>
      <c r="I2542" s="7" t="s">
        <v>13107</v>
      </c>
      <c r="J2542" s="7" t="s">
        <v>114</v>
      </c>
      <c r="K2542" s="7" t="s">
        <v>13108</v>
      </c>
    </row>
    <row r="2543" customFormat="false" ht="35.05" hidden="false" customHeight="false" outlineLevel="0" collapsed="false">
      <c r="A2543" s="7" t="n">
        <v>2542</v>
      </c>
      <c r="B2543" s="7" t="s">
        <v>1622</v>
      </c>
      <c r="C2543" s="7"/>
      <c r="D2543" s="7" t="s">
        <v>13109</v>
      </c>
      <c r="E2543" s="7" t="s">
        <v>143</v>
      </c>
      <c r="F2543" s="7" t="s">
        <v>13110</v>
      </c>
      <c r="G2543" s="7" t="s">
        <v>327</v>
      </c>
      <c r="H2543" s="7" t="s">
        <v>387</v>
      </c>
      <c r="I2543" s="7" t="s">
        <v>13111</v>
      </c>
      <c r="J2543" s="7" t="s">
        <v>112</v>
      </c>
      <c r="K2543" s="7" t="s">
        <v>13112</v>
      </c>
    </row>
    <row r="2544" customFormat="false" ht="23.85" hidden="false" customHeight="false" outlineLevel="0" collapsed="false">
      <c r="A2544" s="7" t="n">
        <v>2543</v>
      </c>
      <c r="B2544" s="7" t="s">
        <v>13113</v>
      </c>
      <c r="C2544" s="7"/>
      <c r="D2544" s="7" t="s">
        <v>13114</v>
      </c>
      <c r="E2544" s="7" t="s">
        <v>151</v>
      </c>
      <c r="F2544" s="7" t="s">
        <v>13115</v>
      </c>
      <c r="G2544" s="7" t="s">
        <v>327</v>
      </c>
      <c r="H2544" s="7" t="s">
        <v>522</v>
      </c>
      <c r="I2544" s="7" t="s">
        <v>13116</v>
      </c>
      <c r="J2544" s="7" t="s">
        <v>112</v>
      </c>
      <c r="K2544" s="7" t="s">
        <v>13117</v>
      </c>
    </row>
    <row r="2545" customFormat="false" ht="35.05" hidden="false" customHeight="false" outlineLevel="0" collapsed="false">
      <c r="A2545" s="7" t="n">
        <v>2544</v>
      </c>
      <c r="B2545" s="7" t="s">
        <v>13118</v>
      </c>
      <c r="C2545" s="7" t="n">
        <v>2022</v>
      </c>
      <c r="D2545" s="7" t="s">
        <v>13119</v>
      </c>
      <c r="E2545" s="7" t="s">
        <v>143</v>
      </c>
      <c r="F2545" s="7" t="s">
        <v>13120</v>
      </c>
      <c r="G2545" s="7" t="s">
        <v>9323</v>
      </c>
      <c r="H2545" s="7" t="s">
        <v>522</v>
      </c>
      <c r="I2545" s="7" t="s">
        <v>13121</v>
      </c>
      <c r="J2545" s="7" t="s">
        <v>112</v>
      </c>
      <c r="K2545" s="7" t="s">
        <v>13122</v>
      </c>
    </row>
    <row r="2546" customFormat="false" ht="35.05" hidden="false" customHeight="false" outlineLevel="0" collapsed="false">
      <c r="A2546" s="7" t="n">
        <v>2545</v>
      </c>
      <c r="B2546" s="7" t="s">
        <v>5984</v>
      </c>
      <c r="C2546" s="7" t="n">
        <v>2016</v>
      </c>
      <c r="D2546" s="7" t="s">
        <v>13123</v>
      </c>
      <c r="E2546" s="7" t="s">
        <v>579</v>
      </c>
      <c r="F2546" s="7" t="s">
        <v>13124</v>
      </c>
      <c r="G2546" s="7" t="s">
        <v>9323</v>
      </c>
      <c r="H2546" s="7" t="s">
        <v>11094</v>
      </c>
      <c r="I2546" s="7" t="s">
        <v>13125</v>
      </c>
      <c r="J2546" s="7"/>
      <c r="K2546" s="7" t="s">
        <v>13126</v>
      </c>
    </row>
    <row r="2547" customFormat="false" ht="35.05" hidden="false" customHeight="false" outlineLevel="0" collapsed="false">
      <c r="A2547" s="7" t="n">
        <v>2546</v>
      </c>
      <c r="B2547" s="7" t="s">
        <v>13127</v>
      </c>
      <c r="C2547" s="7" t="n">
        <v>2023</v>
      </c>
      <c r="D2547" s="7" t="s">
        <v>13128</v>
      </c>
      <c r="E2547" s="7" t="s">
        <v>143</v>
      </c>
      <c r="F2547" s="7" t="s">
        <v>13129</v>
      </c>
      <c r="G2547" s="7" t="s">
        <v>9323</v>
      </c>
      <c r="H2547" s="7" t="s">
        <v>522</v>
      </c>
      <c r="I2547" s="7" t="s">
        <v>13130</v>
      </c>
      <c r="J2547" s="7" t="s">
        <v>112</v>
      </c>
      <c r="K2547" s="7" t="s">
        <v>13131</v>
      </c>
    </row>
    <row r="2548" customFormat="false" ht="23.85" hidden="false" customHeight="false" outlineLevel="0" collapsed="false">
      <c r="A2548" s="7" t="n">
        <v>2547</v>
      </c>
      <c r="B2548" s="7" t="s">
        <v>13132</v>
      </c>
      <c r="C2548" s="7"/>
      <c r="D2548" s="7" t="s">
        <v>13133</v>
      </c>
      <c r="E2548" s="7" t="s">
        <v>143</v>
      </c>
      <c r="F2548" s="7" t="s">
        <v>13134</v>
      </c>
      <c r="G2548" s="7" t="s">
        <v>13135</v>
      </c>
      <c r="H2548" s="7" t="s">
        <v>146</v>
      </c>
      <c r="I2548" s="7" t="s">
        <v>13136</v>
      </c>
      <c r="J2548" s="7" t="s">
        <v>112</v>
      </c>
      <c r="K2548" s="7" t="s">
        <v>13137</v>
      </c>
    </row>
    <row r="2549" customFormat="false" ht="35.05" hidden="false" customHeight="false" outlineLevel="0" collapsed="false">
      <c r="A2549" s="7" t="n">
        <v>2548</v>
      </c>
      <c r="B2549" s="7" t="s">
        <v>13138</v>
      </c>
      <c r="C2549" s="7"/>
      <c r="D2549" s="7" t="s">
        <v>13139</v>
      </c>
      <c r="E2549" s="7" t="s">
        <v>143</v>
      </c>
      <c r="F2549" s="7" t="s">
        <v>364</v>
      </c>
      <c r="G2549" s="7" t="s">
        <v>9323</v>
      </c>
      <c r="H2549" s="7" t="s">
        <v>522</v>
      </c>
      <c r="I2549" s="7" t="s">
        <v>13140</v>
      </c>
      <c r="J2549" s="7" t="s">
        <v>114</v>
      </c>
      <c r="K2549" s="7" t="s">
        <v>13141</v>
      </c>
    </row>
    <row r="2550" customFormat="false" ht="23.85" hidden="false" customHeight="false" outlineLevel="0" collapsed="false">
      <c r="A2550" s="7" t="n">
        <v>2549</v>
      </c>
      <c r="B2550" s="7" t="s">
        <v>13132</v>
      </c>
      <c r="C2550" s="7"/>
      <c r="D2550" s="7" t="s">
        <v>13142</v>
      </c>
      <c r="E2550" s="7" t="s">
        <v>143</v>
      </c>
      <c r="F2550" s="7" t="s">
        <v>5192</v>
      </c>
      <c r="G2550" s="7" t="s">
        <v>145</v>
      </c>
      <c r="H2550" s="7" t="s">
        <v>146</v>
      </c>
      <c r="I2550" s="7" t="s">
        <v>13143</v>
      </c>
      <c r="J2550" s="7" t="s">
        <v>112</v>
      </c>
      <c r="K2550" s="7" t="s">
        <v>13144</v>
      </c>
    </row>
    <row r="2551" customFormat="false" ht="23.85" hidden="false" customHeight="false" outlineLevel="0" collapsed="false">
      <c r="A2551" s="7" t="n">
        <v>2550</v>
      </c>
      <c r="B2551" s="7" t="s">
        <v>13138</v>
      </c>
      <c r="C2551" s="7"/>
      <c r="D2551" s="7" t="s">
        <v>13145</v>
      </c>
      <c r="E2551" s="7" t="s">
        <v>143</v>
      </c>
      <c r="F2551" s="7" t="s">
        <v>13146</v>
      </c>
      <c r="G2551" s="7" t="s">
        <v>9323</v>
      </c>
      <c r="H2551" s="7" t="s">
        <v>146</v>
      </c>
      <c r="I2551" s="7" t="s">
        <v>13147</v>
      </c>
      <c r="J2551" s="7" t="s">
        <v>114</v>
      </c>
      <c r="K2551" s="7" t="s">
        <v>13148</v>
      </c>
    </row>
    <row r="2552" customFormat="false" ht="35.05" hidden="false" customHeight="false" outlineLevel="0" collapsed="false">
      <c r="A2552" s="7" t="n">
        <v>2551</v>
      </c>
      <c r="B2552" s="7" t="s">
        <v>13149</v>
      </c>
      <c r="C2552" s="7"/>
      <c r="D2552" s="7" t="s">
        <v>13150</v>
      </c>
      <c r="E2552" s="7" t="s">
        <v>201</v>
      </c>
      <c r="F2552" s="7" t="s">
        <v>13151</v>
      </c>
      <c r="G2552" s="7" t="s">
        <v>9323</v>
      </c>
      <c r="H2552" s="7" t="s">
        <v>146</v>
      </c>
      <c r="I2552" s="7" t="s">
        <v>13152</v>
      </c>
      <c r="J2552" s="7" t="s">
        <v>112</v>
      </c>
      <c r="K2552" s="7" t="s">
        <v>13153</v>
      </c>
    </row>
    <row r="2553" customFormat="false" ht="23.85" hidden="false" customHeight="false" outlineLevel="0" collapsed="false">
      <c r="A2553" s="7" t="n">
        <v>2552</v>
      </c>
      <c r="B2553" s="7" t="s">
        <v>13154</v>
      </c>
      <c r="C2553" s="7"/>
      <c r="D2553" s="7" t="s">
        <v>13155</v>
      </c>
      <c r="E2553" s="7" t="s">
        <v>143</v>
      </c>
      <c r="F2553" s="7" t="s">
        <v>1678</v>
      </c>
      <c r="G2553" s="7" t="s">
        <v>9323</v>
      </c>
      <c r="H2553" s="7" t="s">
        <v>146</v>
      </c>
      <c r="I2553" s="7" t="s">
        <v>13156</v>
      </c>
      <c r="J2553" s="7"/>
      <c r="K2553" s="7" t="s">
        <v>13157</v>
      </c>
    </row>
    <row r="2554" customFormat="false" ht="23.85" hidden="false" customHeight="false" outlineLevel="0" collapsed="false">
      <c r="A2554" s="7" t="n">
        <v>2553</v>
      </c>
      <c r="B2554" s="7" t="s">
        <v>13158</v>
      </c>
      <c r="C2554" s="7" t="n">
        <v>2022</v>
      </c>
      <c r="D2554" s="7" t="s">
        <v>13159</v>
      </c>
      <c r="E2554" s="7" t="s">
        <v>143</v>
      </c>
      <c r="F2554" s="7" t="s">
        <v>13160</v>
      </c>
      <c r="G2554" s="7" t="s">
        <v>9323</v>
      </c>
      <c r="H2554" s="7" t="s">
        <v>146</v>
      </c>
      <c r="I2554" s="7" t="s">
        <v>13161</v>
      </c>
      <c r="J2554" s="7" t="s">
        <v>112</v>
      </c>
      <c r="K2554" s="7" t="s">
        <v>13162</v>
      </c>
    </row>
    <row r="2555" customFormat="false" ht="23.85" hidden="false" customHeight="false" outlineLevel="0" collapsed="false">
      <c r="A2555" s="7" t="n">
        <v>2554</v>
      </c>
      <c r="B2555" s="7" t="s">
        <v>13163</v>
      </c>
      <c r="C2555" s="7"/>
      <c r="D2555" s="7" t="s">
        <v>13164</v>
      </c>
      <c r="E2555" s="7" t="s">
        <v>143</v>
      </c>
      <c r="F2555" s="7" t="s">
        <v>13165</v>
      </c>
      <c r="G2555" s="7" t="s">
        <v>9323</v>
      </c>
      <c r="H2555" s="7" t="s">
        <v>146</v>
      </c>
      <c r="I2555" s="7" t="s">
        <v>13166</v>
      </c>
      <c r="J2555" s="7" t="s">
        <v>112</v>
      </c>
      <c r="K2555" s="7" t="s">
        <v>13167</v>
      </c>
    </row>
    <row r="2556" customFormat="false" ht="23.85" hidden="false" customHeight="false" outlineLevel="0" collapsed="false">
      <c r="A2556" s="7" t="n">
        <v>2555</v>
      </c>
      <c r="B2556" s="7" t="s">
        <v>13149</v>
      </c>
      <c r="C2556" s="7"/>
      <c r="D2556" s="7" t="s">
        <v>13168</v>
      </c>
      <c r="E2556" s="7" t="s">
        <v>143</v>
      </c>
      <c r="F2556" s="7" t="s">
        <v>13169</v>
      </c>
      <c r="G2556" s="7" t="s">
        <v>9323</v>
      </c>
      <c r="H2556" s="7" t="s">
        <v>146</v>
      </c>
      <c r="I2556" s="7" t="s">
        <v>13170</v>
      </c>
      <c r="J2556" s="7" t="s">
        <v>112</v>
      </c>
      <c r="K2556" s="7" t="s">
        <v>13171</v>
      </c>
    </row>
    <row r="2557" customFormat="false" ht="23.85" hidden="false" customHeight="false" outlineLevel="0" collapsed="false">
      <c r="A2557" s="7" t="n">
        <v>2556</v>
      </c>
      <c r="B2557" s="7" t="s">
        <v>13154</v>
      </c>
      <c r="C2557" s="7"/>
      <c r="D2557" s="7" t="s">
        <v>13172</v>
      </c>
      <c r="E2557" s="7" t="s">
        <v>143</v>
      </c>
      <c r="F2557" s="7" t="s">
        <v>13173</v>
      </c>
      <c r="G2557" s="7" t="s">
        <v>9323</v>
      </c>
      <c r="H2557" s="7" t="s">
        <v>146</v>
      </c>
      <c r="I2557" s="7" t="s">
        <v>13174</v>
      </c>
      <c r="J2557" s="7"/>
      <c r="K2557" s="7" t="s">
        <v>13175</v>
      </c>
    </row>
    <row r="2558" customFormat="false" ht="35.05" hidden="false" customHeight="false" outlineLevel="0" collapsed="false">
      <c r="A2558" s="7" t="n">
        <v>2557</v>
      </c>
      <c r="B2558" s="7" t="s">
        <v>13176</v>
      </c>
      <c r="C2558" s="7" t="n">
        <v>2023</v>
      </c>
      <c r="D2558" s="7" t="s">
        <v>13177</v>
      </c>
      <c r="E2558" s="7" t="s">
        <v>143</v>
      </c>
      <c r="F2558" s="7" t="s">
        <v>8664</v>
      </c>
      <c r="G2558" s="7" t="s">
        <v>9323</v>
      </c>
      <c r="H2558" s="7" t="s">
        <v>522</v>
      </c>
      <c r="I2558" s="7" t="s">
        <v>13178</v>
      </c>
      <c r="J2558" s="7" t="s">
        <v>112</v>
      </c>
      <c r="K2558" s="7" t="s">
        <v>13179</v>
      </c>
    </row>
    <row r="2559" customFormat="false" ht="35.05" hidden="false" customHeight="false" outlineLevel="0" collapsed="false">
      <c r="A2559" s="7" t="n">
        <v>2558</v>
      </c>
      <c r="B2559" s="7" t="s">
        <v>13180</v>
      </c>
      <c r="C2559" s="7" t="n">
        <v>2021</v>
      </c>
      <c r="D2559" s="7" t="s">
        <v>13181</v>
      </c>
      <c r="E2559" s="7" t="s">
        <v>201</v>
      </c>
      <c r="F2559" s="7" t="s">
        <v>13182</v>
      </c>
      <c r="G2559" s="7" t="s">
        <v>11158</v>
      </c>
      <c r="H2559" s="7" t="s">
        <v>146</v>
      </c>
      <c r="I2559" s="7" t="s">
        <v>13183</v>
      </c>
      <c r="J2559" s="7" t="s">
        <v>112</v>
      </c>
      <c r="K2559" s="7" t="s">
        <v>13184</v>
      </c>
    </row>
    <row r="2560" customFormat="false" ht="35.05" hidden="false" customHeight="false" outlineLevel="0" collapsed="false">
      <c r="A2560" s="7" t="n">
        <v>2559</v>
      </c>
      <c r="B2560" s="7" t="s">
        <v>13185</v>
      </c>
      <c r="C2560" s="7"/>
      <c r="D2560" s="7" t="s">
        <v>13186</v>
      </c>
      <c r="E2560" s="7" t="s">
        <v>151</v>
      </c>
      <c r="F2560" s="7" t="s">
        <v>13187</v>
      </c>
      <c r="G2560" s="7" t="s">
        <v>9323</v>
      </c>
      <c r="H2560" s="7" t="s">
        <v>146</v>
      </c>
      <c r="I2560" s="7" t="s">
        <v>13188</v>
      </c>
      <c r="J2560" s="7" t="s">
        <v>112</v>
      </c>
      <c r="K2560" s="7" t="s">
        <v>13189</v>
      </c>
    </row>
    <row r="2561" customFormat="false" ht="35.05" hidden="false" customHeight="false" outlineLevel="0" collapsed="false">
      <c r="A2561" s="7" t="n">
        <v>2560</v>
      </c>
      <c r="B2561" s="7" t="s">
        <v>13190</v>
      </c>
      <c r="C2561" s="7"/>
      <c r="D2561" s="7" t="s">
        <v>13191</v>
      </c>
      <c r="E2561" s="7" t="s">
        <v>151</v>
      </c>
      <c r="F2561" s="7" t="s">
        <v>13192</v>
      </c>
      <c r="G2561" s="7" t="s">
        <v>9323</v>
      </c>
      <c r="H2561" s="7" t="s">
        <v>146</v>
      </c>
      <c r="I2561" s="7" t="s">
        <v>13193</v>
      </c>
      <c r="J2561" s="7"/>
      <c r="K2561" s="7" t="s">
        <v>13194</v>
      </c>
    </row>
    <row r="2562" customFormat="false" ht="35.05" hidden="false" customHeight="false" outlineLevel="0" collapsed="false">
      <c r="A2562" s="7" t="n">
        <v>2561</v>
      </c>
      <c r="B2562" s="7" t="s">
        <v>13195</v>
      </c>
      <c r="C2562" s="7" t="n">
        <v>2021</v>
      </c>
      <c r="D2562" s="7" t="s">
        <v>13196</v>
      </c>
      <c r="E2562" s="7" t="s">
        <v>201</v>
      </c>
      <c r="F2562" s="7" t="s">
        <v>13197</v>
      </c>
      <c r="G2562" s="7" t="s">
        <v>9323</v>
      </c>
      <c r="H2562" s="7" t="s">
        <v>11094</v>
      </c>
      <c r="I2562" s="7" t="s">
        <v>13198</v>
      </c>
      <c r="J2562" s="7"/>
      <c r="K2562" s="7" t="s">
        <v>13199</v>
      </c>
    </row>
    <row r="2563" customFormat="false" ht="23.85" hidden="false" customHeight="false" outlineLevel="0" collapsed="false">
      <c r="A2563" s="7" t="n">
        <v>2562</v>
      </c>
      <c r="B2563" s="7" t="s">
        <v>13200</v>
      </c>
      <c r="C2563" s="7" t="n">
        <v>2021</v>
      </c>
      <c r="D2563" s="7" t="s">
        <v>13201</v>
      </c>
      <c r="E2563" s="7" t="s">
        <v>151</v>
      </c>
      <c r="F2563" s="7" t="s">
        <v>13202</v>
      </c>
      <c r="G2563" s="7" t="s">
        <v>9323</v>
      </c>
      <c r="H2563" s="7" t="s">
        <v>146</v>
      </c>
      <c r="I2563" s="7" t="s">
        <v>13203</v>
      </c>
      <c r="J2563" s="7" t="s">
        <v>112</v>
      </c>
      <c r="K2563" s="7" t="s">
        <v>13204</v>
      </c>
    </row>
    <row r="2564" customFormat="false" ht="35.05" hidden="false" customHeight="false" outlineLevel="0" collapsed="false">
      <c r="A2564" s="7" t="n">
        <v>2563</v>
      </c>
      <c r="B2564" s="7" t="s">
        <v>13205</v>
      </c>
      <c r="C2564" s="7" t="n">
        <v>2022</v>
      </c>
      <c r="D2564" s="7" t="s">
        <v>13206</v>
      </c>
      <c r="E2564" s="7" t="s">
        <v>201</v>
      </c>
      <c r="F2564" s="7" t="s">
        <v>13207</v>
      </c>
      <c r="G2564" s="7" t="s">
        <v>9323</v>
      </c>
      <c r="H2564" s="7" t="s">
        <v>146</v>
      </c>
      <c r="I2564" s="7" t="s">
        <v>13208</v>
      </c>
      <c r="J2564" s="7" t="s">
        <v>112</v>
      </c>
      <c r="K2564" s="7" t="s">
        <v>13209</v>
      </c>
    </row>
    <row r="2565" customFormat="false" ht="23.85" hidden="false" customHeight="false" outlineLevel="0" collapsed="false">
      <c r="A2565" s="7" t="n">
        <v>2564</v>
      </c>
      <c r="B2565" s="7" t="s">
        <v>13210</v>
      </c>
      <c r="C2565" s="7"/>
      <c r="D2565" s="7" t="s">
        <v>13211</v>
      </c>
      <c r="E2565" s="7" t="s">
        <v>143</v>
      </c>
      <c r="F2565" s="7" t="s">
        <v>1678</v>
      </c>
      <c r="G2565" s="7" t="s">
        <v>9323</v>
      </c>
      <c r="H2565" s="7" t="s">
        <v>146</v>
      </c>
      <c r="I2565" s="7" t="s">
        <v>13212</v>
      </c>
      <c r="J2565" s="7"/>
      <c r="K2565" s="7" t="s">
        <v>13213</v>
      </c>
    </row>
    <row r="2566" customFormat="false" ht="35.05" hidden="false" customHeight="false" outlineLevel="0" collapsed="false">
      <c r="A2566" s="7" t="n">
        <v>2565</v>
      </c>
      <c r="B2566" s="7" t="s">
        <v>13214</v>
      </c>
      <c r="C2566" s="7" t="n">
        <v>2021</v>
      </c>
      <c r="D2566" s="7" t="s">
        <v>13215</v>
      </c>
      <c r="E2566" s="7" t="s">
        <v>579</v>
      </c>
      <c r="F2566" s="7" t="s">
        <v>13216</v>
      </c>
      <c r="G2566" s="7" t="s">
        <v>9323</v>
      </c>
      <c r="H2566" s="7" t="s">
        <v>146</v>
      </c>
      <c r="I2566" s="7" t="s">
        <v>13217</v>
      </c>
      <c r="J2566" s="7"/>
      <c r="K2566" s="7" t="s">
        <v>13218</v>
      </c>
    </row>
    <row r="2567" customFormat="false" ht="23.85" hidden="false" customHeight="false" outlineLevel="0" collapsed="false">
      <c r="A2567" s="7" t="n">
        <v>2566</v>
      </c>
      <c r="B2567" s="7" t="s">
        <v>13219</v>
      </c>
      <c r="C2567" s="7"/>
      <c r="D2567" s="7" t="s">
        <v>13220</v>
      </c>
      <c r="E2567" s="7" t="s">
        <v>151</v>
      </c>
      <c r="F2567" s="7" t="s">
        <v>13221</v>
      </c>
      <c r="G2567" s="7" t="s">
        <v>9323</v>
      </c>
      <c r="H2567" s="7" t="s">
        <v>146</v>
      </c>
      <c r="I2567" s="7" t="s">
        <v>13222</v>
      </c>
      <c r="J2567" s="7"/>
      <c r="K2567" s="7" t="s">
        <v>13223</v>
      </c>
    </row>
    <row r="2568" customFormat="false" ht="23.85" hidden="false" customHeight="false" outlineLevel="0" collapsed="false">
      <c r="A2568" s="7" t="n">
        <v>2567</v>
      </c>
      <c r="B2568" s="7" t="s">
        <v>13149</v>
      </c>
      <c r="C2568" s="7"/>
      <c r="D2568" s="7" t="s">
        <v>13224</v>
      </c>
      <c r="E2568" s="7" t="s">
        <v>151</v>
      </c>
      <c r="F2568" s="7" t="s">
        <v>13169</v>
      </c>
      <c r="G2568" s="7" t="s">
        <v>9323</v>
      </c>
      <c r="H2568" s="7" t="s">
        <v>146</v>
      </c>
      <c r="I2568" s="7" t="s">
        <v>13225</v>
      </c>
      <c r="J2568" s="7" t="s">
        <v>112</v>
      </c>
      <c r="K2568" s="7" t="s">
        <v>13226</v>
      </c>
    </row>
    <row r="2569" customFormat="false" ht="35.05" hidden="false" customHeight="false" outlineLevel="0" collapsed="false">
      <c r="A2569" s="7" t="n">
        <v>2568</v>
      </c>
      <c r="B2569" s="7" t="s">
        <v>13227</v>
      </c>
      <c r="C2569" s="7"/>
      <c r="D2569" s="7" t="s">
        <v>13228</v>
      </c>
      <c r="E2569" s="7" t="s">
        <v>201</v>
      </c>
      <c r="F2569" s="7" t="s">
        <v>13229</v>
      </c>
      <c r="G2569" s="7" t="s">
        <v>9323</v>
      </c>
      <c r="H2569" s="7" t="s">
        <v>146</v>
      </c>
      <c r="I2569" s="7" t="s">
        <v>13230</v>
      </c>
      <c r="J2569" s="7"/>
      <c r="K2569" s="7" t="s">
        <v>13231</v>
      </c>
    </row>
    <row r="2570" customFormat="false" ht="23.85" hidden="false" customHeight="false" outlineLevel="0" collapsed="false">
      <c r="A2570" s="7" t="n">
        <v>2569</v>
      </c>
      <c r="B2570" s="7" t="s">
        <v>13132</v>
      </c>
      <c r="C2570" s="7"/>
      <c r="D2570" s="7" t="s">
        <v>13232</v>
      </c>
      <c r="E2570" s="7" t="s">
        <v>143</v>
      </c>
      <c r="F2570" s="7" t="s">
        <v>13233</v>
      </c>
      <c r="G2570" s="7" t="s">
        <v>145</v>
      </c>
      <c r="H2570" s="7" t="s">
        <v>522</v>
      </c>
      <c r="I2570" s="7" t="s">
        <v>13234</v>
      </c>
      <c r="J2570" s="7" t="s">
        <v>112</v>
      </c>
      <c r="K2570" s="7" t="s">
        <v>13235</v>
      </c>
    </row>
    <row r="2571" customFormat="false" ht="23.85" hidden="false" customHeight="false" outlineLevel="0" collapsed="false">
      <c r="A2571" s="7" t="n">
        <v>2570</v>
      </c>
      <c r="B2571" s="7" t="s">
        <v>13149</v>
      </c>
      <c r="C2571" s="7" t="n">
        <v>2017</v>
      </c>
      <c r="D2571" s="7" t="s">
        <v>13236</v>
      </c>
      <c r="E2571" s="7" t="s">
        <v>579</v>
      </c>
      <c r="F2571" s="7" t="s">
        <v>13237</v>
      </c>
      <c r="G2571" s="7" t="s">
        <v>9323</v>
      </c>
      <c r="H2571" s="7" t="s">
        <v>146</v>
      </c>
      <c r="I2571" s="7" t="s">
        <v>13238</v>
      </c>
      <c r="J2571" s="7" t="s">
        <v>112</v>
      </c>
      <c r="K2571" s="7" t="s">
        <v>13239</v>
      </c>
    </row>
    <row r="2572" customFormat="false" ht="35.05" hidden="false" customHeight="false" outlineLevel="0" collapsed="false">
      <c r="A2572" s="7" t="n">
        <v>2571</v>
      </c>
      <c r="B2572" s="7" t="s">
        <v>13240</v>
      </c>
      <c r="C2572" s="7" t="n">
        <v>1991</v>
      </c>
      <c r="D2572" s="7" t="s">
        <v>13241</v>
      </c>
      <c r="E2572" s="7" t="s">
        <v>579</v>
      </c>
      <c r="F2572" s="7" t="s">
        <v>152</v>
      </c>
      <c r="G2572" s="7" t="s">
        <v>145</v>
      </c>
      <c r="H2572" s="7" t="s">
        <v>153</v>
      </c>
      <c r="I2572" s="7" t="s">
        <v>13242</v>
      </c>
      <c r="J2572" s="7"/>
      <c r="K2572" s="7" t="s">
        <v>13243</v>
      </c>
    </row>
    <row r="2573" customFormat="false" ht="23.85" hidden="false" customHeight="false" outlineLevel="0" collapsed="false">
      <c r="A2573" s="7" t="n">
        <v>2572</v>
      </c>
      <c r="B2573" s="7" t="s">
        <v>6615</v>
      </c>
      <c r="C2573" s="7" t="n">
        <v>2008</v>
      </c>
      <c r="D2573" s="7" t="s">
        <v>13244</v>
      </c>
      <c r="E2573" s="7" t="s">
        <v>579</v>
      </c>
      <c r="F2573" s="7" t="s">
        <v>152</v>
      </c>
      <c r="G2573" s="7" t="s">
        <v>145</v>
      </c>
      <c r="H2573" s="7" t="s">
        <v>153</v>
      </c>
      <c r="I2573" s="7" t="s">
        <v>13245</v>
      </c>
      <c r="J2573" s="7" t="s">
        <v>114</v>
      </c>
      <c r="K2573" s="7" t="s">
        <v>13246</v>
      </c>
    </row>
    <row r="2574" customFormat="false" ht="35.05" hidden="false" customHeight="false" outlineLevel="0" collapsed="false">
      <c r="A2574" s="7" t="n">
        <v>2573</v>
      </c>
      <c r="B2574" s="7" t="s">
        <v>13247</v>
      </c>
      <c r="C2574" s="7" t="n">
        <v>2019</v>
      </c>
      <c r="D2574" s="7" t="s">
        <v>13248</v>
      </c>
      <c r="E2574" s="7" t="s">
        <v>143</v>
      </c>
      <c r="F2574" s="7" t="s">
        <v>13249</v>
      </c>
      <c r="G2574" s="7" t="s">
        <v>145</v>
      </c>
      <c r="H2574" s="7" t="s">
        <v>153</v>
      </c>
      <c r="I2574" s="7" t="s">
        <v>13250</v>
      </c>
      <c r="J2574" s="7" t="s">
        <v>114</v>
      </c>
      <c r="K2574" s="7" t="s">
        <v>13251</v>
      </c>
    </row>
    <row r="2575" customFormat="false" ht="23.85" hidden="false" customHeight="false" outlineLevel="0" collapsed="false">
      <c r="A2575" s="7" t="n">
        <v>2574</v>
      </c>
      <c r="B2575" s="7" t="s">
        <v>13252</v>
      </c>
      <c r="C2575" s="7" t="n">
        <v>2021</v>
      </c>
      <c r="D2575" s="7" t="s">
        <v>13253</v>
      </c>
      <c r="E2575" s="7" t="s">
        <v>579</v>
      </c>
      <c r="F2575" s="7" t="s">
        <v>152</v>
      </c>
      <c r="G2575" s="7" t="s">
        <v>145</v>
      </c>
      <c r="H2575" s="7" t="s">
        <v>153</v>
      </c>
      <c r="I2575" s="7" t="s">
        <v>13254</v>
      </c>
      <c r="J2575" s="7" t="s">
        <v>114</v>
      </c>
      <c r="K2575" s="7" t="s">
        <v>13255</v>
      </c>
    </row>
    <row r="2576" customFormat="false" ht="35.05" hidden="false" customHeight="false" outlineLevel="0" collapsed="false">
      <c r="A2576" s="7" t="n">
        <v>2575</v>
      </c>
      <c r="B2576" s="7" t="s">
        <v>13256</v>
      </c>
      <c r="C2576" s="7" t="n">
        <v>2012</v>
      </c>
      <c r="D2576" s="7" t="s">
        <v>13257</v>
      </c>
      <c r="E2576" s="7" t="s">
        <v>201</v>
      </c>
      <c r="F2576" s="7" t="s">
        <v>364</v>
      </c>
      <c r="G2576" s="7" t="s">
        <v>244</v>
      </c>
      <c r="H2576" s="7" t="s">
        <v>153</v>
      </c>
      <c r="I2576" s="7" t="s">
        <v>13258</v>
      </c>
      <c r="J2576" s="7"/>
      <c r="K2576" s="7" t="s">
        <v>13259</v>
      </c>
    </row>
    <row r="2577" customFormat="false" ht="35.05" hidden="false" customHeight="false" outlineLevel="0" collapsed="false">
      <c r="A2577" s="7" t="n">
        <v>2576</v>
      </c>
      <c r="B2577" s="7" t="s">
        <v>13260</v>
      </c>
      <c r="C2577" s="7" t="n">
        <v>2013</v>
      </c>
      <c r="D2577" s="7" t="s">
        <v>13261</v>
      </c>
      <c r="E2577" s="7" t="s">
        <v>587</v>
      </c>
      <c r="F2577" s="7" t="s">
        <v>13262</v>
      </c>
      <c r="G2577" s="7" t="s">
        <v>244</v>
      </c>
      <c r="H2577" s="7" t="s">
        <v>146</v>
      </c>
      <c r="I2577" s="7" t="s">
        <v>13263</v>
      </c>
      <c r="J2577" s="7" t="s">
        <v>116</v>
      </c>
      <c r="K2577" s="7" t="s">
        <v>13264</v>
      </c>
    </row>
    <row r="2578" customFormat="false" ht="23.85" hidden="false" customHeight="false" outlineLevel="0" collapsed="false">
      <c r="A2578" s="7" t="n">
        <v>2577</v>
      </c>
      <c r="B2578" s="7" t="s">
        <v>13265</v>
      </c>
      <c r="C2578" s="7" t="n">
        <v>2012</v>
      </c>
      <c r="D2578" s="7" t="s">
        <v>13266</v>
      </c>
      <c r="E2578" s="7" t="s">
        <v>143</v>
      </c>
      <c r="F2578" s="7" t="s">
        <v>152</v>
      </c>
      <c r="G2578" s="7" t="s">
        <v>145</v>
      </c>
      <c r="H2578" s="7" t="s">
        <v>153</v>
      </c>
      <c r="I2578" s="7" t="s">
        <v>13267</v>
      </c>
      <c r="J2578" s="7"/>
      <c r="K2578" s="7" t="s">
        <v>13268</v>
      </c>
    </row>
    <row r="2579" customFormat="false" ht="23.85" hidden="false" customHeight="false" outlineLevel="0" collapsed="false">
      <c r="A2579" s="7" t="n">
        <v>2578</v>
      </c>
      <c r="B2579" s="7" t="s">
        <v>13269</v>
      </c>
      <c r="C2579" s="7" t="n">
        <v>2008</v>
      </c>
      <c r="D2579" s="7" t="s">
        <v>13270</v>
      </c>
      <c r="E2579" s="7" t="s">
        <v>579</v>
      </c>
      <c r="F2579" s="7" t="s">
        <v>152</v>
      </c>
      <c r="G2579" s="7" t="s">
        <v>145</v>
      </c>
      <c r="H2579" s="7" t="s">
        <v>153</v>
      </c>
      <c r="I2579" s="7" t="s">
        <v>13271</v>
      </c>
      <c r="J2579" s="7"/>
      <c r="K2579" s="7" t="s">
        <v>13272</v>
      </c>
    </row>
    <row r="2580" customFormat="false" ht="23.85" hidden="false" customHeight="false" outlineLevel="0" collapsed="false">
      <c r="A2580" s="7" t="n">
        <v>2579</v>
      </c>
      <c r="B2580" s="7" t="s">
        <v>13273</v>
      </c>
      <c r="C2580" s="7" t="n">
        <v>2024</v>
      </c>
      <c r="D2580" s="7" t="s">
        <v>13274</v>
      </c>
      <c r="E2580" s="7" t="s">
        <v>579</v>
      </c>
      <c r="F2580" s="7" t="s">
        <v>626</v>
      </c>
      <c r="G2580" s="7" t="s">
        <v>145</v>
      </c>
      <c r="H2580" s="7" t="s">
        <v>146</v>
      </c>
      <c r="I2580" s="7" t="s">
        <v>13275</v>
      </c>
      <c r="J2580" s="7"/>
      <c r="K2580" s="7" t="s">
        <v>13276</v>
      </c>
    </row>
    <row r="2581" customFormat="false" ht="35.05" hidden="false" customHeight="false" outlineLevel="0" collapsed="false">
      <c r="A2581" s="7" t="n">
        <v>2580</v>
      </c>
      <c r="B2581" s="7" t="s">
        <v>13277</v>
      </c>
      <c r="C2581" s="7" t="n">
        <v>2006</v>
      </c>
      <c r="D2581" s="7" t="s">
        <v>13278</v>
      </c>
      <c r="E2581" s="7" t="s">
        <v>13279</v>
      </c>
      <c r="F2581" s="7" t="s">
        <v>13280</v>
      </c>
      <c r="G2581" s="7" t="s">
        <v>244</v>
      </c>
      <c r="H2581" s="7" t="s">
        <v>387</v>
      </c>
      <c r="I2581" s="7" t="s">
        <v>13281</v>
      </c>
      <c r="J2581" s="7"/>
      <c r="K2581" s="7" t="s">
        <v>13282</v>
      </c>
    </row>
    <row r="2582" customFormat="false" ht="23.85" hidden="false" customHeight="false" outlineLevel="0" collapsed="false">
      <c r="A2582" s="7" t="n">
        <v>2581</v>
      </c>
      <c r="B2582" s="7" t="s">
        <v>13283</v>
      </c>
      <c r="C2582" s="7" t="n">
        <v>2000</v>
      </c>
      <c r="D2582" s="7" t="s">
        <v>13284</v>
      </c>
      <c r="E2582" s="7" t="s">
        <v>201</v>
      </c>
      <c r="F2582" s="7" t="s">
        <v>348</v>
      </c>
      <c r="G2582" s="7" t="s">
        <v>145</v>
      </c>
      <c r="H2582" s="7" t="s">
        <v>153</v>
      </c>
      <c r="I2582" s="7" t="s">
        <v>13285</v>
      </c>
      <c r="J2582" s="7"/>
      <c r="K2582" s="7" t="s">
        <v>13286</v>
      </c>
    </row>
    <row r="2583" customFormat="false" ht="23.85" hidden="false" customHeight="false" outlineLevel="0" collapsed="false">
      <c r="A2583" s="7" t="n">
        <v>2582</v>
      </c>
      <c r="B2583" s="7" t="s">
        <v>2658</v>
      </c>
      <c r="C2583" s="7" t="n">
        <v>2023</v>
      </c>
      <c r="D2583" s="7" t="s">
        <v>13287</v>
      </c>
      <c r="E2583" s="7" t="s">
        <v>151</v>
      </c>
      <c r="F2583" s="7" t="s">
        <v>3084</v>
      </c>
      <c r="G2583" s="7" t="s">
        <v>145</v>
      </c>
      <c r="H2583" s="7" t="s">
        <v>153</v>
      </c>
      <c r="I2583" s="7" t="s">
        <v>13288</v>
      </c>
      <c r="J2583" s="7" t="s">
        <v>116</v>
      </c>
      <c r="K2583" s="7" t="s">
        <v>13289</v>
      </c>
    </row>
    <row r="2584" customFormat="false" ht="23.85" hidden="false" customHeight="false" outlineLevel="0" collapsed="false">
      <c r="A2584" s="7" t="n">
        <v>2583</v>
      </c>
      <c r="B2584" s="7" t="s">
        <v>1388</v>
      </c>
      <c r="C2584" s="7" t="n">
        <v>2024</v>
      </c>
      <c r="D2584" s="7" t="s">
        <v>13290</v>
      </c>
      <c r="E2584" s="7" t="s">
        <v>143</v>
      </c>
      <c r="F2584" s="7" t="s">
        <v>1403</v>
      </c>
      <c r="G2584" s="7" t="s">
        <v>145</v>
      </c>
      <c r="H2584" s="7" t="s">
        <v>153</v>
      </c>
      <c r="I2584" s="7" t="s">
        <v>13291</v>
      </c>
      <c r="J2584" s="7" t="s">
        <v>110</v>
      </c>
      <c r="K2584" s="7" t="s">
        <v>13292</v>
      </c>
    </row>
    <row r="2585" customFormat="false" ht="35.05" hidden="false" customHeight="false" outlineLevel="0" collapsed="false">
      <c r="A2585" s="7" t="n">
        <v>2584</v>
      </c>
      <c r="B2585" s="7" t="s">
        <v>13293</v>
      </c>
      <c r="C2585" s="7" t="n">
        <v>2020</v>
      </c>
      <c r="D2585" s="7" t="s">
        <v>13294</v>
      </c>
      <c r="E2585" s="7" t="s">
        <v>13295</v>
      </c>
      <c r="F2585" s="7" t="s">
        <v>1278</v>
      </c>
      <c r="G2585" s="7" t="s">
        <v>13296</v>
      </c>
      <c r="H2585" s="7" t="s">
        <v>208</v>
      </c>
      <c r="I2585" s="7" t="s">
        <v>13297</v>
      </c>
      <c r="J2585" s="7" t="s">
        <v>112</v>
      </c>
      <c r="K2585" s="7" t="s">
        <v>13298</v>
      </c>
    </row>
    <row r="2586" customFormat="false" ht="35.05" hidden="false" customHeight="false" outlineLevel="0" collapsed="false">
      <c r="A2586" s="7" t="n">
        <v>2585</v>
      </c>
      <c r="B2586" s="7" t="s">
        <v>13299</v>
      </c>
      <c r="C2586" s="7" t="n">
        <v>2023</v>
      </c>
      <c r="D2586" s="7" t="s">
        <v>13300</v>
      </c>
      <c r="E2586" s="7" t="s">
        <v>143</v>
      </c>
      <c r="F2586" s="7" t="s">
        <v>13301</v>
      </c>
      <c r="G2586" s="7" t="s">
        <v>255</v>
      </c>
      <c r="H2586" s="7" t="s">
        <v>146</v>
      </c>
      <c r="I2586" s="7" t="s">
        <v>13302</v>
      </c>
      <c r="J2586" s="7" t="s">
        <v>112</v>
      </c>
      <c r="K2586" s="7" t="s">
        <v>13303</v>
      </c>
    </row>
    <row r="2587" customFormat="false" ht="35.05" hidden="false" customHeight="false" outlineLevel="0" collapsed="false">
      <c r="A2587" s="7" t="n">
        <v>2586</v>
      </c>
      <c r="B2587" s="7" t="s">
        <v>1248</v>
      </c>
      <c r="C2587" s="7" t="n">
        <v>2021</v>
      </c>
      <c r="D2587" s="7" t="s">
        <v>13304</v>
      </c>
      <c r="E2587" s="7" t="s">
        <v>13305</v>
      </c>
      <c r="F2587" s="7" t="s">
        <v>152</v>
      </c>
      <c r="G2587" s="7" t="s">
        <v>13306</v>
      </c>
      <c r="H2587" s="7" t="s">
        <v>146</v>
      </c>
      <c r="I2587" s="7" t="s">
        <v>13307</v>
      </c>
      <c r="J2587" s="7" t="s">
        <v>112</v>
      </c>
      <c r="K2587" s="7" t="s">
        <v>13308</v>
      </c>
    </row>
    <row r="2588" customFormat="false" ht="23.85" hidden="false" customHeight="false" outlineLevel="0" collapsed="false">
      <c r="A2588" s="7" t="n">
        <v>2587</v>
      </c>
      <c r="B2588" s="7" t="s">
        <v>13309</v>
      </c>
      <c r="C2588" s="7" t="n">
        <v>2024</v>
      </c>
      <c r="D2588" s="7" t="s">
        <v>13310</v>
      </c>
      <c r="E2588" s="7" t="s">
        <v>10412</v>
      </c>
      <c r="F2588" s="7" t="s">
        <v>13311</v>
      </c>
      <c r="G2588" s="7" t="s">
        <v>145</v>
      </c>
      <c r="H2588" s="7" t="s">
        <v>153</v>
      </c>
      <c r="I2588" s="7" t="s">
        <v>13312</v>
      </c>
      <c r="J2588" s="7" t="s">
        <v>112</v>
      </c>
      <c r="K2588" s="7" t="s">
        <v>13313</v>
      </c>
    </row>
    <row r="2589" customFormat="false" ht="23.85" hidden="false" customHeight="false" outlineLevel="0" collapsed="false">
      <c r="A2589" s="7" t="n">
        <v>2588</v>
      </c>
      <c r="B2589" s="7" t="s">
        <v>13314</v>
      </c>
      <c r="C2589" s="7" t="n">
        <v>2022</v>
      </c>
      <c r="D2589" s="7" t="s">
        <v>13315</v>
      </c>
      <c r="E2589" s="7" t="s">
        <v>13316</v>
      </c>
      <c r="F2589" s="7" t="s">
        <v>13317</v>
      </c>
      <c r="G2589" s="7" t="s">
        <v>145</v>
      </c>
      <c r="H2589" s="7" t="s">
        <v>153</v>
      </c>
      <c r="I2589" s="7" t="s">
        <v>13318</v>
      </c>
      <c r="J2589" s="7"/>
      <c r="K2589" s="7" t="s">
        <v>13319</v>
      </c>
    </row>
    <row r="2590" customFormat="false" ht="35.05" hidden="false" customHeight="false" outlineLevel="0" collapsed="false">
      <c r="A2590" s="7" t="n">
        <v>2589</v>
      </c>
      <c r="B2590" s="7" t="s">
        <v>13320</v>
      </c>
      <c r="C2590" s="7" t="n">
        <v>2023</v>
      </c>
      <c r="D2590" s="7" t="s">
        <v>13321</v>
      </c>
      <c r="E2590" s="7" t="s">
        <v>579</v>
      </c>
      <c r="F2590" s="7" t="s">
        <v>13322</v>
      </c>
      <c r="G2590" s="7" t="s">
        <v>684</v>
      </c>
      <c r="H2590" s="7" t="s">
        <v>387</v>
      </c>
      <c r="I2590" s="7" t="s">
        <v>13323</v>
      </c>
      <c r="J2590" s="7" t="s">
        <v>112</v>
      </c>
      <c r="K2590" s="7" t="s">
        <v>13324</v>
      </c>
    </row>
    <row r="2591" customFormat="false" ht="35.05" hidden="false" customHeight="false" outlineLevel="0" collapsed="false">
      <c r="A2591" s="7" t="n">
        <v>2590</v>
      </c>
      <c r="B2591" s="7" t="s">
        <v>1331</v>
      </c>
      <c r="C2591" s="7" t="n">
        <v>2021</v>
      </c>
      <c r="D2591" s="7" t="s">
        <v>13325</v>
      </c>
      <c r="E2591" s="7" t="s">
        <v>13326</v>
      </c>
      <c r="F2591" s="7" t="s">
        <v>3646</v>
      </c>
      <c r="G2591" s="7" t="s">
        <v>1213</v>
      </c>
      <c r="H2591" s="7" t="s">
        <v>146</v>
      </c>
      <c r="I2591" s="7" t="s">
        <v>13327</v>
      </c>
      <c r="J2591" s="7" t="s">
        <v>112</v>
      </c>
      <c r="K2591" s="7" t="s">
        <v>13328</v>
      </c>
    </row>
    <row r="2592" customFormat="false" ht="35.05" hidden="false" customHeight="false" outlineLevel="0" collapsed="false">
      <c r="A2592" s="7" t="n">
        <v>2591</v>
      </c>
      <c r="B2592" s="7" t="s">
        <v>13329</v>
      </c>
      <c r="C2592" s="7" t="n">
        <v>2017</v>
      </c>
      <c r="D2592" s="7" t="s">
        <v>13330</v>
      </c>
      <c r="E2592" s="7" t="s">
        <v>8084</v>
      </c>
      <c r="F2592" s="7" t="s">
        <v>152</v>
      </c>
      <c r="G2592" s="7" t="s">
        <v>145</v>
      </c>
      <c r="H2592" s="7" t="s">
        <v>153</v>
      </c>
      <c r="I2592" s="7" t="s">
        <v>13331</v>
      </c>
      <c r="J2592" s="7"/>
      <c r="K2592" s="7" t="s">
        <v>13332</v>
      </c>
    </row>
    <row r="2593" customFormat="false" ht="23.85" hidden="false" customHeight="false" outlineLevel="0" collapsed="false">
      <c r="A2593" s="7" t="n">
        <v>2592</v>
      </c>
      <c r="B2593" s="7" t="s">
        <v>13333</v>
      </c>
      <c r="C2593" s="7" t="n">
        <v>2005</v>
      </c>
      <c r="D2593" s="7" t="s">
        <v>13334</v>
      </c>
      <c r="E2593" s="7" t="s">
        <v>13335</v>
      </c>
      <c r="F2593" s="7" t="s">
        <v>13336</v>
      </c>
      <c r="G2593" s="7" t="s">
        <v>145</v>
      </c>
      <c r="H2593" s="7" t="s">
        <v>153</v>
      </c>
      <c r="I2593" s="7" t="s">
        <v>13337</v>
      </c>
      <c r="J2593" s="7" t="s">
        <v>114</v>
      </c>
      <c r="K2593" s="7" t="s">
        <v>13338</v>
      </c>
    </row>
    <row r="2594" customFormat="false" ht="23.85" hidden="false" customHeight="false" outlineLevel="0" collapsed="false">
      <c r="A2594" s="7" t="n">
        <v>2593</v>
      </c>
      <c r="B2594" s="7" t="s">
        <v>13339</v>
      </c>
      <c r="C2594" s="7" t="n">
        <v>2005</v>
      </c>
      <c r="D2594" s="7" t="s">
        <v>13340</v>
      </c>
      <c r="E2594" s="7" t="s">
        <v>8084</v>
      </c>
      <c r="F2594" s="7" t="s">
        <v>152</v>
      </c>
      <c r="G2594" s="7" t="s">
        <v>2841</v>
      </c>
      <c r="H2594" s="7" t="s">
        <v>153</v>
      </c>
      <c r="I2594" s="7" t="s">
        <v>13341</v>
      </c>
      <c r="J2594" s="7"/>
      <c r="K2594" s="7" t="s">
        <v>13342</v>
      </c>
    </row>
    <row r="2595" customFormat="false" ht="35.05" hidden="false" customHeight="false" outlineLevel="0" collapsed="false">
      <c r="A2595" s="7" t="n">
        <v>2594</v>
      </c>
      <c r="B2595" s="7" t="s">
        <v>13343</v>
      </c>
      <c r="C2595" s="7" t="n">
        <v>2023</v>
      </c>
      <c r="D2595" s="7" t="s">
        <v>13344</v>
      </c>
      <c r="E2595" s="7" t="s">
        <v>13335</v>
      </c>
      <c r="F2595" s="7" t="s">
        <v>152</v>
      </c>
      <c r="G2595" s="7" t="s">
        <v>145</v>
      </c>
      <c r="H2595" s="7" t="s">
        <v>153</v>
      </c>
      <c r="I2595" s="7" t="s">
        <v>13345</v>
      </c>
      <c r="J2595" s="7"/>
      <c r="K2595" s="7" t="s">
        <v>13346</v>
      </c>
    </row>
    <row r="2596" customFormat="false" ht="23.85" hidden="false" customHeight="false" outlineLevel="0" collapsed="false">
      <c r="A2596" s="7" t="n">
        <v>2595</v>
      </c>
      <c r="B2596" s="7" t="s">
        <v>13347</v>
      </c>
      <c r="C2596" s="7" t="n">
        <v>2023</v>
      </c>
      <c r="D2596" s="7" t="s">
        <v>13348</v>
      </c>
      <c r="E2596" s="7" t="s">
        <v>13349</v>
      </c>
      <c r="F2596" s="7" t="s">
        <v>213</v>
      </c>
      <c r="G2596" s="7" t="s">
        <v>145</v>
      </c>
      <c r="H2596" s="7" t="s">
        <v>153</v>
      </c>
      <c r="I2596" s="7" t="s">
        <v>13350</v>
      </c>
      <c r="J2596" s="7"/>
      <c r="K2596" s="7" t="s">
        <v>13351</v>
      </c>
    </row>
    <row r="2597" customFormat="false" ht="23.85" hidden="false" customHeight="false" outlineLevel="0" collapsed="false">
      <c r="A2597" s="7" t="n">
        <v>2596</v>
      </c>
      <c r="B2597" s="7" t="s">
        <v>13352</v>
      </c>
      <c r="C2597" s="7" t="n">
        <v>2024</v>
      </c>
      <c r="D2597" s="7" t="s">
        <v>13353</v>
      </c>
      <c r="E2597" s="7" t="s">
        <v>151</v>
      </c>
      <c r="F2597" s="7" t="s">
        <v>13354</v>
      </c>
      <c r="G2597" s="7" t="s">
        <v>13355</v>
      </c>
      <c r="H2597" s="7" t="s">
        <v>146</v>
      </c>
      <c r="I2597" s="7" t="s">
        <v>13356</v>
      </c>
      <c r="J2597" s="7"/>
      <c r="K2597" s="7" t="s">
        <v>13357</v>
      </c>
    </row>
    <row r="2598" customFormat="false" ht="35.05" hidden="false" customHeight="false" outlineLevel="0" collapsed="false">
      <c r="A2598" s="7" t="n">
        <v>2597</v>
      </c>
      <c r="B2598" s="7" t="s">
        <v>13352</v>
      </c>
      <c r="C2598" s="7" t="n">
        <v>2020</v>
      </c>
      <c r="D2598" s="7" t="s">
        <v>13358</v>
      </c>
      <c r="E2598" s="7" t="s">
        <v>151</v>
      </c>
      <c r="F2598" s="7" t="s">
        <v>13359</v>
      </c>
      <c r="G2598" s="7" t="s">
        <v>13360</v>
      </c>
      <c r="H2598" s="7" t="s">
        <v>146</v>
      </c>
      <c r="I2598" s="7" t="s">
        <v>13361</v>
      </c>
      <c r="J2598" s="7" t="s">
        <v>114</v>
      </c>
      <c r="K2598" s="7" t="s">
        <v>13362</v>
      </c>
    </row>
    <row r="2599" customFormat="false" ht="35.05" hidden="false" customHeight="false" outlineLevel="0" collapsed="false">
      <c r="A2599" s="7" t="n">
        <v>2598</v>
      </c>
      <c r="B2599" s="7" t="s">
        <v>13363</v>
      </c>
      <c r="C2599" s="7" t="n">
        <v>2019</v>
      </c>
      <c r="D2599" s="7" t="s">
        <v>13364</v>
      </c>
      <c r="E2599" s="7" t="s">
        <v>8084</v>
      </c>
      <c r="F2599" s="7" t="s">
        <v>348</v>
      </c>
      <c r="G2599" s="7" t="s">
        <v>145</v>
      </c>
      <c r="H2599" s="7" t="s">
        <v>153</v>
      </c>
      <c r="I2599" s="7" t="s">
        <v>13365</v>
      </c>
      <c r="J2599" s="7"/>
      <c r="K2599" s="7" t="s">
        <v>13366</v>
      </c>
    </row>
    <row r="2600" customFormat="false" ht="35.05" hidden="false" customHeight="false" outlineLevel="0" collapsed="false">
      <c r="A2600" s="7" t="n">
        <v>2599</v>
      </c>
      <c r="B2600" s="7" t="s">
        <v>13367</v>
      </c>
      <c r="C2600" s="7" t="n">
        <v>2017</v>
      </c>
      <c r="D2600" s="7" t="s">
        <v>13368</v>
      </c>
      <c r="E2600" s="7" t="s">
        <v>13369</v>
      </c>
      <c r="F2600" s="7" t="s">
        <v>213</v>
      </c>
      <c r="G2600" s="7" t="s">
        <v>145</v>
      </c>
      <c r="H2600" s="7" t="s">
        <v>153</v>
      </c>
      <c r="I2600" s="7" t="s">
        <v>13370</v>
      </c>
      <c r="J2600" s="7"/>
      <c r="K2600" s="7" t="s">
        <v>13371</v>
      </c>
    </row>
    <row r="2601" customFormat="false" ht="23.85" hidden="false" customHeight="false" outlineLevel="0" collapsed="false">
      <c r="A2601" s="7" t="n">
        <v>2600</v>
      </c>
      <c r="B2601" s="7" t="s">
        <v>13372</v>
      </c>
      <c r="C2601" s="7" t="n">
        <v>2020</v>
      </c>
      <c r="D2601" s="7" t="s">
        <v>13373</v>
      </c>
      <c r="E2601" s="7" t="s">
        <v>3817</v>
      </c>
      <c r="F2601" s="7" t="s">
        <v>152</v>
      </c>
      <c r="G2601" s="7" t="s">
        <v>145</v>
      </c>
      <c r="H2601" s="7" t="s">
        <v>387</v>
      </c>
      <c r="I2601" s="7" t="s">
        <v>13374</v>
      </c>
      <c r="J2601" s="7"/>
      <c r="K2601" s="7" t="s">
        <v>13375</v>
      </c>
    </row>
    <row r="2602" customFormat="false" ht="23.85" hidden="false" customHeight="false" outlineLevel="0" collapsed="false">
      <c r="A2602" s="7" t="n">
        <v>2601</v>
      </c>
      <c r="B2602" s="7" t="s">
        <v>3430</v>
      </c>
      <c r="C2602" s="7" t="n">
        <v>2009</v>
      </c>
      <c r="D2602" s="7" t="s">
        <v>13376</v>
      </c>
      <c r="E2602" s="7" t="s">
        <v>3817</v>
      </c>
      <c r="F2602" s="7" t="s">
        <v>152</v>
      </c>
      <c r="G2602" s="7" t="s">
        <v>145</v>
      </c>
      <c r="H2602" s="7" t="s">
        <v>146</v>
      </c>
      <c r="I2602" s="7" t="s">
        <v>13377</v>
      </c>
      <c r="J2602" s="7"/>
      <c r="K2602" s="7" t="s">
        <v>13378</v>
      </c>
    </row>
    <row r="2603" customFormat="false" ht="23.85" hidden="false" customHeight="false" outlineLevel="0" collapsed="false">
      <c r="A2603" s="7" t="n">
        <v>2602</v>
      </c>
      <c r="B2603" s="7" t="s">
        <v>13379</v>
      </c>
      <c r="C2603" s="7" t="n">
        <v>2019</v>
      </c>
      <c r="D2603" s="7" t="s">
        <v>13380</v>
      </c>
      <c r="E2603" s="7" t="s">
        <v>13381</v>
      </c>
      <c r="F2603" s="7" t="s">
        <v>348</v>
      </c>
      <c r="G2603" s="7" t="s">
        <v>145</v>
      </c>
      <c r="H2603" s="7" t="s">
        <v>153</v>
      </c>
      <c r="I2603" s="7" t="s">
        <v>13382</v>
      </c>
      <c r="J2603" s="7"/>
      <c r="K2603" s="7" t="s">
        <v>13383</v>
      </c>
    </row>
    <row r="2604" customFormat="false" ht="23.85" hidden="false" customHeight="false" outlineLevel="0" collapsed="false">
      <c r="A2604" s="7" t="n">
        <v>2603</v>
      </c>
      <c r="B2604" s="7" t="s">
        <v>13384</v>
      </c>
      <c r="C2604" s="7" t="n">
        <v>2014</v>
      </c>
      <c r="D2604" s="7" t="s">
        <v>13385</v>
      </c>
      <c r="E2604" s="7" t="s">
        <v>201</v>
      </c>
      <c r="F2604" s="7" t="s">
        <v>152</v>
      </c>
      <c r="G2604" s="7" t="s">
        <v>8046</v>
      </c>
      <c r="H2604" s="7" t="s">
        <v>153</v>
      </c>
      <c r="I2604" s="7" t="s">
        <v>13386</v>
      </c>
      <c r="J2604" s="7"/>
      <c r="K2604" s="7" t="s">
        <v>13387</v>
      </c>
    </row>
    <row r="2605" customFormat="false" ht="23.85" hidden="false" customHeight="false" outlineLevel="0" collapsed="false">
      <c r="A2605" s="7" t="n">
        <v>2604</v>
      </c>
      <c r="B2605" s="7" t="s">
        <v>13388</v>
      </c>
      <c r="C2605" s="7" t="n">
        <v>2016</v>
      </c>
      <c r="D2605" s="7" t="s">
        <v>13389</v>
      </c>
      <c r="E2605" s="7" t="s">
        <v>8084</v>
      </c>
      <c r="F2605" s="7" t="s">
        <v>348</v>
      </c>
      <c r="G2605" s="7" t="s">
        <v>145</v>
      </c>
      <c r="H2605" s="7" t="s">
        <v>748</v>
      </c>
      <c r="I2605" s="7" t="s">
        <v>13390</v>
      </c>
      <c r="J2605" s="7"/>
      <c r="K2605" s="7" t="s">
        <v>13391</v>
      </c>
    </row>
    <row r="2606" customFormat="false" ht="35.05" hidden="false" customHeight="false" outlineLevel="0" collapsed="false">
      <c r="A2606" s="7" t="n">
        <v>2605</v>
      </c>
      <c r="B2606" s="7" t="s">
        <v>13392</v>
      </c>
      <c r="C2606" s="7" t="n">
        <v>2015</v>
      </c>
      <c r="D2606" s="7" t="s">
        <v>13393</v>
      </c>
      <c r="E2606" s="7" t="s">
        <v>151</v>
      </c>
      <c r="F2606" s="7" t="s">
        <v>348</v>
      </c>
      <c r="G2606" s="7" t="s">
        <v>4711</v>
      </c>
      <c r="H2606" s="7" t="s">
        <v>748</v>
      </c>
      <c r="I2606" s="7" t="s">
        <v>13394</v>
      </c>
      <c r="J2606" s="7"/>
      <c r="K2606" s="7" t="s">
        <v>13395</v>
      </c>
    </row>
    <row r="2607" customFormat="false" ht="35.05" hidden="false" customHeight="false" outlineLevel="0" collapsed="false">
      <c r="A2607" s="7" t="n">
        <v>2606</v>
      </c>
      <c r="B2607" s="7" t="s">
        <v>13396</v>
      </c>
      <c r="C2607" s="7" t="n">
        <v>2021</v>
      </c>
      <c r="D2607" s="7" t="s">
        <v>13397</v>
      </c>
      <c r="E2607" s="7" t="s">
        <v>13398</v>
      </c>
      <c r="F2607" s="7" t="s">
        <v>8767</v>
      </c>
      <c r="G2607" s="7" t="s">
        <v>181</v>
      </c>
      <c r="H2607" s="7" t="s">
        <v>146</v>
      </c>
      <c r="I2607" s="7" t="s">
        <v>13399</v>
      </c>
      <c r="J2607" s="7"/>
      <c r="K2607" s="7" t="s">
        <v>13400</v>
      </c>
    </row>
    <row r="2608" customFormat="false" ht="23.85" hidden="false" customHeight="false" outlineLevel="0" collapsed="false">
      <c r="A2608" s="7" t="n">
        <v>2607</v>
      </c>
      <c r="B2608" s="7" t="s">
        <v>13401</v>
      </c>
      <c r="C2608" s="7" t="n">
        <v>2021</v>
      </c>
      <c r="D2608" s="7" t="s">
        <v>13402</v>
      </c>
      <c r="E2608" s="7" t="s">
        <v>13403</v>
      </c>
      <c r="F2608" s="7" t="s">
        <v>348</v>
      </c>
      <c r="G2608" s="7" t="s">
        <v>4711</v>
      </c>
      <c r="H2608" s="7" t="s">
        <v>146</v>
      </c>
      <c r="I2608" s="7" t="s">
        <v>13404</v>
      </c>
      <c r="J2608" s="7"/>
      <c r="K2608" s="7" t="s">
        <v>13405</v>
      </c>
    </row>
    <row r="2609" customFormat="false" ht="35.05" hidden="false" customHeight="false" outlineLevel="0" collapsed="false">
      <c r="A2609" s="7" t="n">
        <v>2608</v>
      </c>
      <c r="B2609" s="7" t="s">
        <v>13406</v>
      </c>
      <c r="C2609" s="7" t="n">
        <v>2005</v>
      </c>
      <c r="D2609" s="7" t="s">
        <v>13407</v>
      </c>
      <c r="E2609" s="7" t="s">
        <v>151</v>
      </c>
      <c r="F2609" s="7" t="s">
        <v>13408</v>
      </c>
      <c r="G2609" s="7" t="s">
        <v>4310</v>
      </c>
      <c r="H2609" s="7" t="s">
        <v>146</v>
      </c>
      <c r="I2609" s="7" t="s">
        <v>13409</v>
      </c>
      <c r="J2609" s="7"/>
      <c r="K2609" s="7" t="s">
        <v>13410</v>
      </c>
    </row>
    <row r="2610" customFormat="false" ht="35.05" hidden="false" customHeight="false" outlineLevel="0" collapsed="false">
      <c r="A2610" s="7" t="n">
        <v>2609</v>
      </c>
      <c r="B2610" s="7" t="s">
        <v>13411</v>
      </c>
      <c r="C2610" s="7" t="n">
        <v>2009</v>
      </c>
      <c r="D2610" s="7" t="s">
        <v>13412</v>
      </c>
      <c r="E2610" s="7" t="s">
        <v>13413</v>
      </c>
      <c r="F2610" s="7" t="s">
        <v>1619</v>
      </c>
      <c r="G2610" s="7" t="s">
        <v>145</v>
      </c>
      <c r="H2610" s="7" t="s">
        <v>153</v>
      </c>
      <c r="I2610" s="7" t="s">
        <v>13414</v>
      </c>
      <c r="J2610" s="7"/>
      <c r="K2610" s="7" t="s">
        <v>13415</v>
      </c>
    </row>
    <row r="2611" customFormat="false" ht="35.05" hidden="false" customHeight="false" outlineLevel="0" collapsed="false">
      <c r="A2611" s="7" t="n">
        <v>2610</v>
      </c>
      <c r="B2611" s="7" t="s">
        <v>13416</v>
      </c>
      <c r="C2611" s="7" t="n">
        <v>2017</v>
      </c>
      <c r="D2611" s="7" t="s">
        <v>13417</v>
      </c>
      <c r="E2611" s="7" t="s">
        <v>9198</v>
      </c>
      <c r="F2611" s="7" t="s">
        <v>13418</v>
      </c>
      <c r="G2611" s="7" t="s">
        <v>145</v>
      </c>
      <c r="H2611" s="7" t="s">
        <v>146</v>
      </c>
      <c r="I2611" s="7" t="s">
        <v>13419</v>
      </c>
      <c r="J2611" s="7"/>
      <c r="K2611" s="7" t="s">
        <v>13420</v>
      </c>
    </row>
    <row r="2612" customFormat="false" ht="35.05" hidden="false" customHeight="false" outlineLevel="0" collapsed="false">
      <c r="A2612" s="7" t="n">
        <v>2611</v>
      </c>
      <c r="B2612" s="7" t="s">
        <v>3514</v>
      </c>
      <c r="C2612" s="7" t="n">
        <v>2024</v>
      </c>
      <c r="D2612" s="7" t="s">
        <v>13424</v>
      </c>
      <c r="E2612" s="7" t="s">
        <v>7375</v>
      </c>
      <c r="F2612" s="7" t="s">
        <v>1278</v>
      </c>
      <c r="G2612" s="7" t="s">
        <v>255</v>
      </c>
      <c r="H2612" s="7" t="s">
        <v>146</v>
      </c>
      <c r="I2612" s="7" t="s">
        <v>13425</v>
      </c>
      <c r="J2612" s="7" t="s">
        <v>112</v>
      </c>
      <c r="K2612" s="7" t="s">
        <v>13426</v>
      </c>
    </row>
    <row r="2613" customFormat="false" ht="35.05" hidden="false" customHeight="false" outlineLevel="0" collapsed="false">
      <c r="A2613" s="7" t="n">
        <v>2612</v>
      </c>
      <c r="B2613" s="7" t="s">
        <v>13427</v>
      </c>
      <c r="C2613" s="7" t="n">
        <v>2022</v>
      </c>
      <c r="D2613" s="7" t="s">
        <v>13428</v>
      </c>
      <c r="E2613" s="7" t="s">
        <v>587</v>
      </c>
      <c r="F2613" s="7" t="s">
        <v>2048</v>
      </c>
      <c r="G2613" s="7" t="s">
        <v>13429</v>
      </c>
      <c r="H2613" s="7" t="s">
        <v>146</v>
      </c>
      <c r="I2613" s="7" t="s">
        <v>13430</v>
      </c>
      <c r="J2613" s="7" t="s">
        <v>116</v>
      </c>
      <c r="K2613" s="7" t="s">
        <v>13431</v>
      </c>
    </row>
    <row r="2614" customFormat="false" ht="35.05" hidden="false" customHeight="false" outlineLevel="0" collapsed="false">
      <c r="A2614" s="7" t="n">
        <v>2613</v>
      </c>
      <c r="B2614" s="7" t="s">
        <v>13432</v>
      </c>
      <c r="C2614" s="7" t="n">
        <v>2018</v>
      </c>
      <c r="D2614" s="7" t="s">
        <v>13433</v>
      </c>
      <c r="E2614" s="7" t="s">
        <v>143</v>
      </c>
      <c r="F2614" s="7" t="s">
        <v>13434</v>
      </c>
      <c r="G2614" s="7" t="s">
        <v>9323</v>
      </c>
      <c r="H2614" s="7" t="s">
        <v>146</v>
      </c>
      <c r="I2614" s="7" t="s">
        <v>13435</v>
      </c>
      <c r="J2614" s="7" t="s">
        <v>112</v>
      </c>
      <c r="K2614" s="7" t="s">
        <v>13436</v>
      </c>
    </row>
    <row r="2615" customFormat="false" ht="35.05" hidden="false" customHeight="false" outlineLevel="0" collapsed="false">
      <c r="A2615" s="7" t="n">
        <v>2614</v>
      </c>
      <c r="B2615" s="7" t="s">
        <v>13437</v>
      </c>
      <c r="C2615" s="7" t="n">
        <v>2014</v>
      </c>
      <c r="D2615" s="7" t="s">
        <v>13438</v>
      </c>
      <c r="E2615" s="7" t="s">
        <v>201</v>
      </c>
      <c r="F2615" s="7" t="s">
        <v>152</v>
      </c>
      <c r="G2615" s="7" t="s">
        <v>145</v>
      </c>
      <c r="H2615" s="7" t="s">
        <v>146</v>
      </c>
      <c r="I2615" s="7" t="s">
        <v>13439</v>
      </c>
      <c r="J2615" s="7"/>
      <c r="K2615" s="7" t="s">
        <v>13440</v>
      </c>
    </row>
    <row r="2616" customFormat="false" ht="23.85" hidden="false" customHeight="false" outlineLevel="0" collapsed="false">
      <c r="A2616" s="7" t="n">
        <v>2615</v>
      </c>
      <c r="B2616" s="7" t="s">
        <v>8162</v>
      </c>
      <c r="C2616" s="7" t="n">
        <v>2021</v>
      </c>
      <c r="D2616" s="7" t="s">
        <v>13441</v>
      </c>
      <c r="E2616" s="7" t="s">
        <v>143</v>
      </c>
      <c r="F2616" s="7" t="s">
        <v>1424</v>
      </c>
      <c r="G2616" s="7" t="s">
        <v>145</v>
      </c>
      <c r="H2616" s="7" t="s">
        <v>146</v>
      </c>
      <c r="I2616" s="7" t="s">
        <v>13442</v>
      </c>
      <c r="J2616" s="7" t="s">
        <v>116</v>
      </c>
      <c r="K2616" s="7" t="s">
        <v>13443</v>
      </c>
    </row>
    <row r="2617" customFormat="false" ht="23.85" hidden="false" customHeight="false" outlineLevel="0" collapsed="false">
      <c r="A2617" s="7" t="n">
        <v>2616</v>
      </c>
      <c r="B2617" s="7" t="s">
        <v>13444</v>
      </c>
      <c r="C2617" s="7" t="n">
        <v>2001</v>
      </c>
      <c r="D2617" s="7" t="s">
        <v>13445</v>
      </c>
      <c r="E2617" s="7" t="s">
        <v>201</v>
      </c>
      <c r="F2617" s="7" t="s">
        <v>152</v>
      </c>
      <c r="G2617" s="7" t="s">
        <v>145</v>
      </c>
      <c r="H2617" s="7" t="s">
        <v>146</v>
      </c>
      <c r="I2617" s="7" t="s">
        <v>13446</v>
      </c>
      <c r="J2617" s="7" t="s">
        <v>112</v>
      </c>
      <c r="K2617" s="7" t="s">
        <v>13447</v>
      </c>
    </row>
    <row r="2618" customFormat="false" ht="23.85" hidden="false" customHeight="false" outlineLevel="0" collapsed="false">
      <c r="A2618" s="7" t="n">
        <v>2617</v>
      </c>
      <c r="B2618" s="7" t="s">
        <v>13448</v>
      </c>
      <c r="C2618" s="7" t="n">
        <v>2021</v>
      </c>
      <c r="D2618" s="7" t="s">
        <v>13449</v>
      </c>
      <c r="E2618" s="7" t="s">
        <v>143</v>
      </c>
      <c r="F2618" s="7" t="s">
        <v>1278</v>
      </c>
      <c r="G2618" s="7" t="s">
        <v>145</v>
      </c>
      <c r="H2618" s="7" t="s">
        <v>153</v>
      </c>
      <c r="I2618" s="7" t="s">
        <v>13450</v>
      </c>
      <c r="J2618" s="7" t="s">
        <v>112</v>
      </c>
      <c r="K2618" s="7" t="s">
        <v>13451</v>
      </c>
    </row>
    <row r="2619" customFormat="false" ht="35.05" hidden="false" customHeight="false" outlineLevel="0" collapsed="false">
      <c r="A2619" s="7" t="n">
        <v>2618</v>
      </c>
      <c r="B2619" s="7" t="s">
        <v>1284</v>
      </c>
      <c r="C2619" s="7" t="n">
        <v>2009</v>
      </c>
      <c r="D2619" s="7" t="s">
        <v>13452</v>
      </c>
      <c r="E2619" s="7" t="s">
        <v>13453</v>
      </c>
      <c r="F2619" s="7" t="s">
        <v>1278</v>
      </c>
      <c r="G2619" s="7" t="s">
        <v>611</v>
      </c>
      <c r="H2619" s="7" t="s">
        <v>146</v>
      </c>
      <c r="I2619" s="7" t="s">
        <v>13454</v>
      </c>
      <c r="J2619" s="7" t="s">
        <v>112</v>
      </c>
      <c r="K2619" s="7" t="s">
        <v>13455</v>
      </c>
    </row>
    <row r="2620" customFormat="false" ht="35.05" hidden="false" customHeight="false" outlineLevel="0" collapsed="false">
      <c r="A2620" s="7" t="n">
        <v>2619</v>
      </c>
      <c r="B2620" s="7" t="s">
        <v>8975</v>
      </c>
      <c r="C2620" s="7" t="n">
        <v>2014</v>
      </c>
      <c r="D2620" s="7" t="s">
        <v>13456</v>
      </c>
      <c r="E2620" s="7" t="s">
        <v>151</v>
      </c>
      <c r="F2620" s="7" t="s">
        <v>1619</v>
      </c>
      <c r="G2620" s="7" t="s">
        <v>145</v>
      </c>
      <c r="H2620" s="7" t="s">
        <v>146</v>
      </c>
      <c r="I2620" s="7" t="s">
        <v>13457</v>
      </c>
      <c r="J2620" s="7" t="s">
        <v>112</v>
      </c>
      <c r="K2620" s="7" t="s">
        <v>13458</v>
      </c>
    </row>
    <row r="2621" customFormat="false" ht="23.85" hidden="false" customHeight="false" outlineLevel="0" collapsed="false">
      <c r="A2621" s="7" t="n">
        <v>2620</v>
      </c>
      <c r="B2621" s="7" t="s">
        <v>13459</v>
      </c>
      <c r="C2621" s="7" t="n">
        <v>2017</v>
      </c>
      <c r="D2621" s="7" t="s">
        <v>13460</v>
      </c>
      <c r="E2621" s="7" t="s">
        <v>143</v>
      </c>
      <c r="F2621" s="7" t="s">
        <v>152</v>
      </c>
      <c r="G2621" s="7" t="s">
        <v>145</v>
      </c>
      <c r="H2621" s="7" t="s">
        <v>153</v>
      </c>
      <c r="I2621" s="7" t="s">
        <v>13461</v>
      </c>
      <c r="J2621" s="7"/>
      <c r="K2621" s="7" t="s">
        <v>13462</v>
      </c>
    </row>
    <row r="2622" customFormat="false" ht="35.05" hidden="false" customHeight="false" outlineLevel="0" collapsed="false">
      <c r="A2622" s="7" t="n">
        <v>2621</v>
      </c>
      <c r="B2622" s="7" t="s">
        <v>13463</v>
      </c>
      <c r="C2622" s="7" t="n">
        <v>2017</v>
      </c>
      <c r="D2622" s="7" t="s">
        <v>13464</v>
      </c>
      <c r="E2622" s="7" t="s">
        <v>201</v>
      </c>
      <c r="F2622" s="7" t="s">
        <v>152</v>
      </c>
      <c r="G2622" s="7" t="s">
        <v>145</v>
      </c>
      <c r="H2622" s="7" t="s">
        <v>153</v>
      </c>
      <c r="I2622" s="7" t="s">
        <v>13465</v>
      </c>
      <c r="J2622" s="7"/>
      <c r="K2622" s="7" t="s">
        <v>13466</v>
      </c>
    </row>
    <row r="2623" customFormat="false" ht="23.85" hidden="false" customHeight="false" outlineLevel="0" collapsed="false">
      <c r="A2623" s="7" t="n">
        <v>2622</v>
      </c>
      <c r="B2623" s="7" t="s">
        <v>1219</v>
      </c>
      <c r="C2623" s="7" t="n">
        <v>2011</v>
      </c>
      <c r="D2623" s="7" t="s">
        <v>13467</v>
      </c>
      <c r="E2623" s="7" t="s">
        <v>3817</v>
      </c>
      <c r="F2623" s="7" t="s">
        <v>13468</v>
      </c>
      <c r="G2623" s="7" t="s">
        <v>2841</v>
      </c>
      <c r="H2623" s="7" t="s">
        <v>146</v>
      </c>
      <c r="I2623" s="7" t="s">
        <v>13469</v>
      </c>
      <c r="J2623" s="7" t="s">
        <v>116</v>
      </c>
      <c r="K2623" s="7" t="s">
        <v>13470</v>
      </c>
    </row>
    <row r="2624" customFormat="false" ht="23.85" hidden="false" customHeight="false" outlineLevel="0" collapsed="false">
      <c r="A2624" s="7" t="n">
        <v>2623</v>
      </c>
      <c r="B2624" s="7" t="s">
        <v>9962</v>
      </c>
      <c r="C2624" s="7" t="n">
        <v>2007</v>
      </c>
      <c r="D2624" s="7" t="s">
        <v>13471</v>
      </c>
      <c r="E2624" s="7" t="s">
        <v>13472</v>
      </c>
      <c r="F2624" s="7" t="s">
        <v>3863</v>
      </c>
      <c r="G2624" s="7" t="s">
        <v>13473</v>
      </c>
      <c r="H2624" s="7" t="s">
        <v>146</v>
      </c>
      <c r="I2624" s="7" t="s">
        <v>13474</v>
      </c>
      <c r="J2624" s="7" t="s">
        <v>116</v>
      </c>
      <c r="K2624" s="7" t="s">
        <v>13475</v>
      </c>
    </row>
    <row r="2625" customFormat="false" ht="23.85" hidden="false" customHeight="false" outlineLevel="0" collapsed="false">
      <c r="A2625" s="7" t="n">
        <v>2624</v>
      </c>
      <c r="B2625" s="7" t="s">
        <v>13476</v>
      </c>
      <c r="C2625" s="7" t="n">
        <v>2010</v>
      </c>
      <c r="D2625" s="7" t="s">
        <v>13477</v>
      </c>
      <c r="E2625" s="7" t="s">
        <v>143</v>
      </c>
      <c r="F2625" s="7" t="s">
        <v>13478</v>
      </c>
      <c r="G2625" s="7" t="s">
        <v>3836</v>
      </c>
      <c r="H2625" s="7" t="s">
        <v>146</v>
      </c>
      <c r="I2625" s="7" t="s">
        <v>13479</v>
      </c>
      <c r="J2625" s="7" t="s">
        <v>116</v>
      </c>
      <c r="K2625" s="7" t="s">
        <v>13480</v>
      </c>
    </row>
    <row r="2626" customFormat="false" ht="35.05" hidden="false" customHeight="false" outlineLevel="0" collapsed="false">
      <c r="A2626" s="7" t="n">
        <v>2625</v>
      </c>
      <c r="B2626" s="7" t="s">
        <v>13481</v>
      </c>
      <c r="C2626" s="7" t="n">
        <v>2023</v>
      </c>
      <c r="D2626" s="7" t="s">
        <v>13482</v>
      </c>
      <c r="E2626" s="7" t="s">
        <v>143</v>
      </c>
      <c r="F2626" s="7" t="s">
        <v>626</v>
      </c>
      <c r="G2626" s="7" t="s">
        <v>145</v>
      </c>
      <c r="H2626" s="7" t="s">
        <v>146</v>
      </c>
      <c r="I2626" s="7" t="s">
        <v>13483</v>
      </c>
      <c r="J2626" s="7" t="s">
        <v>112</v>
      </c>
      <c r="K2626" s="7" t="s">
        <v>13484</v>
      </c>
    </row>
    <row r="2627" customFormat="false" ht="35.05" hidden="false" customHeight="false" outlineLevel="0" collapsed="false">
      <c r="A2627" s="7" t="n">
        <v>2626</v>
      </c>
      <c r="B2627" s="7" t="s">
        <v>13485</v>
      </c>
      <c r="C2627" s="7" t="n">
        <v>2017</v>
      </c>
      <c r="D2627" s="7" t="s">
        <v>13486</v>
      </c>
      <c r="E2627" s="7" t="s">
        <v>2868</v>
      </c>
      <c r="F2627" s="7" t="s">
        <v>13487</v>
      </c>
      <c r="G2627" s="7" t="s">
        <v>13488</v>
      </c>
      <c r="H2627" s="7" t="s">
        <v>146</v>
      </c>
      <c r="I2627" s="7" t="s">
        <v>13489</v>
      </c>
      <c r="J2627" s="7" t="s">
        <v>116</v>
      </c>
      <c r="K2627" s="7" t="s">
        <v>13490</v>
      </c>
    </row>
    <row r="2628" customFormat="false" ht="35.05" hidden="false" customHeight="false" outlineLevel="0" collapsed="false">
      <c r="A2628" s="7" t="n">
        <v>2627</v>
      </c>
      <c r="B2628" s="7" t="s">
        <v>13491</v>
      </c>
      <c r="C2628" s="7" t="n">
        <v>2023</v>
      </c>
      <c r="D2628" s="7" t="s">
        <v>13492</v>
      </c>
      <c r="E2628" s="7" t="s">
        <v>13493</v>
      </c>
      <c r="F2628" s="7" t="s">
        <v>13494</v>
      </c>
      <c r="G2628" s="7" t="s">
        <v>145</v>
      </c>
      <c r="H2628" s="7" t="s">
        <v>153</v>
      </c>
      <c r="I2628" s="7" t="s">
        <v>13495</v>
      </c>
      <c r="J2628" s="7" t="s">
        <v>114</v>
      </c>
      <c r="K2628" s="7" t="s">
        <v>13496</v>
      </c>
    </row>
    <row r="2629" customFormat="false" ht="23.85" hidden="false" customHeight="false" outlineLevel="0" collapsed="false">
      <c r="A2629" s="7" t="n">
        <v>2628</v>
      </c>
      <c r="B2629" s="7" t="s">
        <v>13497</v>
      </c>
      <c r="C2629" s="7" t="n">
        <v>2024</v>
      </c>
      <c r="D2629" s="7" t="s">
        <v>13498</v>
      </c>
      <c r="E2629" s="7" t="s">
        <v>143</v>
      </c>
      <c r="F2629" s="7" t="s">
        <v>13499</v>
      </c>
      <c r="G2629" s="7" t="s">
        <v>13500</v>
      </c>
      <c r="H2629" s="7" t="s">
        <v>146</v>
      </c>
      <c r="I2629" s="7" t="s">
        <v>13501</v>
      </c>
      <c r="J2629" s="7"/>
      <c r="K2629" s="7" t="s">
        <v>13502</v>
      </c>
    </row>
    <row r="2630" customFormat="false" ht="35.05" hidden="false" customHeight="false" outlineLevel="0" collapsed="false">
      <c r="A2630" s="7" t="n">
        <v>2629</v>
      </c>
      <c r="B2630" s="7" t="s">
        <v>13503</v>
      </c>
      <c r="C2630" s="7" t="n">
        <v>2016</v>
      </c>
      <c r="D2630" s="7" t="s">
        <v>13504</v>
      </c>
      <c r="E2630" s="7" t="s">
        <v>579</v>
      </c>
      <c r="F2630" s="7" t="s">
        <v>13505</v>
      </c>
      <c r="G2630" s="7" t="s">
        <v>1198</v>
      </c>
      <c r="H2630" s="7" t="s">
        <v>146</v>
      </c>
      <c r="I2630" s="7" t="s">
        <v>13506</v>
      </c>
      <c r="J2630" s="7" t="s">
        <v>116</v>
      </c>
      <c r="K2630" s="7" t="s">
        <v>13507</v>
      </c>
    </row>
    <row r="2631" customFormat="false" ht="23.85" hidden="false" customHeight="false" outlineLevel="0" collapsed="false">
      <c r="A2631" s="7" t="n">
        <v>2630</v>
      </c>
      <c r="B2631" s="7" t="s">
        <v>13508</v>
      </c>
      <c r="C2631" s="7" t="n">
        <v>2023</v>
      </c>
      <c r="D2631" s="7" t="s">
        <v>13509</v>
      </c>
      <c r="E2631" s="7" t="s">
        <v>143</v>
      </c>
      <c r="F2631" s="7" t="s">
        <v>13510</v>
      </c>
      <c r="G2631" s="7" t="s">
        <v>145</v>
      </c>
      <c r="H2631" s="7" t="s">
        <v>153</v>
      </c>
      <c r="I2631" s="7" t="s">
        <v>13511</v>
      </c>
      <c r="J2631" s="7" t="s">
        <v>114</v>
      </c>
      <c r="K2631" s="7" t="s">
        <v>13512</v>
      </c>
    </row>
    <row r="2632" customFormat="false" ht="23.85" hidden="false" customHeight="false" outlineLevel="0" collapsed="false">
      <c r="A2632" s="7" t="n">
        <v>2631</v>
      </c>
      <c r="B2632" s="7" t="s">
        <v>1793</v>
      </c>
      <c r="C2632" s="7" t="n">
        <v>2023</v>
      </c>
      <c r="D2632" s="7" t="s">
        <v>13513</v>
      </c>
      <c r="E2632" s="7" t="s">
        <v>143</v>
      </c>
      <c r="F2632" s="7" t="s">
        <v>13514</v>
      </c>
      <c r="G2632" s="7" t="s">
        <v>145</v>
      </c>
      <c r="H2632" s="7" t="s">
        <v>153</v>
      </c>
      <c r="I2632" s="7" t="s">
        <v>13515</v>
      </c>
      <c r="J2632" s="7" t="s">
        <v>110</v>
      </c>
      <c r="K2632" s="7" t="s">
        <v>13516</v>
      </c>
    </row>
    <row r="2633" customFormat="false" ht="35.05" hidden="false" customHeight="false" outlineLevel="0" collapsed="false">
      <c r="A2633" s="7" t="n">
        <v>2632</v>
      </c>
      <c r="B2633" s="7" t="s">
        <v>13517</v>
      </c>
      <c r="C2633" s="7" t="n">
        <v>2015</v>
      </c>
      <c r="D2633" s="7" t="s">
        <v>13518</v>
      </c>
      <c r="E2633" s="7" t="s">
        <v>13369</v>
      </c>
      <c r="F2633" s="7" t="s">
        <v>626</v>
      </c>
      <c r="G2633" s="7" t="s">
        <v>145</v>
      </c>
      <c r="H2633" s="7" t="s">
        <v>153</v>
      </c>
      <c r="I2633" s="7" t="s">
        <v>13519</v>
      </c>
      <c r="J2633" s="7" t="s">
        <v>112</v>
      </c>
      <c r="K2633" s="7" t="s">
        <v>13520</v>
      </c>
    </row>
    <row r="2634" customFormat="false" ht="23.85" hidden="false" customHeight="false" outlineLevel="0" collapsed="false">
      <c r="A2634" s="7" t="n">
        <v>2633</v>
      </c>
      <c r="B2634" s="7" t="s">
        <v>1366</v>
      </c>
      <c r="C2634" s="7" t="n">
        <v>2024</v>
      </c>
      <c r="D2634" s="7" t="s">
        <v>13521</v>
      </c>
      <c r="E2634" s="7" t="s">
        <v>143</v>
      </c>
      <c r="F2634" s="7" t="s">
        <v>6608</v>
      </c>
      <c r="G2634" s="7" t="s">
        <v>145</v>
      </c>
      <c r="H2634" s="7" t="s">
        <v>146</v>
      </c>
      <c r="I2634" s="7" t="s">
        <v>13522</v>
      </c>
      <c r="J2634" s="7" t="s">
        <v>112</v>
      </c>
      <c r="K2634" s="7" t="s">
        <v>13523</v>
      </c>
    </row>
    <row r="2635" customFormat="false" ht="35.05" hidden="false" customHeight="false" outlineLevel="0" collapsed="false">
      <c r="A2635" s="7" t="n">
        <v>2634</v>
      </c>
      <c r="B2635" s="7" t="s">
        <v>4222</v>
      </c>
      <c r="C2635" s="7" t="n">
        <v>2024</v>
      </c>
      <c r="D2635" s="7" t="s">
        <v>13524</v>
      </c>
      <c r="E2635" s="7" t="s">
        <v>13295</v>
      </c>
      <c r="F2635" s="7" t="s">
        <v>4233</v>
      </c>
      <c r="G2635" s="7" t="s">
        <v>145</v>
      </c>
      <c r="H2635" s="7" t="s">
        <v>522</v>
      </c>
      <c r="I2635" s="7" t="s">
        <v>13525</v>
      </c>
      <c r="J2635" s="7" t="s">
        <v>112</v>
      </c>
      <c r="K2635" s="7" t="s">
        <v>13526</v>
      </c>
    </row>
    <row r="2636" customFormat="false" ht="23.85" hidden="false" customHeight="false" outlineLevel="0" collapsed="false">
      <c r="A2636" s="7" t="n">
        <v>2635</v>
      </c>
      <c r="B2636" s="7" t="s">
        <v>13527</v>
      </c>
      <c r="C2636" s="7" t="n">
        <v>2022</v>
      </c>
      <c r="D2636" s="7" t="s">
        <v>13528</v>
      </c>
      <c r="E2636" s="7" t="s">
        <v>143</v>
      </c>
      <c r="F2636" s="7" t="s">
        <v>626</v>
      </c>
      <c r="G2636" s="7" t="s">
        <v>145</v>
      </c>
      <c r="H2636" s="7" t="s">
        <v>153</v>
      </c>
      <c r="I2636" s="7" t="s">
        <v>13529</v>
      </c>
      <c r="J2636" s="7"/>
      <c r="K2636" s="7" t="s">
        <v>13530</v>
      </c>
    </row>
    <row r="2637" customFormat="false" ht="35.05" hidden="false" customHeight="false" outlineLevel="0" collapsed="false">
      <c r="A2637" s="7" t="n">
        <v>2636</v>
      </c>
      <c r="B2637" s="7" t="s">
        <v>13531</v>
      </c>
      <c r="C2637" s="7" t="n">
        <v>2021</v>
      </c>
      <c r="D2637" s="7" t="s">
        <v>13532</v>
      </c>
      <c r="E2637" s="7" t="s">
        <v>143</v>
      </c>
      <c r="F2637" s="7" t="s">
        <v>13533</v>
      </c>
      <c r="G2637" s="7" t="s">
        <v>145</v>
      </c>
      <c r="H2637" s="7" t="s">
        <v>153</v>
      </c>
      <c r="I2637" s="7" t="s">
        <v>13534</v>
      </c>
      <c r="J2637" s="7"/>
      <c r="K2637" s="7" t="s">
        <v>13535</v>
      </c>
    </row>
    <row r="2638" customFormat="false" ht="35.05" hidden="false" customHeight="false" outlineLevel="0" collapsed="false">
      <c r="A2638" s="7" t="n">
        <v>2637</v>
      </c>
      <c r="B2638" s="7" t="s">
        <v>13538</v>
      </c>
      <c r="C2638" s="7" t="n">
        <v>2023</v>
      </c>
      <c r="D2638" s="7" t="s">
        <v>13539</v>
      </c>
      <c r="E2638" s="7" t="s">
        <v>13540</v>
      </c>
      <c r="F2638" s="7" t="s">
        <v>13541</v>
      </c>
      <c r="G2638" s="7" t="s">
        <v>145</v>
      </c>
      <c r="H2638" s="7" t="s">
        <v>146</v>
      </c>
      <c r="I2638" s="7" t="s">
        <v>13542</v>
      </c>
      <c r="J2638" s="7" t="s">
        <v>112</v>
      </c>
      <c r="K2638" s="7" t="s">
        <v>13543</v>
      </c>
    </row>
    <row r="2639" customFormat="false" ht="35.05" hidden="false" customHeight="false" outlineLevel="0" collapsed="false">
      <c r="A2639" s="7" t="n">
        <v>2638</v>
      </c>
      <c r="B2639" s="7" t="s">
        <v>1454</v>
      </c>
      <c r="C2639" s="7" t="n">
        <v>2024</v>
      </c>
      <c r="D2639" s="7" t="s">
        <v>13544</v>
      </c>
      <c r="E2639" s="7" t="s">
        <v>201</v>
      </c>
      <c r="F2639" s="7" t="s">
        <v>348</v>
      </c>
      <c r="G2639" s="7" t="s">
        <v>145</v>
      </c>
      <c r="H2639" s="7" t="s">
        <v>153</v>
      </c>
      <c r="I2639" s="7" t="s">
        <v>13545</v>
      </c>
      <c r="J2639" s="7" t="s">
        <v>110</v>
      </c>
      <c r="K2639" s="7" t="s">
        <v>13546</v>
      </c>
    </row>
    <row r="2640" customFormat="false" ht="46.25" hidden="false" customHeight="false" outlineLevel="0" collapsed="false">
      <c r="A2640" s="7" t="n">
        <v>2639</v>
      </c>
      <c r="B2640" s="7" t="s">
        <v>13547</v>
      </c>
      <c r="C2640" s="7" t="n">
        <v>2023</v>
      </c>
      <c r="D2640" s="7" t="s">
        <v>13548</v>
      </c>
      <c r="E2640" s="7" t="s">
        <v>579</v>
      </c>
      <c r="F2640" s="7" t="s">
        <v>13549</v>
      </c>
      <c r="G2640" s="7" t="s">
        <v>13550</v>
      </c>
      <c r="H2640" s="7" t="s">
        <v>522</v>
      </c>
      <c r="I2640" s="7" t="s">
        <v>13551</v>
      </c>
      <c r="J2640" s="7" t="s">
        <v>112</v>
      </c>
      <c r="K2640" s="7" t="s">
        <v>13552</v>
      </c>
    </row>
    <row r="2641" customFormat="false" ht="46.25" hidden="false" customHeight="false" outlineLevel="0" collapsed="false">
      <c r="A2641" s="7" t="n">
        <v>2640</v>
      </c>
      <c r="B2641" s="7" t="s">
        <v>13553</v>
      </c>
      <c r="C2641" s="7" t="n">
        <v>2025</v>
      </c>
      <c r="D2641" s="7" t="s">
        <v>13554</v>
      </c>
      <c r="E2641" s="7" t="s">
        <v>587</v>
      </c>
      <c r="F2641" s="7" t="s">
        <v>13555</v>
      </c>
      <c r="G2641" s="7" t="s">
        <v>13556</v>
      </c>
      <c r="H2641" s="7" t="s">
        <v>153</v>
      </c>
      <c r="I2641" s="7" t="s">
        <v>13557</v>
      </c>
      <c r="J2641" s="7" t="s">
        <v>114</v>
      </c>
      <c r="K2641" s="7" t="s">
        <v>13558</v>
      </c>
    </row>
    <row r="2642" customFormat="false" ht="46.25" hidden="false" customHeight="false" outlineLevel="0" collapsed="false">
      <c r="A2642" s="7" t="n">
        <v>2641</v>
      </c>
      <c r="B2642" s="7" t="s">
        <v>13559</v>
      </c>
      <c r="C2642" s="7" t="n">
        <v>2023</v>
      </c>
      <c r="D2642" s="7" t="s">
        <v>13560</v>
      </c>
      <c r="E2642" s="7" t="s">
        <v>579</v>
      </c>
      <c r="F2642" s="7" t="s">
        <v>13561</v>
      </c>
      <c r="G2642" s="7" t="s">
        <v>145</v>
      </c>
      <c r="H2642" s="7" t="s">
        <v>153</v>
      </c>
      <c r="I2642" s="7" t="s">
        <v>13562</v>
      </c>
      <c r="J2642" s="7" t="s">
        <v>114</v>
      </c>
      <c r="K2642" s="7" t="s">
        <v>13563</v>
      </c>
    </row>
    <row r="2643" customFormat="false" ht="35.05" hidden="false" customHeight="false" outlineLevel="0" collapsed="false">
      <c r="A2643" s="7" t="n">
        <v>2642</v>
      </c>
      <c r="B2643" s="7" t="s">
        <v>1476</v>
      </c>
      <c r="C2643" s="7" t="n">
        <v>2025</v>
      </c>
      <c r="D2643" s="7" t="s">
        <v>13564</v>
      </c>
      <c r="E2643" s="7" t="s">
        <v>201</v>
      </c>
      <c r="F2643" s="7" t="s">
        <v>13565</v>
      </c>
      <c r="G2643" s="7" t="s">
        <v>145</v>
      </c>
      <c r="H2643" s="7" t="s">
        <v>153</v>
      </c>
      <c r="I2643" s="7" t="s">
        <v>13566</v>
      </c>
      <c r="J2643" s="7"/>
      <c r="K2643" s="7" t="s">
        <v>13567</v>
      </c>
    </row>
    <row r="2644" customFormat="false" ht="46.25" hidden="false" customHeight="false" outlineLevel="0" collapsed="false">
      <c r="A2644" s="7" t="n">
        <v>2643</v>
      </c>
      <c r="B2644" s="7" t="s">
        <v>1793</v>
      </c>
      <c r="C2644" s="7" t="n">
        <v>2023</v>
      </c>
      <c r="D2644" s="7" t="s">
        <v>13568</v>
      </c>
      <c r="E2644" s="7" t="s">
        <v>13569</v>
      </c>
      <c r="F2644" s="7" t="s">
        <v>13570</v>
      </c>
      <c r="G2644" s="7" t="s">
        <v>145</v>
      </c>
      <c r="H2644" s="7" t="s">
        <v>153</v>
      </c>
      <c r="I2644" s="7" t="s">
        <v>13571</v>
      </c>
      <c r="J2644" s="7" t="s">
        <v>110</v>
      </c>
      <c r="K2644" s="7" t="s">
        <v>13572</v>
      </c>
    </row>
    <row r="2645" customFormat="false" ht="46.25" hidden="false" customHeight="false" outlineLevel="0" collapsed="false">
      <c r="A2645" s="7" t="n">
        <v>2644</v>
      </c>
      <c r="B2645" s="7" t="s">
        <v>1622</v>
      </c>
      <c r="C2645" s="7" t="n">
        <v>2025</v>
      </c>
      <c r="D2645" s="7" t="s">
        <v>13573</v>
      </c>
      <c r="E2645" s="7" t="s">
        <v>8720</v>
      </c>
      <c r="F2645" s="7" t="s">
        <v>13574</v>
      </c>
      <c r="G2645" s="7" t="s">
        <v>327</v>
      </c>
      <c r="H2645" s="7" t="s">
        <v>153</v>
      </c>
      <c r="I2645" s="7" t="s">
        <v>13575</v>
      </c>
      <c r="J2645" s="7" t="s">
        <v>110</v>
      </c>
      <c r="K2645" s="7" t="s">
        <v>13576</v>
      </c>
    </row>
    <row r="2646" customFormat="false" ht="46.25" hidden="false" customHeight="false" outlineLevel="0" collapsed="false">
      <c r="A2646" s="7" t="n">
        <v>2645</v>
      </c>
      <c r="B2646" s="7" t="s">
        <v>13577</v>
      </c>
      <c r="C2646" s="7" t="n">
        <v>2024</v>
      </c>
      <c r="D2646" s="7" t="s">
        <v>13578</v>
      </c>
      <c r="E2646" s="7" t="s">
        <v>13579</v>
      </c>
      <c r="F2646" s="7" t="s">
        <v>13580</v>
      </c>
      <c r="G2646" s="7" t="s">
        <v>327</v>
      </c>
      <c r="H2646" s="7" t="s">
        <v>153</v>
      </c>
      <c r="I2646" s="7" t="s">
        <v>13581</v>
      </c>
      <c r="J2646" s="7" t="s">
        <v>114</v>
      </c>
      <c r="K2646" s="7" t="s">
        <v>13582</v>
      </c>
    </row>
    <row r="2647" customFormat="false" ht="46.25" hidden="false" customHeight="false" outlineLevel="0" collapsed="false">
      <c r="A2647" s="7" t="n">
        <v>2646</v>
      </c>
      <c r="B2647" s="7" t="s">
        <v>13583</v>
      </c>
      <c r="C2647" s="7" t="n">
        <v>2023</v>
      </c>
      <c r="D2647" s="7" t="s">
        <v>13584</v>
      </c>
      <c r="E2647" s="7" t="s">
        <v>13585</v>
      </c>
      <c r="F2647" s="7" t="s">
        <v>13586</v>
      </c>
      <c r="G2647" s="7" t="s">
        <v>871</v>
      </c>
      <c r="H2647" s="7" t="s">
        <v>153</v>
      </c>
      <c r="I2647" s="7" t="s">
        <v>13587</v>
      </c>
      <c r="J2647" s="7" t="s">
        <v>110</v>
      </c>
      <c r="K2647" s="7" t="s">
        <v>13588</v>
      </c>
    </row>
    <row r="2648" customFormat="false" ht="35.05" hidden="false" customHeight="false" outlineLevel="0" collapsed="false">
      <c r="A2648" s="7" t="n">
        <v>2647</v>
      </c>
      <c r="B2648" s="7" t="s">
        <v>13589</v>
      </c>
      <c r="C2648" s="7" t="n">
        <v>2023</v>
      </c>
      <c r="D2648" s="7" t="s">
        <v>13590</v>
      </c>
      <c r="E2648" s="7" t="s">
        <v>579</v>
      </c>
      <c r="F2648" s="7" t="s">
        <v>13591</v>
      </c>
      <c r="G2648" s="7" t="s">
        <v>145</v>
      </c>
      <c r="H2648" s="7" t="s">
        <v>387</v>
      </c>
      <c r="I2648" s="7" t="s">
        <v>13592</v>
      </c>
      <c r="J2648" s="7" t="s">
        <v>114</v>
      </c>
      <c r="K2648" s="7" t="s">
        <v>13593</v>
      </c>
    </row>
    <row r="2649" customFormat="false" ht="68.65" hidden="false" customHeight="false" outlineLevel="0" collapsed="false">
      <c r="A2649" s="7" t="n">
        <v>2648</v>
      </c>
      <c r="B2649" s="7" t="s">
        <v>13594</v>
      </c>
      <c r="C2649" s="7" t="n">
        <v>2026</v>
      </c>
      <c r="D2649" s="7" t="s">
        <v>13595</v>
      </c>
      <c r="E2649" s="7" t="s">
        <v>13596</v>
      </c>
      <c r="F2649" s="7" t="s">
        <v>13597</v>
      </c>
      <c r="G2649" s="7" t="s">
        <v>13598</v>
      </c>
      <c r="H2649" s="7" t="s">
        <v>153</v>
      </c>
      <c r="I2649" s="7" t="s">
        <v>13599</v>
      </c>
      <c r="J2649" s="7" t="s">
        <v>110</v>
      </c>
      <c r="K2649" s="7" t="s">
        <v>13600</v>
      </c>
    </row>
    <row r="2650" customFormat="false" ht="35.05" hidden="false" customHeight="false" outlineLevel="0" collapsed="false">
      <c r="A2650" s="7" t="n">
        <v>2649</v>
      </c>
      <c r="B2650" s="7" t="s">
        <v>13601</v>
      </c>
      <c r="C2650" s="7" t="n">
        <v>2024</v>
      </c>
      <c r="D2650" s="7" t="s">
        <v>13602</v>
      </c>
      <c r="E2650" s="7" t="s">
        <v>201</v>
      </c>
      <c r="F2650" s="7" t="s">
        <v>197</v>
      </c>
      <c r="G2650" s="7" t="s">
        <v>145</v>
      </c>
      <c r="H2650" s="7" t="s">
        <v>153</v>
      </c>
      <c r="I2650" s="7" t="s">
        <v>13603</v>
      </c>
      <c r="J2650" s="7"/>
      <c r="K2650" s="7" t="s">
        <v>13604</v>
      </c>
    </row>
    <row r="2651" customFormat="false" ht="35.05" hidden="false" customHeight="false" outlineLevel="0" collapsed="false">
      <c r="A2651" s="7" t="n">
        <v>2650</v>
      </c>
      <c r="B2651" s="7" t="s">
        <v>2633</v>
      </c>
      <c r="C2651" s="7" t="n">
        <v>2024</v>
      </c>
      <c r="D2651" s="7" t="s">
        <v>13605</v>
      </c>
      <c r="E2651" s="7" t="s">
        <v>151</v>
      </c>
      <c r="F2651" s="7" t="s">
        <v>2784</v>
      </c>
      <c r="G2651" s="7" t="s">
        <v>145</v>
      </c>
      <c r="H2651" s="7" t="s">
        <v>153</v>
      </c>
      <c r="I2651" s="7" t="s">
        <v>13606</v>
      </c>
      <c r="J2651" s="7"/>
      <c r="K2651" s="7" t="s">
        <v>13607</v>
      </c>
    </row>
    <row r="2652" customFormat="false" ht="35.05" hidden="false" customHeight="false" outlineLevel="0" collapsed="false">
      <c r="A2652" s="7" t="n">
        <v>2651</v>
      </c>
      <c r="B2652" s="7" t="s">
        <v>10864</v>
      </c>
      <c r="C2652" s="7" t="n">
        <v>2024</v>
      </c>
      <c r="D2652" s="7" t="s">
        <v>13608</v>
      </c>
      <c r="E2652" s="7" t="s">
        <v>13609</v>
      </c>
      <c r="F2652" s="7" t="s">
        <v>197</v>
      </c>
      <c r="G2652" s="7" t="s">
        <v>13610</v>
      </c>
      <c r="H2652" s="7" t="s">
        <v>146</v>
      </c>
      <c r="I2652" s="7" t="s">
        <v>6377</v>
      </c>
      <c r="J2652" s="7"/>
      <c r="K2652" s="7" t="s">
        <v>13611</v>
      </c>
    </row>
    <row r="2653" customFormat="false" ht="35.05" hidden="false" customHeight="false" outlineLevel="0" collapsed="false">
      <c r="A2653" s="7" t="n">
        <v>2652</v>
      </c>
      <c r="B2653" s="7" t="s">
        <v>13612</v>
      </c>
      <c r="C2653" s="7" t="n">
        <v>2015</v>
      </c>
      <c r="D2653" s="7" t="s">
        <v>13613</v>
      </c>
      <c r="E2653" s="7" t="s">
        <v>3817</v>
      </c>
      <c r="F2653" s="7" t="s">
        <v>197</v>
      </c>
      <c r="G2653" s="7" t="s">
        <v>145</v>
      </c>
      <c r="H2653" s="7" t="s">
        <v>153</v>
      </c>
      <c r="I2653" s="7" t="s">
        <v>13614</v>
      </c>
      <c r="J2653" s="7"/>
      <c r="K2653" s="7" t="s">
        <v>13615</v>
      </c>
    </row>
    <row r="2654" customFormat="false" ht="23.85" hidden="false" customHeight="false" outlineLevel="0" collapsed="false">
      <c r="A2654" s="7" t="n">
        <v>2653</v>
      </c>
      <c r="B2654" s="7" t="s">
        <v>13616</v>
      </c>
      <c r="C2654" s="7" t="n">
        <v>2024</v>
      </c>
      <c r="D2654" s="7" t="s">
        <v>13617</v>
      </c>
      <c r="E2654" s="7" t="s">
        <v>10512</v>
      </c>
      <c r="F2654" s="7" t="s">
        <v>13618</v>
      </c>
      <c r="G2654" s="7" t="s">
        <v>145</v>
      </c>
      <c r="H2654" s="7" t="s">
        <v>153</v>
      </c>
      <c r="I2654" s="7" t="s">
        <v>13619</v>
      </c>
      <c r="J2654" s="7" t="s">
        <v>114</v>
      </c>
      <c r="K2654" s="7" t="s">
        <v>13620</v>
      </c>
    </row>
    <row r="2655" customFormat="false" ht="35.05" hidden="false" customHeight="false" outlineLevel="0" collapsed="false">
      <c r="A2655" s="7" t="n">
        <v>2654</v>
      </c>
      <c r="B2655" s="7" t="s">
        <v>13621</v>
      </c>
      <c r="C2655" s="7" t="n">
        <v>2022</v>
      </c>
      <c r="D2655" s="7" t="s">
        <v>13622</v>
      </c>
      <c r="E2655" s="7" t="s">
        <v>10512</v>
      </c>
      <c r="F2655" s="7" t="s">
        <v>13623</v>
      </c>
      <c r="G2655" s="7" t="s">
        <v>13624</v>
      </c>
      <c r="H2655" s="7" t="s">
        <v>748</v>
      </c>
      <c r="I2655" s="7" t="s">
        <v>13625</v>
      </c>
      <c r="J2655" s="7" t="s">
        <v>116</v>
      </c>
      <c r="K2655" s="7" t="s">
        <v>13626</v>
      </c>
    </row>
    <row r="2656" customFormat="false" ht="35.05" hidden="false" customHeight="false" outlineLevel="0" collapsed="false">
      <c r="A2656" s="7" t="n">
        <v>2655</v>
      </c>
      <c r="B2656" s="7" t="s">
        <v>13627</v>
      </c>
      <c r="C2656" s="7" t="n">
        <v>2024</v>
      </c>
      <c r="D2656" s="7" t="s">
        <v>13628</v>
      </c>
      <c r="E2656" s="7" t="s">
        <v>13629</v>
      </c>
      <c r="F2656" s="7" t="s">
        <v>13630</v>
      </c>
      <c r="G2656" s="7" t="s">
        <v>13631</v>
      </c>
      <c r="H2656" s="7" t="s">
        <v>153</v>
      </c>
      <c r="I2656" s="7" t="s">
        <v>13632</v>
      </c>
      <c r="J2656" s="7" t="s">
        <v>116</v>
      </c>
      <c r="K2656" s="7" t="s">
        <v>13633</v>
      </c>
    </row>
    <row r="2657" customFormat="false" ht="23.85" hidden="false" customHeight="false" outlineLevel="0" collapsed="false">
      <c r="A2657" s="7" t="n">
        <v>2656</v>
      </c>
      <c r="B2657" s="7" t="s">
        <v>13634</v>
      </c>
      <c r="C2657" s="7" t="n">
        <v>2021</v>
      </c>
      <c r="D2657" s="7" t="s">
        <v>13635</v>
      </c>
      <c r="E2657" s="7" t="s">
        <v>2868</v>
      </c>
      <c r="F2657" s="7" t="s">
        <v>3492</v>
      </c>
      <c r="G2657" s="7" t="s">
        <v>13636</v>
      </c>
      <c r="H2657" s="7" t="s">
        <v>146</v>
      </c>
      <c r="I2657" s="7" t="s">
        <v>13637</v>
      </c>
      <c r="J2657" s="7" t="s">
        <v>116</v>
      </c>
      <c r="K2657" s="7" t="s">
        <v>13638</v>
      </c>
    </row>
    <row r="2658" customFormat="false" ht="35.05" hidden="false" customHeight="false" outlineLevel="0" collapsed="false">
      <c r="A2658" s="7" t="n">
        <v>2657</v>
      </c>
      <c r="B2658" s="7" t="s">
        <v>2051</v>
      </c>
      <c r="C2658" s="7" t="n">
        <v>2022</v>
      </c>
      <c r="D2658" s="7" t="s">
        <v>13639</v>
      </c>
      <c r="E2658" s="7" t="s">
        <v>9203</v>
      </c>
      <c r="F2658" s="7" t="s">
        <v>13640</v>
      </c>
      <c r="G2658" s="7" t="s">
        <v>13641</v>
      </c>
      <c r="H2658" s="7" t="s">
        <v>748</v>
      </c>
      <c r="I2658" s="7" t="s">
        <v>13642</v>
      </c>
      <c r="J2658" s="7" t="s">
        <v>116</v>
      </c>
      <c r="K2658" s="7" t="s">
        <v>13643</v>
      </c>
    </row>
    <row r="2659" customFormat="false" ht="35.05" hidden="false" customHeight="false" outlineLevel="0" collapsed="false">
      <c r="A2659" s="7" t="n">
        <v>2658</v>
      </c>
      <c r="B2659" s="7" t="s">
        <v>13644</v>
      </c>
      <c r="C2659" s="7" t="n">
        <v>2022</v>
      </c>
      <c r="D2659" s="7" t="s">
        <v>13645</v>
      </c>
      <c r="E2659" s="7" t="s">
        <v>13646</v>
      </c>
      <c r="F2659" s="7" t="s">
        <v>13647</v>
      </c>
      <c r="G2659" s="7" t="s">
        <v>145</v>
      </c>
      <c r="H2659" s="7" t="s">
        <v>153</v>
      </c>
      <c r="I2659" s="7" t="s">
        <v>13648</v>
      </c>
      <c r="J2659" s="7" t="s">
        <v>110</v>
      </c>
      <c r="K2659" s="7" t="s">
        <v>13649</v>
      </c>
    </row>
    <row r="2660" customFormat="false" ht="35.05" hidden="false" customHeight="false" outlineLevel="0" collapsed="false">
      <c r="A2660" s="7" t="n">
        <v>2659</v>
      </c>
      <c r="B2660" s="7" t="s">
        <v>13650</v>
      </c>
      <c r="C2660" s="7" t="n">
        <v>2022</v>
      </c>
      <c r="D2660" s="7" t="s">
        <v>13651</v>
      </c>
      <c r="E2660" s="7" t="s">
        <v>579</v>
      </c>
      <c r="F2660" s="7" t="s">
        <v>1163</v>
      </c>
      <c r="G2660" s="7" t="s">
        <v>145</v>
      </c>
      <c r="H2660" s="7" t="s">
        <v>153</v>
      </c>
      <c r="I2660" s="7" t="s">
        <v>13652</v>
      </c>
      <c r="J2660" s="7" t="s">
        <v>114</v>
      </c>
      <c r="K2660" s="7" t="s">
        <v>13653</v>
      </c>
    </row>
    <row r="2661" customFormat="false" ht="35.05" hidden="false" customHeight="false" outlineLevel="0" collapsed="false">
      <c r="A2661" s="7" t="n">
        <v>2660</v>
      </c>
      <c r="B2661" s="7" t="s">
        <v>13654</v>
      </c>
      <c r="C2661" s="7" t="n">
        <v>2024</v>
      </c>
      <c r="D2661" s="7" t="s">
        <v>13655</v>
      </c>
      <c r="E2661" s="7" t="s">
        <v>13656</v>
      </c>
      <c r="F2661" s="7" t="s">
        <v>13657</v>
      </c>
      <c r="G2661" s="7" t="s">
        <v>8695</v>
      </c>
      <c r="H2661" s="7" t="s">
        <v>153</v>
      </c>
      <c r="I2661" s="7" t="s">
        <v>13658</v>
      </c>
      <c r="J2661" s="7" t="s">
        <v>114</v>
      </c>
      <c r="K2661" s="7" t="s">
        <v>13659</v>
      </c>
    </row>
    <row r="2662" customFormat="false" ht="23.85" hidden="false" customHeight="false" outlineLevel="0" collapsed="false">
      <c r="A2662" s="7" t="n">
        <v>2661</v>
      </c>
      <c r="B2662" s="7" t="s">
        <v>13660</v>
      </c>
      <c r="C2662" s="7" t="n">
        <v>2024</v>
      </c>
      <c r="D2662" s="7" t="s">
        <v>13661</v>
      </c>
      <c r="E2662" s="7" t="s">
        <v>8720</v>
      </c>
      <c r="F2662" s="7" t="s">
        <v>13662</v>
      </c>
      <c r="G2662" s="7" t="s">
        <v>145</v>
      </c>
      <c r="H2662" s="7" t="s">
        <v>153</v>
      </c>
      <c r="I2662" s="7" t="s">
        <v>13663</v>
      </c>
      <c r="J2662" s="7" t="s">
        <v>114</v>
      </c>
      <c r="K2662" s="7" t="s">
        <v>13664</v>
      </c>
    </row>
    <row r="2663" customFormat="false" ht="35.05" hidden="false" customHeight="false" outlineLevel="0" collapsed="false">
      <c r="A2663" s="7" t="n">
        <v>2662</v>
      </c>
      <c r="B2663" s="7" t="s">
        <v>13665</v>
      </c>
      <c r="C2663" s="7" t="n">
        <v>2023</v>
      </c>
      <c r="D2663" s="7" t="s">
        <v>13666</v>
      </c>
      <c r="E2663" s="7" t="s">
        <v>13667</v>
      </c>
      <c r="F2663" s="7" t="s">
        <v>13668</v>
      </c>
      <c r="G2663" s="7" t="s">
        <v>145</v>
      </c>
      <c r="H2663" s="7" t="s">
        <v>153</v>
      </c>
      <c r="I2663" s="7" t="s">
        <v>13669</v>
      </c>
      <c r="J2663" s="7" t="s">
        <v>114</v>
      </c>
      <c r="K2663" s="7" t="s">
        <v>13670</v>
      </c>
    </row>
    <row r="2664" customFormat="false" ht="35.05" hidden="false" customHeight="false" outlineLevel="0" collapsed="false">
      <c r="A2664" s="7" t="n">
        <v>2663</v>
      </c>
      <c r="B2664" s="7" t="s">
        <v>13671</v>
      </c>
      <c r="C2664" s="7" t="n">
        <v>2023</v>
      </c>
      <c r="D2664" s="7" t="s">
        <v>13672</v>
      </c>
      <c r="E2664" s="7" t="s">
        <v>13673</v>
      </c>
      <c r="F2664" s="7" t="s">
        <v>13674</v>
      </c>
      <c r="G2664" s="7" t="s">
        <v>13675</v>
      </c>
      <c r="H2664" s="7" t="s">
        <v>153</v>
      </c>
      <c r="I2664" s="7" t="s">
        <v>13676</v>
      </c>
      <c r="J2664" s="7" t="s">
        <v>114</v>
      </c>
      <c r="K2664" s="7" t="s">
        <v>13677</v>
      </c>
    </row>
    <row r="2665" customFormat="false" ht="35.05" hidden="false" customHeight="false" outlineLevel="0" collapsed="false">
      <c r="A2665" s="7" t="n">
        <v>2664</v>
      </c>
      <c r="B2665" s="7" t="s">
        <v>13678</v>
      </c>
      <c r="C2665" s="7" t="n">
        <v>2020</v>
      </c>
      <c r="D2665" s="7" t="s">
        <v>13679</v>
      </c>
      <c r="E2665" s="7" t="s">
        <v>579</v>
      </c>
      <c r="F2665" s="7" t="s">
        <v>13680</v>
      </c>
      <c r="G2665" s="7" t="s">
        <v>13681</v>
      </c>
      <c r="H2665" s="7" t="s">
        <v>387</v>
      </c>
      <c r="I2665" s="7" t="s">
        <v>13682</v>
      </c>
      <c r="J2665" s="7" t="s">
        <v>116</v>
      </c>
      <c r="K2665" s="7" t="s">
        <v>13683</v>
      </c>
    </row>
    <row r="2666" customFormat="false" ht="35.05" hidden="false" customHeight="false" outlineLevel="0" collapsed="false">
      <c r="A2666" s="7" t="n">
        <v>2665</v>
      </c>
      <c r="B2666" s="7" t="s">
        <v>13684</v>
      </c>
      <c r="C2666" s="7" t="n">
        <v>2023</v>
      </c>
      <c r="D2666" s="7" t="s">
        <v>13685</v>
      </c>
      <c r="E2666" s="7" t="s">
        <v>9203</v>
      </c>
      <c r="F2666" s="7" t="s">
        <v>13686</v>
      </c>
      <c r="G2666" s="7" t="s">
        <v>13687</v>
      </c>
      <c r="H2666" s="7" t="s">
        <v>208</v>
      </c>
      <c r="I2666" s="7" t="s">
        <v>13688</v>
      </c>
      <c r="J2666" s="7"/>
      <c r="K2666" s="7" t="s">
        <v>13689</v>
      </c>
    </row>
    <row r="2667" customFormat="false" ht="35.05" hidden="false" customHeight="false" outlineLevel="0" collapsed="false">
      <c r="A2667" s="7" t="n">
        <v>2666</v>
      </c>
      <c r="B2667" s="7" t="s">
        <v>13627</v>
      </c>
      <c r="C2667" s="7" t="n">
        <v>2024</v>
      </c>
      <c r="D2667" s="7" t="s">
        <v>13690</v>
      </c>
      <c r="E2667" s="7" t="s">
        <v>13691</v>
      </c>
      <c r="F2667" s="7" t="s">
        <v>13692</v>
      </c>
      <c r="G2667" s="7" t="s">
        <v>13693</v>
      </c>
      <c r="H2667" s="7" t="s">
        <v>153</v>
      </c>
      <c r="I2667" s="7" t="s">
        <v>13694</v>
      </c>
      <c r="J2667" s="7" t="s">
        <v>116</v>
      </c>
      <c r="K2667" s="7" t="s">
        <v>13695</v>
      </c>
    </row>
    <row r="2668" customFormat="false" ht="35.05" hidden="false" customHeight="false" outlineLevel="0" collapsed="false">
      <c r="A2668" s="7" t="n">
        <v>2667</v>
      </c>
      <c r="B2668" s="7" t="s">
        <v>13696</v>
      </c>
      <c r="C2668" s="7" t="n">
        <v>2023</v>
      </c>
      <c r="D2668" s="7" t="s">
        <v>13697</v>
      </c>
      <c r="E2668" s="7" t="s">
        <v>13698</v>
      </c>
      <c r="F2668" s="7" t="s">
        <v>13699</v>
      </c>
      <c r="G2668" s="7" t="s">
        <v>13700</v>
      </c>
      <c r="H2668" s="7" t="s">
        <v>153</v>
      </c>
      <c r="I2668" s="7" t="s">
        <v>13701</v>
      </c>
      <c r="J2668" s="7" t="s">
        <v>116</v>
      </c>
      <c r="K2668" s="7" t="s">
        <v>13702</v>
      </c>
    </row>
    <row r="2669" customFormat="false" ht="35.05" hidden="false" customHeight="false" outlineLevel="0" collapsed="false">
      <c r="A2669" s="7" t="n">
        <v>2668</v>
      </c>
      <c r="B2669" s="7" t="s">
        <v>13703</v>
      </c>
      <c r="C2669" s="7" t="n">
        <v>2024</v>
      </c>
      <c r="D2669" s="7" t="s">
        <v>13704</v>
      </c>
      <c r="E2669" s="7" t="s">
        <v>10512</v>
      </c>
      <c r="F2669" s="7" t="s">
        <v>13705</v>
      </c>
      <c r="G2669" s="7" t="s">
        <v>10916</v>
      </c>
      <c r="H2669" s="7" t="s">
        <v>146</v>
      </c>
      <c r="I2669" s="7" t="s">
        <v>13706</v>
      </c>
      <c r="J2669" s="7" t="s">
        <v>116</v>
      </c>
      <c r="K2669" s="7" t="s">
        <v>13707</v>
      </c>
    </row>
    <row r="2670" customFormat="false" ht="23.85" hidden="false" customHeight="false" outlineLevel="0" collapsed="false">
      <c r="A2670" s="7" t="n">
        <v>2669</v>
      </c>
      <c r="B2670" s="7" t="s">
        <v>1793</v>
      </c>
      <c r="C2670" s="7" t="n">
        <v>2023</v>
      </c>
      <c r="D2670" s="7" t="s">
        <v>13708</v>
      </c>
      <c r="E2670" s="7" t="s">
        <v>8720</v>
      </c>
      <c r="F2670" s="7" t="s">
        <v>13709</v>
      </c>
      <c r="G2670" s="7" t="s">
        <v>145</v>
      </c>
      <c r="H2670" s="7" t="s">
        <v>153</v>
      </c>
      <c r="I2670" s="7" t="s">
        <v>13710</v>
      </c>
      <c r="J2670" s="7" t="s">
        <v>110</v>
      </c>
      <c r="K2670" s="7" t="s">
        <v>13711</v>
      </c>
    </row>
    <row r="2671" customFormat="false" ht="23.85" hidden="false" customHeight="false" outlineLevel="0" collapsed="false">
      <c r="A2671" s="7" t="n">
        <v>2670</v>
      </c>
      <c r="B2671" s="7" t="s">
        <v>9210</v>
      </c>
      <c r="C2671" s="7" t="n">
        <v>2023</v>
      </c>
      <c r="D2671" s="7" t="s">
        <v>13712</v>
      </c>
      <c r="E2671" s="7" t="s">
        <v>579</v>
      </c>
      <c r="F2671" s="7" t="s">
        <v>13713</v>
      </c>
      <c r="G2671" s="7" t="s">
        <v>145</v>
      </c>
      <c r="H2671" s="7" t="s">
        <v>153</v>
      </c>
      <c r="I2671" s="7" t="s">
        <v>13714</v>
      </c>
      <c r="J2671" s="7" t="s">
        <v>110</v>
      </c>
      <c r="K2671" s="7" t="s">
        <v>13715</v>
      </c>
    </row>
    <row r="2672" customFormat="false" ht="35.05" hidden="false" customHeight="false" outlineLevel="0" collapsed="false">
      <c r="A2672" s="7" t="n">
        <v>2671</v>
      </c>
      <c r="B2672" s="7" t="s">
        <v>13716</v>
      </c>
      <c r="C2672" s="7" t="n">
        <v>2024</v>
      </c>
      <c r="D2672" s="7" t="s">
        <v>13717</v>
      </c>
      <c r="E2672" s="7" t="s">
        <v>579</v>
      </c>
      <c r="F2672" s="7" t="s">
        <v>13718</v>
      </c>
      <c r="G2672" s="7" t="s">
        <v>13719</v>
      </c>
      <c r="H2672" s="7" t="s">
        <v>146</v>
      </c>
      <c r="I2672" s="7" t="s">
        <v>13720</v>
      </c>
      <c r="J2672" s="7" t="s">
        <v>112</v>
      </c>
      <c r="K2672" s="7" t="s">
        <v>13721</v>
      </c>
    </row>
    <row r="2673" customFormat="false" ht="35.05" hidden="false" customHeight="false" outlineLevel="0" collapsed="false">
      <c r="A2673" s="7" t="n">
        <v>2672</v>
      </c>
      <c r="B2673" s="7" t="s">
        <v>13722</v>
      </c>
      <c r="C2673" s="7" t="n">
        <v>2024</v>
      </c>
      <c r="D2673" s="7" t="s">
        <v>13723</v>
      </c>
      <c r="E2673" s="7" t="s">
        <v>13724</v>
      </c>
      <c r="F2673" s="7" t="s">
        <v>13725</v>
      </c>
      <c r="G2673" s="7" t="s">
        <v>4711</v>
      </c>
      <c r="H2673" s="7" t="s">
        <v>748</v>
      </c>
      <c r="I2673" s="7" t="s">
        <v>13726</v>
      </c>
      <c r="J2673" s="7" t="s">
        <v>112</v>
      </c>
      <c r="K2673" s="7" t="s">
        <v>13727</v>
      </c>
    </row>
    <row r="2674" customFormat="false" ht="35.05" hidden="false" customHeight="false" outlineLevel="0" collapsed="false">
      <c r="A2674" s="7" t="n">
        <v>2673</v>
      </c>
      <c r="B2674" s="7" t="s">
        <v>10715</v>
      </c>
      <c r="C2674" s="7" t="n">
        <v>2024</v>
      </c>
      <c r="D2674" s="7" t="s">
        <v>13728</v>
      </c>
      <c r="E2674" s="7" t="s">
        <v>13729</v>
      </c>
      <c r="F2674" s="7" t="s">
        <v>13730</v>
      </c>
      <c r="G2674" s="7" t="s">
        <v>1213</v>
      </c>
      <c r="H2674" s="7" t="s">
        <v>146</v>
      </c>
      <c r="I2674" s="7" t="s">
        <v>13731</v>
      </c>
      <c r="J2674" s="7" t="s">
        <v>112</v>
      </c>
      <c r="K2674" s="7" t="s">
        <v>13732</v>
      </c>
    </row>
    <row r="2675" customFormat="false" ht="35.05" hidden="false" customHeight="false" outlineLevel="0" collapsed="false">
      <c r="A2675" s="7" t="n">
        <v>2674</v>
      </c>
      <c r="B2675" s="7" t="s">
        <v>1399</v>
      </c>
      <c r="C2675" s="7" t="n">
        <v>2024</v>
      </c>
      <c r="D2675" s="7" t="s">
        <v>13733</v>
      </c>
      <c r="E2675" s="7" t="s">
        <v>13734</v>
      </c>
      <c r="F2675" s="7" t="s">
        <v>1403</v>
      </c>
      <c r="G2675" s="7" t="s">
        <v>145</v>
      </c>
      <c r="H2675" s="7" t="s">
        <v>153</v>
      </c>
      <c r="I2675" s="7" t="s">
        <v>13735</v>
      </c>
      <c r="J2675" s="7" t="s">
        <v>110</v>
      </c>
      <c r="K2675" s="7" t="s">
        <v>13736</v>
      </c>
    </row>
    <row r="2676" customFormat="false" ht="35.05" hidden="false" customHeight="false" outlineLevel="0" collapsed="false">
      <c r="A2676" s="7" t="n">
        <v>2675</v>
      </c>
      <c r="B2676" s="7" t="s">
        <v>13737</v>
      </c>
      <c r="C2676" s="7" t="n">
        <v>2024</v>
      </c>
      <c r="D2676" s="7" t="s">
        <v>13738</v>
      </c>
      <c r="E2676" s="7" t="s">
        <v>10652</v>
      </c>
      <c r="F2676" s="7" t="s">
        <v>13739</v>
      </c>
      <c r="G2676" s="7" t="s">
        <v>13740</v>
      </c>
      <c r="H2676" s="7" t="s">
        <v>387</v>
      </c>
      <c r="I2676" s="7" t="s">
        <v>13741</v>
      </c>
      <c r="J2676" s="7" t="s">
        <v>116</v>
      </c>
      <c r="K2676" s="7" t="s">
        <v>13742</v>
      </c>
    </row>
    <row r="2677" customFormat="false" ht="35.05" hidden="false" customHeight="false" outlineLevel="0" collapsed="false">
      <c r="A2677" s="7" t="n">
        <v>2676</v>
      </c>
      <c r="B2677" s="7" t="s">
        <v>13743</v>
      </c>
      <c r="C2677" s="7" t="n">
        <v>2020</v>
      </c>
      <c r="D2677" s="7" t="s">
        <v>13744</v>
      </c>
      <c r="E2677" s="7" t="s">
        <v>9203</v>
      </c>
      <c r="F2677" s="7" t="s">
        <v>13745</v>
      </c>
      <c r="G2677" s="7" t="s">
        <v>327</v>
      </c>
      <c r="H2677" s="7" t="s">
        <v>153</v>
      </c>
      <c r="I2677" s="7" t="s">
        <v>13746</v>
      </c>
      <c r="J2677" s="7"/>
      <c r="K2677" s="7" t="s">
        <v>13747</v>
      </c>
    </row>
    <row r="2678" customFormat="false" ht="23.85" hidden="false" customHeight="false" outlineLevel="0" collapsed="false">
      <c r="A2678" s="7" t="n">
        <v>2677</v>
      </c>
      <c r="B2678" s="7" t="s">
        <v>13748</v>
      </c>
      <c r="C2678" s="7" t="n">
        <v>2024</v>
      </c>
      <c r="D2678" s="7" t="s">
        <v>13749</v>
      </c>
      <c r="E2678" s="7" t="s">
        <v>10512</v>
      </c>
      <c r="F2678" s="7" t="s">
        <v>13750</v>
      </c>
      <c r="G2678" s="7" t="s">
        <v>13751</v>
      </c>
      <c r="H2678" s="7" t="s">
        <v>153</v>
      </c>
      <c r="I2678" s="7" t="s">
        <v>13752</v>
      </c>
      <c r="J2678" s="7" t="s">
        <v>114</v>
      </c>
      <c r="K2678" s="7" t="s">
        <v>13753</v>
      </c>
    </row>
    <row r="2679" customFormat="false" ht="35.05" hidden="false" customHeight="false" outlineLevel="0" collapsed="false">
      <c r="A2679" s="7" t="n">
        <v>2678</v>
      </c>
      <c r="B2679" s="7" t="s">
        <v>13754</v>
      </c>
      <c r="C2679" s="7" t="n">
        <v>2024</v>
      </c>
      <c r="D2679" s="7" t="s">
        <v>13755</v>
      </c>
      <c r="E2679" s="7" t="s">
        <v>10652</v>
      </c>
      <c r="F2679" s="7" t="s">
        <v>13756</v>
      </c>
      <c r="G2679" s="7" t="s">
        <v>13757</v>
      </c>
      <c r="H2679" s="7" t="s">
        <v>153</v>
      </c>
      <c r="I2679" s="7" t="s">
        <v>13758</v>
      </c>
      <c r="J2679" s="7" t="s">
        <v>114</v>
      </c>
      <c r="K2679" s="7" t="s">
        <v>13759</v>
      </c>
    </row>
    <row r="2680" customFormat="false" ht="35.05" hidden="false" customHeight="false" outlineLevel="0" collapsed="false">
      <c r="A2680" s="7" t="n">
        <v>2679</v>
      </c>
      <c r="B2680" s="7" t="s">
        <v>13760</v>
      </c>
      <c r="C2680" s="7" t="n">
        <v>2024</v>
      </c>
      <c r="D2680" s="7" t="s">
        <v>13761</v>
      </c>
      <c r="E2680" s="7" t="s">
        <v>13762</v>
      </c>
      <c r="F2680" s="7" t="s">
        <v>13763</v>
      </c>
      <c r="G2680" s="7" t="s">
        <v>4331</v>
      </c>
      <c r="H2680" s="7" t="s">
        <v>387</v>
      </c>
      <c r="I2680" s="7" t="s">
        <v>13764</v>
      </c>
      <c r="J2680" s="7" t="s">
        <v>114</v>
      </c>
      <c r="K2680" s="7" t="s">
        <v>13765</v>
      </c>
    </row>
    <row r="2681" customFormat="false" ht="23.85" hidden="false" customHeight="false" outlineLevel="0" collapsed="false">
      <c r="A2681" s="7" t="n">
        <v>2680</v>
      </c>
      <c r="B2681" s="7" t="s">
        <v>8010</v>
      </c>
      <c r="C2681" s="7" t="n">
        <v>2024</v>
      </c>
      <c r="D2681" s="7" t="s">
        <v>13766</v>
      </c>
      <c r="E2681" s="7" t="s">
        <v>10512</v>
      </c>
      <c r="F2681" s="7" t="s">
        <v>13767</v>
      </c>
      <c r="G2681" s="7" t="s">
        <v>13768</v>
      </c>
      <c r="H2681" s="7" t="s">
        <v>153</v>
      </c>
      <c r="I2681" s="7" t="s">
        <v>13769</v>
      </c>
      <c r="J2681" s="7" t="s">
        <v>114</v>
      </c>
      <c r="K2681" s="7" t="s">
        <v>13770</v>
      </c>
    </row>
    <row r="2682" customFormat="false" ht="23.85" hidden="false" customHeight="false" outlineLevel="0" collapsed="false">
      <c r="A2682" s="7" t="n">
        <v>2681</v>
      </c>
      <c r="B2682" s="7" t="s">
        <v>13771</v>
      </c>
      <c r="C2682" s="7" t="n">
        <v>2024</v>
      </c>
      <c r="D2682" s="7" t="s">
        <v>13772</v>
      </c>
      <c r="E2682" s="7" t="s">
        <v>13773</v>
      </c>
      <c r="F2682" s="7" t="s">
        <v>13774</v>
      </c>
      <c r="G2682" s="7" t="s">
        <v>826</v>
      </c>
      <c r="H2682" s="7" t="s">
        <v>146</v>
      </c>
      <c r="I2682" s="7" t="s">
        <v>13775</v>
      </c>
      <c r="J2682" s="7" t="s">
        <v>114</v>
      </c>
      <c r="K2682" s="7" t="s">
        <v>13776</v>
      </c>
    </row>
    <row r="2683" customFormat="false" ht="35.05" hidden="false" customHeight="false" outlineLevel="0" collapsed="false">
      <c r="A2683" s="7" t="n">
        <v>2682</v>
      </c>
      <c r="B2683" s="7" t="s">
        <v>13777</v>
      </c>
      <c r="C2683" s="7" t="n">
        <v>2024</v>
      </c>
      <c r="D2683" s="7" t="s">
        <v>13778</v>
      </c>
      <c r="E2683" s="7" t="s">
        <v>13779</v>
      </c>
      <c r="F2683" s="7" t="s">
        <v>13780</v>
      </c>
      <c r="G2683" s="7" t="s">
        <v>1904</v>
      </c>
      <c r="H2683" s="7" t="s">
        <v>146</v>
      </c>
      <c r="I2683" s="7" t="s">
        <v>13781</v>
      </c>
      <c r="J2683" s="7" t="s">
        <v>116</v>
      </c>
      <c r="K2683" s="7" t="s">
        <v>13782</v>
      </c>
    </row>
    <row r="2684" customFormat="false" ht="35.05" hidden="false" customHeight="false" outlineLevel="0" collapsed="false">
      <c r="A2684" s="7" t="n">
        <v>2683</v>
      </c>
      <c r="B2684" s="7" t="s">
        <v>2288</v>
      </c>
      <c r="C2684" s="7" t="n">
        <v>2022</v>
      </c>
      <c r="D2684" s="7" t="s">
        <v>13783</v>
      </c>
      <c r="E2684" s="7" t="s">
        <v>13784</v>
      </c>
      <c r="F2684" s="7" t="s">
        <v>13785</v>
      </c>
      <c r="G2684" s="7" t="s">
        <v>1020</v>
      </c>
      <c r="H2684" s="7" t="s">
        <v>146</v>
      </c>
      <c r="I2684" s="7" t="s">
        <v>13786</v>
      </c>
      <c r="J2684" s="7" t="s">
        <v>116</v>
      </c>
      <c r="K2684" s="7" t="s">
        <v>13787</v>
      </c>
    </row>
    <row r="2685" customFormat="false" ht="35.05" hidden="false" customHeight="false" outlineLevel="0" collapsed="false">
      <c r="A2685" s="7" t="n">
        <v>2684</v>
      </c>
      <c r="B2685" s="7" t="s">
        <v>13788</v>
      </c>
      <c r="C2685" s="7" t="n">
        <v>2023</v>
      </c>
      <c r="D2685" s="7" t="s">
        <v>13789</v>
      </c>
      <c r="E2685" s="7" t="s">
        <v>13790</v>
      </c>
      <c r="F2685" s="7" t="s">
        <v>13791</v>
      </c>
      <c r="G2685" s="7" t="s">
        <v>10988</v>
      </c>
      <c r="H2685" s="7" t="s">
        <v>146</v>
      </c>
      <c r="I2685" s="7" t="s">
        <v>13792</v>
      </c>
      <c r="J2685" s="7" t="s">
        <v>116</v>
      </c>
      <c r="K2685" s="7" t="s">
        <v>13793</v>
      </c>
    </row>
    <row r="2686" customFormat="false" ht="35.05" hidden="false" customHeight="false" outlineLevel="0" collapsed="false">
      <c r="A2686" s="7" t="n">
        <v>2685</v>
      </c>
      <c r="B2686" s="7" t="s">
        <v>13794</v>
      </c>
      <c r="C2686" s="7" t="n">
        <v>2024</v>
      </c>
      <c r="D2686" s="7" t="s">
        <v>13795</v>
      </c>
      <c r="E2686" s="7" t="s">
        <v>13796</v>
      </c>
      <c r="F2686" s="7" t="s">
        <v>13797</v>
      </c>
      <c r="G2686" s="7" t="s">
        <v>13798</v>
      </c>
      <c r="H2686" s="7" t="s">
        <v>153</v>
      </c>
      <c r="I2686" s="7" t="s">
        <v>13799</v>
      </c>
      <c r="J2686" s="7" t="s">
        <v>114</v>
      </c>
      <c r="K2686" s="7" t="s">
        <v>13800</v>
      </c>
    </row>
    <row r="2687" customFormat="false" ht="23.85" hidden="false" customHeight="false" outlineLevel="0" collapsed="false">
      <c r="A2687" s="7" t="n">
        <v>2686</v>
      </c>
      <c r="B2687" s="7" t="s">
        <v>13801</v>
      </c>
      <c r="C2687" s="7" t="n">
        <v>2025</v>
      </c>
      <c r="D2687" s="7" t="s">
        <v>13802</v>
      </c>
      <c r="E2687" s="7" t="s">
        <v>8084</v>
      </c>
      <c r="F2687" s="7" t="s">
        <v>13803</v>
      </c>
      <c r="G2687" s="7" t="s">
        <v>145</v>
      </c>
      <c r="H2687" s="7" t="s">
        <v>153</v>
      </c>
      <c r="I2687" s="7" t="s">
        <v>13804</v>
      </c>
      <c r="J2687" s="7"/>
      <c r="K2687" s="7" t="s">
        <v>13805</v>
      </c>
    </row>
    <row r="2688" customFormat="false" ht="35.05" hidden="false" customHeight="false" outlineLevel="0" collapsed="false">
      <c r="A2688" s="7" t="n">
        <v>2687</v>
      </c>
      <c r="B2688" s="7" t="s">
        <v>13806</v>
      </c>
      <c r="C2688" s="7" t="n">
        <v>2023</v>
      </c>
      <c r="D2688" s="7" t="s">
        <v>13807</v>
      </c>
      <c r="E2688" s="7" t="s">
        <v>13808</v>
      </c>
      <c r="F2688" s="7" t="s">
        <v>13809</v>
      </c>
      <c r="G2688" s="7" t="s">
        <v>5510</v>
      </c>
      <c r="H2688" s="7" t="s">
        <v>748</v>
      </c>
      <c r="I2688" s="7" t="s">
        <v>13642</v>
      </c>
      <c r="J2688" s="7" t="s">
        <v>116</v>
      </c>
      <c r="K2688" s="7" t="s">
        <v>13810</v>
      </c>
    </row>
    <row r="2689" customFormat="false" ht="35.05" hidden="false" customHeight="false" outlineLevel="0" collapsed="false">
      <c r="A2689" s="7" t="n">
        <v>2688</v>
      </c>
      <c r="B2689" s="7" t="s">
        <v>3177</v>
      </c>
      <c r="C2689" s="7" t="n">
        <v>2024</v>
      </c>
      <c r="D2689" s="7" t="s">
        <v>13811</v>
      </c>
      <c r="E2689" s="7" t="s">
        <v>13812</v>
      </c>
      <c r="F2689" s="7" t="s">
        <v>13813</v>
      </c>
      <c r="G2689" s="7" t="s">
        <v>13814</v>
      </c>
      <c r="H2689" s="7" t="s">
        <v>208</v>
      </c>
      <c r="I2689" s="7" t="s">
        <v>13815</v>
      </c>
      <c r="J2689" s="7" t="s">
        <v>116</v>
      </c>
      <c r="K2689" s="7" t="s">
        <v>13816</v>
      </c>
    </row>
    <row r="2690" customFormat="false" ht="35.05" hidden="false" customHeight="false" outlineLevel="0" collapsed="false">
      <c r="A2690" s="7" t="n">
        <v>2689</v>
      </c>
      <c r="B2690" s="7" t="s">
        <v>13817</v>
      </c>
      <c r="C2690" s="7" t="n">
        <v>2025</v>
      </c>
      <c r="D2690" s="7" t="s">
        <v>13818</v>
      </c>
      <c r="E2690" s="7" t="s">
        <v>13819</v>
      </c>
      <c r="F2690" s="7" t="s">
        <v>13820</v>
      </c>
      <c r="G2690" s="7" t="s">
        <v>13821</v>
      </c>
      <c r="H2690" s="7" t="s">
        <v>146</v>
      </c>
      <c r="I2690" s="7" t="s">
        <v>13822</v>
      </c>
      <c r="J2690" s="7" t="s">
        <v>116</v>
      </c>
      <c r="K2690" s="7" t="s">
        <v>13823</v>
      </c>
    </row>
    <row r="2691" customFormat="false" ht="35.05" hidden="false" customHeight="false" outlineLevel="0" collapsed="false">
      <c r="A2691" s="7" t="n">
        <v>2690</v>
      </c>
      <c r="B2691" s="7" t="s">
        <v>13824</v>
      </c>
      <c r="C2691" s="7" t="n">
        <v>2024</v>
      </c>
      <c r="D2691" s="7" t="s">
        <v>13825</v>
      </c>
      <c r="E2691" s="7" t="s">
        <v>13826</v>
      </c>
      <c r="F2691" s="7" t="s">
        <v>13827</v>
      </c>
      <c r="G2691" s="7" t="s">
        <v>8743</v>
      </c>
      <c r="H2691" s="7" t="s">
        <v>146</v>
      </c>
      <c r="I2691" s="7" t="s">
        <v>13828</v>
      </c>
      <c r="J2691" s="7" t="s">
        <v>112</v>
      </c>
      <c r="K2691" s="7" t="s">
        <v>13829</v>
      </c>
    </row>
    <row r="2692" customFormat="false" ht="35.05" hidden="false" customHeight="false" outlineLevel="0" collapsed="false">
      <c r="A2692" s="7" t="n">
        <v>2691</v>
      </c>
      <c r="B2692" s="7" t="s">
        <v>13830</v>
      </c>
      <c r="C2692" s="7" t="n">
        <v>2024</v>
      </c>
      <c r="D2692" s="7" t="s">
        <v>13831</v>
      </c>
      <c r="E2692" s="7" t="s">
        <v>13832</v>
      </c>
      <c r="F2692" s="7" t="s">
        <v>13833</v>
      </c>
      <c r="G2692" s="7" t="s">
        <v>13834</v>
      </c>
      <c r="H2692" s="7" t="s">
        <v>146</v>
      </c>
      <c r="I2692" s="7" t="s">
        <v>13835</v>
      </c>
      <c r="J2692" s="7" t="s">
        <v>116</v>
      </c>
      <c r="K2692" s="7" t="s">
        <v>13836</v>
      </c>
    </row>
    <row r="2693" customFormat="false" ht="35.05" hidden="false" customHeight="false" outlineLevel="0" collapsed="false">
      <c r="A2693" s="7" t="n">
        <v>2692</v>
      </c>
      <c r="B2693" s="7" t="s">
        <v>2938</v>
      </c>
      <c r="C2693" s="7" t="n">
        <v>2023</v>
      </c>
      <c r="D2693" s="7" t="s">
        <v>13837</v>
      </c>
      <c r="E2693" s="7" t="s">
        <v>13838</v>
      </c>
      <c r="F2693" s="7" t="s">
        <v>13839</v>
      </c>
      <c r="G2693" s="7" t="s">
        <v>13840</v>
      </c>
      <c r="H2693" s="7" t="s">
        <v>153</v>
      </c>
      <c r="I2693" s="7" t="s">
        <v>13841</v>
      </c>
      <c r="J2693" s="7" t="s">
        <v>114</v>
      </c>
      <c r="K2693" s="7" t="s">
        <v>13842</v>
      </c>
    </row>
    <row r="2694" customFormat="false" ht="35.05" hidden="false" customHeight="false" outlineLevel="0" collapsed="false">
      <c r="A2694" s="7" t="n">
        <v>2693</v>
      </c>
      <c r="B2694" s="7" t="s">
        <v>13843</v>
      </c>
      <c r="C2694" s="7" t="n">
        <v>2021</v>
      </c>
      <c r="D2694" s="7" t="s">
        <v>13844</v>
      </c>
      <c r="E2694" s="7" t="s">
        <v>10512</v>
      </c>
      <c r="F2694" s="7" t="s">
        <v>13845</v>
      </c>
      <c r="G2694" s="7" t="s">
        <v>13846</v>
      </c>
      <c r="H2694" s="7" t="s">
        <v>208</v>
      </c>
      <c r="I2694" s="7" t="s">
        <v>13847</v>
      </c>
      <c r="J2694" s="7" t="s">
        <v>116</v>
      </c>
      <c r="K2694" s="7" t="s">
        <v>13848</v>
      </c>
    </row>
    <row r="2695" customFormat="false" ht="35.05" hidden="false" customHeight="false" outlineLevel="0" collapsed="false">
      <c r="A2695" s="7" t="n">
        <v>2694</v>
      </c>
      <c r="B2695" s="7" t="s">
        <v>13849</v>
      </c>
      <c r="C2695" s="7" t="n">
        <v>2023</v>
      </c>
      <c r="D2695" s="7" t="s">
        <v>13850</v>
      </c>
      <c r="E2695" s="7" t="s">
        <v>10512</v>
      </c>
      <c r="F2695" s="7" t="s">
        <v>13851</v>
      </c>
      <c r="G2695" s="7" t="s">
        <v>13852</v>
      </c>
      <c r="H2695" s="7" t="s">
        <v>146</v>
      </c>
      <c r="I2695" s="7" t="s">
        <v>13853</v>
      </c>
      <c r="J2695" s="7" t="s">
        <v>112</v>
      </c>
      <c r="K2695" s="7" t="s">
        <v>13854</v>
      </c>
    </row>
    <row r="2696" customFormat="false" ht="35.05" hidden="false" customHeight="false" outlineLevel="0" collapsed="false">
      <c r="A2696" s="7" t="n">
        <v>2695</v>
      </c>
      <c r="B2696" s="7" t="s">
        <v>13855</v>
      </c>
      <c r="C2696" s="7" t="n">
        <v>2025</v>
      </c>
      <c r="D2696" s="7" t="s">
        <v>13856</v>
      </c>
      <c r="E2696" s="7" t="s">
        <v>13857</v>
      </c>
      <c r="F2696" s="7" t="s">
        <v>13858</v>
      </c>
      <c r="G2696" s="7" t="s">
        <v>13859</v>
      </c>
      <c r="H2696" s="7" t="s">
        <v>146</v>
      </c>
      <c r="I2696" s="7" t="s">
        <v>13860</v>
      </c>
      <c r="J2696" s="7" t="s">
        <v>116</v>
      </c>
      <c r="K2696" s="7" t="s">
        <v>13861</v>
      </c>
    </row>
    <row r="2697" customFormat="false" ht="23.85" hidden="false" customHeight="false" outlineLevel="0" collapsed="false">
      <c r="A2697" s="7" t="n">
        <v>2696</v>
      </c>
      <c r="B2697" s="7" t="s">
        <v>5984</v>
      </c>
      <c r="C2697" s="7" t="n">
        <v>2018</v>
      </c>
      <c r="D2697" s="7" t="s">
        <v>13862</v>
      </c>
      <c r="E2697" s="7" t="s">
        <v>13667</v>
      </c>
      <c r="F2697" s="7" t="s">
        <v>13863</v>
      </c>
      <c r="G2697" s="7" t="s">
        <v>145</v>
      </c>
      <c r="H2697" s="7" t="s">
        <v>153</v>
      </c>
      <c r="I2697" s="7" t="s">
        <v>13864</v>
      </c>
      <c r="J2697" s="7" t="s">
        <v>114</v>
      </c>
      <c r="K2697" s="7" t="s">
        <v>13865</v>
      </c>
    </row>
    <row r="2698" customFormat="false" ht="35.05" hidden="false" customHeight="false" outlineLevel="0" collapsed="false">
      <c r="A2698" s="7" t="n">
        <v>2697</v>
      </c>
      <c r="B2698" s="7" t="s">
        <v>13866</v>
      </c>
      <c r="C2698" s="7" t="n">
        <v>2022</v>
      </c>
      <c r="D2698" s="7" t="s">
        <v>13867</v>
      </c>
      <c r="E2698" s="7" t="s">
        <v>579</v>
      </c>
      <c r="F2698" s="7" t="s">
        <v>13868</v>
      </c>
      <c r="G2698" s="7" t="s">
        <v>13869</v>
      </c>
      <c r="H2698" s="7" t="s">
        <v>387</v>
      </c>
      <c r="I2698" s="7" t="s">
        <v>13870</v>
      </c>
      <c r="J2698" s="7" t="s">
        <v>116</v>
      </c>
      <c r="K2698" s="7" t="s">
        <v>13871</v>
      </c>
    </row>
    <row r="2699" customFormat="false" ht="35.05" hidden="false" customHeight="false" outlineLevel="0" collapsed="false">
      <c r="A2699" s="7" t="n">
        <v>2698</v>
      </c>
      <c r="B2699" s="7" t="s">
        <v>2710</v>
      </c>
      <c r="C2699" s="7" t="n">
        <v>2023</v>
      </c>
      <c r="D2699" s="7" t="s">
        <v>13872</v>
      </c>
      <c r="E2699" s="7" t="s">
        <v>13873</v>
      </c>
      <c r="F2699" s="7" t="s">
        <v>13874</v>
      </c>
      <c r="G2699" s="7" t="s">
        <v>145</v>
      </c>
      <c r="H2699" s="7" t="s">
        <v>153</v>
      </c>
      <c r="I2699" s="7" t="s">
        <v>13875</v>
      </c>
      <c r="J2699" s="7" t="s">
        <v>110</v>
      </c>
      <c r="K2699" s="7" t="s">
        <v>13876</v>
      </c>
    </row>
    <row r="2700" customFormat="false" ht="23.85" hidden="false" customHeight="false" outlineLevel="0" collapsed="false">
      <c r="A2700" s="7" t="n">
        <v>2699</v>
      </c>
      <c r="B2700" s="7" t="s">
        <v>13877</v>
      </c>
      <c r="C2700" s="7" t="n">
        <v>2023</v>
      </c>
      <c r="D2700" s="7" t="s">
        <v>13878</v>
      </c>
      <c r="E2700" s="7" t="s">
        <v>13879</v>
      </c>
      <c r="F2700" s="7" t="s">
        <v>13880</v>
      </c>
      <c r="G2700" s="7" t="s">
        <v>145</v>
      </c>
      <c r="H2700" s="7" t="s">
        <v>153</v>
      </c>
      <c r="I2700" s="7" t="s">
        <v>13881</v>
      </c>
      <c r="J2700" s="7" t="s">
        <v>110</v>
      </c>
      <c r="K2700" s="7" t="s">
        <v>13882</v>
      </c>
    </row>
    <row r="2701" customFormat="false" ht="35.05" hidden="false" customHeight="false" outlineLevel="0" collapsed="false">
      <c r="A2701" s="7" t="n">
        <v>2700</v>
      </c>
      <c r="B2701" s="7" t="s">
        <v>13883</v>
      </c>
      <c r="C2701" s="7" t="n">
        <v>2022</v>
      </c>
      <c r="D2701" s="7" t="s">
        <v>13884</v>
      </c>
      <c r="E2701" s="7" t="s">
        <v>1494</v>
      </c>
      <c r="F2701" s="7" t="s">
        <v>13885</v>
      </c>
      <c r="G2701" s="7" t="s">
        <v>145</v>
      </c>
      <c r="H2701" s="7" t="s">
        <v>153</v>
      </c>
      <c r="I2701" s="7" t="s">
        <v>13886</v>
      </c>
      <c r="J2701" s="7" t="s">
        <v>114</v>
      </c>
      <c r="K2701" s="7" t="s">
        <v>13887</v>
      </c>
    </row>
    <row r="2702" customFormat="false" ht="35.05" hidden="false" customHeight="false" outlineLevel="0" collapsed="false">
      <c r="A2702" s="7" t="n">
        <v>2701</v>
      </c>
      <c r="B2702" s="7" t="s">
        <v>2658</v>
      </c>
      <c r="C2702" s="7" t="n">
        <v>2022</v>
      </c>
      <c r="D2702" s="7" t="s">
        <v>13888</v>
      </c>
      <c r="E2702" s="7" t="s">
        <v>151</v>
      </c>
      <c r="F2702" s="7" t="s">
        <v>13889</v>
      </c>
      <c r="G2702" s="7" t="s">
        <v>145</v>
      </c>
      <c r="H2702" s="7" t="s">
        <v>153</v>
      </c>
      <c r="I2702" s="7" t="s">
        <v>13890</v>
      </c>
      <c r="J2702" s="7" t="s">
        <v>116</v>
      </c>
      <c r="K2702" s="7" t="s">
        <v>13891</v>
      </c>
    </row>
    <row r="2703" customFormat="false" ht="35.05" hidden="false" customHeight="false" outlineLevel="0" collapsed="false">
      <c r="A2703" s="7" t="n">
        <v>2702</v>
      </c>
      <c r="B2703" s="7" t="s">
        <v>1793</v>
      </c>
      <c r="C2703" s="7" t="n">
        <v>2023</v>
      </c>
      <c r="D2703" s="7" t="s">
        <v>13892</v>
      </c>
      <c r="E2703" s="7" t="s">
        <v>8720</v>
      </c>
      <c r="F2703" s="7" t="s">
        <v>1393</v>
      </c>
      <c r="G2703" s="7" t="s">
        <v>145</v>
      </c>
      <c r="H2703" s="7" t="s">
        <v>153</v>
      </c>
      <c r="I2703" s="7" t="s">
        <v>13893</v>
      </c>
      <c r="J2703" s="7" t="s">
        <v>110</v>
      </c>
      <c r="K2703" s="7" t="s">
        <v>13894</v>
      </c>
    </row>
    <row r="2704" customFormat="false" ht="35.05" hidden="false" customHeight="false" outlineLevel="0" collapsed="false">
      <c r="A2704" s="7" t="n">
        <v>2703</v>
      </c>
      <c r="B2704" s="7" t="s">
        <v>13895</v>
      </c>
      <c r="C2704" s="7" t="n">
        <v>2023</v>
      </c>
      <c r="D2704" s="7" t="s">
        <v>13896</v>
      </c>
      <c r="E2704" s="7" t="s">
        <v>13897</v>
      </c>
      <c r="F2704" s="7" t="s">
        <v>13898</v>
      </c>
      <c r="G2704" s="7" t="s">
        <v>145</v>
      </c>
      <c r="H2704" s="7" t="s">
        <v>153</v>
      </c>
      <c r="I2704" s="7" t="s">
        <v>13899</v>
      </c>
      <c r="J2704" s="7" t="s">
        <v>114</v>
      </c>
      <c r="K2704" s="7" t="s">
        <v>13900</v>
      </c>
    </row>
    <row r="2705" customFormat="false" ht="35.05" hidden="false" customHeight="false" outlineLevel="0" collapsed="false">
      <c r="A2705" s="7" t="n">
        <v>2704</v>
      </c>
      <c r="B2705" s="7" t="s">
        <v>6023</v>
      </c>
      <c r="C2705" s="7" t="n">
        <v>2020</v>
      </c>
      <c r="D2705" s="7" t="s">
        <v>13901</v>
      </c>
      <c r="E2705" s="7" t="s">
        <v>13902</v>
      </c>
      <c r="F2705" s="7" t="s">
        <v>13903</v>
      </c>
      <c r="G2705" s="7" t="s">
        <v>145</v>
      </c>
      <c r="H2705" s="7" t="s">
        <v>153</v>
      </c>
      <c r="I2705" s="7" t="s">
        <v>13904</v>
      </c>
      <c r="J2705" s="7" t="s">
        <v>114</v>
      </c>
      <c r="K2705" s="7" t="s">
        <v>13905</v>
      </c>
    </row>
    <row r="2706" customFormat="false" ht="35.05" hidden="false" customHeight="false" outlineLevel="0" collapsed="false">
      <c r="A2706" s="7" t="n">
        <v>2705</v>
      </c>
      <c r="B2706" s="7" t="s">
        <v>13906</v>
      </c>
      <c r="C2706" s="7" t="n">
        <v>2022</v>
      </c>
      <c r="D2706" s="7" t="s">
        <v>13907</v>
      </c>
      <c r="E2706" s="7" t="s">
        <v>13908</v>
      </c>
      <c r="F2706" s="7" t="s">
        <v>13909</v>
      </c>
      <c r="G2706" s="7" t="s">
        <v>145</v>
      </c>
      <c r="H2706" s="7" t="s">
        <v>153</v>
      </c>
      <c r="I2706" s="7" t="s">
        <v>13910</v>
      </c>
      <c r="J2706" s="7" t="s">
        <v>114</v>
      </c>
      <c r="K2706" s="7" t="s">
        <v>13911</v>
      </c>
    </row>
    <row r="2707" customFormat="false" ht="35.05" hidden="false" customHeight="false" outlineLevel="0" collapsed="false">
      <c r="A2707" s="7" t="n">
        <v>2706</v>
      </c>
      <c r="B2707" s="7" t="s">
        <v>2151</v>
      </c>
      <c r="C2707" s="7" t="n">
        <v>2022</v>
      </c>
      <c r="D2707" s="7" t="s">
        <v>13912</v>
      </c>
      <c r="E2707" s="7" t="s">
        <v>151</v>
      </c>
      <c r="F2707" s="7" t="s">
        <v>13913</v>
      </c>
      <c r="G2707" s="7" t="s">
        <v>145</v>
      </c>
      <c r="H2707" s="7" t="s">
        <v>153</v>
      </c>
      <c r="I2707" s="7" t="s">
        <v>1346</v>
      </c>
      <c r="J2707" s="7" t="s">
        <v>114</v>
      </c>
      <c r="K2707" s="7" t="s">
        <v>13914</v>
      </c>
    </row>
    <row r="2708" customFormat="false" ht="35.05" hidden="false" customHeight="false" outlineLevel="0" collapsed="false">
      <c r="A2708" s="7" t="n">
        <v>2707</v>
      </c>
      <c r="B2708" s="7" t="s">
        <v>13915</v>
      </c>
      <c r="C2708" s="7" t="n">
        <v>2016</v>
      </c>
      <c r="D2708" s="7" t="s">
        <v>13916</v>
      </c>
      <c r="E2708" s="7" t="s">
        <v>143</v>
      </c>
      <c r="F2708" s="7" t="s">
        <v>13917</v>
      </c>
      <c r="G2708" s="7" t="s">
        <v>3254</v>
      </c>
      <c r="H2708" s="7" t="s">
        <v>146</v>
      </c>
      <c r="I2708" s="7" t="s">
        <v>3612</v>
      </c>
      <c r="J2708" s="7" t="s">
        <v>116</v>
      </c>
      <c r="K2708" s="7" t="s">
        <v>13918</v>
      </c>
    </row>
    <row r="2709" customFormat="false" ht="35.05" hidden="false" customHeight="false" outlineLevel="0" collapsed="false">
      <c r="A2709" s="7" t="n">
        <v>2708</v>
      </c>
      <c r="B2709" s="7" t="s">
        <v>13919</v>
      </c>
      <c r="C2709" s="7" t="n">
        <v>2019</v>
      </c>
      <c r="D2709" s="7" t="s">
        <v>13920</v>
      </c>
      <c r="E2709" s="7" t="s">
        <v>143</v>
      </c>
      <c r="F2709" s="7" t="s">
        <v>13921</v>
      </c>
      <c r="G2709" s="7" t="s">
        <v>13922</v>
      </c>
      <c r="H2709" s="7" t="s">
        <v>146</v>
      </c>
      <c r="I2709" s="7" t="s">
        <v>13923</v>
      </c>
      <c r="J2709" s="7" t="s">
        <v>116</v>
      </c>
      <c r="K2709" s="7" t="s">
        <v>13924</v>
      </c>
    </row>
    <row r="2710" customFormat="false" ht="35.05" hidden="false" customHeight="false" outlineLevel="0" collapsed="false">
      <c r="A2710" s="7" t="n">
        <v>2709</v>
      </c>
      <c r="B2710" s="7" t="s">
        <v>13925</v>
      </c>
      <c r="C2710" s="7" t="n">
        <v>2023</v>
      </c>
      <c r="D2710" s="7" t="s">
        <v>13926</v>
      </c>
      <c r="E2710" s="7" t="s">
        <v>201</v>
      </c>
      <c r="F2710" s="7" t="s">
        <v>13927</v>
      </c>
      <c r="G2710" s="7" t="s">
        <v>145</v>
      </c>
      <c r="H2710" s="7" t="s">
        <v>153</v>
      </c>
      <c r="I2710" s="7" t="s">
        <v>13928</v>
      </c>
      <c r="J2710" s="7" t="s">
        <v>112</v>
      </c>
      <c r="K2710" s="7" t="s">
        <v>13929</v>
      </c>
    </row>
    <row r="2711" customFormat="false" ht="35.05" hidden="false" customHeight="false" outlineLevel="0" collapsed="false">
      <c r="A2711" s="7" t="n">
        <v>2710</v>
      </c>
      <c r="B2711" s="7" t="s">
        <v>13930</v>
      </c>
      <c r="C2711" s="7" t="n">
        <v>2023</v>
      </c>
      <c r="D2711" s="7" t="s">
        <v>13931</v>
      </c>
      <c r="E2711" s="7" t="s">
        <v>13932</v>
      </c>
      <c r="F2711" s="7" t="s">
        <v>13933</v>
      </c>
      <c r="G2711" s="7" t="s">
        <v>13934</v>
      </c>
      <c r="H2711" s="7" t="s">
        <v>146</v>
      </c>
      <c r="I2711" s="7" t="s">
        <v>13935</v>
      </c>
      <c r="J2711" s="7" t="s">
        <v>112</v>
      </c>
      <c r="K2711" s="7" t="s">
        <v>13936</v>
      </c>
    </row>
    <row r="2712" customFormat="false" ht="35.05" hidden="false" customHeight="false" outlineLevel="0" collapsed="false">
      <c r="A2712" s="7" t="n">
        <v>2711</v>
      </c>
      <c r="B2712" s="7" t="s">
        <v>13937</v>
      </c>
      <c r="C2712" s="7" t="n">
        <v>2019</v>
      </c>
      <c r="D2712" s="7" t="s">
        <v>13938</v>
      </c>
      <c r="E2712" s="7" t="s">
        <v>10278</v>
      </c>
      <c r="F2712" s="7" t="s">
        <v>152</v>
      </c>
      <c r="G2712" s="7" t="s">
        <v>145</v>
      </c>
      <c r="H2712" s="7" t="s">
        <v>153</v>
      </c>
      <c r="I2712" s="7" t="s">
        <v>13939</v>
      </c>
      <c r="J2712" s="7"/>
      <c r="K2712" s="7" t="s">
        <v>13940</v>
      </c>
    </row>
    <row r="2713" customFormat="false" ht="35.05" hidden="false" customHeight="false" outlineLevel="0" collapsed="false">
      <c r="A2713" s="7" t="n">
        <v>2712</v>
      </c>
      <c r="B2713" s="7" t="s">
        <v>1486</v>
      </c>
      <c r="C2713" s="7" t="n">
        <v>2023</v>
      </c>
      <c r="D2713" s="7" t="s">
        <v>13941</v>
      </c>
      <c r="E2713" s="7" t="s">
        <v>13942</v>
      </c>
      <c r="F2713" s="7" t="s">
        <v>13943</v>
      </c>
      <c r="G2713" s="7" t="s">
        <v>145</v>
      </c>
      <c r="H2713" s="7" t="s">
        <v>153</v>
      </c>
      <c r="I2713" s="7" t="s">
        <v>13944</v>
      </c>
      <c r="J2713" s="7" t="s">
        <v>114</v>
      </c>
      <c r="K2713" s="7" t="s">
        <v>13945</v>
      </c>
    </row>
    <row r="2714" customFormat="false" ht="35.05" hidden="false" customHeight="false" outlineLevel="0" collapsed="false">
      <c r="A2714" s="7" t="n">
        <v>2713</v>
      </c>
      <c r="B2714" s="7" t="s">
        <v>13946</v>
      </c>
      <c r="C2714" s="7" t="n">
        <v>2023</v>
      </c>
      <c r="D2714" s="7" t="s">
        <v>13947</v>
      </c>
      <c r="E2714" s="7" t="s">
        <v>13948</v>
      </c>
      <c r="F2714" s="7" t="s">
        <v>13949</v>
      </c>
      <c r="G2714" s="7" t="s">
        <v>181</v>
      </c>
      <c r="H2714" s="7" t="s">
        <v>153</v>
      </c>
      <c r="I2714" s="7" t="s">
        <v>13950</v>
      </c>
      <c r="J2714" s="7" t="s">
        <v>114</v>
      </c>
      <c r="K2714" s="7" t="s">
        <v>13951</v>
      </c>
    </row>
    <row r="2715" customFormat="false" ht="23.85" hidden="false" customHeight="false" outlineLevel="0" collapsed="false">
      <c r="A2715" s="7" t="n">
        <v>2714</v>
      </c>
      <c r="B2715" s="7" t="s">
        <v>13952</v>
      </c>
      <c r="C2715" s="7" t="n">
        <v>2020</v>
      </c>
      <c r="D2715" s="7" t="s">
        <v>13953</v>
      </c>
      <c r="E2715" s="7" t="s">
        <v>143</v>
      </c>
      <c r="F2715" s="7" t="s">
        <v>13954</v>
      </c>
      <c r="G2715" s="7" t="s">
        <v>145</v>
      </c>
      <c r="H2715" s="7" t="s">
        <v>153</v>
      </c>
      <c r="I2715" s="7" t="s">
        <v>13955</v>
      </c>
      <c r="J2715" s="7"/>
      <c r="K2715" s="7" t="s">
        <v>13956</v>
      </c>
    </row>
    <row r="2716" customFormat="false" ht="35.05" hidden="false" customHeight="false" outlineLevel="0" collapsed="false">
      <c r="A2716" s="7" t="n">
        <v>2715</v>
      </c>
      <c r="B2716" s="7" t="s">
        <v>13957</v>
      </c>
      <c r="C2716" s="7" t="n">
        <v>2020</v>
      </c>
      <c r="D2716" s="7" t="s">
        <v>13958</v>
      </c>
      <c r="E2716" s="7" t="s">
        <v>13959</v>
      </c>
      <c r="F2716" s="7" t="s">
        <v>13960</v>
      </c>
      <c r="G2716" s="7" t="s">
        <v>145</v>
      </c>
      <c r="H2716" s="7" t="s">
        <v>146</v>
      </c>
      <c r="I2716" s="7" t="s">
        <v>13961</v>
      </c>
      <c r="J2716" s="7"/>
      <c r="K2716" s="7" t="s">
        <v>13962</v>
      </c>
    </row>
    <row r="2717" customFormat="false" ht="35.05" hidden="false" customHeight="false" outlineLevel="0" collapsed="false">
      <c r="A2717" s="7" t="n">
        <v>2716</v>
      </c>
      <c r="B2717" s="7" t="s">
        <v>327</v>
      </c>
      <c r="C2717" s="7" t="n">
        <v>2023</v>
      </c>
      <c r="D2717" s="7" t="s">
        <v>13963</v>
      </c>
      <c r="E2717" s="7" t="s">
        <v>13964</v>
      </c>
      <c r="F2717" s="7" t="s">
        <v>13965</v>
      </c>
      <c r="G2717" s="7" t="s">
        <v>13966</v>
      </c>
      <c r="H2717" s="7" t="s">
        <v>146</v>
      </c>
      <c r="I2717" s="7" t="s">
        <v>13967</v>
      </c>
      <c r="J2717" s="7" t="s">
        <v>114</v>
      </c>
      <c r="K2717" s="7" t="s">
        <v>13968</v>
      </c>
    </row>
    <row r="2718" customFormat="false" ht="35.05" hidden="false" customHeight="false" outlineLevel="0" collapsed="false">
      <c r="A2718" s="7" t="n">
        <v>2717</v>
      </c>
      <c r="B2718" s="7" t="s">
        <v>13969</v>
      </c>
      <c r="C2718" s="7" t="n">
        <v>2022</v>
      </c>
      <c r="D2718" s="7" t="s">
        <v>13970</v>
      </c>
      <c r="E2718" s="7" t="s">
        <v>13971</v>
      </c>
      <c r="F2718" s="7" t="s">
        <v>13972</v>
      </c>
      <c r="G2718" s="7" t="s">
        <v>327</v>
      </c>
      <c r="H2718" s="7" t="s">
        <v>153</v>
      </c>
      <c r="I2718" s="7" t="s">
        <v>13973</v>
      </c>
      <c r="J2718" s="7" t="s">
        <v>114</v>
      </c>
      <c r="K2718" s="7" t="s">
        <v>13974</v>
      </c>
    </row>
    <row r="2719" customFormat="false" ht="35.05" hidden="false" customHeight="false" outlineLevel="0" collapsed="false">
      <c r="A2719" s="7" t="n">
        <v>2718</v>
      </c>
      <c r="B2719" s="7" t="s">
        <v>13975</v>
      </c>
      <c r="C2719" s="7" t="n">
        <v>2019</v>
      </c>
      <c r="D2719" s="7" t="s">
        <v>13976</v>
      </c>
      <c r="E2719" s="7" t="s">
        <v>13977</v>
      </c>
      <c r="F2719" s="7" t="s">
        <v>13978</v>
      </c>
      <c r="G2719" s="7" t="s">
        <v>871</v>
      </c>
      <c r="H2719" s="7" t="s">
        <v>153</v>
      </c>
      <c r="I2719" s="7" t="s">
        <v>13979</v>
      </c>
      <c r="J2719" s="7" t="s">
        <v>114</v>
      </c>
      <c r="K2719" s="7" t="s">
        <v>13980</v>
      </c>
    </row>
    <row r="2720" customFormat="false" ht="35.05" hidden="false" customHeight="false" outlineLevel="0" collapsed="false">
      <c r="A2720" s="7" t="n">
        <v>2719</v>
      </c>
      <c r="B2720" s="7" t="s">
        <v>13981</v>
      </c>
      <c r="C2720" s="7" t="n">
        <v>2022</v>
      </c>
      <c r="D2720" s="7" t="s">
        <v>13982</v>
      </c>
      <c r="E2720" s="7" t="s">
        <v>13983</v>
      </c>
      <c r="F2720" s="7" t="s">
        <v>13984</v>
      </c>
      <c r="G2720" s="7" t="s">
        <v>13985</v>
      </c>
      <c r="H2720" s="7" t="s">
        <v>208</v>
      </c>
      <c r="I2720" s="7" t="s">
        <v>13986</v>
      </c>
      <c r="J2720" s="7" t="s">
        <v>116</v>
      </c>
      <c r="K2720" s="7" t="s">
        <v>13987</v>
      </c>
    </row>
    <row r="2721" customFormat="false" ht="35.05" hidden="false" customHeight="false" outlineLevel="0" collapsed="false">
      <c r="A2721" s="7" t="n">
        <v>2720</v>
      </c>
      <c r="B2721" s="7" t="s">
        <v>13988</v>
      </c>
      <c r="C2721" s="7" t="n">
        <v>2022</v>
      </c>
      <c r="D2721" s="7" t="s">
        <v>13989</v>
      </c>
      <c r="E2721" s="7" t="s">
        <v>11780</v>
      </c>
      <c r="F2721" s="7" t="s">
        <v>13990</v>
      </c>
      <c r="G2721" s="7" t="s">
        <v>145</v>
      </c>
      <c r="H2721" s="7" t="s">
        <v>153</v>
      </c>
      <c r="I2721" s="7" t="s">
        <v>13991</v>
      </c>
      <c r="J2721" s="7" t="s">
        <v>114</v>
      </c>
      <c r="K2721" s="7" t="s">
        <v>13992</v>
      </c>
    </row>
    <row r="2722" customFormat="false" ht="35.05" hidden="false" customHeight="false" outlineLevel="0" collapsed="false">
      <c r="A2722" s="7" t="n">
        <v>2721</v>
      </c>
      <c r="B2722" s="7" t="s">
        <v>13969</v>
      </c>
      <c r="C2722" s="7" t="n">
        <v>2023</v>
      </c>
      <c r="D2722" s="7" t="s">
        <v>13993</v>
      </c>
      <c r="E2722" s="7" t="s">
        <v>13971</v>
      </c>
      <c r="F2722" s="7" t="s">
        <v>13994</v>
      </c>
      <c r="G2722" s="7" t="s">
        <v>327</v>
      </c>
      <c r="H2722" s="7" t="s">
        <v>153</v>
      </c>
      <c r="I2722" s="7" t="s">
        <v>13995</v>
      </c>
      <c r="J2722" s="7" t="s">
        <v>114</v>
      </c>
      <c r="K2722" s="7" t="s">
        <v>13996</v>
      </c>
    </row>
    <row r="2723" customFormat="false" ht="35.05" hidden="false" customHeight="false" outlineLevel="0" collapsed="false">
      <c r="A2723" s="7" t="n">
        <v>2722</v>
      </c>
      <c r="B2723" s="7" t="s">
        <v>13997</v>
      </c>
      <c r="C2723" s="7" t="n">
        <v>2018</v>
      </c>
      <c r="D2723" s="7" t="s">
        <v>13998</v>
      </c>
      <c r="E2723" s="7" t="s">
        <v>13999</v>
      </c>
      <c r="F2723" s="7" t="s">
        <v>14000</v>
      </c>
      <c r="G2723" s="7" t="s">
        <v>145</v>
      </c>
      <c r="H2723" s="7" t="s">
        <v>153</v>
      </c>
      <c r="I2723" s="7" t="s">
        <v>14001</v>
      </c>
      <c r="J2723" s="7"/>
      <c r="K2723" s="7" t="s">
        <v>14002</v>
      </c>
    </row>
    <row r="2724" customFormat="false" ht="35.05" hidden="false" customHeight="false" outlineLevel="0" collapsed="false">
      <c r="A2724" s="7" t="n">
        <v>2723</v>
      </c>
      <c r="B2724" s="7" t="s">
        <v>14003</v>
      </c>
      <c r="C2724" s="7" t="n">
        <v>2022</v>
      </c>
      <c r="D2724" s="7" t="s">
        <v>14004</v>
      </c>
      <c r="E2724" s="7" t="s">
        <v>9198</v>
      </c>
      <c r="F2724" s="7" t="s">
        <v>14005</v>
      </c>
      <c r="G2724" s="7" t="s">
        <v>145</v>
      </c>
      <c r="H2724" s="7" t="s">
        <v>146</v>
      </c>
      <c r="I2724" s="7" t="s">
        <v>14006</v>
      </c>
      <c r="J2724" s="7" t="s">
        <v>112</v>
      </c>
      <c r="K2724" s="7" t="s">
        <v>14007</v>
      </c>
    </row>
    <row r="2725" customFormat="false" ht="35.05" hidden="false" customHeight="false" outlineLevel="0" collapsed="false">
      <c r="A2725" s="7" t="n">
        <v>2724</v>
      </c>
      <c r="B2725" s="7" t="s">
        <v>1692</v>
      </c>
      <c r="C2725" s="7" t="n">
        <v>2023</v>
      </c>
      <c r="D2725" s="7" t="s">
        <v>14008</v>
      </c>
      <c r="E2725" s="7" t="s">
        <v>14009</v>
      </c>
      <c r="F2725" s="7" t="s">
        <v>14010</v>
      </c>
      <c r="G2725" s="7" t="s">
        <v>145</v>
      </c>
      <c r="H2725" s="7" t="s">
        <v>153</v>
      </c>
      <c r="I2725" s="7" t="s">
        <v>14011</v>
      </c>
      <c r="J2725" s="7" t="s">
        <v>114</v>
      </c>
      <c r="K2725" s="7" t="s">
        <v>14012</v>
      </c>
    </row>
    <row r="2726" customFormat="false" ht="23.85" hidden="false" customHeight="false" outlineLevel="0" collapsed="false">
      <c r="A2726" s="7" t="n">
        <v>2725</v>
      </c>
      <c r="B2726" s="7" t="s">
        <v>14013</v>
      </c>
      <c r="C2726" s="7" t="n">
        <v>2020</v>
      </c>
      <c r="D2726" s="7" t="s">
        <v>14014</v>
      </c>
      <c r="E2726" s="7" t="s">
        <v>14015</v>
      </c>
      <c r="F2726" s="7" t="s">
        <v>626</v>
      </c>
      <c r="G2726" s="7" t="s">
        <v>145</v>
      </c>
      <c r="H2726" s="7" t="s">
        <v>153</v>
      </c>
      <c r="I2726" s="7" t="s">
        <v>14016</v>
      </c>
      <c r="J2726" s="7" t="s">
        <v>112</v>
      </c>
      <c r="K2726" s="7" t="s">
        <v>14017</v>
      </c>
    </row>
    <row r="2727" customFormat="false" ht="23.85" hidden="false" customHeight="false" outlineLevel="0" collapsed="false">
      <c r="A2727" s="7" t="n">
        <v>2726</v>
      </c>
      <c r="B2727" s="7" t="s">
        <v>14018</v>
      </c>
      <c r="C2727" s="7" t="n">
        <v>2023</v>
      </c>
      <c r="D2727" s="7" t="s">
        <v>14019</v>
      </c>
      <c r="E2727" s="7" t="s">
        <v>143</v>
      </c>
      <c r="F2727" s="7" t="s">
        <v>14020</v>
      </c>
      <c r="G2727" s="7" t="s">
        <v>721</v>
      </c>
      <c r="H2727" s="7" t="s">
        <v>153</v>
      </c>
      <c r="I2727" s="7" t="s">
        <v>14021</v>
      </c>
      <c r="J2727" s="7" t="s">
        <v>114</v>
      </c>
      <c r="K2727" s="7" t="s">
        <v>14022</v>
      </c>
    </row>
    <row r="2728" customFormat="false" ht="46.25" hidden="false" customHeight="false" outlineLevel="0" collapsed="false">
      <c r="A2728" s="7" t="n">
        <v>2727</v>
      </c>
      <c r="B2728" s="7" t="s">
        <v>14023</v>
      </c>
      <c r="C2728" s="7" t="n">
        <v>2022</v>
      </c>
      <c r="D2728" s="7" t="s">
        <v>14024</v>
      </c>
      <c r="E2728" s="7" t="s">
        <v>10512</v>
      </c>
      <c r="F2728" s="7" t="s">
        <v>14025</v>
      </c>
      <c r="G2728" s="7" t="s">
        <v>14026</v>
      </c>
      <c r="H2728" s="7" t="s">
        <v>387</v>
      </c>
      <c r="I2728" s="7" t="s">
        <v>14027</v>
      </c>
      <c r="J2728" s="7" t="s">
        <v>116</v>
      </c>
      <c r="K2728" s="7" t="s">
        <v>14028</v>
      </c>
    </row>
    <row r="2729" customFormat="false" ht="23.85" hidden="false" customHeight="false" outlineLevel="0" collapsed="false">
      <c r="A2729" s="7" t="n">
        <v>2728</v>
      </c>
      <c r="B2729" s="7" t="s">
        <v>8440</v>
      </c>
      <c r="C2729" s="7" t="n">
        <v>2022</v>
      </c>
      <c r="D2729" s="7" t="s">
        <v>14029</v>
      </c>
      <c r="E2729" s="7" t="s">
        <v>14030</v>
      </c>
      <c r="F2729" s="7" t="s">
        <v>14031</v>
      </c>
      <c r="G2729" s="7" t="s">
        <v>145</v>
      </c>
      <c r="H2729" s="7" t="s">
        <v>153</v>
      </c>
      <c r="I2729" s="7" t="s">
        <v>14032</v>
      </c>
      <c r="J2729" s="7" t="s">
        <v>114</v>
      </c>
      <c r="K2729" s="7" t="s">
        <v>14033</v>
      </c>
    </row>
    <row r="2730" customFormat="false" ht="35.05" hidden="false" customHeight="false" outlineLevel="0" collapsed="false">
      <c r="A2730" s="7" t="n">
        <v>2729</v>
      </c>
      <c r="B2730" s="7" t="s">
        <v>1802</v>
      </c>
      <c r="C2730" s="7" t="n">
        <v>2023</v>
      </c>
      <c r="D2730" s="7" t="s">
        <v>14034</v>
      </c>
      <c r="E2730" s="7" t="s">
        <v>14035</v>
      </c>
      <c r="F2730" s="7" t="s">
        <v>1636</v>
      </c>
      <c r="G2730" s="7" t="s">
        <v>145</v>
      </c>
      <c r="H2730" s="7" t="s">
        <v>153</v>
      </c>
      <c r="I2730" s="7" t="s">
        <v>14036</v>
      </c>
      <c r="J2730" s="7" t="s">
        <v>114</v>
      </c>
      <c r="K2730" s="7" t="s">
        <v>14037</v>
      </c>
    </row>
    <row r="2731" customFormat="false" ht="35.05" hidden="false" customHeight="false" outlineLevel="0" collapsed="false">
      <c r="A2731" s="7" t="n">
        <v>2730</v>
      </c>
      <c r="B2731" s="7" t="s">
        <v>14038</v>
      </c>
      <c r="C2731" s="7" t="n">
        <v>2023</v>
      </c>
      <c r="D2731" s="7" t="s">
        <v>14039</v>
      </c>
      <c r="E2731" s="7" t="s">
        <v>14040</v>
      </c>
      <c r="F2731" s="7" t="s">
        <v>14041</v>
      </c>
      <c r="G2731" s="7" t="s">
        <v>7387</v>
      </c>
      <c r="H2731" s="7" t="s">
        <v>146</v>
      </c>
      <c r="I2731" s="7" t="s">
        <v>14042</v>
      </c>
      <c r="J2731" s="7" t="s">
        <v>110</v>
      </c>
      <c r="K2731" s="7" t="s">
        <v>14043</v>
      </c>
    </row>
    <row r="2732" customFormat="false" ht="35.05" hidden="false" customHeight="false" outlineLevel="0" collapsed="false">
      <c r="A2732" s="7" t="n">
        <v>2731</v>
      </c>
      <c r="B2732" s="7" t="s">
        <v>14044</v>
      </c>
      <c r="C2732" s="7" t="n">
        <v>2019</v>
      </c>
      <c r="D2732" s="7" t="s">
        <v>14045</v>
      </c>
      <c r="E2732" s="7" t="s">
        <v>143</v>
      </c>
      <c r="F2732" s="7" t="s">
        <v>14046</v>
      </c>
      <c r="G2732" s="7" t="s">
        <v>721</v>
      </c>
      <c r="H2732" s="7" t="s">
        <v>153</v>
      </c>
      <c r="I2732" s="7" t="s">
        <v>14047</v>
      </c>
      <c r="J2732" s="7"/>
      <c r="K2732" s="7" t="s">
        <v>14048</v>
      </c>
    </row>
    <row r="2733" customFormat="false" ht="35.05" hidden="false" customHeight="false" outlineLevel="0" collapsed="false">
      <c r="A2733" s="7" t="n">
        <v>2732</v>
      </c>
      <c r="B2733" s="7" t="s">
        <v>14049</v>
      </c>
      <c r="C2733" s="7" t="n">
        <v>2020</v>
      </c>
      <c r="D2733" s="7" t="s">
        <v>14050</v>
      </c>
      <c r="E2733" s="7" t="s">
        <v>587</v>
      </c>
      <c r="F2733" s="7" t="s">
        <v>14051</v>
      </c>
      <c r="G2733" s="7" t="s">
        <v>14052</v>
      </c>
      <c r="H2733" s="7" t="s">
        <v>146</v>
      </c>
      <c r="I2733" s="7" t="s">
        <v>14053</v>
      </c>
      <c r="J2733" s="7" t="s">
        <v>114</v>
      </c>
      <c r="K2733" s="7" t="s">
        <v>14054</v>
      </c>
    </row>
    <row r="2734" customFormat="false" ht="35.05" hidden="false" customHeight="false" outlineLevel="0" collapsed="false">
      <c r="A2734" s="7" t="n">
        <v>2733</v>
      </c>
      <c r="B2734" s="7" t="s">
        <v>14055</v>
      </c>
      <c r="C2734" s="7" t="n">
        <v>2023</v>
      </c>
      <c r="D2734" s="7" t="s">
        <v>14056</v>
      </c>
      <c r="E2734" s="7" t="s">
        <v>14057</v>
      </c>
      <c r="F2734" s="7" t="s">
        <v>14058</v>
      </c>
      <c r="G2734" s="7" t="s">
        <v>145</v>
      </c>
      <c r="H2734" s="7" t="s">
        <v>153</v>
      </c>
      <c r="I2734" s="7" t="s">
        <v>14059</v>
      </c>
      <c r="J2734" s="7"/>
      <c r="K2734" s="7" t="s">
        <v>14060</v>
      </c>
    </row>
    <row r="2735" customFormat="false" ht="23.85" hidden="false" customHeight="false" outlineLevel="0" collapsed="false">
      <c r="A2735" s="7" t="n">
        <v>2734</v>
      </c>
      <c r="B2735" s="7" t="s">
        <v>14061</v>
      </c>
      <c r="C2735" s="7" t="n">
        <v>2023</v>
      </c>
      <c r="D2735" s="7" t="s">
        <v>14062</v>
      </c>
      <c r="E2735" s="7" t="s">
        <v>143</v>
      </c>
      <c r="F2735" s="7" t="s">
        <v>14063</v>
      </c>
      <c r="G2735" s="7" t="s">
        <v>145</v>
      </c>
      <c r="H2735" s="7" t="s">
        <v>153</v>
      </c>
      <c r="I2735" s="7" t="s">
        <v>14064</v>
      </c>
      <c r="J2735" s="7" t="s">
        <v>110</v>
      </c>
      <c r="K2735" s="7" t="s">
        <v>14065</v>
      </c>
    </row>
    <row r="2736" customFormat="false" ht="35.05" hidden="false" customHeight="false" outlineLevel="0" collapsed="false">
      <c r="A2736" s="7" t="n">
        <v>2735</v>
      </c>
      <c r="B2736" s="7" t="s">
        <v>14066</v>
      </c>
      <c r="C2736" s="7" t="n">
        <v>2023</v>
      </c>
      <c r="D2736" s="7" t="s">
        <v>14067</v>
      </c>
      <c r="E2736" s="7" t="s">
        <v>14068</v>
      </c>
      <c r="F2736" s="7" t="s">
        <v>14069</v>
      </c>
      <c r="G2736" s="7" t="s">
        <v>145</v>
      </c>
      <c r="H2736" s="7" t="s">
        <v>153</v>
      </c>
      <c r="I2736" s="7" t="s">
        <v>14070</v>
      </c>
      <c r="J2736" s="7" t="s">
        <v>114</v>
      </c>
      <c r="K2736" s="7" t="s">
        <v>14071</v>
      </c>
    </row>
    <row r="2737" customFormat="false" ht="23.85" hidden="false" customHeight="false" outlineLevel="0" collapsed="false">
      <c r="A2737" s="7" t="n">
        <v>2736</v>
      </c>
      <c r="B2737" s="7" t="s">
        <v>14072</v>
      </c>
      <c r="C2737" s="7" t="n">
        <v>2023</v>
      </c>
      <c r="D2737" s="7" t="s">
        <v>14073</v>
      </c>
      <c r="E2737" s="7" t="s">
        <v>14074</v>
      </c>
      <c r="F2737" s="7" t="s">
        <v>14075</v>
      </c>
      <c r="G2737" s="7" t="s">
        <v>145</v>
      </c>
      <c r="H2737" s="7" t="s">
        <v>153</v>
      </c>
      <c r="I2737" s="7" t="s">
        <v>14076</v>
      </c>
      <c r="J2737" s="7" t="s">
        <v>114</v>
      </c>
      <c r="K2737" s="7" t="s">
        <v>14077</v>
      </c>
    </row>
    <row r="2738" customFormat="false" ht="23.85" hidden="false" customHeight="false" outlineLevel="0" collapsed="false">
      <c r="A2738" s="7" t="n">
        <v>2737</v>
      </c>
      <c r="B2738" s="7" t="s">
        <v>14078</v>
      </c>
      <c r="C2738" s="7" t="n">
        <v>2021</v>
      </c>
      <c r="D2738" s="7" t="s">
        <v>14079</v>
      </c>
      <c r="E2738" s="7" t="s">
        <v>14080</v>
      </c>
      <c r="F2738" s="7" t="s">
        <v>8353</v>
      </c>
      <c r="G2738" s="7" t="s">
        <v>145</v>
      </c>
      <c r="H2738" s="7" t="s">
        <v>153</v>
      </c>
      <c r="I2738" s="7" t="s">
        <v>14081</v>
      </c>
      <c r="J2738" s="7" t="s">
        <v>114</v>
      </c>
      <c r="K2738" s="7" t="s">
        <v>14082</v>
      </c>
    </row>
    <row r="2739" customFormat="false" ht="35.05" hidden="false" customHeight="false" outlineLevel="0" collapsed="false">
      <c r="A2739" s="7" t="n">
        <v>2738</v>
      </c>
      <c r="B2739" s="7" t="s">
        <v>13589</v>
      </c>
      <c r="C2739" s="7" t="n">
        <v>2023</v>
      </c>
      <c r="D2739" s="7" t="s">
        <v>14083</v>
      </c>
      <c r="E2739" s="7" t="s">
        <v>14084</v>
      </c>
      <c r="F2739" s="7" t="s">
        <v>14085</v>
      </c>
      <c r="G2739" s="7" t="s">
        <v>145</v>
      </c>
      <c r="H2739" s="7" t="s">
        <v>387</v>
      </c>
      <c r="I2739" s="7" t="s">
        <v>14086</v>
      </c>
      <c r="J2739" s="7" t="s">
        <v>114</v>
      </c>
      <c r="K2739" s="7" t="s">
        <v>14087</v>
      </c>
    </row>
    <row r="2740" customFormat="false" ht="35.05" hidden="false" customHeight="false" outlineLevel="0" collapsed="false">
      <c r="A2740" s="7" t="n">
        <v>2739</v>
      </c>
      <c r="B2740" s="7" t="s">
        <v>14088</v>
      </c>
      <c r="C2740" s="7" t="n">
        <v>2023</v>
      </c>
      <c r="D2740" s="7" t="s">
        <v>14089</v>
      </c>
      <c r="E2740" s="7" t="s">
        <v>14090</v>
      </c>
      <c r="F2740" s="7" t="s">
        <v>14091</v>
      </c>
      <c r="G2740" s="7" t="s">
        <v>145</v>
      </c>
      <c r="H2740" s="7" t="s">
        <v>153</v>
      </c>
      <c r="I2740" s="7" t="s">
        <v>14092</v>
      </c>
      <c r="J2740" s="7" t="s">
        <v>114</v>
      </c>
      <c r="K2740" s="7" t="s">
        <v>14093</v>
      </c>
    </row>
    <row r="2741" customFormat="false" ht="35.05" hidden="false" customHeight="false" outlineLevel="0" collapsed="false">
      <c r="A2741" s="7" t="n">
        <v>2740</v>
      </c>
      <c r="B2741" s="7" t="s">
        <v>327</v>
      </c>
      <c r="C2741" s="7" t="n">
        <v>2023</v>
      </c>
      <c r="D2741" s="7" t="s">
        <v>14094</v>
      </c>
      <c r="E2741" s="7" t="s">
        <v>14095</v>
      </c>
      <c r="F2741" s="7" t="s">
        <v>14096</v>
      </c>
      <c r="G2741" s="7" t="s">
        <v>14097</v>
      </c>
      <c r="H2741" s="7" t="s">
        <v>153</v>
      </c>
      <c r="I2741" s="7" t="s">
        <v>14098</v>
      </c>
      <c r="J2741" s="7" t="s">
        <v>114</v>
      </c>
      <c r="K2741" s="7" t="s">
        <v>14099</v>
      </c>
    </row>
    <row r="2742" customFormat="false" ht="35.05" hidden="false" customHeight="false" outlineLevel="0" collapsed="false">
      <c r="A2742" s="7" t="n">
        <v>2741</v>
      </c>
      <c r="B2742" s="7" t="s">
        <v>14100</v>
      </c>
      <c r="C2742" s="7" t="n">
        <v>2023</v>
      </c>
      <c r="D2742" s="7" t="s">
        <v>14101</v>
      </c>
      <c r="E2742" s="7" t="s">
        <v>14102</v>
      </c>
      <c r="F2742" s="7" t="s">
        <v>14103</v>
      </c>
      <c r="G2742" s="7" t="s">
        <v>1373</v>
      </c>
      <c r="H2742" s="7" t="s">
        <v>146</v>
      </c>
      <c r="I2742" s="7" t="s">
        <v>14104</v>
      </c>
      <c r="J2742" s="7" t="s">
        <v>116</v>
      </c>
      <c r="K2742" s="7" t="s">
        <v>14105</v>
      </c>
    </row>
    <row r="2743" customFormat="false" ht="35.05" hidden="false" customHeight="false" outlineLevel="0" collapsed="false">
      <c r="A2743" s="7" t="n">
        <v>2742</v>
      </c>
      <c r="B2743" s="7" t="s">
        <v>14106</v>
      </c>
      <c r="C2743" s="7" t="n">
        <v>2022</v>
      </c>
      <c r="D2743" s="7" t="s">
        <v>14107</v>
      </c>
      <c r="E2743" s="7" t="s">
        <v>14108</v>
      </c>
      <c r="F2743" s="7" t="s">
        <v>14109</v>
      </c>
      <c r="G2743" s="7" t="s">
        <v>14110</v>
      </c>
      <c r="H2743" s="7" t="s">
        <v>387</v>
      </c>
      <c r="I2743" s="7" t="s">
        <v>14111</v>
      </c>
      <c r="J2743" s="7" t="s">
        <v>112</v>
      </c>
      <c r="K2743" s="7" t="s">
        <v>14112</v>
      </c>
    </row>
    <row r="2744" customFormat="false" ht="35.05" hidden="false" customHeight="false" outlineLevel="0" collapsed="false">
      <c r="A2744" s="7" t="n">
        <v>2743</v>
      </c>
      <c r="B2744" s="7" t="s">
        <v>14113</v>
      </c>
      <c r="C2744" s="7" t="n">
        <v>2022</v>
      </c>
      <c r="D2744" s="7" t="s">
        <v>14114</v>
      </c>
      <c r="E2744" s="7" t="s">
        <v>14115</v>
      </c>
      <c r="F2744" s="7" t="s">
        <v>14116</v>
      </c>
      <c r="G2744" s="7" t="s">
        <v>145</v>
      </c>
      <c r="H2744" s="7" t="s">
        <v>387</v>
      </c>
      <c r="I2744" s="7" t="s">
        <v>14117</v>
      </c>
      <c r="J2744" s="7" t="s">
        <v>114</v>
      </c>
      <c r="K2744" s="7" t="s">
        <v>14118</v>
      </c>
    </row>
    <row r="2745" customFormat="false" ht="35.05" hidden="false" customHeight="false" outlineLevel="0" collapsed="false">
      <c r="A2745" s="7" t="n">
        <v>2744</v>
      </c>
      <c r="B2745" s="7" t="s">
        <v>14119</v>
      </c>
      <c r="C2745" s="7" t="n">
        <v>2022</v>
      </c>
      <c r="D2745" s="7" t="s">
        <v>14120</v>
      </c>
      <c r="E2745" s="7" t="s">
        <v>14121</v>
      </c>
      <c r="F2745" s="7" t="s">
        <v>14122</v>
      </c>
      <c r="G2745" s="7" t="s">
        <v>14123</v>
      </c>
      <c r="H2745" s="7" t="s">
        <v>146</v>
      </c>
      <c r="I2745" s="7" t="s">
        <v>14124</v>
      </c>
      <c r="J2745" s="7"/>
      <c r="K2745" s="7" t="s">
        <v>14125</v>
      </c>
    </row>
    <row r="2746" customFormat="false" ht="35.05" hidden="false" customHeight="false" outlineLevel="0" collapsed="false">
      <c r="A2746" s="7" t="n">
        <v>2745</v>
      </c>
      <c r="B2746" s="7" t="s">
        <v>14126</v>
      </c>
      <c r="C2746" s="7" t="n">
        <v>2015</v>
      </c>
      <c r="D2746" s="7" t="s">
        <v>14127</v>
      </c>
      <c r="E2746" s="7" t="s">
        <v>579</v>
      </c>
      <c r="F2746" s="7" t="s">
        <v>4568</v>
      </c>
      <c r="G2746" s="7" t="s">
        <v>2846</v>
      </c>
      <c r="H2746" s="7" t="s">
        <v>146</v>
      </c>
      <c r="I2746" s="7" t="s">
        <v>14128</v>
      </c>
      <c r="J2746" s="7"/>
      <c r="K2746" s="7" t="s">
        <v>14129</v>
      </c>
    </row>
    <row r="2747" customFormat="false" ht="23.85" hidden="false" customHeight="false" outlineLevel="0" collapsed="false">
      <c r="A2747" s="7" t="n">
        <v>2746</v>
      </c>
      <c r="B2747" s="7" t="s">
        <v>14130</v>
      </c>
      <c r="C2747" s="7" t="n">
        <v>2008</v>
      </c>
      <c r="D2747" s="7" t="s">
        <v>14131</v>
      </c>
      <c r="E2747" s="7" t="s">
        <v>151</v>
      </c>
      <c r="F2747" s="7" t="s">
        <v>4464</v>
      </c>
      <c r="G2747" s="7" t="s">
        <v>145</v>
      </c>
      <c r="H2747" s="7" t="s">
        <v>146</v>
      </c>
      <c r="I2747" s="7" t="s">
        <v>14132</v>
      </c>
      <c r="J2747" s="7"/>
      <c r="K2747" s="7" t="s">
        <v>14133</v>
      </c>
    </row>
    <row r="2748" customFormat="false" ht="35.05" hidden="false" customHeight="false" outlineLevel="0" collapsed="false">
      <c r="A2748" s="7" t="n">
        <v>2747</v>
      </c>
      <c r="B2748" s="7" t="s">
        <v>14134</v>
      </c>
      <c r="C2748" s="7" t="n">
        <v>2022</v>
      </c>
      <c r="D2748" s="7" t="s">
        <v>14135</v>
      </c>
      <c r="E2748" s="7" t="s">
        <v>151</v>
      </c>
      <c r="F2748" s="7" t="s">
        <v>14136</v>
      </c>
      <c r="G2748" s="7" t="s">
        <v>826</v>
      </c>
      <c r="H2748" s="7" t="s">
        <v>146</v>
      </c>
      <c r="I2748" s="7" t="s">
        <v>14137</v>
      </c>
      <c r="J2748" s="7" t="s">
        <v>116</v>
      </c>
      <c r="K2748" s="7" t="s">
        <v>14138</v>
      </c>
    </row>
    <row r="2749" customFormat="false" ht="46.25" hidden="false" customHeight="false" outlineLevel="0" collapsed="false">
      <c r="A2749" s="7" t="n">
        <v>2748</v>
      </c>
      <c r="B2749" s="7" t="s">
        <v>15845</v>
      </c>
      <c r="C2749" s="7" t="n">
        <v>2018</v>
      </c>
      <c r="D2749" s="7" t="s">
        <v>14140</v>
      </c>
      <c r="E2749" s="7" t="s">
        <v>151</v>
      </c>
      <c r="F2749" s="7" t="s">
        <v>15846</v>
      </c>
      <c r="G2749" s="7" t="s">
        <v>15847</v>
      </c>
      <c r="H2749" s="7" t="s">
        <v>146</v>
      </c>
      <c r="I2749" s="7" t="s">
        <v>15848</v>
      </c>
      <c r="J2749" s="7"/>
      <c r="K2749" s="7" t="s">
        <v>15849</v>
      </c>
    </row>
    <row r="2750" customFormat="false" ht="46.25" hidden="false" customHeight="false" outlineLevel="0" collapsed="false">
      <c r="A2750" s="7" t="n">
        <v>2749</v>
      </c>
      <c r="B2750" s="7" t="s">
        <v>15845</v>
      </c>
      <c r="C2750" s="7" t="n">
        <v>2021</v>
      </c>
      <c r="D2750" s="7" t="s">
        <v>14149</v>
      </c>
      <c r="E2750" s="7" t="s">
        <v>151</v>
      </c>
      <c r="F2750" s="7" t="s">
        <v>14146</v>
      </c>
      <c r="G2750" s="7" t="s">
        <v>15850</v>
      </c>
      <c r="H2750" s="7" t="s">
        <v>146</v>
      </c>
      <c r="I2750" s="7" t="s">
        <v>15851</v>
      </c>
      <c r="J2750" s="7"/>
      <c r="K2750" s="7" t="s">
        <v>15852</v>
      </c>
    </row>
    <row r="2751" customFormat="false" ht="46.25" hidden="false" customHeight="false" outlineLevel="0" collapsed="false">
      <c r="A2751" s="7" t="n">
        <v>2750</v>
      </c>
      <c r="B2751" s="7" t="s">
        <v>15853</v>
      </c>
      <c r="C2751" s="7" t="n">
        <v>2024</v>
      </c>
      <c r="D2751" s="7" t="s">
        <v>14157</v>
      </c>
      <c r="E2751" s="7" t="s">
        <v>579</v>
      </c>
      <c r="F2751" s="7" t="s">
        <v>1776</v>
      </c>
      <c r="G2751" s="7" t="s">
        <v>15854</v>
      </c>
      <c r="H2751" s="7" t="s">
        <v>146</v>
      </c>
      <c r="I2751" s="7" t="s">
        <v>15855</v>
      </c>
      <c r="J2751" s="7" t="s">
        <v>114</v>
      </c>
      <c r="K2751" s="7" t="s">
        <v>15856</v>
      </c>
    </row>
    <row r="2752" customFormat="false" ht="23.85" hidden="false" customHeight="false" outlineLevel="0" collapsed="false">
      <c r="A2752" s="7" t="n">
        <v>2751</v>
      </c>
      <c r="B2752" s="7" t="s">
        <v>14163</v>
      </c>
      <c r="C2752" s="7" t="n">
        <v>2022</v>
      </c>
      <c r="D2752" s="7" t="s">
        <v>14164</v>
      </c>
      <c r="E2752" s="7" t="s">
        <v>151</v>
      </c>
      <c r="F2752" s="7" t="s">
        <v>3552</v>
      </c>
      <c r="G2752" s="7" t="s">
        <v>14165</v>
      </c>
      <c r="H2752" s="7" t="s">
        <v>146</v>
      </c>
      <c r="I2752" s="7" t="s">
        <v>14166</v>
      </c>
      <c r="J2752" s="7"/>
      <c r="K2752" s="7" t="s">
        <v>14167</v>
      </c>
    </row>
    <row r="2753" customFormat="false" ht="35.05" hidden="false" customHeight="false" outlineLevel="0" collapsed="false">
      <c r="A2753" s="7" t="n">
        <v>2752</v>
      </c>
      <c r="B2753" s="7" t="s">
        <v>14168</v>
      </c>
      <c r="C2753" s="7" t="n">
        <v>2003</v>
      </c>
      <c r="D2753" s="7" t="s">
        <v>14169</v>
      </c>
      <c r="E2753" s="7" t="s">
        <v>201</v>
      </c>
      <c r="F2753" s="7" t="s">
        <v>4568</v>
      </c>
      <c r="G2753" s="7" t="s">
        <v>2846</v>
      </c>
      <c r="H2753" s="7" t="s">
        <v>146</v>
      </c>
      <c r="I2753" s="7" t="s">
        <v>14170</v>
      </c>
      <c r="J2753" s="7"/>
      <c r="K2753" s="7" t="s">
        <v>14171</v>
      </c>
    </row>
    <row r="2754" customFormat="false" ht="23.85" hidden="false" customHeight="false" outlineLevel="0" collapsed="false">
      <c r="A2754" s="7" t="n">
        <v>2753</v>
      </c>
      <c r="B2754" s="7" t="s">
        <v>14172</v>
      </c>
      <c r="C2754" s="7" t="n">
        <v>2023</v>
      </c>
      <c r="D2754" s="7" t="s">
        <v>14173</v>
      </c>
      <c r="E2754" s="7" t="s">
        <v>151</v>
      </c>
      <c r="F2754" s="7" t="s">
        <v>14174</v>
      </c>
      <c r="G2754" s="7" t="s">
        <v>327</v>
      </c>
      <c r="H2754" s="7" t="s">
        <v>146</v>
      </c>
      <c r="I2754" s="7" t="s">
        <v>14175</v>
      </c>
      <c r="J2754" s="7"/>
      <c r="K2754" s="7" t="s">
        <v>14176</v>
      </c>
    </row>
    <row r="2755" customFormat="false" ht="46.25" hidden="false" customHeight="false" outlineLevel="0" collapsed="false">
      <c r="A2755" s="7" t="n">
        <v>2754</v>
      </c>
      <c r="B2755" s="7" t="s">
        <v>15857</v>
      </c>
      <c r="C2755" s="7" t="n">
        <v>2022</v>
      </c>
      <c r="D2755" s="7" t="s">
        <v>14178</v>
      </c>
      <c r="E2755" s="7" t="s">
        <v>151</v>
      </c>
      <c r="F2755" s="7" t="s">
        <v>15858</v>
      </c>
      <c r="G2755" s="7" t="s">
        <v>423</v>
      </c>
      <c r="H2755" s="7" t="s">
        <v>146</v>
      </c>
      <c r="I2755" s="7" t="s">
        <v>15859</v>
      </c>
      <c r="J2755" s="7" t="s">
        <v>114</v>
      </c>
      <c r="K2755" s="7" t="s">
        <v>15860</v>
      </c>
    </row>
    <row r="2756" customFormat="false" ht="35.05" hidden="false" customHeight="false" outlineLevel="0" collapsed="false">
      <c r="A2756" s="7" t="n">
        <v>2755</v>
      </c>
      <c r="B2756" s="7" t="s">
        <v>14181</v>
      </c>
      <c r="C2756" s="7" t="n">
        <v>2026</v>
      </c>
      <c r="D2756" s="7" t="s">
        <v>14182</v>
      </c>
      <c r="E2756" s="7" t="s">
        <v>151</v>
      </c>
      <c r="F2756" s="7" t="s">
        <v>14183</v>
      </c>
      <c r="G2756" s="7" t="s">
        <v>14184</v>
      </c>
      <c r="H2756" s="7" t="s">
        <v>146</v>
      </c>
      <c r="I2756" s="7" t="s">
        <v>14185</v>
      </c>
      <c r="J2756" s="7" t="s">
        <v>114</v>
      </c>
      <c r="K2756" s="7" t="s">
        <v>14186</v>
      </c>
    </row>
    <row r="2757" customFormat="false" ht="46.25" hidden="false" customHeight="false" outlineLevel="0" collapsed="false">
      <c r="A2757" s="7" t="n">
        <v>2756</v>
      </c>
      <c r="B2757" s="7" t="s">
        <v>15861</v>
      </c>
      <c r="C2757" s="7" t="n">
        <v>2021</v>
      </c>
      <c r="D2757" s="7" t="s">
        <v>14188</v>
      </c>
      <c r="E2757" s="7" t="s">
        <v>201</v>
      </c>
      <c r="F2757" s="7" t="s">
        <v>15862</v>
      </c>
      <c r="G2757" s="7" t="s">
        <v>15863</v>
      </c>
      <c r="H2757" s="7" t="s">
        <v>153</v>
      </c>
      <c r="I2757" s="7" t="s">
        <v>15864</v>
      </c>
      <c r="J2757" s="7" t="s">
        <v>114</v>
      </c>
      <c r="K2757" s="7" t="s">
        <v>15865</v>
      </c>
    </row>
    <row r="2758" customFormat="false" ht="35.05" hidden="false" customHeight="false" outlineLevel="0" collapsed="false">
      <c r="A2758" s="7" t="n">
        <v>2757</v>
      </c>
      <c r="B2758" s="7" t="s">
        <v>14187</v>
      </c>
      <c r="C2758" s="7" t="n">
        <v>2026</v>
      </c>
      <c r="D2758" s="7" t="s">
        <v>14196</v>
      </c>
      <c r="E2758" s="7" t="s">
        <v>201</v>
      </c>
      <c r="F2758" s="7" t="s">
        <v>14197</v>
      </c>
      <c r="G2758" s="7" t="s">
        <v>327</v>
      </c>
      <c r="H2758" s="7" t="s">
        <v>153</v>
      </c>
      <c r="I2758" s="7" t="s">
        <v>14198</v>
      </c>
      <c r="J2758" s="7" t="s">
        <v>114</v>
      </c>
      <c r="K2758" s="7" t="s">
        <v>14199</v>
      </c>
    </row>
    <row r="2759" customFormat="false" ht="23.85" hidden="false" customHeight="false" outlineLevel="0" collapsed="false">
      <c r="A2759" s="7" t="n">
        <v>2758</v>
      </c>
      <c r="B2759" s="7" t="s">
        <v>14200</v>
      </c>
      <c r="C2759" s="7" t="n">
        <v>2019</v>
      </c>
      <c r="D2759" s="7" t="s">
        <v>14201</v>
      </c>
      <c r="E2759" s="7" t="s">
        <v>151</v>
      </c>
      <c r="F2759" s="7" t="s">
        <v>4464</v>
      </c>
      <c r="G2759" s="7" t="s">
        <v>145</v>
      </c>
      <c r="H2759" s="7" t="s">
        <v>146</v>
      </c>
      <c r="I2759" s="7" t="s">
        <v>14202</v>
      </c>
      <c r="J2759" s="7"/>
      <c r="K2759" s="7" t="s">
        <v>14203</v>
      </c>
    </row>
    <row r="2760" customFormat="false" ht="35.05" hidden="false" customHeight="false" outlineLevel="0" collapsed="false">
      <c r="A2760" s="7" t="n">
        <v>2759</v>
      </c>
      <c r="B2760" s="7" t="s">
        <v>14204</v>
      </c>
      <c r="C2760" s="7" t="n">
        <v>2015</v>
      </c>
      <c r="D2760" s="7" t="s">
        <v>14205</v>
      </c>
      <c r="E2760" s="7" t="s">
        <v>14206</v>
      </c>
      <c r="F2760" s="7" t="s">
        <v>14146</v>
      </c>
      <c r="G2760" s="7" t="s">
        <v>14207</v>
      </c>
      <c r="H2760" s="7" t="s">
        <v>146</v>
      </c>
      <c r="I2760" s="7" t="s">
        <v>14208</v>
      </c>
      <c r="J2760" s="7"/>
      <c r="K2760" s="7" t="s">
        <v>14209</v>
      </c>
    </row>
    <row r="2761" customFormat="false" ht="35.05" hidden="false" customHeight="false" outlineLevel="0" collapsed="false">
      <c r="A2761" s="7" t="n">
        <v>2760</v>
      </c>
      <c r="B2761" s="7" t="s">
        <v>14210</v>
      </c>
      <c r="C2761" s="7" t="n">
        <v>2021</v>
      </c>
      <c r="D2761" s="7" t="s">
        <v>14211</v>
      </c>
      <c r="E2761" s="7" t="s">
        <v>151</v>
      </c>
      <c r="F2761" s="7" t="s">
        <v>4489</v>
      </c>
      <c r="G2761" s="7" t="s">
        <v>14212</v>
      </c>
      <c r="H2761" s="7" t="s">
        <v>387</v>
      </c>
      <c r="I2761" s="7" t="s">
        <v>14213</v>
      </c>
      <c r="J2761" s="7" t="s">
        <v>116</v>
      </c>
      <c r="K2761" s="7" t="s">
        <v>14214</v>
      </c>
    </row>
    <row r="2762" customFormat="false" ht="23.85" hidden="false" customHeight="false" outlineLevel="0" collapsed="false">
      <c r="A2762" s="7" t="n">
        <v>2761</v>
      </c>
      <c r="B2762" s="7" t="s">
        <v>7001</v>
      </c>
      <c r="C2762" s="7" t="n">
        <v>2023</v>
      </c>
      <c r="D2762" s="7" t="s">
        <v>14215</v>
      </c>
      <c r="E2762" s="7" t="s">
        <v>3817</v>
      </c>
      <c r="F2762" s="7" t="s">
        <v>152</v>
      </c>
      <c r="G2762" s="7" t="s">
        <v>145</v>
      </c>
      <c r="H2762" s="7" t="s">
        <v>146</v>
      </c>
      <c r="I2762" s="7" t="s">
        <v>14216</v>
      </c>
      <c r="J2762" s="7"/>
      <c r="K2762" s="7" t="s">
        <v>14217</v>
      </c>
    </row>
    <row r="2763" customFormat="false" ht="35.05" hidden="false" customHeight="false" outlineLevel="0" collapsed="false">
      <c r="A2763" s="7" t="n">
        <v>2762</v>
      </c>
      <c r="B2763" s="7" t="s">
        <v>14218</v>
      </c>
      <c r="C2763" s="7" t="n">
        <v>2017</v>
      </c>
      <c r="D2763" s="7" t="s">
        <v>14219</v>
      </c>
      <c r="E2763" s="7" t="s">
        <v>143</v>
      </c>
      <c r="F2763" s="7" t="s">
        <v>3552</v>
      </c>
      <c r="G2763" s="7" t="s">
        <v>145</v>
      </c>
      <c r="H2763" s="7" t="s">
        <v>146</v>
      </c>
      <c r="I2763" s="7" t="s">
        <v>14220</v>
      </c>
      <c r="J2763" s="7"/>
      <c r="K2763" s="7" t="s">
        <v>14221</v>
      </c>
    </row>
    <row r="2764" customFormat="false" ht="23.85" hidden="false" customHeight="false" outlineLevel="0" collapsed="false">
      <c r="A2764" s="7" t="n">
        <v>2763</v>
      </c>
      <c r="B2764" s="7" t="s">
        <v>14222</v>
      </c>
      <c r="C2764" s="7" t="n">
        <v>1994</v>
      </c>
      <c r="D2764" s="7" t="s">
        <v>14223</v>
      </c>
      <c r="E2764" s="7" t="s">
        <v>12244</v>
      </c>
      <c r="F2764" s="7" t="s">
        <v>14224</v>
      </c>
      <c r="G2764" s="7" t="s">
        <v>327</v>
      </c>
      <c r="H2764" s="7" t="s">
        <v>153</v>
      </c>
      <c r="I2764" s="7" t="s">
        <v>14225</v>
      </c>
      <c r="J2764" s="7"/>
      <c r="K2764" s="7" t="s">
        <v>14226</v>
      </c>
    </row>
    <row r="2765" customFormat="false" ht="35.05" hidden="false" customHeight="false" outlineLevel="0" collapsed="false">
      <c r="A2765" s="7" t="n">
        <v>2764</v>
      </c>
      <c r="B2765" s="7" t="s">
        <v>14227</v>
      </c>
      <c r="C2765" s="7" t="n">
        <v>2022</v>
      </c>
      <c r="D2765" s="7" t="s">
        <v>14228</v>
      </c>
      <c r="E2765" s="7" t="s">
        <v>201</v>
      </c>
      <c r="F2765" s="7" t="s">
        <v>14229</v>
      </c>
      <c r="G2765" s="7" t="s">
        <v>327</v>
      </c>
      <c r="H2765" s="7" t="s">
        <v>153</v>
      </c>
      <c r="I2765" s="7" t="s">
        <v>14230</v>
      </c>
      <c r="J2765" s="7" t="s">
        <v>114</v>
      </c>
      <c r="K2765" s="7" t="s">
        <v>14231</v>
      </c>
    </row>
    <row r="2766" customFormat="false" ht="23.85" hidden="false" customHeight="false" outlineLevel="0" collapsed="false">
      <c r="A2766" s="7" t="n">
        <v>2765</v>
      </c>
      <c r="B2766" s="7" t="s">
        <v>14232</v>
      </c>
      <c r="C2766" s="7" t="n">
        <v>2022</v>
      </c>
      <c r="D2766" s="7" t="s">
        <v>14233</v>
      </c>
      <c r="E2766" s="7" t="s">
        <v>3817</v>
      </c>
      <c r="F2766" s="7" t="s">
        <v>14234</v>
      </c>
      <c r="G2766" s="7" t="s">
        <v>327</v>
      </c>
      <c r="H2766" s="7" t="s">
        <v>146</v>
      </c>
      <c r="I2766" s="7" t="s">
        <v>14235</v>
      </c>
      <c r="J2766" s="7"/>
      <c r="K2766" s="7" t="s">
        <v>14236</v>
      </c>
    </row>
    <row r="2767" customFormat="false" ht="35.05" hidden="false" customHeight="false" outlineLevel="0" collapsed="false">
      <c r="A2767" s="7" t="n">
        <v>2766</v>
      </c>
      <c r="B2767" s="7" t="s">
        <v>1622</v>
      </c>
      <c r="C2767" s="7" t="n">
        <v>2023</v>
      </c>
      <c r="D2767" s="7" t="s">
        <v>14237</v>
      </c>
      <c r="E2767" s="7" t="s">
        <v>8720</v>
      </c>
      <c r="F2767" s="7" t="s">
        <v>14238</v>
      </c>
      <c r="G2767" s="7" t="s">
        <v>327</v>
      </c>
      <c r="H2767" s="7" t="s">
        <v>146</v>
      </c>
      <c r="I2767" s="7" t="s">
        <v>14239</v>
      </c>
      <c r="J2767" s="7" t="s">
        <v>114</v>
      </c>
      <c r="K2767" s="7" t="s">
        <v>14240</v>
      </c>
    </row>
    <row r="2768" customFormat="false" ht="46.25" hidden="false" customHeight="false" outlineLevel="0" collapsed="false">
      <c r="A2768" s="7" t="n">
        <v>2767</v>
      </c>
      <c r="B2768" s="7" t="s">
        <v>15866</v>
      </c>
      <c r="C2768" s="7" t="n">
        <v>2023</v>
      </c>
      <c r="D2768" s="7" t="s">
        <v>14242</v>
      </c>
      <c r="E2768" s="7" t="s">
        <v>15823</v>
      </c>
      <c r="F2768" s="7" t="s">
        <v>15867</v>
      </c>
      <c r="G2768" s="7" t="s">
        <v>327</v>
      </c>
      <c r="H2768" s="7" t="s">
        <v>15868</v>
      </c>
      <c r="I2768" s="7" t="s">
        <v>15869</v>
      </c>
      <c r="J2768" s="7" t="s">
        <v>116</v>
      </c>
      <c r="K2768" s="7" t="s">
        <v>15870</v>
      </c>
    </row>
    <row r="2769" customFormat="false" ht="23.85" hidden="false" customHeight="false" outlineLevel="0" collapsed="false">
      <c r="A2769" s="7" t="n">
        <v>2768</v>
      </c>
      <c r="B2769" s="7" t="s">
        <v>13743</v>
      </c>
      <c r="C2769" s="7" t="n">
        <v>2000</v>
      </c>
      <c r="D2769" s="7" t="s">
        <v>14249</v>
      </c>
      <c r="E2769" s="7" t="s">
        <v>12244</v>
      </c>
      <c r="F2769" s="7" t="s">
        <v>14250</v>
      </c>
      <c r="G2769" s="7" t="s">
        <v>678</v>
      </c>
      <c r="H2769" s="7" t="s">
        <v>153</v>
      </c>
      <c r="I2769" s="7" t="s">
        <v>14251</v>
      </c>
      <c r="J2769" s="7"/>
      <c r="K2769" s="7" t="s">
        <v>14252</v>
      </c>
    </row>
    <row r="2770" customFormat="false" ht="23.85" hidden="false" customHeight="false" outlineLevel="0" collapsed="false">
      <c r="A2770" s="7" t="n">
        <v>2769</v>
      </c>
      <c r="B2770" s="7" t="s">
        <v>13743</v>
      </c>
      <c r="C2770" s="7" t="n">
        <v>2019</v>
      </c>
      <c r="D2770" s="7" t="s">
        <v>14253</v>
      </c>
      <c r="E2770" s="7" t="s">
        <v>14254</v>
      </c>
      <c r="F2770" s="7" t="s">
        <v>14250</v>
      </c>
      <c r="G2770" s="7" t="s">
        <v>14255</v>
      </c>
      <c r="H2770" s="7" t="s">
        <v>153</v>
      </c>
      <c r="I2770" s="7" t="s">
        <v>14256</v>
      </c>
      <c r="J2770" s="7"/>
      <c r="K2770" s="7" t="s">
        <v>14257</v>
      </c>
    </row>
    <row r="2771" customFormat="false" ht="23.85" hidden="false" customHeight="false" outlineLevel="0" collapsed="false">
      <c r="A2771" s="7" t="n">
        <v>2770</v>
      </c>
      <c r="B2771" s="7" t="s">
        <v>13743</v>
      </c>
      <c r="C2771" s="7" t="n">
        <v>2023</v>
      </c>
      <c r="D2771" s="7" t="s">
        <v>14258</v>
      </c>
      <c r="E2771" s="7" t="s">
        <v>201</v>
      </c>
      <c r="F2771" s="7" t="s">
        <v>14259</v>
      </c>
      <c r="G2771" s="7" t="s">
        <v>678</v>
      </c>
      <c r="H2771" s="7" t="s">
        <v>146</v>
      </c>
      <c r="I2771" s="7" t="s">
        <v>14260</v>
      </c>
      <c r="J2771" s="7" t="s">
        <v>114</v>
      </c>
      <c r="K2771" s="7" t="s">
        <v>14261</v>
      </c>
    </row>
    <row r="2772" customFormat="false" ht="35.05" hidden="false" customHeight="false" outlineLevel="0" collapsed="false">
      <c r="A2772" s="7" t="n">
        <v>2771</v>
      </c>
      <c r="B2772" s="7" t="s">
        <v>14262</v>
      </c>
      <c r="C2772" s="7" t="n">
        <v>2024</v>
      </c>
      <c r="D2772" s="7" t="s">
        <v>14263</v>
      </c>
      <c r="E2772" s="7" t="s">
        <v>579</v>
      </c>
      <c r="F2772" s="7" t="s">
        <v>14264</v>
      </c>
      <c r="G2772" s="7" t="s">
        <v>327</v>
      </c>
      <c r="H2772" s="7" t="s">
        <v>146</v>
      </c>
      <c r="I2772" s="7" t="s">
        <v>14265</v>
      </c>
      <c r="J2772" s="7" t="s">
        <v>114</v>
      </c>
      <c r="K2772" s="7" t="s">
        <v>14266</v>
      </c>
    </row>
    <row r="2773" customFormat="false" ht="35.05" hidden="false" customHeight="false" outlineLevel="0" collapsed="false">
      <c r="A2773" s="7" t="n">
        <v>2772</v>
      </c>
      <c r="B2773" s="7" t="s">
        <v>14267</v>
      </c>
      <c r="C2773" s="7" t="n">
        <v>2012</v>
      </c>
      <c r="D2773" s="7" t="s">
        <v>14268</v>
      </c>
      <c r="E2773" s="7" t="s">
        <v>9198</v>
      </c>
      <c r="F2773" s="7" t="s">
        <v>152</v>
      </c>
      <c r="G2773" s="7" t="s">
        <v>14269</v>
      </c>
      <c r="H2773" s="7" t="s">
        <v>146</v>
      </c>
      <c r="I2773" s="7" t="s">
        <v>14270</v>
      </c>
      <c r="J2773" s="7"/>
      <c r="K2773" s="7" t="s">
        <v>14271</v>
      </c>
    </row>
    <row r="2774" customFormat="false" ht="35.05" hidden="false" customHeight="false" outlineLevel="0" collapsed="false">
      <c r="A2774" s="7" t="n">
        <v>2773</v>
      </c>
      <c r="B2774" s="7" t="s">
        <v>14272</v>
      </c>
      <c r="C2774" s="7" t="n">
        <v>2024</v>
      </c>
      <c r="D2774" s="7" t="s">
        <v>14273</v>
      </c>
      <c r="E2774" s="7" t="s">
        <v>14274</v>
      </c>
      <c r="F2774" s="7" t="s">
        <v>14275</v>
      </c>
      <c r="G2774" s="7" t="s">
        <v>14276</v>
      </c>
      <c r="H2774" s="7" t="s">
        <v>8546</v>
      </c>
      <c r="I2774" s="7" t="s">
        <v>14277</v>
      </c>
      <c r="J2774" s="7"/>
      <c r="K2774" s="7" t="s">
        <v>14278</v>
      </c>
    </row>
    <row r="2775" customFormat="false" ht="35.05" hidden="false" customHeight="false" outlineLevel="0" collapsed="false">
      <c r="A2775" s="7" t="n">
        <v>2774</v>
      </c>
      <c r="B2775" s="7" t="s">
        <v>1740</v>
      </c>
      <c r="C2775" s="7" t="n">
        <v>2013</v>
      </c>
      <c r="D2775" s="7" t="s">
        <v>14279</v>
      </c>
      <c r="E2775" s="7" t="s">
        <v>14280</v>
      </c>
      <c r="F2775" s="7" t="s">
        <v>14281</v>
      </c>
      <c r="G2775" s="7" t="s">
        <v>327</v>
      </c>
      <c r="H2775" s="7" t="s">
        <v>146</v>
      </c>
      <c r="I2775" s="7" t="s">
        <v>14282</v>
      </c>
      <c r="J2775" s="7" t="s">
        <v>116</v>
      </c>
      <c r="K2775" s="7" t="s">
        <v>14283</v>
      </c>
    </row>
    <row r="2776" customFormat="false" ht="23.85" hidden="false" customHeight="false" outlineLevel="0" collapsed="false">
      <c r="A2776" s="7" t="n">
        <v>2775</v>
      </c>
      <c r="B2776" s="7" t="s">
        <v>1740</v>
      </c>
      <c r="C2776" s="7" t="n">
        <v>2024</v>
      </c>
      <c r="D2776" s="7" t="s">
        <v>14284</v>
      </c>
      <c r="E2776" s="7" t="s">
        <v>14285</v>
      </c>
      <c r="F2776" s="7" t="s">
        <v>14286</v>
      </c>
      <c r="G2776" s="7" t="s">
        <v>327</v>
      </c>
      <c r="H2776" s="7" t="s">
        <v>153</v>
      </c>
      <c r="I2776" s="7" t="s">
        <v>14287</v>
      </c>
      <c r="J2776" s="7" t="s">
        <v>114</v>
      </c>
      <c r="K2776" s="7" t="s">
        <v>14288</v>
      </c>
    </row>
    <row r="2777" customFormat="false" ht="35.05" hidden="false" customHeight="false" outlineLevel="0" collapsed="false">
      <c r="A2777" s="7" t="n">
        <v>2776</v>
      </c>
      <c r="B2777" s="7" t="s">
        <v>14289</v>
      </c>
      <c r="C2777" s="7" t="n">
        <v>2018</v>
      </c>
      <c r="D2777" s="7" t="s">
        <v>14290</v>
      </c>
      <c r="E2777" s="7" t="s">
        <v>14291</v>
      </c>
      <c r="F2777" s="7" t="s">
        <v>9163</v>
      </c>
      <c r="G2777" s="7" t="s">
        <v>327</v>
      </c>
      <c r="H2777" s="7" t="s">
        <v>153</v>
      </c>
      <c r="I2777" s="7" t="s">
        <v>14292</v>
      </c>
      <c r="J2777" s="7" t="s">
        <v>114</v>
      </c>
      <c r="K2777" s="7" t="s">
        <v>14293</v>
      </c>
    </row>
    <row r="2778" customFormat="false" ht="35.05" hidden="false" customHeight="false" outlineLevel="0" collapsed="false">
      <c r="A2778" s="7" t="n">
        <v>2777</v>
      </c>
      <c r="B2778" s="7" t="s">
        <v>8826</v>
      </c>
      <c r="C2778" s="7" t="n">
        <v>2018</v>
      </c>
      <c r="D2778" s="7" t="s">
        <v>14294</v>
      </c>
      <c r="E2778" s="7" t="s">
        <v>201</v>
      </c>
      <c r="F2778" s="7" t="s">
        <v>14295</v>
      </c>
      <c r="G2778" s="7" t="s">
        <v>145</v>
      </c>
      <c r="H2778" s="7" t="s">
        <v>146</v>
      </c>
      <c r="I2778" s="7" t="s">
        <v>14296</v>
      </c>
      <c r="J2778" s="7"/>
      <c r="K2778" s="7" t="s">
        <v>14297</v>
      </c>
    </row>
    <row r="2779" customFormat="false" ht="23.85" hidden="false" customHeight="false" outlineLevel="0" collapsed="false">
      <c r="A2779" s="7" t="n">
        <v>2778</v>
      </c>
      <c r="B2779" s="7" t="s">
        <v>14298</v>
      </c>
      <c r="C2779" s="7" t="n">
        <v>2024</v>
      </c>
      <c r="D2779" s="7" t="s">
        <v>14299</v>
      </c>
      <c r="E2779" s="7" t="s">
        <v>3817</v>
      </c>
      <c r="F2779" s="7" t="s">
        <v>14146</v>
      </c>
      <c r="G2779" s="7" t="s">
        <v>327</v>
      </c>
      <c r="H2779" s="7" t="s">
        <v>146</v>
      </c>
      <c r="I2779" s="7" t="s">
        <v>14300</v>
      </c>
      <c r="J2779" s="7"/>
      <c r="K2779" s="7" t="s">
        <v>14301</v>
      </c>
    </row>
    <row r="2780" customFormat="false" ht="23.85" hidden="false" customHeight="false" outlineLevel="0" collapsed="false">
      <c r="A2780" s="7" t="n">
        <v>2779</v>
      </c>
      <c r="B2780" s="7" t="s">
        <v>14302</v>
      </c>
      <c r="C2780" s="7" t="n">
        <v>2014</v>
      </c>
      <c r="D2780" s="7" t="s">
        <v>14303</v>
      </c>
      <c r="E2780" s="7" t="s">
        <v>143</v>
      </c>
      <c r="F2780" s="7" t="s">
        <v>14304</v>
      </c>
      <c r="G2780" s="7" t="s">
        <v>145</v>
      </c>
      <c r="H2780" s="7" t="s">
        <v>146</v>
      </c>
      <c r="I2780" s="7" t="s">
        <v>14305</v>
      </c>
      <c r="J2780" s="7"/>
      <c r="K2780" s="7" t="s">
        <v>14306</v>
      </c>
    </row>
    <row r="2781" customFormat="false" ht="35.05" hidden="false" customHeight="false" outlineLevel="0" collapsed="false">
      <c r="A2781" s="7" t="n">
        <v>2780</v>
      </c>
      <c r="B2781" s="7" t="s">
        <v>14307</v>
      </c>
      <c r="C2781" s="7" t="n">
        <v>2019</v>
      </c>
      <c r="D2781" s="7" t="s">
        <v>14308</v>
      </c>
      <c r="E2781" s="7" t="s">
        <v>201</v>
      </c>
      <c r="F2781" s="7" t="s">
        <v>197</v>
      </c>
      <c r="G2781" s="7" t="s">
        <v>2846</v>
      </c>
      <c r="H2781" s="7" t="s">
        <v>146</v>
      </c>
      <c r="I2781" s="7" t="s">
        <v>14309</v>
      </c>
      <c r="J2781" s="7"/>
      <c r="K2781" s="7" t="s">
        <v>14310</v>
      </c>
    </row>
    <row r="2782" customFormat="false" ht="23.85" hidden="false" customHeight="false" outlineLevel="0" collapsed="false">
      <c r="A2782" s="7" t="n">
        <v>2781</v>
      </c>
      <c r="B2782" s="7" t="s">
        <v>14311</v>
      </c>
      <c r="C2782" s="7" t="n">
        <v>2023</v>
      </c>
      <c r="D2782" s="7" t="s">
        <v>14312</v>
      </c>
      <c r="E2782" s="7" t="s">
        <v>151</v>
      </c>
      <c r="F2782" s="7" t="s">
        <v>511</v>
      </c>
      <c r="G2782" s="7" t="s">
        <v>5248</v>
      </c>
      <c r="H2782" s="7" t="s">
        <v>146</v>
      </c>
      <c r="I2782" s="7" t="s">
        <v>14313</v>
      </c>
      <c r="J2782" s="7"/>
      <c r="K2782" s="7" t="s">
        <v>14314</v>
      </c>
    </row>
    <row r="2783" customFormat="false" ht="23.85" hidden="false" customHeight="false" outlineLevel="0" collapsed="false">
      <c r="A2783" s="7" t="n">
        <v>2782</v>
      </c>
      <c r="B2783" s="7" t="s">
        <v>14315</v>
      </c>
      <c r="C2783" s="7" t="n">
        <v>1997</v>
      </c>
      <c r="D2783" s="7" t="s">
        <v>14316</v>
      </c>
      <c r="E2783" s="7" t="s">
        <v>14317</v>
      </c>
      <c r="F2783" s="7" t="s">
        <v>14318</v>
      </c>
      <c r="G2783" s="7" t="s">
        <v>14319</v>
      </c>
      <c r="H2783" s="7" t="s">
        <v>146</v>
      </c>
      <c r="I2783" s="7" t="s">
        <v>14320</v>
      </c>
      <c r="J2783" s="7"/>
      <c r="K2783" s="7" t="s">
        <v>14321</v>
      </c>
    </row>
    <row r="2784" customFormat="false" ht="23.85" hidden="false" customHeight="false" outlineLevel="0" collapsed="false">
      <c r="A2784" s="7" t="n">
        <v>2783</v>
      </c>
      <c r="B2784" s="7" t="s">
        <v>14322</v>
      </c>
      <c r="C2784" s="7" t="n">
        <v>2019</v>
      </c>
      <c r="D2784" s="7" t="s">
        <v>14323</v>
      </c>
      <c r="E2784" s="7" t="s">
        <v>10484</v>
      </c>
      <c r="F2784" s="7" t="s">
        <v>14229</v>
      </c>
      <c r="G2784" s="7" t="s">
        <v>14324</v>
      </c>
      <c r="H2784" s="7" t="s">
        <v>146</v>
      </c>
      <c r="I2784" s="7" t="s">
        <v>14325</v>
      </c>
      <c r="J2784" s="7"/>
      <c r="K2784" s="7" t="s">
        <v>14326</v>
      </c>
    </row>
    <row r="2785" customFormat="false" ht="23.85" hidden="false" customHeight="false" outlineLevel="0" collapsed="false">
      <c r="A2785" s="7" t="n">
        <v>2784</v>
      </c>
      <c r="B2785" s="7" t="s">
        <v>14327</v>
      </c>
      <c r="C2785" s="7" t="n">
        <v>2021</v>
      </c>
      <c r="D2785" s="7" t="s">
        <v>14328</v>
      </c>
      <c r="E2785" s="7" t="s">
        <v>151</v>
      </c>
      <c r="F2785" s="7" t="s">
        <v>14329</v>
      </c>
      <c r="G2785" s="7" t="s">
        <v>14330</v>
      </c>
      <c r="H2785" s="7" t="s">
        <v>146</v>
      </c>
      <c r="I2785" s="7" t="s">
        <v>14331</v>
      </c>
      <c r="J2785" s="7"/>
      <c r="K2785" s="7" t="s">
        <v>14332</v>
      </c>
    </row>
    <row r="2786" customFormat="false" ht="23.85" hidden="false" customHeight="false" outlineLevel="0" collapsed="false">
      <c r="A2786" s="7" t="n">
        <v>2785</v>
      </c>
      <c r="B2786" s="7" t="s">
        <v>14333</v>
      </c>
      <c r="C2786" s="7" t="n">
        <v>2021</v>
      </c>
      <c r="D2786" s="7" t="s">
        <v>14334</v>
      </c>
      <c r="E2786" s="7" t="s">
        <v>14274</v>
      </c>
      <c r="F2786" s="7" t="s">
        <v>14335</v>
      </c>
      <c r="G2786" s="7" t="s">
        <v>678</v>
      </c>
      <c r="H2786" s="7" t="s">
        <v>8546</v>
      </c>
      <c r="I2786" s="7" t="s">
        <v>14336</v>
      </c>
      <c r="J2786" s="7"/>
      <c r="K2786" s="7" t="s">
        <v>14337</v>
      </c>
    </row>
    <row r="2787" customFormat="false" ht="23.85" hidden="false" customHeight="false" outlineLevel="0" collapsed="false">
      <c r="A2787" s="7" t="n">
        <v>2786</v>
      </c>
      <c r="B2787" s="7" t="s">
        <v>14338</v>
      </c>
      <c r="C2787" s="7" t="n">
        <v>2020</v>
      </c>
      <c r="D2787" s="7" t="s">
        <v>14339</v>
      </c>
      <c r="E2787" s="7" t="s">
        <v>201</v>
      </c>
      <c r="F2787" s="7" t="s">
        <v>14340</v>
      </c>
      <c r="G2787" s="7" t="s">
        <v>14341</v>
      </c>
      <c r="H2787" s="7" t="s">
        <v>146</v>
      </c>
      <c r="I2787" s="7" t="s">
        <v>14342</v>
      </c>
      <c r="J2787" s="7" t="s">
        <v>114</v>
      </c>
      <c r="K2787" s="7" t="s">
        <v>14343</v>
      </c>
    </row>
    <row r="2788" customFormat="false" ht="23.85" hidden="false" customHeight="false" outlineLevel="0" collapsed="false">
      <c r="A2788" s="7" t="n">
        <v>2787</v>
      </c>
      <c r="B2788" s="7" t="s">
        <v>14344</v>
      </c>
      <c r="C2788" s="7" t="n">
        <v>2017</v>
      </c>
      <c r="D2788" s="7" t="s">
        <v>14345</v>
      </c>
      <c r="E2788" s="7" t="s">
        <v>151</v>
      </c>
      <c r="F2788" s="7" t="s">
        <v>4464</v>
      </c>
      <c r="G2788" s="7" t="s">
        <v>14346</v>
      </c>
      <c r="H2788" s="7" t="s">
        <v>146</v>
      </c>
      <c r="I2788" s="7" t="s">
        <v>14347</v>
      </c>
      <c r="J2788" s="7"/>
      <c r="K2788" s="7" t="s">
        <v>14348</v>
      </c>
    </row>
    <row r="2789" customFormat="false" ht="23.85" hidden="false" customHeight="false" outlineLevel="0" collapsed="false">
      <c r="A2789" s="7" t="n">
        <v>2788</v>
      </c>
      <c r="B2789" s="7" t="s">
        <v>14349</v>
      </c>
      <c r="C2789" s="7" t="n">
        <v>2007</v>
      </c>
      <c r="D2789" s="7" t="s">
        <v>14350</v>
      </c>
      <c r="E2789" s="7" t="s">
        <v>14351</v>
      </c>
      <c r="F2789" s="7" t="s">
        <v>14352</v>
      </c>
      <c r="G2789" s="7" t="s">
        <v>327</v>
      </c>
      <c r="H2789" s="7" t="s">
        <v>146</v>
      </c>
      <c r="I2789" s="7" t="s">
        <v>14353</v>
      </c>
      <c r="J2789" s="7" t="s">
        <v>114</v>
      </c>
      <c r="K2789" s="7" t="s">
        <v>14354</v>
      </c>
    </row>
    <row r="2790" customFormat="false" ht="35.05" hidden="false" customHeight="false" outlineLevel="0" collapsed="false">
      <c r="A2790" s="7" t="n">
        <v>2789</v>
      </c>
      <c r="B2790" s="7" t="s">
        <v>14355</v>
      </c>
      <c r="C2790" s="7" t="n">
        <v>2012</v>
      </c>
      <c r="D2790" s="7" t="s">
        <v>14356</v>
      </c>
      <c r="E2790" s="7" t="s">
        <v>579</v>
      </c>
      <c r="F2790" s="7" t="s">
        <v>4464</v>
      </c>
      <c r="G2790" s="7" t="s">
        <v>14357</v>
      </c>
      <c r="H2790" s="7" t="s">
        <v>146</v>
      </c>
      <c r="I2790" s="7" t="s">
        <v>14358</v>
      </c>
      <c r="J2790" s="7"/>
      <c r="K2790" s="7" t="s">
        <v>14359</v>
      </c>
    </row>
    <row r="2791" customFormat="false" ht="23.85" hidden="false" customHeight="false" outlineLevel="0" collapsed="false">
      <c r="A2791" s="7" t="n">
        <v>2790</v>
      </c>
      <c r="B2791" s="7" t="s">
        <v>14360</v>
      </c>
      <c r="C2791" s="7" t="n">
        <v>1993</v>
      </c>
      <c r="D2791" s="7" t="s">
        <v>14361</v>
      </c>
      <c r="E2791" s="7" t="s">
        <v>201</v>
      </c>
      <c r="F2791" s="7" t="s">
        <v>152</v>
      </c>
      <c r="G2791" s="7" t="s">
        <v>901</v>
      </c>
      <c r="H2791" s="7" t="s">
        <v>153</v>
      </c>
      <c r="I2791" s="7" t="s">
        <v>14362</v>
      </c>
      <c r="J2791" s="7"/>
      <c r="K2791" s="7" t="s">
        <v>14363</v>
      </c>
    </row>
    <row r="2792" customFormat="false" ht="23.85" hidden="false" customHeight="false" outlineLevel="0" collapsed="false">
      <c r="A2792" s="7" t="n">
        <v>2791</v>
      </c>
      <c r="B2792" s="7" t="s">
        <v>14364</v>
      </c>
      <c r="C2792" s="7" t="n">
        <v>2022</v>
      </c>
      <c r="D2792" s="7" t="s">
        <v>14365</v>
      </c>
      <c r="E2792" s="7" t="s">
        <v>143</v>
      </c>
      <c r="F2792" s="7" t="s">
        <v>152</v>
      </c>
      <c r="G2792" s="7" t="s">
        <v>145</v>
      </c>
      <c r="H2792" s="7" t="s">
        <v>153</v>
      </c>
      <c r="I2792" s="7" t="s">
        <v>14366</v>
      </c>
      <c r="J2792" s="7"/>
      <c r="K2792" s="7" t="s">
        <v>14367</v>
      </c>
    </row>
    <row r="2793" customFormat="false" ht="23.85" hidden="false" customHeight="false" outlineLevel="0" collapsed="false">
      <c r="A2793" s="7" t="n">
        <v>2792</v>
      </c>
      <c r="B2793" s="7" t="s">
        <v>14368</v>
      </c>
      <c r="C2793" s="7" t="n">
        <v>2014</v>
      </c>
      <c r="D2793" s="7" t="s">
        <v>14369</v>
      </c>
      <c r="E2793" s="7" t="s">
        <v>4245</v>
      </c>
      <c r="F2793" s="7" t="s">
        <v>14370</v>
      </c>
      <c r="G2793" s="7" t="s">
        <v>678</v>
      </c>
      <c r="H2793" s="7" t="s">
        <v>146</v>
      </c>
      <c r="I2793" s="7" t="s">
        <v>14371</v>
      </c>
      <c r="J2793" s="7"/>
      <c r="K2793" s="7" t="s">
        <v>14372</v>
      </c>
    </row>
    <row r="2794" customFormat="false" ht="23.85" hidden="false" customHeight="false" outlineLevel="0" collapsed="false">
      <c r="A2794" s="7" t="n">
        <v>2793</v>
      </c>
      <c r="B2794" s="7" t="s">
        <v>14373</v>
      </c>
      <c r="C2794" s="7" t="n">
        <v>2020</v>
      </c>
      <c r="D2794" s="7" t="s">
        <v>14374</v>
      </c>
      <c r="E2794" s="7" t="s">
        <v>14317</v>
      </c>
      <c r="F2794" s="7" t="s">
        <v>14375</v>
      </c>
      <c r="G2794" s="7" t="s">
        <v>14376</v>
      </c>
      <c r="H2794" s="7" t="s">
        <v>146</v>
      </c>
      <c r="I2794" s="7" t="s">
        <v>14377</v>
      </c>
      <c r="J2794" s="7"/>
      <c r="K2794" s="7" t="s">
        <v>14378</v>
      </c>
    </row>
    <row r="2795" customFormat="false" ht="35.05" hidden="false" customHeight="false" outlineLevel="0" collapsed="false">
      <c r="A2795" s="7" t="n">
        <v>2794</v>
      </c>
      <c r="B2795" s="7" t="s">
        <v>14379</v>
      </c>
      <c r="C2795" s="7" t="n">
        <v>2020</v>
      </c>
      <c r="D2795" s="7" t="s">
        <v>14380</v>
      </c>
      <c r="E2795" s="7" t="s">
        <v>579</v>
      </c>
      <c r="F2795" s="7" t="s">
        <v>152</v>
      </c>
      <c r="G2795" s="7" t="s">
        <v>14381</v>
      </c>
      <c r="H2795" s="7" t="s">
        <v>146</v>
      </c>
      <c r="I2795" s="7" t="s">
        <v>14382</v>
      </c>
      <c r="J2795" s="7"/>
      <c r="K2795" s="7" t="s">
        <v>14383</v>
      </c>
    </row>
    <row r="2796" customFormat="false" ht="35.05" hidden="false" customHeight="false" outlineLevel="0" collapsed="false">
      <c r="A2796" s="7" t="n">
        <v>2795</v>
      </c>
      <c r="B2796" s="7" t="s">
        <v>14384</v>
      </c>
      <c r="C2796" s="7" t="n">
        <v>2023</v>
      </c>
      <c r="D2796" s="7" t="s">
        <v>14385</v>
      </c>
      <c r="E2796" s="7" t="s">
        <v>14386</v>
      </c>
      <c r="F2796" s="7" t="s">
        <v>14387</v>
      </c>
      <c r="G2796" s="7" t="s">
        <v>327</v>
      </c>
      <c r="H2796" s="7" t="s">
        <v>146</v>
      </c>
      <c r="I2796" s="7" t="s">
        <v>14388</v>
      </c>
      <c r="J2796" s="7"/>
      <c r="K2796" s="7" t="s">
        <v>14389</v>
      </c>
    </row>
    <row r="2797" customFormat="false" ht="23.85" hidden="false" customHeight="false" outlineLevel="0" collapsed="false">
      <c r="A2797" s="7" t="n">
        <v>2796</v>
      </c>
      <c r="B2797" s="7" t="s">
        <v>14390</v>
      </c>
      <c r="C2797" s="7" t="n">
        <v>2018</v>
      </c>
      <c r="D2797" s="7" t="s">
        <v>14391</v>
      </c>
      <c r="E2797" s="7" t="s">
        <v>151</v>
      </c>
      <c r="F2797" s="7" t="s">
        <v>14392</v>
      </c>
      <c r="G2797" s="7" t="s">
        <v>14393</v>
      </c>
      <c r="H2797" s="7" t="s">
        <v>146</v>
      </c>
      <c r="I2797" s="7" t="s">
        <v>14394</v>
      </c>
      <c r="J2797" s="7" t="s">
        <v>114</v>
      </c>
      <c r="K2797" s="7" t="s">
        <v>14395</v>
      </c>
    </row>
    <row r="2798" customFormat="false" ht="46.25" hidden="false" customHeight="false" outlineLevel="0" collapsed="false">
      <c r="A2798" s="7" t="n">
        <v>2797</v>
      </c>
      <c r="B2798" s="7" t="s">
        <v>15871</v>
      </c>
      <c r="C2798" s="7" t="n">
        <v>2022</v>
      </c>
      <c r="D2798" s="7" t="s">
        <v>14397</v>
      </c>
      <c r="E2798" s="7" t="s">
        <v>15872</v>
      </c>
      <c r="F2798" s="7" t="s">
        <v>15873</v>
      </c>
      <c r="G2798" s="7" t="s">
        <v>15874</v>
      </c>
      <c r="H2798" s="7" t="s">
        <v>153</v>
      </c>
      <c r="I2798" s="7" t="s">
        <v>15875</v>
      </c>
      <c r="J2798" s="7" t="s">
        <v>114</v>
      </c>
      <c r="K2798" s="7" t="s">
        <v>15876</v>
      </c>
    </row>
    <row r="2799" customFormat="false" ht="35.05" hidden="false" customHeight="false" outlineLevel="0" collapsed="false">
      <c r="A2799" s="7" t="n">
        <v>2798</v>
      </c>
      <c r="B2799" s="7" t="s">
        <v>14407</v>
      </c>
      <c r="C2799" s="7" t="n">
        <v>2008</v>
      </c>
      <c r="D2799" s="7" t="s">
        <v>14408</v>
      </c>
      <c r="E2799" s="7" t="s">
        <v>14409</v>
      </c>
      <c r="F2799" s="7" t="s">
        <v>14146</v>
      </c>
      <c r="G2799" s="7" t="s">
        <v>327</v>
      </c>
      <c r="H2799" s="7" t="s">
        <v>146</v>
      </c>
      <c r="I2799" s="7" t="s">
        <v>14410</v>
      </c>
      <c r="J2799" s="7"/>
      <c r="K2799" s="7" t="s">
        <v>14411</v>
      </c>
    </row>
    <row r="2800" customFormat="false" ht="35.05" hidden="false" customHeight="false" outlineLevel="0" collapsed="false">
      <c r="A2800" s="7" t="n">
        <v>2799</v>
      </c>
      <c r="B2800" s="7" t="s">
        <v>14412</v>
      </c>
      <c r="C2800" s="7" t="n">
        <v>2017</v>
      </c>
      <c r="D2800" s="7" t="s">
        <v>14413</v>
      </c>
      <c r="E2800" s="7" t="s">
        <v>14414</v>
      </c>
      <c r="F2800" s="7" t="s">
        <v>152</v>
      </c>
      <c r="G2800" s="7" t="s">
        <v>2841</v>
      </c>
      <c r="H2800" s="7" t="s">
        <v>146</v>
      </c>
      <c r="I2800" s="7" t="s">
        <v>14415</v>
      </c>
      <c r="J2800" s="7"/>
      <c r="K2800" s="7" t="s">
        <v>14416</v>
      </c>
    </row>
    <row r="2801" customFormat="false" ht="23.85" hidden="false" customHeight="false" outlineLevel="0" collapsed="false">
      <c r="A2801" s="7" t="n">
        <v>2800</v>
      </c>
      <c r="B2801" s="7" t="s">
        <v>14417</v>
      </c>
      <c r="C2801" s="7" t="n">
        <v>1972</v>
      </c>
      <c r="D2801" s="7" t="s">
        <v>14418</v>
      </c>
      <c r="E2801" s="7" t="s">
        <v>151</v>
      </c>
      <c r="F2801" s="7" t="s">
        <v>4650</v>
      </c>
      <c r="G2801" s="7" t="s">
        <v>145</v>
      </c>
      <c r="H2801" s="7" t="s">
        <v>146</v>
      </c>
      <c r="I2801" s="7" t="s">
        <v>14419</v>
      </c>
      <c r="J2801" s="7"/>
      <c r="K2801" s="7" t="s">
        <v>14420</v>
      </c>
    </row>
    <row r="2802" customFormat="false" ht="35.05" hidden="false" customHeight="false" outlineLevel="0" collapsed="false">
      <c r="A2802" s="7" t="n">
        <v>2801</v>
      </c>
      <c r="B2802" s="7" t="s">
        <v>14421</v>
      </c>
      <c r="C2802" s="7" t="n">
        <v>2021</v>
      </c>
      <c r="D2802" s="7" t="s">
        <v>14422</v>
      </c>
      <c r="E2802" s="7" t="s">
        <v>201</v>
      </c>
      <c r="F2802" s="7" t="s">
        <v>14423</v>
      </c>
      <c r="G2802" s="7" t="s">
        <v>423</v>
      </c>
      <c r="H2802" s="7" t="s">
        <v>146</v>
      </c>
      <c r="I2802" s="7" t="s">
        <v>14424</v>
      </c>
      <c r="J2802" s="7" t="s">
        <v>116</v>
      </c>
      <c r="K2802" s="7" t="s">
        <v>14425</v>
      </c>
    </row>
    <row r="2803" customFormat="false" ht="57.45" hidden="false" customHeight="false" outlineLevel="0" collapsed="false">
      <c r="A2803" s="7" t="n">
        <v>2802</v>
      </c>
      <c r="B2803" s="7" t="s">
        <v>15877</v>
      </c>
      <c r="C2803" s="7" t="n">
        <v>2023</v>
      </c>
      <c r="D2803" s="7" t="s">
        <v>14427</v>
      </c>
      <c r="E2803" s="7" t="s">
        <v>14403</v>
      </c>
      <c r="F2803" s="7" t="s">
        <v>15878</v>
      </c>
      <c r="G2803" s="7" t="s">
        <v>15879</v>
      </c>
      <c r="H2803" s="7" t="s">
        <v>146</v>
      </c>
      <c r="I2803" s="7" t="s">
        <v>15880</v>
      </c>
      <c r="J2803" s="7" t="s">
        <v>114</v>
      </c>
      <c r="K2803" s="7" t="s">
        <v>15881</v>
      </c>
    </row>
    <row r="2804" customFormat="false" ht="23.85" hidden="false" customHeight="false" outlineLevel="0" collapsed="false">
      <c r="A2804" s="7" t="n">
        <v>2803</v>
      </c>
      <c r="B2804" s="7" t="s">
        <v>14435</v>
      </c>
      <c r="C2804" s="7" t="n">
        <v>2016</v>
      </c>
      <c r="D2804" s="7" t="s">
        <v>14436</v>
      </c>
      <c r="E2804" s="7" t="s">
        <v>143</v>
      </c>
      <c r="F2804" s="7" t="s">
        <v>3552</v>
      </c>
      <c r="G2804" s="7" t="s">
        <v>145</v>
      </c>
      <c r="H2804" s="7" t="s">
        <v>146</v>
      </c>
      <c r="I2804" s="7" t="s">
        <v>14437</v>
      </c>
      <c r="J2804" s="7"/>
      <c r="K2804" s="7" t="s">
        <v>14438</v>
      </c>
    </row>
    <row r="2805" customFormat="false" ht="35.05" hidden="false" customHeight="false" outlineLevel="0" collapsed="false">
      <c r="A2805" s="7" t="n">
        <v>2804</v>
      </c>
      <c r="B2805" s="7" t="s">
        <v>14439</v>
      </c>
      <c r="C2805" s="7" t="n">
        <v>2020</v>
      </c>
      <c r="D2805" s="7" t="s">
        <v>14440</v>
      </c>
      <c r="E2805" s="7" t="s">
        <v>14441</v>
      </c>
      <c r="F2805" s="7" t="s">
        <v>14442</v>
      </c>
      <c r="G2805" s="7" t="s">
        <v>14443</v>
      </c>
      <c r="H2805" s="7" t="s">
        <v>146</v>
      </c>
      <c r="I2805" s="7" t="s">
        <v>14444</v>
      </c>
      <c r="J2805" s="7"/>
      <c r="K2805" s="7" t="s">
        <v>14445</v>
      </c>
    </row>
    <row r="2806" customFormat="false" ht="23.85" hidden="false" customHeight="false" outlineLevel="0" collapsed="false">
      <c r="A2806" s="7" t="n">
        <v>2805</v>
      </c>
      <c r="B2806" s="7" t="s">
        <v>14446</v>
      </c>
      <c r="C2806" s="7" t="n">
        <v>2010</v>
      </c>
      <c r="D2806" s="7" t="s">
        <v>14447</v>
      </c>
      <c r="E2806" s="7" t="s">
        <v>143</v>
      </c>
      <c r="F2806" s="7" t="s">
        <v>348</v>
      </c>
      <c r="G2806" s="7" t="s">
        <v>145</v>
      </c>
      <c r="H2806" s="7" t="s">
        <v>146</v>
      </c>
      <c r="I2806" s="7" t="s">
        <v>14448</v>
      </c>
      <c r="J2806" s="7"/>
      <c r="K2806" s="7" t="s">
        <v>14449</v>
      </c>
    </row>
    <row r="2807" customFormat="false" ht="35.05" hidden="false" customHeight="false" outlineLevel="0" collapsed="false">
      <c r="A2807" s="7" t="n">
        <v>2806</v>
      </c>
      <c r="B2807" s="7" t="s">
        <v>14450</v>
      </c>
      <c r="C2807" s="7" t="n">
        <v>2011</v>
      </c>
      <c r="D2807" s="7" t="s">
        <v>14451</v>
      </c>
      <c r="E2807" s="7" t="s">
        <v>151</v>
      </c>
      <c r="F2807" s="7" t="s">
        <v>14452</v>
      </c>
      <c r="G2807" s="7" t="s">
        <v>678</v>
      </c>
      <c r="H2807" s="7" t="s">
        <v>146</v>
      </c>
      <c r="I2807" s="7" t="s">
        <v>14453</v>
      </c>
      <c r="J2807" s="7"/>
      <c r="K2807" s="7" t="s">
        <v>14454</v>
      </c>
    </row>
    <row r="2808" customFormat="false" ht="35.05" hidden="false" customHeight="false" outlineLevel="0" collapsed="false">
      <c r="A2808" s="7" t="n">
        <v>2807</v>
      </c>
      <c r="B2808" s="7" t="s">
        <v>14455</v>
      </c>
      <c r="C2808" s="7" t="n">
        <v>2017</v>
      </c>
      <c r="D2808" s="7" t="s">
        <v>14456</v>
      </c>
      <c r="E2808" s="7" t="s">
        <v>14457</v>
      </c>
      <c r="F2808" s="7" t="s">
        <v>14458</v>
      </c>
      <c r="G2808" s="7" t="s">
        <v>678</v>
      </c>
      <c r="H2808" s="7" t="s">
        <v>146</v>
      </c>
      <c r="I2808" s="7" t="s">
        <v>14459</v>
      </c>
      <c r="J2808" s="7"/>
      <c r="K2808" s="7" t="s">
        <v>14460</v>
      </c>
    </row>
    <row r="2809" customFormat="false" ht="35.05" hidden="false" customHeight="false" outlineLevel="0" collapsed="false">
      <c r="A2809" s="7" t="n">
        <v>2808</v>
      </c>
      <c r="B2809" s="7" t="s">
        <v>14461</v>
      </c>
      <c r="C2809" s="7" t="n">
        <v>2024</v>
      </c>
      <c r="D2809" s="7" t="s">
        <v>14462</v>
      </c>
      <c r="E2809" s="7" t="s">
        <v>151</v>
      </c>
      <c r="F2809" s="7" t="s">
        <v>14146</v>
      </c>
      <c r="G2809" s="7" t="s">
        <v>14463</v>
      </c>
      <c r="H2809" s="7" t="s">
        <v>146</v>
      </c>
      <c r="I2809" s="7" t="s">
        <v>14464</v>
      </c>
      <c r="J2809" s="7"/>
      <c r="K2809" s="7" t="s">
        <v>14465</v>
      </c>
    </row>
    <row r="2810" customFormat="false" ht="35.05" hidden="false" customHeight="false" outlineLevel="0" collapsed="false">
      <c r="A2810" s="7" t="n">
        <v>2809</v>
      </c>
      <c r="B2810" s="7" t="s">
        <v>14466</v>
      </c>
      <c r="C2810" s="7" t="n">
        <v>2006</v>
      </c>
      <c r="D2810" s="7" t="s">
        <v>14467</v>
      </c>
      <c r="E2810" s="7" t="s">
        <v>201</v>
      </c>
      <c r="F2810" s="7" t="s">
        <v>152</v>
      </c>
      <c r="G2810" s="7" t="s">
        <v>14468</v>
      </c>
      <c r="H2810" s="7" t="s">
        <v>146</v>
      </c>
      <c r="I2810" s="7" t="s">
        <v>14469</v>
      </c>
      <c r="J2810" s="7"/>
      <c r="K2810" s="7" t="s">
        <v>14470</v>
      </c>
    </row>
    <row r="2811" customFormat="false" ht="35.05" hidden="false" customHeight="false" outlineLevel="0" collapsed="false">
      <c r="A2811" s="7" t="n">
        <v>2810</v>
      </c>
      <c r="B2811" s="7" t="s">
        <v>14471</v>
      </c>
      <c r="C2811" s="7" t="n">
        <v>2000</v>
      </c>
      <c r="D2811" s="7" t="s">
        <v>14472</v>
      </c>
      <c r="E2811" s="7" t="s">
        <v>14473</v>
      </c>
      <c r="F2811" s="7" t="s">
        <v>14474</v>
      </c>
      <c r="G2811" s="7" t="s">
        <v>14475</v>
      </c>
      <c r="H2811" s="7" t="s">
        <v>146</v>
      </c>
      <c r="I2811" s="7" t="s">
        <v>14476</v>
      </c>
      <c r="J2811" s="7"/>
      <c r="K2811" s="7" t="s">
        <v>14477</v>
      </c>
    </row>
    <row r="2812" customFormat="false" ht="35.05" hidden="false" customHeight="false" outlineLevel="0" collapsed="false">
      <c r="A2812" s="7" t="n">
        <v>2811</v>
      </c>
      <c r="B2812" s="7" t="s">
        <v>7438</v>
      </c>
      <c r="C2812" s="7" t="n">
        <v>2024</v>
      </c>
      <c r="D2812" s="7" t="s">
        <v>14478</v>
      </c>
      <c r="E2812" s="7" t="s">
        <v>14479</v>
      </c>
      <c r="F2812" s="7" t="s">
        <v>3552</v>
      </c>
      <c r="G2812" s="7" t="s">
        <v>14480</v>
      </c>
      <c r="H2812" s="7" t="s">
        <v>146</v>
      </c>
      <c r="I2812" s="7" t="s">
        <v>14481</v>
      </c>
      <c r="J2812" s="7"/>
      <c r="K2812" s="7" t="s">
        <v>14482</v>
      </c>
    </row>
    <row r="2813" customFormat="false" ht="35.05" hidden="false" customHeight="false" outlineLevel="0" collapsed="false">
      <c r="A2813" s="7" t="n">
        <v>2812</v>
      </c>
      <c r="B2813" s="7" t="s">
        <v>14483</v>
      </c>
      <c r="C2813" s="7" t="n">
        <v>2019</v>
      </c>
      <c r="D2813" s="7" t="s">
        <v>14484</v>
      </c>
      <c r="E2813" s="7" t="s">
        <v>151</v>
      </c>
      <c r="F2813" s="7" t="s">
        <v>14146</v>
      </c>
      <c r="G2813" s="7" t="s">
        <v>327</v>
      </c>
      <c r="H2813" s="7" t="s">
        <v>146</v>
      </c>
      <c r="I2813" s="7" t="s">
        <v>14485</v>
      </c>
      <c r="J2813" s="7"/>
      <c r="K2813" s="7" t="s">
        <v>14486</v>
      </c>
    </row>
    <row r="2814" customFormat="false" ht="35.05" hidden="false" customHeight="false" outlineLevel="0" collapsed="false">
      <c r="A2814" s="7" t="n">
        <v>2813</v>
      </c>
      <c r="B2814" s="7" t="s">
        <v>14487</v>
      </c>
      <c r="C2814" s="7" t="n">
        <v>2020</v>
      </c>
      <c r="D2814" s="7" t="s">
        <v>14488</v>
      </c>
      <c r="E2814" s="7" t="s">
        <v>14489</v>
      </c>
      <c r="F2814" s="7" t="s">
        <v>14490</v>
      </c>
      <c r="G2814" s="7" t="s">
        <v>14491</v>
      </c>
      <c r="H2814" s="7" t="s">
        <v>146</v>
      </c>
      <c r="I2814" s="7" t="s">
        <v>14492</v>
      </c>
      <c r="J2814" s="7" t="s">
        <v>114</v>
      </c>
      <c r="K2814" s="7" t="s">
        <v>14493</v>
      </c>
    </row>
    <row r="2815" customFormat="false" ht="23.85" hidden="false" customHeight="false" outlineLevel="0" collapsed="false">
      <c r="A2815" s="7" t="n">
        <v>2814</v>
      </c>
      <c r="B2815" s="7" t="s">
        <v>14487</v>
      </c>
      <c r="C2815" s="7" t="n">
        <v>2022</v>
      </c>
      <c r="D2815" s="7" t="s">
        <v>14494</v>
      </c>
      <c r="E2815" s="7" t="s">
        <v>151</v>
      </c>
      <c r="F2815" s="7" t="s">
        <v>14404</v>
      </c>
      <c r="G2815" s="7" t="s">
        <v>14491</v>
      </c>
      <c r="H2815" s="7" t="s">
        <v>146</v>
      </c>
      <c r="I2815" s="7" t="s">
        <v>14495</v>
      </c>
      <c r="J2815" s="7"/>
      <c r="K2815" s="7" t="s">
        <v>14496</v>
      </c>
    </row>
    <row r="2816" customFormat="false" ht="23.85" hidden="false" customHeight="false" outlineLevel="0" collapsed="false">
      <c r="A2816" s="7" t="n">
        <v>2815</v>
      </c>
      <c r="B2816" s="7" t="s">
        <v>14487</v>
      </c>
      <c r="C2816" s="7" t="n">
        <v>2021</v>
      </c>
      <c r="D2816" s="7" t="s">
        <v>14497</v>
      </c>
      <c r="E2816" s="7" t="s">
        <v>151</v>
      </c>
      <c r="F2816" s="7" t="s">
        <v>14404</v>
      </c>
      <c r="G2816" s="7" t="s">
        <v>327</v>
      </c>
      <c r="H2816" s="7" t="s">
        <v>146</v>
      </c>
      <c r="I2816" s="7" t="s">
        <v>14498</v>
      </c>
      <c r="J2816" s="7"/>
      <c r="K2816" s="7" t="s">
        <v>14499</v>
      </c>
    </row>
    <row r="2817" customFormat="false" ht="23.85" hidden="false" customHeight="false" outlineLevel="0" collapsed="false">
      <c r="A2817" s="7" t="n">
        <v>2816</v>
      </c>
      <c r="B2817" s="7" t="s">
        <v>14500</v>
      </c>
      <c r="C2817" s="7" t="n">
        <v>2000</v>
      </c>
      <c r="D2817" s="7" t="s">
        <v>14501</v>
      </c>
      <c r="E2817" s="7" t="s">
        <v>14502</v>
      </c>
      <c r="F2817" s="7" t="s">
        <v>152</v>
      </c>
      <c r="G2817" s="7" t="s">
        <v>145</v>
      </c>
      <c r="H2817" s="7" t="s">
        <v>153</v>
      </c>
      <c r="I2817" s="7" t="s">
        <v>14503</v>
      </c>
      <c r="J2817" s="7"/>
      <c r="K2817" s="7" t="s">
        <v>14504</v>
      </c>
    </row>
    <row r="2818" customFormat="false" ht="35.05" hidden="false" customHeight="false" outlineLevel="0" collapsed="false">
      <c r="A2818" s="7" t="n">
        <v>2817</v>
      </c>
      <c r="B2818" s="7" t="s">
        <v>14505</v>
      </c>
      <c r="C2818" s="7" t="n">
        <v>2023</v>
      </c>
      <c r="D2818" s="7" t="s">
        <v>14506</v>
      </c>
      <c r="E2818" s="7" t="s">
        <v>151</v>
      </c>
      <c r="F2818" s="7" t="s">
        <v>14404</v>
      </c>
      <c r="G2818" s="7" t="s">
        <v>327</v>
      </c>
      <c r="H2818" s="7" t="s">
        <v>748</v>
      </c>
      <c r="I2818" s="7" t="s">
        <v>14507</v>
      </c>
      <c r="J2818" s="7"/>
      <c r="K2818" s="7" t="s">
        <v>14508</v>
      </c>
    </row>
    <row r="2819" customFormat="false" ht="35.05" hidden="false" customHeight="false" outlineLevel="0" collapsed="false">
      <c r="A2819" s="7" t="n">
        <v>2818</v>
      </c>
      <c r="B2819" s="7" t="s">
        <v>14509</v>
      </c>
      <c r="C2819" s="7" t="n">
        <v>2013</v>
      </c>
      <c r="D2819" s="7" t="s">
        <v>14510</v>
      </c>
      <c r="E2819" s="7" t="s">
        <v>151</v>
      </c>
      <c r="F2819" s="7" t="s">
        <v>396</v>
      </c>
      <c r="G2819" s="7" t="s">
        <v>678</v>
      </c>
      <c r="H2819" s="7" t="s">
        <v>146</v>
      </c>
      <c r="I2819" s="7" t="s">
        <v>14511</v>
      </c>
      <c r="J2819" s="7"/>
      <c r="K2819" s="7" t="s">
        <v>14512</v>
      </c>
    </row>
    <row r="2820" customFormat="false" ht="23.85" hidden="false" customHeight="false" outlineLevel="0" collapsed="false">
      <c r="A2820" s="7" t="n">
        <v>2819</v>
      </c>
      <c r="B2820" s="7" t="s">
        <v>14513</v>
      </c>
      <c r="C2820" s="7" t="n">
        <v>2024</v>
      </c>
      <c r="D2820" s="7" t="s">
        <v>14514</v>
      </c>
      <c r="E2820" s="7" t="s">
        <v>14515</v>
      </c>
      <c r="F2820" s="7" t="s">
        <v>14146</v>
      </c>
      <c r="G2820" s="7" t="s">
        <v>327</v>
      </c>
      <c r="H2820" s="7" t="s">
        <v>146</v>
      </c>
      <c r="I2820" s="7" t="s">
        <v>14516</v>
      </c>
      <c r="J2820" s="7" t="s">
        <v>114</v>
      </c>
      <c r="K2820" s="7" t="s">
        <v>14517</v>
      </c>
    </row>
    <row r="2821" customFormat="false" ht="23.85" hidden="false" customHeight="false" outlineLevel="0" collapsed="false">
      <c r="A2821" s="7" t="n">
        <v>2820</v>
      </c>
      <c r="B2821" s="7" t="s">
        <v>14518</v>
      </c>
      <c r="C2821" s="7" t="n">
        <v>2020</v>
      </c>
      <c r="D2821" s="7" t="s">
        <v>14519</v>
      </c>
      <c r="E2821" s="7" t="s">
        <v>151</v>
      </c>
      <c r="F2821" s="7" t="s">
        <v>4464</v>
      </c>
      <c r="G2821" s="7" t="s">
        <v>14520</v>
      </c>
      <c r="H2821" s="7" t="s">
        <v>146</v>
      </c>
      <c r="I2821" s="7" t="s">
        <v>14521</v>
      </c>
      <c r="J2821" s="7"/>
      <c r="K2821" s="7" t="s">
        <v>14522</v>
      </c>
    </row>
    <row r="2822" customFormat="false" ht="35.05" hidden="false" customHeight="false" outlineLevel="0" collapsed="false">
      <c r="A2822" s="7" t="n">
        <v>2821</v>
      </c>
      <c r="B2822" s="7" t="s">
        <v>14523</v>
      </c>
      <c r="C2822" s="7" t="n">
        <v>2012</v>
      </c>
      <c r="D2822" s="7" t="s">
        <v>14524</v>
      </c>
      <c r="E2822" s="7" t="s">
        <v>201</v>
      </c>
      <c r="F2822" s="7" t="s">
        <v>798</v>
      </c>
      <c r="G2822" s="7" t="s">
        <v>145</v>
      </c>
      <c r="H2822" s="7" t="s">
        <v>146</v>
      </c>
      <c r="I2822" s="7" t="s">
        <v>14525</v>
      </c>
      <c r="J2822" s="7"/>
      <c r="K2822" s="7" t="s">
        <v>14526</v>
      </c>
    </row>
    <row r="2823" customFormat="false" ht="35.05" hidden="false" customHeight="false" outlineLevel="0" collapsed="false">
      <c r="A2823" s="7" t="n">
        <v>2822</v>
      </c>
      <c r="B2823" s="7" t="s">
        <v>14527</v>
      </c>
      <c r="C2823" s="7" t="n">
        <v>2018</v>
      </c>
      <c r="D2823" s="7" t="s">
        <v>14528</v>
      </c>
      <c r="E2823" s="7" t="s">
        <v>14529</v>
      </c>
      <c r="F2823" s="7" t="s">
        <v>152</v>
      </c>
      <c r="G2823" s="7" t="s">
        <v>14530</v>
      </c>
      <c r="H2823" s="7" t="s">
        <v>146</v>
      </c>
      <c r="I2823" s="7" t="s">
        <v>14531</v>
      </c>
      <c r="J2823" s="7"/>
      <c r="K2823" s="7" t="s">
        <v>14532</v>
      </c>
    </row>
    <row r="2824" customFormat="false" ht="23.85" hidden="false" customHeight="false" outlineLevel="0" collapsed="false">
      <c r="A2824" s="7" t="n">
        <v>2823</v>
      </c>
      <c r="B2824" s="7" t="s">
        <v>14533</v>
      </c>
      <c r="C2824" s="7" t="n">
        <v>2019</v>
      </c>
      <c r="D2824" s="7" t="s">
        <v>14534</v>
      </c>
      <c r="E2824" s="7" t="s">
        <v>201</v>
      </c>
      <c r="F2824" s="7" t="s">
        <v>14535</v>
      </c>
      <c r="G2824" s="7" t="s">
        <v>678</v>
      </c>
      <c r="H2824" s="7" t="s">
        <v>153</v>
      </c>
      <c r="I2824" s="7" t="s">
        <v>14536</v>
      </c>
      <c r="J2824" s="7" t="s">
        <v>114</v>
      </c>
      <c r="K2824" s="7" t="s">
        <v>14537</v>
      </c>
    </row>
    <row r="2825" customFormat="false" ht="23.85" hidden="false" customHeight="false" outlineLevel="0" collapsed="false">
      <c r="A2825" s="7" t="n">
        <v>2824</v>
      </c>
      <c r="B2825" s="7" t="s">
        <v>14538</v>
      </c>
      <c r="C2825" s="7" t="n">
        <v>2019</v>
      </c>
      <c r="D2825" s="7" t="s">
        <v>14539</v>
      </c>
      <c r="E2825" s="7" t="s">
        <v>151</v>
      </c>
      <c r="F2825" s="7" t="s">
        <v>4650</v>
      </c>
      <c r="G2825" s="7" t="s">
        <v>5248</v>
      </c>
      <c r="H2825" s="7" t="s">
        <v>146</v>
      </c>
      <c r="I2825" s="7" t="s">
        <v>14540</v>
      </c>
      <c r="J2825" s="7"/>
      <c r="K2825" s="7" t="s">
        <v>14541</v>
      </c>
    </row>
    <row r="2826" customFormat="false" ht="35.05" hidden="false" customHeight="false" outlineLevel="0" collapsed="false">
      <c r="A2826" s="7" t="n">
        <v>2825</v>
      </c>
      <c r="B2826" s="7" t="s">
        <v>14542</v>
      </c>
      <c r="C2826" s="7" t="n">
        <v>2023</v>
      </c>
      <c r="D2826" s="7" t="s">
        <v>14543</v>
      </c>
      <c r="E2826" s="7" t="s">
        <v>587</v>
      </c>
      <c r="F2826" s="7" t="s">
        <v>14544</v>
      </c>
      <c r="G2826" s="7" t="s">
        <v>871</v>
      </c>
      <c r="H2826" s="7" t="s">
        <v>146</v>
      </c>
      <c r="I2826" s="7" t="s">
        <v>14545</v>
      </c>
      <c r="J2826" s="7" t="s">
        <v>116</v>
      </c>
      <c r="K2826" s="7" t="s">
        <v>14546</v>
      </c>
    </row>
    <row r="2827" customFormat="false" ht="35.05" hidden="false" customHeight="false" outlineLevel="0" collapsed="false">
      <c r="A2827" s="7" t="n">
        <v>2826</v>
      </c>
      <c r="B2827" s="7" t="s">
        <v>14547</v>
      </c>
      <c r="C2827" s="7" t="n">
        <v>2023</v>
      </c>
      <c r="D2827" s="7" t="s">
        <v>14548</v>
      </c>
      <c r="E2827" s="7" t="s">
        <v>143</v>
      </c>
      <c r="F2827" s="7" t="s">
        <v>6413</v>
      </c>
      <c r="G2827" s="7" t="s">
        <v>145</v>
      </c>
      <c r="H2827" s="7" t="s">
        <v>146</v>
      </c>
      <c r="I2827" s="7" t="s">
        <v>14549</v>
      </c>
      <c r="J2827" s="7"/>
      <c r="K2827" s="7" t="s">
        <v>14550</v>
      </c>
    </row>
    <row r="2828" customFormat="false" ht="35.05" hidden="false" customHeight="false" outlineLevel="0" collapsed="false">
      <c r="A2828" s="7" t="n">
        <v>2827</v>
      </c>
      <c r="B2828" s="7" t="s">
        <v>14551</v>
      </c>
      <c r="C2828" s="7" t="n">
        <v>2021</v>
      </c>
      <c r="D2828" s="7" t="s">
        <v>14552</v>
      </c>
      <c r="E2828" s="7" t="s">
        <v>151</v>
      </c>
      <c r="F2828" s="7" t="s">
        <v>3552</v>
      </c>
      <c r="G2828" s="7" t="s">
        <v>1319</v>
      </c>
      <c r="H2828" s="7" t="s">
        <v>146</v>
      </c>
      <c r="I2828" s="7" t="s">
        <v>14553</v>
      </c>
      <c r="J2828" s="7"/>
      <c r="K2828" s="7" t="s">
        <v>14554</v>
      </c>
    </row>
    <row r="2829" customFormat="false" ht="35.05" hidden="false" customHeight="false" outlineLevel="0" collapsed="false">
      <c r="A2829" s="7" t="n">
        <v>2828</v>
      </c>
      <c r="B2829" s="7" t="s">
        <v>14555</v>
      </c>
      <c r="C2829" s="7" t="n">
        <v>2022</v>
      </c>
      <c r="D2829" s="7" t="s">
        <v>14556</v>
      </c>
      <c r="E2829" s="7" t="s">
        <v>151</v>
      </c>
      <c r="F2829" s="7" t="s">
        <v>4464</v>
      </c>
      <c r="G2829" s="7" t="s">
        <v>14557</v>
      </c>
      <c r="H2829" s="7" t="s">
        <v>146</v>
      </c>
      <c r="I2829" s="7" t="s">
        <v>14558</v>
      </c>
      <c r="J2829" s="7"/>
      <c r="K2829" s="7" t="s">
        <v>14559</v>
      </c>
    </row>
    <row r="2830" customFormat="false" ht="35.05" hidden="false" customHeight="false" outlineLevel="0" collapsed="false">
      <c r="A2830" s="7" t="n">
        <v>2829</v>
      </c>
      <c r="B2830" s="7" t="s">
        <v>14560</v>
      </c>
      <c r="C2830" s="7" t="n">
        <v>2016</v>
      </c>
      <c r="D2830" s="7" t="s">
        <v>14561</v>
      </c>
      <c r="E2830" s="7" t="s">
        <v>14562</v>
      </c>
      <c r="F2830" s="7" t="s">
        <v>14563</v>
      </c>
      <c r="G2830" s="7" t="s">
        <v>678</v>
      </c>
      <c r="H2830" s="7" t="s">
        <v>146</v>
      </c>
      <c r="I2830" s="7" t="s">
        <v>14564</v>
      </c>
      <c r="J2830" s="7"/>
      <c r="K2830" s="7" t="s">
        <v>14565</v>
      </c>
    </row>
    <row r="2831" customFormat="false" ht="23.85" hidden="false" customHeight="false" outlineLevel="0" collapsed="false">
      <c r="A2831" s="7" t="n">
        <v>2830</v>
      </c>
      <c r="B2831" s="7" t="s">
        <v>14566</v>
      </c>
      <c r="C2831" s="7" t="n">
        <v>2019</v>
      </c>
      <c r="D2831" s="7" t="s">
        <v>14567</v>
      </c>
      <c r="E2831" s="7" t="s">
        <v>8720</v>
      </c>
      <c r="F2831" s="7" t="s">
        <v>14568</v>
      </c>
      <c r="G2831" s="7" t="s">
        <v>826</v>
      </c>
      <c r="H2831" s="7" t="s">
        <v>146</v>
      </c>
      <c r="I2831" s="7" t="s">
        <v>14569</v>
      </c>
      <c r="J2831" s="7" t="s">
        <v>116</v>
      </c>
      <c r="K2831" s="7" t="s">
        <v>14570</v>
      </c>
    </row>
    <row r="2832" customFormat="false" ht="35.05" hidden="false" customHeight="false" outlineLevel="0" collapsed="false">
      <c r="A2832" s="7" t="n">
        <v>2831</v>
      </c>
      <c r="B2832" s="7" t="s">
        <v>14571</v>
      </c>
      <c r="C2832" s="7" t="n">
        <v>2023</v>
      </c>
      <c r="D2832" s="7" t="s">
        <v>14572</v>
      </c>
      <c r="E2832" s="7" t="s">
        <v>14573</v>
      </c>
      <c r="F2832" s="7" t="s">
        <v>152</v>
      </c>
      <c r="G2832" s="7" t="s">
        <v>2846</v>
      </c>
      <c r="H2832" s="7" t="s">
        <v>146</v>
      </c>
      <c r="I2832" s="7" t="s">
        <v>14574</v>
      </c>
      <c r="J2832" s="7"/>
      <c r="K2832" s="7" t="s">
        <v>14575</v>
      </c>
    </row>
    <row r="2833" customFormat="false" ht="35.05" hidden="false" customHeight="false" outlineLevel="0" collapsed="false">
      <c r="A2833" s="7" t="n">
        <v>2832</v>
      </c>
      <c r="B2833" s="7" t="s">
        <v>14576</v>
      </c>
      <c r="C2833" s="7" t="n">
        <v>2021</v>
      </c>
      <c r="D2833" s="7" t="s">
        <v>14577</v>
      </c>
      <c r="E2833" s="7" t="s">
        <v>10484</v>
      </c>
      <c r="F2833" s="7" t="s">
        <v>14578</v>
      </c>
      <c r="G2833" s="7" t="s">
        <v>14579</v>
      </c>
      <c r="H2833" s="7" t="s">
        <v>387</v>
      </c>
      <c r="I2833" s="7" t="s">
        <v>14580</v>
      </c>
      <c r="J2833" s="7"/>
      <c r="K2833" s="7" t="s">
        <v>14581</v>
      </c>
    </row>
    <row r="2834" customFormat="false" ht="23.85" hidden="false" customHeight="false" outlineLevel="0" collapsed="false">
      <c r="A2834" s="7" t="n">
        <v>2833</v>
      </c>
      <c r="B2834" s="7" t="s">
        <v>14582</v>
      </c>
      <c r="C2834" s="7" t="n">
        <v>2013</v>
      </c>
      <c r="D2834" s="7" t="s">
        <v>14583</v>
      </c>
      <c r="E2834" s="7" t="s">
        <v>151</v>
      </c>
      <c r="F2834" s="7" t="s">
        <v>152</v>
      </c>
      <c r="G2834" s="7" t="s">
        <v>14584</v>
      </c>
      <c r="H2834" s="7" t="s">
        <v>146</v>
      </c>
      <c r="I2834" s="7" t="s">
        <v>14585</v>
      </c>
      <c r="J2834" s="7"/>
      <c r="K2834" s="7" t="s">
        <v>14586</v>
      </c>
    </row>
    <row r="2835" customFormat="false" ht="23.85" hidden="false" customHeight="false" outlineLevel="0" collapsed="false">
      <c r="A2835" s="7" t="n">
        <v>2834</v>
      </c>
      <c r="B2835" s="7" t="s">
        <v>14587</v>
      </c>
      <c r="C2835" s="7" t="n">
        <v>2020</v>
      </c>
      <c r="D2835" s="7" t="s">
        <v>14588</v>
      </c>
      <c r="E2835" s="7" t="s">
        <v>12549</v>
      </c>
      <c r="F2835" s="7" t="s">
        <v>14589</v>
      </c>
      <c r="G2835" s="7" t="s">
        <v>423</v>
      </c>
      <c r="H2835" s="7" t="s">
        <v>146</v>
      </c>
      <c r="I2835" s="7" t="s">
        <v>14590</v>
      </c>
      <c r="J2835" s="7" t="s">
        <v>114</v>
      </c>
      <c r="K2835" s="7" t="s">
        <v>14591</v>
      </c>
    </row>
    <row r="2836" customFormat="false" ht="23.85" hidden="false" customHeight="false" outlineLevel="0" collapsed="false">
      <c r="A2836" s="7" t="n">
        <v>2835</v>
      </c>
      <c r="B2836" s="7" t="s">
        <v>14592</v>
      </c>
      <c r="C2836" s="7" t="n">
        <v>2009</v>
      </c>
      <c r="D2836" s="7" t="s">
        <v>14593</v>
      </c>
      <c r="E2836" s="7" t="s">
        <v>14594</v>
      </c>
      <c r="F2836" s="7" t="s">
        <v>14595</v>
      </c>
      <c r="G2836" s="7" t="s">
        <v>145</v>
      </c>
      <c r="H2836" s="7" t="s">
        <v>146</v>
      </c>
      <c r="I2836" s="7" t="s">
        <v>14596</v>
      </c>
      <c r="J2836" s="7"/>
      <c r="K2836" s="7" t="s">
        <v>14597</v>
      </c>
    </row>
    <row r="2837" customFormat="false" ht="23.85" hidden="false" customHeight="false" outlineLevel="0" collapsed="false">
      <c r="A2837" s="7" t="n">
        <v>2836</v>
      </c>
      <c r="B2837" s="7" t="s">
        <v>14598</v>
      </c>
      <c r="C2837" s="7" t="n">
        <v>2023</v>
      </c>
      <c r="D2837" s="7" t="s">
        <v>14599</v>
      </c>
      <c r="E2837" s="7" t="s">
        <v>143</v>
      </c>
      <c r="F2837" s="7" t="s">
        <v>152</v>
      </c>
      <c r="G2837" s="7" t="s">
        <v>145</v>
      </c>
      <c r="H2837" s="7" t="s">
        <v>153</v>
      </c>
      <c r="I2837" s="7" t="s">
        <v>14600</v>
      </c>
      <c r="J2837" s="7"/>
      <c r="K2837" s="7" t="s">
        <v>14601</v>
      </c>
    </row>
    <row r="2838" customFormat="false" ht="23.85" hidden="false" customHeight="false" outlineLevel="0" collapsed="false">
      <c r="A2838" s="7" t="n">
        <v>2837</v>
      </c>
      <c r="B2838" s="7" t="s">
        <v>14602</v>
      </c>
      <c r="C2838" s="7" t="n">
        <v>2023</v>
      </c>
      <c r="D2838" s="7" t="s">
        <v>14603</v>
      </c>
      <c r="E2838" s="7" t="s">
        <v>14604</v>
      </c>
      <c r="F2838" s="7" t="s">
        <v>14605</v>
      </c>
      <c r="G2838" s="7" t="s">
        <v>327</v>
      </c>
      <c r="H2838" s="7" t="s">
        <v>146</v>
      </c>
      <c r="I2838" s="7" t="s">
        <v>14606</v>
      </c>
      <c r="J2838" s="7"/>
      <c r="K2838" s="7" t="s">
        <v>14607</v>
      </c>
    </row>
    <row r="2839" customFormat="false" ht="35.05" hidden="false" customHeight="false" outlineLevel="0" collapsed="false">
      <c r="A2839" s="7" t="n">
        <v>2838</v>
      </c>
      <c r="B2839" s="7" t="s">
        <v>2588</v>
      </c>
      <c r="C2839" s="7" t="n">
        <v>2020</v>
      </c>
      <c r="D2839" s="7" t="s">
        <v>14608</v>
      </c>
      <c r="E2839" s="7" t="s">
        <v>14414</v>
      </c>
      <c r="F2839" s="7" t="s">
        <v>14609</v>
      </c>
      <c r="G2839" s="7" t="s">
        <v>145</v>
      </c>
      <c r="H2839" s="7" t="s">
        <v>153</v>
      </c>
      <c r="I2839" s="7" t="s">
        <v>14610</v>
      </c>
      <c r="J2839" s="7" t="s">
        <v>114</v>
      </c>
      <c r="K2839" s="7" t="s">
        <v>14611</v>
      </c>
    </row>
    <row r="2840" customFormat="false" ht="23.85" hidden="false" customHeight="false" outlineLevel="0" collapsed="false">
      <c r="A2840" s="7" t="n">
        <v>2839</v>
      </c>
      <c r="B2840" s="7" t="s">
        <v>2598</v>
      </c>
      <c r="C2840" s="7" t="n">
        <v>2021</v>
      </c>
      <c r="D2840" s="7" t="s">
        <v>14612</v>
      </c>
      <c r="E2840" s="7" t="s">
        <v>14613</v>
      </c>
      <c r="F2840" s="7" t="s">
        <v>14614</v>
      </c>
      <c r="G2840" s="7" t="s">
        <v>145</v>
      </c>
      <c r="H2840" s="7" t="s">
        <v>153</v>
      </c>
      <c r="I2840" s="7" t="s">
        <v>14615</v>
      </c>
      <c r="J2840" s="7" t="s">
        <v>114</v>
      </c>
      <c r="K2840" s="7" t="s">
        <v>14616</v>
      </c>
    </row>
    <row r="2841" customFormat="false" ht="35.05" hidden="false" customHeight="false" outlineLevel="0" collapsed="false">
      <c r="A2841" s="7" t="n">
        <v>2840</v>
      </c>
      <c r="B2841" s="7" t="s">
        <v>14617</v>
      </c>
      <c r="C2841" s="7" t="n">
        <v>2023</v>
      </c>
      <c r="D2841" s="7" t="s">
        <v>14618</v>
      </c>
      <c r="E2841" s="7" t="s">
        <v>151</v>
      </c>
      <c r="F2841" s="7" t="s">
        <v>3552</v>
      </c>
      <c r="G2841" s="7" t="s">
        <v>5248</v>
      </c>
      <c r="H2841" s="7" t="s">
        <v>146</v>
      </c>
      <c r="I2841" s="7" t="s">
        <v>14619</v>
      </c>
      <c r="J2841" s="7"/>
      <c r="K2841" s="7" t="s">
        <v>14620</v>
      </c>
    </row>
    <row r="2842" customFormat="false" ht="23.85" hidden="false" customHeight="false" outlineLevel="0" collapsed="false">
      <c r="A2842" s="7" t="n">
        <v>2841</v>
      </c>
      <c r="B2842" s="7" t="s">
        <v>14621</v>
      </c>
      <c r="C2842" s="7" t="n">
        <v>2023</v>
      </c>
      <c r="D2842" s="7" t="s">
        <v>14622</v>
      </c>
      <c r="E2842" s="7" t="s">
        <v>151</v>
      </c>
      <c r="F2842" s="7" t="s">
        <v>14404</v>
      </c>
      <c r="G2842" s="7" t="s">
        <v>14491</v>
      </c>
      <c r="H2842" s="7" t="s">
        <v>146</v>
      </c>
      <c r="I2842" s="7" t="s">
        <v>14623</v>
      </c>
      <c r="J2842" s="7"/>
      <c r="K2842" s="7" t="s">
        <v>14624</v>
      </c>
    </row>
    <row r="2843" customFormat="false" ht="35.05" hidden="false" customHeight="false" outlineLevel="0" collapsed="false">
      <c r="A2843" s="7" t="n">
        <v>2842</v>
      </c>
      <c r="B2843" s="7" t="s">
        <v>14625</v>
      </c>
      <c r="C2843" s="7" t="n">
        <v>2022</v>
      </c>
      <c r="D2843" s="7" t="s">
        <v>14626</v>
      </c>
      <c r="E2843" s="7" t="s">
        <v>151</v>
      </c>
      <c r="F2843" s="7" t="s">
        <v>14627</v>
      </c>
      <c r="G2843" s="7" t="s">
        <v>678</v>
      </c>
      <c r="H2843" s="7" t="s">
        <v>146</v>
      </c>
      <c r="I2843" s="7" t="s">
        <v>14628</v>
      </c>
      <c r="J2843" s="7"/>
      <c r="K2843" s="7" t="s">
        <v>14629</v>
      </c>
    </row>
    <row r="2844" customFormat="false" ht="23.85" hidden="false" customHeight="false" outlineLevel="0" collapsed="false">
      <c r="A2844" s="7" t="n">
        <v>2843</v>
      </c>
      <c r="B2844" s="7" t="s">
        <v>14630</v>
      </c>
      <c r="C2844" s="7" t="n">
        <v>2022</v>
      </c>
      <c r="D2844" s="7" t="s">
        <v>14631</v>
      </c>
      <c r="E2844" s="7" t="s">
        <v>151</v>
      </c>
      <c r="F2844" s="7" t="s">
        <v>1938</v>
      </c>
      <c r="G2844" s="7" t="s">
        <v>14632</v>
      </c>
      <c r="H2844" s="7" t="s">
        <v>8546</v>
      </c>
      <c r="I2844" s="7" t="s">
        <v>14633</v>
      </c>
      <c r="J2844" s="7"/>
      <c r="K2844" s="7" t="s">
        <v>14634</v>
      </c>
    </row>
    <row r="2845" customFormat="false" ht="23.85" hidden="false" customHeight="false" outlineLevel="0" collapsed="false">
      <c r="A2845" s="7" t="n">
        <v>2844</v>
      </c>
      <c r="B2845" s="7" t="s">
        <v>983</v>
      </c>
      <c r="C2845" s="7" t="n">
        <v>2019</v>
      </c>
      <c r="D2845" s="7" t="s">
        <v>14635</v>
      </c>
      <c r="E2845" s="7" t="s">
        <v>151</v>
      </c>
      <c r="F2845" s="7" t="s">
        <v>3552</v>
      </c>
      <c r="G2845" s="7" t="s">
        <v>2262</v>
      </c>
      <c r="H2845" s="7" t="s">
        <v>146</v>
      </c>
      <c r="I2845" s="7" t="s">
        <v>14636</v>
      </c>
      <c r="J2845" s="7" t="s">
        <v>116</v>
      </c>
      <c r="K2845" s="7" t="s">
        <v>14637</v>
      </c>
    </row>
    <row r="2846" customFormat="false" ht="35.05" hidden="false" customHeight="false" outlineLevel="0" collapsed="false">
      <c r="A2846" s="7" t="n">
        <v>2845</v>
      </c>
      <c r="B2846" s="7" t="s">
        <v>14638</v>
      </c>
      <c r="C2846" s="7" t="n">
        <v>2023</v>
      </c>
      <c r="D2846" s="7" t="s">
        <v>14639</v>
      </c>
      <c r="E2846" s="7" t="s">
        <v>201</v>
      </c>
      <c r="F2846" s="7" t="s">
        <v>152</v>
      </c>
      <c r="G2846" s="7" t="s">
        <v>2846</v>
      </c>
      <c r="H2846" s="7" t="s">
        <v>208</v>
      </c>
      <c r="I2846" s="7" t="s">
        <v>14640</v>
      </c>
      <c r="J2846" s="7" t="s">
        <v>116</v>
      </c>
      <c r="K2846" s="7" t="s">
        <v>14641</v>
      </c>
    </row>
    <row r="2847" customFormat="false" ht="23.85" hidden="false" customHeight="false" outlineLevel="0" collapsed="false">
      <c r="A2847" s="7" t="n">
        <v>2846</v>
      </c>
      <c r="B2847" s="7" t="s">
        <v>14642</v>
      </c>
      <c r="C2847" s="7" t="n">
        <v>2018</v>
      </c>
      <c r="D2847" s="7" t="s">
        <v>14643</v>
      </c>
      <c r="E2847" s="7" t="s">
        <v>143</v>
      </c>
      <c r="F2847" s="7" t="s">
        <v>152</v>
      </c>
      <c r="G2847" s="7" t="s">
        <v>2846</v>
      </c>
      <c r="H2847" s="7" t="s">
        <v>153</v>
      </c>
      <c r="I2847" s="7" t="s">
        <v>14644</v>
      </c>
      <c r="J2847" s="7" t="s">
        <v>114</v>
      </c>
      <c r="K2847" s="7" t="s">
        <v>14645</v>
      </c>
    </row>
    <row r="2848" customFormat="false" ht="35.05" hidden="false" customHeight="false" outlineLevel="0" collapsed="false">
      <c r="A2848" s="7" t="n">
        <v>2847</v>
      </c>
      <c r="B2848" s="7" t="s">
        <v>14646</v>
      </c>
      <c r="C2848" s="7" t="n">
        <v>2002</v>
      </c>
      <c r="D2848" s="7" t="s">
        <v>14647</v>
      </c>
      <c r="E2848" s="7" t="s">
        <v>201</v>
      </c>
      <c r="F2848" s="7" t="s">
        <v>2454</v>
      </c>
      <c r="G2848" s="7" t="s">
        <v>14648</v>
      </c>
      <c r="H2848" s="7" t="s">
        <v>208</v>
      </c>
      <c r="I2848" s="7" t="s">
        <v>14649</v>
      </c>
      <c r="J2848" s="7"/>
      <c r="K2848" s="7" t="s">
        <v>14650</v>
      </c>
    </row>
    <row r="2849" customFormat="false" ht="23.85" hidden="false" customHeight="false" outlineLevel="0" collapsed="false">
      <c r="A2849" s="7" t="n">
        <v>2848</v>
      </c>
      <c r="B2849" s="7" t="s">
        <v>14651</v>
      </c>
      <c r="C2849" s="7" t="n">
        <v>2013</v>
      </c>
      <c r="D2849" s="7" t="s">
        <v>14652</v>
      </c>
      <c r="E2849" s="7" t="s">
        <v>151</v>
      </c>
      <c r="F2849" s="7" t="s">
        <v>152</v>
      </c>
      <c r="G2849" s="7" t="s">
        <v>145</v>
      </c>
      <c r="H2849" s="7" t="s">
        <v>146</v>
      </c>
      <c r="I2849" s="7" t="s">
        <v>14653</v>
      </c>
      <c r="J2849" s="7"/>
      <c r="K2849" s="7" t="s">
        <v>14654</v>
      </c>
    </row>
    <row r="2850" customFormat="false" ht="23.85" hidden="false" customHeight="false" outlineLevel="0" collapsed="false">
      <c r="A2850" s="7" t="n">
        <v>2849</v>
      </c>
      <c r="B2850" s="7" t="s">
        <v>14655</v>
      </c>
      <c r="C2850" s="7" t="n">
        <v>2024</v>
      </c>
      <c r="D2850" s="7" t="s">
        <v>14656</v>
      </c>
      <c r="E2850" s="7" t="s">
        <v>579</v>
      </c>
      <c r="F2850" s="7" t="s">
        <v>14657</v>
      </c>
      <c r="G2850" s="7" t="s">
        <v>14184</v>
      </c>
      <c r="H2850" s="7" t="s">
        <v>146</v>
      </c>
      <c r="I2850" s="7" t="s">
        <v>14658</v>
      </c>
      <c r="J2850" s="7" t="s">
        <v>114</v>
      </c>
      <c r="K2850" s="7" t="s">
        <v>14659</v>
      </c>
    </row>
    <row r="2851" customFormat="false" ht="23.85" hidden="false" customHeight="false" outlineLevel="0" collapsed="false">
      <c r="A2851" s="7" t="n">
        <v>2850</v>
      </c>
      <c r="B2851" s="7" t="s">
        <v>14660</v>
      </c>
      <c r="C2851" s="7" t="n">
        <v>1996</v>
      </c>
      <c r="D2851" s="7" t="s">
        <v>14661</v>
      </c>
      <c r="E2851" s="7" t="s">
        <v>151</v>
      </c>
      <c r="F2851" s="7" t="s">
        <v>14662</v>
      </c>
      <c r="G2851" s="7" t="s">
        <v>181</v>
      </c>
      <c r="H2851" s="7" t="s">
        <v>146</v>
      </c>
      <c r="I2851" s="7" t="s">
        <v>14663</v>
      </c>
      <c r="J2851" s="7" t="s">
        <v>114</v>
      </c>
      <c r="K2851" s="7" t="s">
        <v>14664</v>
      </c>
    </row>
    <row r="2852" customFormat="false" ht="23.85" hidden="false" customHeight="false" outlineLevel="0" collapsed="false">
      <c r="A2852" s="7" t="n">
        <v>2851</v>
      </c>
      <c r="B2852" s="7" t="s">
        <v>14665</v>
      </c>
      <c r="C2852" s="7" t="n">
        <v>2023</v>
      </c>
      <c r="D2852" s="7" t="s">
        <v>14666</v>
      </c>
      <c r="E2852" s="7" t="s">
        <v>151</v>
      </c>
      <c r="F2852" s="7" t="s">
        <v>7355</v>
      </c>
      <c r="G2852" s="7" t="s">
        <v>14184</v>
      </c>
      <c r="H2852" s="7" t="s">
        <v>146</v>
      </c>
      <c r="I2852" s="7" t="s">
        <v>14667</v>
      </c>
      <c r="J2852" s="7"/>
      <c r="K2852" s="7" t="s">
        <v>14668</v>
      </c>
    </row>
    <row r="2853" customFormat="false" ht="23.85" hidden="false" customHeight="false" outlineLevel="0" collapsed="false">
      <c r="A2853" s="7" t="n">
        <v>2852</v>
      </c>
      <c r="B2853" s="7" t="s">
        <v>14669</v>
      </c>
      <c r="C2853" s="7" t="n">
        <v>2023</v>
      </c>
      <c r="D2853" s="7" t="s">
        <v>14670</v>
      </c>
      <c r="E2853" s="7" t="s">
        <v>579</v>
      </c>
      <c r="F2853" s="7" t="s">
        <v>14671</v>
      </c>
      <c r="G2853" s="7" t="s">
        <v>14672</v>
      </c>
      <c r="H2853" s="7" t="s">
        <v>146</v>
      </c>
      <c r="I2853" s="7" t="s">
        <v>14673</v>
      </c>
      <c r="J2853" s="7" t="s">
        <v>114</v>
      </c>
      <c r="K2853" s="7" t="s">
        <v>14674</v>
      </c>
    </row>
    <row r="2854" customFormat="false" ht="23.85" hidden="false" customHeight="false" outlineLevel="0" collapsed="false">
      <c r="A2854" s="7" t="n">
        <v>2853</v>
      </c>
      <c r="B2854" s="7" t="s">
        <v>14675</v>
      </c>
      <c r="C2854" s="7" t="n">
        <v>2024</v>
      </c>
      <c r="D2854" s="7" t="s">
        <v>14676</v>
      </c>
      <c r="E2854" s="7" t="s">
        <v>151</v>
      </c>
      <c r="F2854" s="7" t="s">
        <v>14146</v>
      </c>
      <c r="G2854" s="7" t="s">
        <v>14153</v>
      </c>
      <c r="H2854" s="7" t="s">
        <v>146</v>
      </c>
      <c r="I2854" s="7" t="s">
        <v>14677</v>
      </c>
      <c r="J2854" s="7"/>
      <c r="K2854" s="7" t="s">
        <v>14678</v>
      </c>
    </row>
    <row r="2855" customFormat="false" ht="35.05" hidden="false" customHeight="false" outlineLevel="0" collapsed="false">
      <c r="A2855" s="7" t="n">
        <v>2854</v>
      </c>
      <c r="B2855" s="7" t="s">
        <v>14145</v>
      </c>
      <c r="C2855" s="7" t="n">
        <v>2019</v>
      </c>
      <c r="D2855" s="7" t="s">
        <v>14679</v>
      </c>
      <c r="E2855" s="7" t="s">
        <v>151</v>
      </c>
      <c r="F2855" s="7" t="s">
        <v>14404</v>
      </c>
      <c r="G2855" s="7" t="s">
        <v>14324</v>
      </c>
      <c r="H2855" s="7" t="s">
        <v>146</v>
      </c>
      <c r="I2855" s="7" t="s">
        <v>14680</v>
      </c>
      <c r="J2855" s="7"/>
      <c r="K2855" s="7" t="s">
        <v>14681</v>
      </c>
    </row>
    <row r="2856" customFormat="false" ht="23.85" hidden="false" customHeight="false" outlineLevel="0" collapsed="false">
      <c r="A2856" s="7" t="n">
        <v>2855</v>
      </c>
      <c r="B2856" s="7" t="s">
        <v>14682</v>
      </c>
      <c r="C2856" s="7" t="n">
        <v>2016</v>
      </c>
      <c r="D2856" s="7" t="s">
        <v>14683</v>
      </c>
      <c r="E2856" s="7" t="s">
        <v>151</v>
      </c>
      <c r="F2856" s="7" t="s">
        <v>14404</v>
      </c>
      <c r="G2856" s="7" t="s">
        <v>327</v>
      </c>
      <c r="H2856" s="7" t="s">
        <v>146</v>
      </c>
      <c r="I2856" s="7" t="s">
        <v>14684</v>
      </c>
      <c r="J2856" s="7"/>
      <c r="K2856" s="7" t="s">
        <v>14685</v>
      </c>
    </row>
    <row r="2857" customFormat="false" ht="35.05" hidden="false" customHeight="false" outlineLevel="0" collapsed="false">
      <c r="A2857" s="7" t="n">
        <v>2856</v>
      </c>
      <c r="B2857" s="7" t="s">
        <v>14686</v>
      </c>
      <c r="C2857" s="7" t="n">
        <v>2021</v>
      </c>
      <c r="D2857" s="7" t="s">
        <v>14687</v>
      </c>
      <c r="E2857" s="7" t="s">
        <v>579</v>
      </c>
      <c r="F2857" s="7" t="s">
        <v>14688</v>
      </c>
      <c r="G2857" s="7" t="s">
        <v>678</v>
      </c>
      <c r="H2857" s="7" t="s">
        <v>146</v>
      </c>
      <c r="I2857" s="7" t="s">
        <v>14689</v>
      </c>
      <c r="J2857" s="7" t="s">
        <v>114</v>
      </c>
      <c r="K2857" s="7" t="s">
        <v>14690</v>
      </c>
    </row>
    <row r="2858" customFormat="false" ht="23.85" hidden="false" customHeight="false" outlineLevel="0" collapsed="false">
      <c r="A2858" s="7" t="n">
        <v>2857</v>
      </c>
      <c r="B2858" s="7" t="s">
        <v>14691</v>
      </c>
      <c r="C2858" s="7" t="n">
        <v>2025</v>
      </c>
      <c r="D2858" s="7" t="s">
        <v>14692</v>
      </c>
      <c r="E2858" s="7" t="s">
        <v>151</v>
      </c>
      <c r="F2858" s="7" t="s">
        <v>152</v>
      </c>
      <c r="G2858" s="7" t="s">
        <v>678</v>
      </c>
      <c r="H2858" s="7" t="s">
        <v>146</v>
      </c>
      <c r="I2858" s="7" t="s">
        <v>14693</v>
      </c>
      <c r="J2858" s="7"/>
      <c r="K2858" s="7" t="s">
        <v>14694</v>
      </c>
    </row>
    <row r="2859" customFormat="false" ht="23.85" hidden="false" customHeight="false" outlineLevel="0" collapsed="false">
      <c r="A2859" s="7" t="n">
        <v>2858</v>
      </c>
      <c r="B2859" s="7" t="s">
        <v>14686</v>
      </c>
      <c r="C2859" s="7" t="n">
        <v>2025</v>
      </c>
      <c r="D2859" s="7" t="s">
        <v>14695</v>
      </c>
      <c r="E2859" s="7" t="s">
        <v>151</v>
      </c>
      <c r="F2859" s="7" t="s">
        <v>14404</v>
      </c>
      <c r="G2859" s="7" t="s">
        <v>678</v>
      </c>
      <c r="H2859" s="7" t="s">
        <v>146</v>
      </c>
      <c r="I2859" s="7" t="s">
        <v>14696</v>
      </c>
      <c r="J2859" s="7" t="s">
        <v>114</v>
      </c>
      <c r="K2859" s="7" t="s">
        <v>14697</v>
      </c>
    </row>
    <row r="2860" customFormat="false" ht="23.85" hidden="false" customHeight="false" outlineLevel="0" collapsed="false">
      <c r="A2860" s="7" t="n">
        <v>2859</v>
      </c>
      <c r="B2860" s="7" t="s">
        <v>14698</v>
      </c>
      <c r="C2860" s="7" t="n">
        <v>2007</v>
      </c>
      <c r="D2860" s="7" t="s">
        <v>14699</v>
      </c>
      <c r="E2860" s="7" t="s">
        <v>201</v>
      </c>
      <c r="F2860" s="7" t="s">
        <v>4650</v>
      </c>
      <c r="G2860" s="7" t="s">
        <v>145</v>
      </c>
      <c r="H2860" s="7" t="s">
        <v>146</v>
      </c>
      <c r="I2860" s="7" t="s">
        <v>14700</v>
      </c>
      <c r="J2860" s="7" t="s">
        <v>116</v>
      </c>
      <c r="K2860" s="7" t="s">
        <v>14701</v>
      </c>
    </row>
    <row r="2861" customFormat="false" ht="23.85" hidden="false" customHeight="false" outlineLevel="0" collapsed="false">
      <c r="A2861" s="7" t="n">
        <v>2860</v>
      </c>
      <c r="B2861" s="7" t="s">
        <v>14702</v>
      </c>
      <c r="C2861" s="7" t="n">
        <v>2021</v>
      </c>
      <c r="D2861" s="7" t="s">
        <v>14703</v>
      </c>
      <c r="E2861" s="7" t="s">
        <v>143</v>
      </c>
      <c r="F2861" s="7" t="s">
        <v>14704</v>
      </c>
      <c r="G2861" s="7" t="s">
        <v>145</v>
      </c>
      <c r="H2861" s="7" t="s">
        <v>208</v>
      </c>
      <c r="I2861" s="7" t="s">
        <v>14705</v>
      </c>
      <c r="J2861" s="7"/>
      <c r="K2861" s="7" t="s">
        <v>14706</v>
      </c>
    </row>
    <row r="2862" customFormat="false" ht="35.05" hidden="false" customHeight="false" outlineLevel="0" collapsed="false">
      <c r="A2862" s="7" t="n">
        <v>2861</v>
      </c>
      <c r="B2862" s="7" t="s">
        <v>14707</v>
      </c>
      <c r="C2862" s="7" t="n">
        <v>2024</v>
      </c>
      <c r="D2862" s="7" t="s">
        <v>14708</v>
      </c>
      <c r="E2862" s="7" t="s">
        <v>201</v>
      </c>
      <c r="F2862" s="7" t="s">
        <v>152</v>
      </c>
      <c r="G2862" s="7" t="s">
        <v>327</v>
      </c>
      <c r="H2862" s="7" t="s">
        <v>146</v>
      </c>
      <c r="I2862" s="7" t="s">
        <v>14709</v>
      </c>
      <c r="J2862" s="7"/>
      <c r="K2862" s="7" t="s">
        <v>14710</v>
      </c>
    </row>
    <row r="2863" customFormat="false" ht="35.05" hidden="false" customHeight="false" outlineLevel="0" collapsed="false">
      <c r="A2863" s="7" t="n">
        <v>2862</v>
      </c>
      <c r="B2863" s="7" t="s">
        <v>14711</v>
      </c>
      <c r="C2863" s="7" t="n">
        <v>2018</v>
      </c>
      <c r="D2863" s="7" t="s">
        <v>14712</v>
      </c>
      <c r="E2863" s="7" t="s">
        <v>3817</v>
      </c>
      <c r="F2863" s="7" t="s">
        <v>14713</v>
      </c>
      <c r="G2863" s="7" t="s">
        <v>14714</v>
      </c>
      <c r="H2863" s="7" t="s">
        <v>208</v>
      </c>
      <c r="I2863" s="7" t="s">
        <v>14715</v>
      </c>
      <c r="J2863" s="7" t="s">
        <v>116</v>
      </c>
      <c r="K2863" s="7" t="s">
        <v>14716</v>
      </c>
    </row>
    <row r="2864" customFormat="false" ht="23.85" hidden="false" customHeight="false" outlineLevel="0" collapsed="false">
      <c r="A2864" s="7" t="n">
        <v>2863</v>
      </c>
      <c r="B2864" s="7" t="s">
        <v>14717</v>
      </c>
      <c r="C2864" s="7" t="n">
        <v>2017</v>
      </c>
      <c r="D2864" s="7" t="s">
        <v>14718</v>
      </c>
      <c r="E2864" s="7" t="s">
        <v>151</v>
      </c>
      <c r="F2864" s="7" t="s">
        <v>14404</v>
      </c>
      <c r="G2864" s="7" t="s">
        <v>327</v>
      </c>
      <c r="H2864" s="7" t="s">
        <v>146</v>
      </c>
      <c r="I2864" s="7" t="s">
        <v>14719</v>
      </c>
      <c r="J2864" s="7"/>
      <c r="K2864" s="7" t="s">
        <v>14720</v>
      </c>
    </row>
    <row r="2865" customFormat="false" ht="23.85" hidden="false" customHeight="false" outlineLevel="0" collapsed="false">
      <c r="A2865" s="7" t="n">
        <v>2864</v>
      </c>
      <c r="B2865" s="7" t="s">
        <v>14717</v>
      </c>
      <c r="C2865" s="7" t="n">
        <v>2025</v>
      </c>
      <c r="D2865" s="7" t="s">
        <v>14721</v>
      </c>
      <c r="E2865" s="7" t="s">
        <v>151</v>
      </c>
      <c r="F2865" s="7" t="s">
        <v>14404</v>
      </c>
      <c r="G2865" s="7" t="s">
        <v>327</v>
      </c>
      <c r="H2865" s="7" t="s">
        <v>146</v>
      </c>
      <c r="I2865" s="7" t="s">
        <v>14722</v>
      </c>
      <c r="J2865" s="7"/>
      <c r="K2865" s="7" t="s">
        <v>14723</v>
      </c>
    </row>
    <row r="2866" customFormat="false" ht="23.85" hidden="false" customHeight="false" outlineLevel="0" collapsed="false">
      <c r="A2866" s="7" t="n">
        <v>2865</v>
      </c>
      <c r="B2866" s="7" t="s">
        <v>14724</v>
      </c>
      <c r="C2866" s="7" t="n">
        <v>2020</v>
      </c>
      <c r="D2866" s="7" t="s">
        <v>14725</v>
      </c>
      <c r="E2866" s="7" t="s">
        <v>201</v>
      </c>
      <c r="F2866" s="7" t="s">
        <v>6974</v>
      </c>
      <c r="G2866" s="7" t="s">
        <v>145</v>
      </c>
      <c r="H2866" s="7" t="s">
        <v>153</v>
      </c>
      <c r="I2866" s="7" t="s">
        <v>14726</v>
      </c>
      <c r="J2866" s="7"/>
      <c r="K2866" s="7" t="s">
        <v>14727</v>
      </c>
    </row>
    <row r="2867" customFormat="false" ht="23.85" hidden="false" customHeight="false" outlineLevel="0" collapsed="false">
      <c r="A2867" s="7" t="n">
        <v>2866</v>
      </c>
      <c r="B2867" s="7" t="s">
        <v>14728</v>
      </c>
      <c r="C2867" s="7" t="n">
        <v>2022</v>
      </c>
      <c r="D2867" s="7" t="s">
        <v>14729</v>
      </c>
      <c r="E2867" s="7" t="s">
        <v>12529</v>
      </c>
      <c r="F2867" s="7" t="s">
        <v>152</v>
      </c>
      <c r="G2867" s="7" t="s">
        <v>145</v>
      </c>
      <c r="H2867" s="7" t="s">
        <v>153</v>
      </c>
      <c r="I2867" s="7" t="s">
        <v>14730</v>
      </c>
      <c r="J2867" s="7"/>
      <c r="K2867" s="7" t="s">
        <v>14731</v>
      </c>
    </row>
    <row r="2868" customFormat="false" ht="35.05" hidden="false" customHeight="false" outlineLevel="0" collapsed="false">
      <c r="A2868" s="7" t="n">
        <v>2867</v>
      </c>
      <c r="B2868" s="7" t="s">
        <v>14737</v>
      </c>
      <c r="C2868" s="7" t="n">
        <v>2018</v>
      </c>
      <c r="D2868" s="7" t="s">
        <v>14738</v>
      </c>
      <c r="E2868" s="7" t="s">
        <v>201</v>
      </c>
      <c r="F2868" s="7" t="s">
        <v>14146</v>
      </c>
      <c r="G2868" s="7" t="s">
        <v>512</v>
      </c>
      <c r="H2868" s="7" t="s">
        <v>153</v>
      </c>
      <c r="I2868" s="7" t="s">
        <v>14739</v>
      </c>
      <c r="J2868" s="7" t="s">
        <v>114</v>
      </c>
      <c r="K2868" s="7" t="s">
        <v>14740</v>
      </c>
    </row>
    <row r="2869" customFormat="false" ht="23.85" hidden="false" customHeight="false" outlineLevel="0" collapsed="false">
      <c r="A2869" s="7" t="n">
        <v>2868</v>
      </c>
      <c r="B2869" s="7" t="s">
        <v>14741</v>
      </c>
      <c r="C2869" s="7" t="n">
        <v>2018</v>
      </c>
      <c r="D2869" s="7" t="s">
        <v>14742</v>
      </c>
      <c r="E2869" s="7" t="s">
        <v>151</v>
      </c>
      <c r="F2869" s="7" t="s">
        <v>14743</v>
      </c>
      <c r="G2869" s="7" t="s">
        <v>327</v>
      </c>
      <c r="H2869" s="7" t="s">
        <v>146</v>
      </c>
      <c r="I2869" s="7" t="s">
        <v>14744</v>
      </c>
      <c r="J2869" s="7" t="s">
        <v>114</v>
      </c>
      <c r="K2869" s="7" t="s">
        <v>14745</v>
      </c>
    </row>
    <row r="2870" customFormat="false" ht="35.05" hidden="false" customHeight="false" outlineLevel="0" collapsed="false">
      <c r="A2870" s="7" t="n">
        <v>2869</v>
      </c>
      <c r="B2870" s="7" t="s">
        <v>14746</v>
      </c>
      <c r="C2870" s="7" t="n">
        <v>2016</v>
      </c>
      <c r="D2870" s="7" t="s">
        <v>14747</v>
      </c>
      <c r="E2870" s="7" t="s">
        <v>14748</v>
      </c>
      <c r="F2870" s="7" t="s">
        <v>14749</v>
      </c>
      <c r="G2870" s="7" t="s">
        <v>678</v>
      </c>
      <c r="H2870" s="7" t="s">
        <v>146</v>
      </c>
      <c r="I2870" s="7" t="s">
        <v>14750</v>
      </c>
      <c r="J2870" s="7"/>
      <c r="K2870" s="7" t="s">
        <v>14751</v>
      </c>
    </row>
    <row r="2871" customFormat="false" ht="35.05" hidden="false" customHeight="false" outlineLevel="0" collapsed="false">
      <c r="A2871" s="7" t="n">
        <v>2870</v>
      </c>
      <c r="B2871" s="7" t="s">
        <v>14752</v>
      </c>
      <c r="C2871" s="7" t="n">
        <v>2022</v>
      </c>
      <c r="D2871" s="7" t="s">
        <v>14753</v>
      </c>
      <c r="E2871" s="7" t="s">
        <v>151</v>
      </c>
      <c r="F2871" s="7" t="s">
        <v>348</v>
      </c>
      <c r="G2871" s="7" t="s">
        <v>14754</v>
      </c>
      <c r="H2871" s="7" t="s">
        <v>146</v>
      </c>
      <c r="I2871" s="7" t="s">
        <v>14755</v>
      </c>
      <c r="J2871" s="7"/>
      <c r="K2871" s="7" t="s">
        <v>14756</v>
      </c>
    </row>
    <row r="2872" customFormat="false" ht="35.05" hidden="false" customHeight="false" outlineLevel="0" collapsed="false">
      <c r="A2872" s="7" t="n">
        <v>2871</v>
      </c>
      <c r="B2872" s="7" t="s">
        <v>14757</v>
      </c>
      <c r="C2872" s="7" t="n">
        <v>2011</v>
      </c>
      <c r="D2872" s="7" t="s">
        <v>14758</v>
      </c>
      <c r="E2872" s="7" t="s">
        <v>151</v>
      </c>
      <c r="F2872" s="7" t="s">
        <v>152</v>
      </c>
      <c r="G2872" s="7" t="s">
        <v>14759</v>
      </c>
      <c r="H2872" s="7" t="s">
        <v>146</v>
      </c>
      <c r="I2872" s="7" t="s">
        <v>14760</v>
      </c>
      <c r="J2872" s="7"/>
      <c r="K2872" s="7" t="s">
        <v>14761</v>
      </c>
    </row>
    <row r="2873" customFormat="false" ht="23.85" hidden="false" customHeight="false" outlineLevel="0" collapsed="false">
      <c r="A2873" s="7" t="n">
        <v>2872</v>
      </c>
      <c r="B2873" s="7" t="s">
        <v>14762</v>
      </c>
      <c r="C2873" s="7" t="n">
        <v>2009</v>
      </c>
      <c r="D2873" s="7" t="s">
        <v>14763</v>
      </c>
      <c r="E2873" s="7" t="s">
        <v>143</v>
      </c>
      <c r="F2873" s="7" t="s">
        <v>152</v>
      </c>
      <c r="G2873" s="7" t="s">
        <v>145</v>
      </c>
      <c r="H2873" s="7" t="s">
        <v>153</v>
      </c>
      <c r="I2873" s="7" t="s">
        <v>14764</v>
      </c>
      <c r="J2873" s="7" t="s">
        <v>116</v>
      </c>
      <c r="K2873" s="7" t="s">
        <v>14765</v>
      </c>
    </row>
    <row r="2874" customFormat="false" ht="23.85" hidden="false" customHeight="false" outlineLevel="0" collapsed="false">
      <c r="A2874" s="7" t="n">
        <v>2873</v>
      </c>
      <c r="B2874" s="7" t="s">
        <v>14766</v>
      </c>
      <c r="C2874" s="7" t="n">
        <v>2020</v>
      </c>
      <c r="D2874" s="7" t="s">
        <v>14767</v>
      </c>
      <c r="E2874" s="7" t="s">
        <v>12529</v>
      </c>
      <c r="F2874" s="7" t="s">
        <v>14404</v>
      </c>
      <c r="G2874" s="7" t="s">
        <v>678</v>
      </c>
      <c r="H2874" s="7" t="s">
        <v>146</v>
      </c>
      <c r="I2874" s="7" t="s">
        <v>14768</v>
      </c>
      <c r="J2874" s="7" t="s">
        <v>114</v>
      </c>
      <c r="K2874" s="7" t="s">
        <v>14769</v>
      </c>
    </row>
    <row r="2875" customFormat="false" ht="23.85" hidden="false" customHeight="false" outlineLevel="0" collapsed="false">
      <c r="A2875" s="7" t="n">
        <v>2874</v>
      </c>
      <c r="B2875" s="7" t="s">
        <v>14766</v>
      </c>
      <c r="C2875" s="7" t="n">
        <v>2021</v>
      </c>
      <c r="D2875" s="7" t="s">
        <v>14770</v>
      </c>
      <c r="E2875" s="7" t="s">
        <v>201</v>
      </c>
      <c r="F2875" s="7" t="s">
        <v>152</v>
      </c>
      <c r="G2875" s="7" t="s">
        <v>678</v>
      </c>
      <c r="H2875" s="7" t="s">
        <v>146</v>
      </c>
      <c r="I2875" s="7" t="s">
        <v>14771</v>
      </c>
      <c r="J2875" s="7"/>
      <c r="K2875" s="7" t="s">
        <v>14772</v>
      </c>
    </row>
    <row r="2876" customFormat="false" ht="23.85" hidden="false" customHeight="false" outlineLevel="0" collapsed="false">
      <c r="A2876" s="7" t="n">
        <v>2875</v>
      </c>
      <c r="B2876" s="7" t="s">
        <v>14773</v>
      </c>
      <c r="C2876" s="7" t="n">
        <v>2011</v>
      </c>
      <c r="D2876" s="7" t="s">
        <v>14774</v>
      </c>
      <c r="E2876" s="7" t="s">
        <v>143</v>
      </c>
      <c r="F2876" s="7" t="s">
        <v>14775</v>
      </c>
      <c r="G2876" s="7" t="s">
        <v>4711</v>
      </c>
      <c r="H2876" s="7" t="s">
        <v>146</v>
      </c>
      <c r="I2876" s="7" t="s">
        <v>14776</v>
      </c>
      <c r="J2876" s="7" t="s">
        <v>114</v>
      </c>
      <c r="K2876" s="7" t="s">
        <v>14777</v>
      </c>
    </row>
    <row r="2877" customFormat="false" ht="23.85" hidden="false" customHeight="false" outlineLevel="0" collapsed="false">
      <c r="A2877" s="7" t="n">
        <v>2876</v>
      </c>
      <c r="B2877" s="7" t="s">
        <v>14778</v>
      </c>
      <c r="C2877" s="7" t="n">
        <v>2024</v>
      </c>
      <c r="D2877" s="7" t="s">
        <v>14779</v>
      </c>
      <c r="E2877" s="7" t="s">
        <v>151</v>
      </c>
      <c r="F2877" s="7" t="s">
        <v>152</v>
      </c>
      <c r="G2877" s="7" t="s">
        <v>14780</v>
      </c>
      <c r="H2877" s="7" t="s">
        <v>208</v>
      </c>
      <c r="I2877" s="7" t="s">
        <v>14781</v>
      </c>
      <c r="J2877" s="7"/>
      <c r="K2877" s="7" t="s">
        <v>14782</v>
      </c>
    </row>
    <row r="2878" customFormat="false" ht="35.05" hidden="false" customHeight="false" outlineLevel="0" collapsed="false">
      <c r="A2878" s="7" t="n">
        <v>2877</v>
      </c>
      <c r="B2878" s="7" t="s">
        <v>14783</v>
      </c>
      <c r="C2878" s="7" t="n">
        <v>2013</v>
      </c>
      <c r="D2878" s="7" t="s">
        <v>14784</v>
      </c>
      <c r="E2878" s="7" t="s">
        <v>151</v>
      </c>
      <c r="F2878" s="7" t="s">
        <v>152</v>
      </c>
      <c r="G2878" s="7" t="s">
        <v>512</v>
      </c>
      <c r="H2878" s="7" t="s">
        <v>208</v>
      </c>
      <c r="I2878" s="7" t="s">
        <v>14785</v>
      </c>
      <c r="J2878" s="7" t="s">
        <v>116</v>
      </c>
      <c r="K2878" s="7" t="s">
        <v>14786</v>
      </c>
    </row>
    <row r="2879" customFormat="false" ht="35.05" hidden="false" customHeight="false" outlineLevel="0" collapsed="false">
      <c r="A2879" s="7" t="n">
        <v>2878</v>
      </c>
      <c r="B2879" s="7" t="s">
        <v>14787</v>
      </c>
      <c r="C2879" s="7" t="n">
        <v>1979</v>
      </c>
      <c r="D2879" s="7" t="s">
        <v>14788</v>
      </c>
      <c r="E2879" s="7" t="s">
        <v>143</v>
      </c>
      <c r="F2879" s="7" t="s">
        <v>1678</v>
      </c>
      <c r="G2879" s="7" t="s">
        <v>181</v>
      </c>
      <c r="H2879" s="7" t="s">
        <v>153</v>
      </c>
      <c r="I2879" s="7" t="s">
        <v>14789</v>
      </c>
      <c r="J2879" s="7" t="s">
        <v>114</v>
      </c>
      <c r="K2879" s="7" t="s">
        <v>14790</v>
      </c>
    </row>
    <row r="2880" customFormat="false" ht="23.85" hidden="false" customHeight="false" outlineLevel="0" collapsed="false">
      <c r="A2880" s="7" t="n">
        <v>2879</v>
      </c>
      <c r="B2880" s="7" t="s">
        <v>14791</v>
      </c>
      <c r="C2880" s="7" t="n">
        <v>2016</v>
      </c>
      <c r="D2880" s="7" t="s">
        <v>14792</v>
      </c>
      <c r="E2880" s="7" t="s">
        <v>201</v>
      </c>
      <c r="F2880" s="7" t="s">
        <v>14793</v>
      </c>
      <c r="G2880" s="7" t="s">
        <v>145</v>
      </c>
      <c r="H2880" s="7" t="s">
        <v>146</v>
      </c>
      <c r="I2880" s="7" t="s">
        <v>14794</v>
      </c>
      <c r="J2880" s="7"/>
      <c r="K2880" s="7" t="s">
        <v>14795</v>
      </c>
    </row>
    <row r="2881" customFormat="false" ht="35.05" hidden="false" customHeight="false" outlineLevel="0" collapsed="false">
      <c r="A2881" s="7" t="n">
        <v>2880</v>
      </c>
      <c r="B2881" s="7" t="s">
        <v>14796</v>
      </c>
      <c r="C2881" s="7" t="n">
        <v>2017</v>
      </c>
      <c r="D2881" s="7" t="s">
        <v>14797</v>
      </c>
      <c r="E2881" s="7" t="s">
        <v>8720</v>
      </c>
      <c r="F2881" s="7" t="s">
        <v>14798</v>
      </c>
      <c r="G2881" s="7" t="s">
        <v>14799</v>
      </c>
      <c r="H2881" s="7" t="s">
        <v>208</v>
      </c>
      <c r="I2881" s="7" t="s">
        <v>14800</v>
      </c>
      <c r="J2881" s="7" t="s">
        <v>114</v>
      </c>
      <c r="K2881" s="7" t="s">
        <v>14801</v>
      </c>
    </row>
    <row r="2882" customFormat="false" ht="23.85" hidden="false" customHeight="false" outlineLevel="0" collapsed="false">
      <c r="A2882" s="7" t="n">
        <v>2881</v>
      </c>
      <c r="B2882" s="7" t="s">
        <v>14802</v>
      </c>
      <c r="C2882" s="7" t="n">
        <v>2017</v>
      </c>
      <c r="D2882" s="7" t="s">
        <v>14803</v>
      </c>
      <c r="E2882" s="7" t="s">
        <v>8720</v>
      </c>
      <c r="F2882" s="7" t="s">
        <v>14804</v>
      </c>
      <c r="G2882" s="7" t="s">
        <v>327</v>
      </c>
      <c r="H2882" s="7" t="s">
        <v>153</v>
      </c>
      <c r="I2882" s="7" t="s">
        <v>14805</v>
      </c>
      <c r="J2882" s="7" t="s">
        <v>114</v>
      </c>
      <c r="K2882" s="7" t="s">
        <v>14806</v>
      </c>
    </row>
    <row r="2883" customFormat="false" ht="23.85" hidden="false" customHeight="false" outlineLevel="0" collapsed="false">
      <c r="A2883" s="7" t="n">
        <v>2882</v>
      </c>
      <c r="B2883" s="7" t="s">
        <v>14807</v>
      </c>
      <c r="C2883" s="7" t="n">
        <v>1995</v>
      </c>
      <c r="D2883" s="7" t="s">
        <v>14808</v>
      </c>
      <c r="E2883" s="7" t="s">
        <v>10732</v>
      </c>
      <c r="F2883" s="7" t="s">
        <v>14809</v>
      </c>
      <c r="G2883" s="7" t="s">
        <v>327</v>
      </c>
      <c r="H2883" s="7" t="s">
        <v>208</v>
      </c>
      <c r="I2883" s="7" t="s">
        <v>6767</v>
      </c>
      <c r="J2883" s="7" t="s">
        <v>114</v>
      </c>
      <c r="K2883" s="7" t="s">
        <v>14810</v>
      </c>
    </row>
    <row r="2884" customFormat="false" ht="23.85" hidden="false" customHeight="false" outlineLevel="0" collapsed="false">
      <c r="A2884" s="7" t="n">
        <v>2883</v>
      </c>
      <c r="B2884" s="7" t="s">
        <v>14811</v>
      </c>
      <c r="C2884" s="7" t="n">
        <v>1971</v>
      </c>
      <c r="D2884" s="7" t="s">
        <v>14812</v>
      </c>
      <c r="E2884" s="7" t="s">
        <v>10722</v>
      </c>
      <c r="F2884" s="7" t="s">
        <v>14813</v>
      </c>
      <c r="G2884" s="7" t="s">
        <v>145</v>
      </c>
      <c r="H2884" s="7" t="s">
        <v>208</v>
      </c>
      <c r="I2884" s="7" t="s">
        <v>14814</v>
      </c>
      <c r="J2884" s="7" t="s">
        <v>114</v>
      </c>
      <c r="K2884" s="7" t="s">
        <v>14815</v>
      </c>
    </row>
    <row r="2885" customFormat="false" ht="35.05" hidden="false" customHeight="false" outlineLevel="0" collapsed="false">
      <c r="A2885" s="7" t="n">
        <v>2884</v>
      </c>
      <c r="B2885" s="7" t="s">
        <v>14192</v>
      </c>
      <c r="C2885" s="7" t="n">
        <v>2021</v>
      </c>
      <c r="D2885" s="7" t="s">
        <v>14816</v>
      </c>
      <c r="E2885" s="7" t="s">
        <v>201</v>
      </c>
      <c r="F2885" s="7" t="s">
        <v>14189</v>
      </c>
      <c r="G2885" s="7" t="s">
        <v>2846</v>
      </c>
      <c r="H2885" s="7" t="s">
        <v>153</v>
      </c>
      <c r="I2885" s="7" t="s">
        <v>14817</v>
      </c>
      <c r="J2885" s="7" t="s">
        <v>114</v>
      </c>
      <c r="K2885" s="7" t="s">
        <v>14818</v>
      </c>
    </row>
    <row r="2886" customFormat="false" ht="23.85" hidden="false" customHeight="false" outlineLevel="0" collapsed="false">
      <c r="A2886" s="7" t="n">
        <v>2885</v>
      </c>
      <c r="B2886" s="7" t="s">
        <v>14819</v>
      </c>
      <c r="C2886" s="7" t="n">
        <v>2025</v>
      </c>
      <c r="D2886" s="7" t="s">
        <v>14820</v>
      </c>
      <c r="E2886" s="7" t="s">
        <v>201</v>
      </c>
      <c r="F2886" s="7" t="s">
        <v>14146</v>
      </c>
      <c r="G2886" s="7" t="s">
        <v>327</v>
      </c>
      <c r="H2886" s="7" t="s">
        <v>153</v>
      </c>
      <c r="I2886" s="7" t="s">
        <v>14821</v>
      </c>
      <c r="J2886" s="7" t="s">
        <v>114</v>
      </c>
      <c r="K2886" s="7" t="s">
        <v>14822</v>
      </c>
    </row>
    <row r="2887" customFormat="false" ht="23.85" hidden="false" customHeight="false" outlineLevel="0" collapsed="false">
      <c r="A2887" s="7" t="n">
        <v>2886</v>
      </c>
      <c r="B2887" s="7" t="s">
        <v>14823</v>
      </c>
      <c r="C2887" s="7" t="n">
        <v>2007</v>
      </c>
      <c r="D2887" s="7" t="s">
        <v>14824</v>
      </c>
      <c r="E2887" s="7" t="s">
        <v>10484</v>
      </c>
      <c r="F2887" s="7" t="s">
        <v>14605</v>
      </c>
      <c r="G2887" s="7" t="s">
        <v>14825</v>
      </c>
      <c r="H2887" s="7" t="s">
        <v>208</v>
      </c>
      <c r="I2887" s="7" t="s">
        <v>14826</v>
      </c>
      <c r="J2887" s="7"/>
      <c r="K2887" s="7" t="s">
        <v>14827</v>
      </c>
    </row>
    <row r="2888" customFormat="false" ht="35.05" hidden="false" customHeight="false" outlineLevel="0" collapsed="false">
      <c r="A2888" s="7" t="n">
        <v>2887</v>
      </c>
      <c r="B2888" s="7" t="s">
        <v>14828</v>
      </c>
      <c r="C2888" s="7" t="n">
        <v>2019</v>
      </c>
      <c r="D2888" s="7" t="s">
        <v>14829</v>
      </c>
      <c r="E2888" s="7" t="s">
        <v>151</v>
      </c>
      <c r="F2888" s="7" t="s">
        <v>152</v>
      </c>
      <c r="G2888" s="7" t="s">
        <v>14830</v>
      </c>
      <c r="H2888" s="7" t="s">
        <v>208</v>
      </c>
      <c r="I2888" s="7" t="s">
        <v>14785</v>
      </c>
      <c r="J2888" s="7"/>
      <c r="K2888" s="7" t="s">
        <v>14831</v>
      </c>
    </row>
    <row r="2889" customFormat="false" ht="35.05" hidden="false" customHeight="false" outlineLevel="0" collapsed="false">
      <c r="A2889" s="7" t="n">
        <v>2888</v>
      </c>
      <c r="B2889" s="7" t="s">
        <v>14832</v>
      </c>
      <c r="C2889" s="7" t="n">
        <v>2015</v>
      </c>
      <c r="D2889" s="7" t="s">
        <v>14833</v>
      </c>
      <c r="E2889" s="7" t="s">
        <v>143</v>
      </c>
      <c r="F2889" s="7" t="s">
        <v>197</v>
      </c>
      <c r="G2889" s="7" t="s">
        <v>145</v>
      </c>
      <c r="H2889" s="7" t="s">
        <v>153</v>
      </c>
      <c r="I2889" s="7" t="s">
        <v>10747</v>
      </c>
      <c r="J2889" s="7" t="s">
        <v>114</v>
      </c>
      <c r="K2889" s="7" t="s">
        <v>14834</v>
      </c>
    </row>
    <row r="2890" customFormat="false" ht="35.05" hidden="false" customHeight="false" outlineLevel="0" collapsed="false">
      <c r="A2890" s="7" t="n">
        <v>2889</v>
      </c>
      <c r="B2890" s="7" t="s">
        <v>14835</v>
      </c>
      <c r="C2890" s="7" t="n">
        <v>2000</v>
      </c>
      <c r="D2890" s="7" t="s">
        <v>14836</v>
      </c>
      <c r="E2890" s="7" t="s">
        <v>8720</v>
      </c>
      <c r="F2890" s="7" t="s">
        <v>14837</v>
      </c>
      <c r="G2890" s="7" t="s">
        <v>327</v>
      </c>
      <c r="H2890" s="7" t="s">
        <v>208</v>
      </c>
      <c r="I2890" s="7" t="s">
        <v>14838</v>
      </c>
      <c r="J2890" s="7" t="s">
        <v>114</v>
      </c>
      <c r="K2890" s="7" t="s">
        <v>14839</v>
      </c>
    </row>
    <row r="2891" customFormat="false" ht="35.05" hidden="false" customHeight="false" outlineLevel="0" collapsed="false">
      <c r="A2891" s="7" t="n">
        <v>2890</v>
      </c>
      <c r="B2891" s="7" t="s">
        <v>14840</v>
      </c>
      <c r="C2891" s="7" t="n">
        <v>2008</v>
      </c>
      <c r="D2891" s="7" t="s">
        <v>14841</v>
      </c>
      <c r="E2891" s="7" t="s">
        <v>8720</v>
      </c>
      <c r="F2891" s="7" t="s">
        <v>14798</v>
      </c>
      <c r="G2891" s="7" t="s">
        <v>14799</v>
      </c>
      <c r="H2891" s="7" t="s">
        <v>208</v>
      </c>
      <c r="I2891" s="7" t="s">
        <v>14842</v>
      </c>
      <c r="J2891" s="7" t="s">
        <v>114</v>
      </c>
      <c r="K2891" s="7" t="s">
        <v>14843</v>
      </c>
    </row>
    <row r="2892" customFormat="false" ht="23.85" hidden="false" customHeight="false" outlineLevel="0" collapsed="false">
      <c r="A2892" s="7" t="n">
        <v>2891</v>
      </c>
      <c r="B2892" s="7" t="s">
        <v>14844</v>
      </c>
      <c r="C2892" s="7" t="n">
        <v>1991</v>
      </c>
      <c r="D2892" s="7" t="s">
        <v>14845</v>
      </c>
      <c r="E2892" s="7" t="s">
        <v>8720</v>
      </c>
      <c r="F2892" s="7" t="s">
        <v>14846</v>
      </c>
      <c r="G2892" s="7" t="s">
        <v>327</v>
      </c>
      <c r="H2892" s="7" t="s">
        <v>208</v>
      </c>
      <c r="I2892" s="7" t="s">
        <v>14847</v>
      </c>
      <c r="J2892" s="7" t="s">
        <v>116</v>
      </c>
      <c r="K2892" s="7" t="s">
        <v>14848</v>
      </c>
    </row>
    <row r="2893" customFormat="false" ht="23.85" hidden="false" customHeight="false" outlineLevel="0" collapsed="false">
      <c r="A2893" s="7" t="n">
        <v>2892</v>
      </c>
      <c r="B2893" s="7" t="s">
        <v>14849</v>
      </c>
      <c r="C2893" s="7" t="n">
        <v>1992</v>
      </c>
      <c r="D2893" s="7" t="s">
        <v>14850</v>
      </c>
      <c r="E2893" s="7" t="s">
        <v>8720</v>
      </c>
      <c r="F2893" s="7" t="s">
        <v>14809</v>
      </c>
      <c r="G2893" s="7" t="s">
        <v>327</v>
      </c>
      <c r="H2893" s="7" t="s">
        <v>153</v>
      </c>
      <c r="I2893" s="7" t="s">
        <v>14851</v>
      </c>
      <c r="J2893" s="7" t="s">
        <v>114</v>
      </c>
      <c r="K2893" s="7" t="s">
        <v>14852</v>
      </c>
    </row>
    <row r="2894" customFormat="false" ht="23.85" hidden="false" customHeight="false" outlineLevel="0" collapsed="false">
      <c r="A2894" s="7" t="n">
        <v>2893</v>
      </c>
      <c r="B2894" s="7" t="s">
        <v>14853</v>
      </c>
      <c r="C2894" s="7" t="n">
        <v>2024</v>
      </c>
      <c r="D2894" s="7" t="s">
        <v>14854</v>
      </c>
      <c r="E2894" s="7" t="s">
        <v>151</v>
      </c>
      <c r="F2894" s="7" t="s">
        <v>152</v>
      </c>
      <c r="G2894" s="7" t="s">
        <v>14855</v>
      </c>
      <c r="H2894" s="7" t="s">
        <v>146</v>
      </c>
      <c r="I2894" s="7" t="s">
        <v>14856</v>
      </c>
      <c r="J2894" s="7"/>
      <c r="K2894" s="7" t="s">
        <v>14857</v>
      </c>
    </row>
    <row r="2895" customFormat="false" ht="35.05" hidden="false" customHeight="false" outlineLevel="0" collapsed="false">
      <c r="A2895" s="7" t="n">
        <v>2894</v>
      </c>
      <c r="B2895" s="7" t="s">
        <v>14858</v>
      </c>
      <c r="C2895" s="7" t="n">
        <v>2020</v>
      </c>
      <c r="D2895" s="7" t="s">
        <v>14859</v>
      </c>
      <c r="E2895" s="7" t="s">
        <v>579</v>
      </c>
      <c r="F2895" s="7" t="s">
        <v>14860</v>
      </c>
      <c r="G2895" s="7" t="s">
        <v>14324</v>
      </c>
      <c r="H2895" s="7" t="s">
        <v>153</v>
      </c>
      <c r="I2895" s="7" t="s">
        <v>14861</v>
      </c>
      <c r="J2895" s="7" t="s">
        <v>114</v>
      </c>
      <c r="K2895" s="7" t="s">
        <v>14862</v>
      </c>
    </row>
    <row r="2896" customFormat="false" ht="23.85" hidden="false" customHeight="false" outlineLevel="0" collapsed="false">
      <c r="A2896" s="7" t="n">
        <v>2895</v>
      </c>
      <c r="B2896" s="7" t="s">
        <v>14863</v>
      </c>
      <c r="C2896" s="7" t="n">
        <v>2024</v>
      </c>
      <c r="D2896" s="7" t="s">
        <v>14864</v>
      </c>
      <c r="E2896" s="7" t="s">
        <v>579</v>
      </c>
      <c r="F2896" s="7" t="s">
        <v>14865</v>
      </c>
      <c r="G2896" s="7" t="s">
        <v>327</v>
      </c>
      <c r="H2896" s="7" t="s">
        <v>208</v>
      </c>
      <c r="I2896" s="7" t="s">
        <v>14866</v>
      </c>
      <c r="J2896" s="7" t="s">
        <v>114</v>
      </c>
      <c r="K2896" s="7" t="s">
        <v>14867</v>
      </c>
    </row>
    <row r="2897" customFormat="false" ht="23.85" hidden="false" customHeight="false" outlineLevel="0" collapsed="false">
      <c r="A2897" s="7" t="n">
        <v>2896</v>
      </c>
      <c r="B2897" s="7" t="s">
        <v>14868</v>
      </c>
      <c r="C2897" s="7" t="n">
        <v>2020</v>
      </c>
      <c r="D2897" s="7" t="s">
        <v>14869</v>
      </c>
      <c r="E2897" s="7" t="s">
        <v>8720</v>
      </c>
      <c r="F2897" s="7" t="s">
        <v>14870</v>
      </c>
      <c r="G2897" s="7" t="s">
        <v>327</v>
      </c>
      <c r="H2897" s="7" t="s">
        <v>153</v>
      </c>
      <c r="I2897" s="7" t="s">
        <v>14871</v>
      </c>
      <c r="J2897" s="7" t="s">
        <v>114</v>
      </c>
      <c r="K2897" s="7" t="s">
        <v>14872</v>
      </c>
    </row>
    <row r="2898" customFormat="false" ht="23.85" hidden="false" customHeight="false" outlineLevel="0" collapsed="false">
      <c r="A2898" s="7" t="n">
        <v>2897</v>
      </c>
      <c r="B2898" s="7" t="s">
        <v>14873</v>
      </c>
      <c r="C2898" s="7" t="n">
        <v>2024</v>
      </c>
      <c r="D2898" s="7" t="s">
        <v>14874</v>
      </c>
      <c r="E2898" s="7" t="s">
        <v>8720</v>
      </c>
      <c r="F2898" s="7" t="s">
        <v>14875</v>
      </c>
      <c r="G2898" s="7" t="s">
        <v>327</v>
      </c>
      <c r="H2898" s="7" t="s">
        <v>153</v>
      </c>
      <c r="I2898" s="7" t="s">
        <v>14876</v>
      </c>
      <c r="J2898" s="7" t="s">
        <v>114</v>
      </c>
      <c r="K2898" s="7" t="s">
        <v>14877</v>
      </c>
    </row>
    <row r="2899" customFormat="false" ht="23.85" hidden="false" customHeight="false" outlineLevel="0" collapsed="false">
      <c r="A2899" s="7" t="n">
        <v>2898</v>
      </c>
      <c r="B2899" s="7" t="s">
        <v>14878</v>
      </c>
      <c r="C2899" s="7" t="n">
        <v>2020</v>
      </c>
      <c r="D2899" s="7" t="s">
        <v>14879</v>
      </c>
      <c r="E2899" s="7" t="s">
        <v>8084</v>
      </c>
      <c r="F2899" s="7" t="s">
        <v>14880</v>
      </c>
      <c r="G2899" s="7" t="s">
        <v>145</v>
      </c>
      <c r="H2899" s="7" t="s">
        <v>146</v>
      </c>
      <c r="I2899" s="7" t="s">
        <v>14881</v>
      </c>
      <c r="J2899" s="7" t="s">
        <v>114</v>
      </c>
      <c r="K2899" s="7" t="s">
        <v>14882</v>
      </c>
    </row>
    <row r="2900" customFormat="false" ht="23.85" hidden="false" customHeight="false" outlineLevel="0" collapsed="false">
      <c r="A2900" s="7" t="n">
        <v>2899</v>
      </c>
      <c r="B2900" s="7" t="s">
        <v>14883</v>
      </c>
      <c r="C2900" s="7" t="n">
        <v>2023</v>
      </c>
      <c r="D2900" s="7" t="s">
        <v>14884</v>
      </c>
      <c r="E2900" s="7" t="s">
        <v>8720</v>
      </c>
      <c r="F2900" s="7" t="s">
        <v>14885</v>
      </c>
      <c r="G2900" s="7" t="s">
        <v>145</v>
      </c>
      <c r="H2900" s="7" t="s">
        <v>146</v>
      </c>
      <c r="I2900" s="7" t="s">
        <v>14886</v>
      </c>
      <c r="J2900" s="7" t="s">
        <v>114</v>
      </c>
      <c r="K2900" s="7" t="s">
        <v>14887</v>
      </c>
    </row>
    <row r="2901" customFormat="false" ht="35.05" hidden="false" customHeight="false" outlineLevel="0" collapsed="false">
      <c r="A2901" s="7" t="n">
        <v>2900</v>
      </c>
      <c r="B2901" s="7" t="s">
        <v>14888</v>
      </c>
      <c r="C2901" s="7" t="n">
        <v>2024</v>
      </c>
      <c r="D2901" s="7" t="s">
        <v>14889</v>
      </c>
      <c r="E2901" s="7" t="s">
        <v>151</v>
      </c>
      <c r="F2901" s="7" t="s">
        <v>14890</v>
      </c>
      <c r="G2901" s="7" t="s">
        <v>14759</v>
      </c>
      <c r="H2901" s="7" t="s">
        <v>146</v>
      </c>
      <c r="I2901" s="7" t="s">
        <v>14891</v>
      </c>
      <c r="J2901" s="7"/>
      <c r="K2901" s="7" t="s">
        <v>14892</v>
      </c>
    </row>
    <row r="2902" customFormat="false" ht="23.85" hidden="false" customHeight="false" outlineLevel="0" collapsed="false">
      <c r="A2902" s="7" t="n">
        <v>2901</v>
      </c>
      <c r="B2902" s="7" t="s">
        <v>14893</v>
      </c>
      <c r="C2902" s="7" t="n">
        <v>2020</v>
      </c>
      <c r="D2902" s="7" t="s">
        <v>14894</v>
      </c>
      <c r="E2902" s="7" t="s">
        <v>14895</v>
      </c>
      <c r="F2902" s="7" t="s">
        <v>14896</v>
      </c>
      <c r="G2902" s="7" t="s">
        <v>327</v>
      </c>
      <c r="H2902" s="7" t="s">
        <v>146</v>
      </c>
      <c r="I2902" s="7" t="s">
        <v>14897</v>
      </c>
      <c r="J2902" s="7"/>
      <c r="K2902" s="7" t="s">
        <v>14898</v>
      </c>
    </row>
    <row r="2903" customFormat="false" ht="35.05" hidden="false" customHeight="false" outlineLevel="0" collapsed="false">
      <c r="A2903" s="7" t="n">
        <v>2902</v>
      </c>
      <c r="B2903" s="7" t="s">
        <v>14899</v>
      </c>
      <c r="C2903" s="7" t="n">
        <v>2013</v>
      </c>
      <c r="D2903" s="7" t="s">
        <v>14900</v>
      </c>
      <c r="E2903" s="7" t="s">
        <v>151</v>
      </c>
      <c r="F2903" s="7" t="s">
        <v>14901</v>
      </c>
      <c r="G2903" s="7" t="s">
        <v>14902</v>
      </c>
      <c r="H2903" s="7" t="s">
        <v>146</v>
      </c>
      <c r="I2903" s="7" t="s">
        <v>14903</v>
      </c>
      <c r="J2903" s="7" t="s">
        <v>116</v>
      </c>
      <c r="K2903" s="7" t="s">
        <v>14904</v>
      </c>
    </row>
    <row r="2904" customFormat="false" ht="23.85" hidden="false" customHeight="false" outlineLevel="0" collapsed="false">
      <c r="A2904" s="7" t="n">
        <v>2903</v>
      </c>
      <c r="B2904" s="7" t="s">
        <v>14905</v>
      </c>
      <c r="C2904" s="7" t="n">
        <v>2022</v>
      </c>
      <c r="D2904" s="7" t="s">
        <v>14906</v>
      </c>
      <c r="E2904" s="7" t="s">
        <v>151</v>
      </c>
      <c r="F2904" s="7" t="s">
        <v>152</v>
      </c>
      <c r="G2904" s="7" t="s">
        <v>678</v>
      </c>
      <c r="H2904" s="7" t="s">
        <v>146</v>
      </c>
      <c r="I2904" s="7" t="s">
        <v>14907</v>
      </c>
      <c r="J2904" s="7"/>
      <c r="K2904" s="7" t="s">
        <v>14908</v>
      </c>
    </row>
    <row r="2905" customFormat="false" ht="35.05" hidden="false" customHeight="false" outlineLevel="0" collapsed="false">
      <c r="A2905" s="7" t="n">
        <v>2904</v>
      </c>
      <c r="B2905" s="7" t="s">
        <v>14909</v>
      </c>
      <c r="C2905" s="7" t="n">
        <v>2019</v>
      </c>
      <c r="D2905" s="7" t="s">
        <v>14910</v>
      </c>
      <c r="E2905" s="7" t="s">
        <v>151</v>
      </c>
      <c r="F2905" s="7" t="s">
        <v>14404</v>
      </c>
      <c r="G2905" s="7" t="s">
        <v>327</v>
      </c>
      <c r="H2905" s="7" t="s">
        <v>208</v>
      </c>
      <c r="I2905" s="7" t="s">
        <v>14911</v>
      </c>
      <c r="J2905" s="7" t="s">
        <v>116</v>
      </c>
      <c r="K2905" s="7" t="s">
        <v>14912</v>
      </c>
    </row>
    <row r="2906" customFormat="false" ht="23.85" hidden="false" customHeight="false" outlineLevel="0" collapsed="false">
      <c r="A2906" s="7" t="n">
        <v>2905</v>
      </c>
      <c r="B2906" s="7" t="s">
        <v>14913</v>
      </c>
      <c r="C2906" s="7" t="n">
        <v>2017</v>
      </c>
      <c r="D2906" s="7" t="s">
        <v>14914</v>
      </c>
      <c r="E2906" s="7" t="s">
        <v>8720</v>
      </c>
      <c r="F2906" s="7" t="s">
        <v>14915</v>
      </c>
      <c r="G2906" s="7" t="s">
        <v>2846</v>
      </c>
      <c r="H2906" s="7" t="s">
        <v>153</v>
      </c>
      <c r="I2906" s="7" t="s">
        <v>14916</v>
      </c>
      <c r="J2906" s="7" t="s">
        <v>114</v>
      </c>
      <c r="K2906" s="7" t="s">
        <v>14917</v>
      </c>
    </row>
    <row r="2907" customFormat="false" ht="35.05" hidden="false" customHeight="false" outlineLevel="0" collapsed="false">
      <c r="A2907" s="7" t="n">
        <v>2906</v>
      </c>
      <c r="B2907" s="7" t="s">
        <v>14918</v>
      </c>
      <c r="C2907" s="7" t="n">
        <v>2011</v>
      </c>
      <c r="D2907" s="7" t="s">
        <v>14919</v>
      </c>
      <c r="E2907" s="7" t="s">
        <v>579</v>
      </c>
      <c r="F2907" s="7" t="s">
        <v>6442</v>
      </c>
      <c r="G2907" s="7" t="s">
        <v>327</v>
      </c>
      <c r="H2907" s="7" t="s">
        <v>146</v>
      </c>
      <c r="I2907" s="7" t="s">
        <v>14920</v>
      </c>
      <c r="J2907" s="7" t="s">
        <v>116</v>
      </c>
      <c r="K2907" s="7" t="s">
        <v>14921</v>
      </c>
    </row>
    <row r="2908" customFormat="false" ht="35.05" hidden="false" customHeight="false" outlineLevel="0" collapsed="false">
      <c r="A2908" s="7" t="n">
        <v>2907</v>
      </c>
      <c r="B2908" s="7" t="s">
        <v>14922</v>
      </c>
      <c r="C2908" s="7" t="n">
        <v>2023</v>
      </c>
      <c r="D2908" s="7" t="s">
        <v>14923</v>
      </c>
      <c r="E2908" s="7" t="s">
        <v>201</v>
      </c>
      <c r="F2908" s="7" t="s">
        <v>10445</v>
      </c>
      <c r="G2908" s="7" t="s">
        <v>145</v>
      </c>
      <c r="H2908" s="7" t="s">
        <v>153</v>
      </c>
      <c r="I2908" s="7" t="s">
        <v>14924</v>
      </c>
      <c r="J2908" s="7" t="s">
        <v>114</v>
      </c>
      <c r="K2908" s="7" t="s">
        <v>14925</v>
      </c>
    </row>
    <row r="2909" customFormat="false" ht="35.05" hidden="false" customHeight="false" outlineLevel="0" collapsed="false">
      <c r="A2909" s="7" t="n">
        <v>2908</v>
      </c>
      <c r="B2909" s="7" t="s">
        <v>14926</v>
      </c>
      <c r="C2909" s="7" t="n">
        <v>2024</v>
      </c>
      <c r="D2909" s="7" t="s">
        <v>14927</v>
      </c>
      <c r="E2909" s="7" t="s">
        <v>201</v>
      </c>
      <c r="F2909" s="7" t="s">
        <v>10445</v>
      </c>
      <c r="G2909" s="7" t="s">
        <v>145</v>
      </c>
      <c r="H2909" s="7" t="s">
        <v>153</v>
      </c>
      <c r="I2909" s="7" t="s">
        <v>10042</v>
      </c>
      <c r="J2909" s="7" t="s">
        <v>114</v>
      </c>
      <c r="K2909" s="7" t="s">
        <v>14928</v>
      </c>
    </row>
    <row r="2910" customFormat="false" ht="35.05" hidden="false" customHeight="false" outlineLevel="0" collapsed="false">
      <c r="A2910" s="7" t="n">
        <v>2909</v>
      </c>
      <c r="B2910" s="7" t="s">
        <v>14929</v>
      </c>
      <c r="C2910" s="7" t="n">
        <v>2020</v>
      </c>
      <c r="D2910" s="7" t="s">
        <v>14930</v>
      </c>
      <c r="E2910" s="7" t="s">
        <v>8720</v>
      </c>
      <c r="F2910" s="7" t="s">
        <v>14931</v>
      </c>
      <c r="G2910" s="7" t="s">
        <v>145</v>
      </c>
      <c r="H2910" s="7" t="s">
        <v>153</v>
      </c>
      <c r="I2910" s="7" t="s">
        <v>14932</v>
      </c>
      <c r="J2910" s="7" t="s">
        <v>114</v>
      </c>
      <c r="K2910" s="7" t="s">
        <v>14933</v>
      </c>
    </row>
    <row r="2911" customFormat="false" ht="35.05" hidden="false" customHeight="false" outlineLevel="0" collapsed="false">
      <c r="A2911" s="7" t="n">
        <v>2910</v>
      </c>
      <c r="B2911" s="7" t="s">
        <v>14402</v>
      </c>
      <c r="C2911" s="7" t="n">
        <v>2021</v>
      </c>
      <c r="D2911" s="7" t="s">
        <v>14934</v>
      </c>
      <c r="E2911" s="7" t="s">
        <v>151</v>
      </c>
      <c r="F2911" s="7" t="s">
        <v>14935</v>
      </c>
      <c r="G2911" s="7" t="s">
        <v>327</v>
      </c>
      <c r="H2911" s="7" t="s">
        <v>153</v>
      </c>
      <c r="I2911" s="7" t="s">
        <v>14936</v>
      </c>
      <c r="J2911" s="7" t="s">
        <v>116</v>
      </c>
      <c r="K2911" s="7" t="s">
        <v>14937</v>
      </c>
    </row>
    <row r="2912" customFormat="false" ht="23.85" hidden="false" customHeight="false" outlineLevel="0" collapsed="false">
      <c r="A2912" s="7" t="n">
        <v>2911</v>
      </c>
      <c r="B2912" s="7" t="s">
        <v>14938</v>
      </c>
      <c r="C2912" s="7" t="n">
        <v>2020</v>
      </c>
      <c r="D2912" s="7" t="s">
        <v>14939</v>
      </c>
      <c r="E2912" s="7" t="s">
        <v>201</v>
      </c>
      <c r="F2912" s="7" t="s">
        <v>3552</v>
      </c>
      <c r="G2912" s="7" t="s">
        <v>145</v>
      </c>
      <c r="H2912" s="7" t="s">
        <v>146</v>
      </c>
      <c r="I2912" s="7" t="s">
        <v>14940</v>
      </c>
      <c r="J2912" s="7"/>
      <c r="K2912" s="7" t="s">
        <v>14941</v>
      </c>
    </row>
    <row r="2913" customFormat="false" ht="35.05" hidden="false" customHeight="false" outlineLevel="0" collapsed="false">
      <c r="A2913" s="7" t="n">
        <v>2912</v>
      </c>
      <c r="B2913" s="7" t="s">
        <v>14942</v>
      </c>
      <c r="C2913" s="7" t="n">
        <v>2020</v>
      </c>
      <c r="D2913" s="7" t="s">
        <v>14943</v>
      </c>
      <c r="E2913" s="7" t="s">
        <v>579</v>
      </c>
      <c r="F2913" s="7" t="s">
        <v>14944</v>
      </c>
      <c r="G2913" s="7" t="s">
        <v>14491</v>
      </c>
      <c r="H2913" s="7" t="s">
        <v>153</v>
      </c>
      <c r="I2913" s="7" t="s">
        <v>14945</v>
      </c>
      <c r="J2913" s="7" t="s">
        <v>114</v>
      </c>
      <c r="K2913" s="7" t="s">
        <v>14946</v>
      </c>
    </row>
    <row r="2914" customFormat="false" ht="23.85" hidden="false" customHeight="false" outlineLevel="0" collapsed="false">
      <c r="A2914" s="7" t="n">
        <v>2913</v>
      </c>
      <c r="B2914" s="7" t="s">
        <v>14947</v>
      </c>
      <c r="C2914" s="7" t="n">
        <v>2023</v>
      </c>
      <c r="D2914" s="7" t="s">
        <v>14948</v>
      </c>
      <c r="E2914" s="7" t="s">
        <v>14895</v>
      </c>
      <c r="F2914" s="7" t="s">
        <v>14949</v>
      </c>
      <c r="G2914" s="7" t="s">
        <v>327</v>
      </c>
      <c r="H2914" s="7" t="s">
        <v>153</v>
      </c>
      <c r="I2914" s="7" t="s">
        <v>14950</v>
      </c>
      <c r="J2914" s="7" t="s">
        <v>114</v>
      </c>
      <c r="K2914" s="7" t="s">
        <v>14951</v>
      </c>
    </row>
    <row r="2915" customFormat="false" ht="35.05" hidden="false" customHeight="false" outlineLevel="0" collapsed="false">
      <c r="A2915" s="7" t="n">
        <v>2914</v>
      </c>
      <c r="B2915" s="7" t="s">
        <v>14952</v>
      </c>
      <c r="C2915" s="7" t="n">
        <v>2024</v>
      </c>
      <c r="D2915" s="7" t="s">
        <v>14953</v>
      </c>
      <c r="E2915" s="7" t="s">
        <v>201</v>
      </c>
      <c r="F2915" s="7" t="s">
        <v>1776</v>
      </c>
      <c r="G2915" s="7" t="s">
        <v>678</v>
      </c>
      <c r="H2915" s="7" t="s">
        <v>146</v>
      </c>
      <c r="I2915" s="7" t="s">
        <v>14954</v>
      </c>
      <c r="J2915" s="7"/>
      <c r="K2915" s="7" t="s">
        <v>14955</v>
      </c>
    </row>
    <row r="2916" customFormat="false" ht="35.05" hidden="false" customHeight="false" outlineLevel="0" collapsed="false">
      <c r="A2916" s="7" t="n">
        <v>2915</v>
      </c>
      <c r="B2916" s="7" t="s">
        <v>14956</v>
      </c>
      <c r="C2916" s="7" t="n">
        <v>2022</v>
      </c>
      <c r="D2916" s="7" t="s">
        <v>14957</v>
      </c>
      <c r="E2916" s="7" t="s">
        <v>3817</v>
      </c>
      <c r="F2916" s="7" t="s">
        <v>14793</v>
      </c>
      <c r="G2916" s="7" t="s">
        <v>14958</v>
      </c>
      <c r="H2916" s="7" t="s">
        <v>146</v>
      </c>
      <c r="I2916" s="7" t="s">
        <v>14959</v>
      </c>
      <c r="J2916" s="7" t="s">
        <v>116</v>
      </c>
      <c r="K2916" s="7" t="s">
        <v>14960</v>
      </c>
    </row>
    <row r="2917" customFormat="false" ht="35.05" hidden="false" customHeight="false" outlineLevel="0" collapsed="false">
      <c r="A2917" s="7" t="n">
        <v>2916</v>
      </c>
      <c r="B2917" s="7" t="s">
        <v>14961</v>
      </c>
      <c r="C2917" s="7" t="n">
        <v>2022</v>
      </c>
      <c r="D2917" s="7" t="s">
        <v>14962</v>
      </c>
      <c r="E2917" s="7" t="s">
        <v>12529</v>
      </c>
      <c r="F2917" s="7" t="s">
        <v>152</v>
      </c>
      <c r="G2917" s="7" t="s">
        <v>2846</v>
      </c>
      <c r="H2917" s="7" t="s">
        <v>146</v>
      </c>
      <c r="I2917" s="7" t="s">
        <v>14963</v>
      </c>
      <c r="J2917" s="7"/>
      <c r="K2917" s="7" t="s">
        <v>14964</v>
      </c>
    </row>
    <row r="2918" customFormat="false" ht="35.05" hidden="false" customHeight="false" outlineLevel="0" collapsed="false">
      <c r="A2918" s="7" t="n">
        <v>2917</v>
      </c>
      <c r="B2918" s="7" t="s">
        <v>14965</v>
      </c>
      <c r="C2918" s="7" t="n">
        <v>2025</v>
      </c>
      <c r="D2918" s="7" t="s">
        <v>14966</v>
      </c>
      <c r="E2918" s="7" t="s">
        <v>14967</v>
      </c>
      <c r="F2918" s="7" t="s">
        <v>14146</v>
      </c>
      <c r="G2918" s="7" t="s">
        <v>327</v>
      </c>
      <c r="H2918" s="7" t="s">
        <v>146</v>
      </c>
      <c r="I2918" s="7" t="s">
        <v>14968</v>
      </c>
      <c r="J2918" s="7"/>
      <c r="K2918" s="7" t="s">
        <v>14969</v>
      </c>
    </row>
    <row r="2919" customFormat="false" ht="23.85" hidden="false" customHeight="false" outlineLevel="0" collapsed="false">
      <c r="A2919" s="7" t="n">
        <v>2918</v>
      </c>
      <c r="B2919" s="7" t="s">
        <v>4992</v>
      </c>
      <c r="C2919" s="7" t="n">
        <v>2005</v>
      </c>
      <c r="D2919" s="7" t="s">
        <v>14970</v>
      </c>
      <c r="E2919" s="7" t="s">
        <v>201</v>
      </c>
      <c r="F2919" s="7" t="s">
        <v>14971</v>
      </c>
      <c r="G2919" s="7" t="s">
        <v>145</v>
      </c>
      <c r="H2919" s="7" t="s">
        <v>153</v>
      </c>
      <c r="I2919" s="7" t="s">
        <v>507</v>
      </c>
      <c r="J2919" s="7" t="s">
        <v>116</v>
      </c>
      <c r="K2919" s="7" t="s">
        <v>14972</v>
      </c>
    </row>
    <row r="2920" customFormat="false" ht="35.05" hidden="false" customHeight="false" outlineLevel="0" collapsed="false">
      <c r="A2920" s="7" t="n">
        <v>2919</v>
      </c>
      <c r="B2920" s="7" t="s">
        <v>14973</v>
      </c>
      <c r="C2920" s="7" t="n">
        <v>2025</v>
      </c>
      <c r="D2920" s="7" t="s">
        <v>14974</v>
      </c>
      <c r="E2920" s="7" t="s">
        <v>579</v>
      </c>
      <c r="F2920" s="7" t="s">
        <v>14975</v>
      </c>
      <c r="G2920" s="7" t="s">
        <v>327</v>
      </c>
      <c r="H2920" s="7" t="s">
        <v>146</v>
      </c>
      <c r="I2920" s="7" t="s">
        <v>14976</v>
      </c>
      <c r="J2920" s="7" t="s">
        <v>114</v>
      </c>
      <c r="K2920" s="7" t="s">
        <v>14977</v>
      </c>
    </row>
    <row r="2921" customFormat="false" ht="35.05" hidden="false" customHeight="false" outlineLevel="0" collapsed="false">
      <c r="A2921" s="7" t="n">
        <v>2920</v>
      </c>
      <c r="B2921" s="7" t="s">
        <v>14978</v>
      </c>
      <c r="C2921" s="7" t="n">
        <v>2022</v>
      </c>
      <c r="D2921" s="7" t="s">
        <v>14979</v>
      </c>
      <c r="E2921" s="7" t="s">
        <v>14980</v>
      </c>
      <c r="F2921" s="7" t="s">
        <v>14193</v>
      </c>
      <c r="G2921" s="7" t="s">
        <v>327</v>
      </c>
      <c r="H2921" s="7" t="s">
        <v>146</v>
      </c>
      <c r="I2921" s="7" t="s">
        <v>14981</v>
      </c>
      <c r="J2921" s="7" t="s">
        <v>114</v>
      </c>
      <c r="K2921" s="7" t="s">
        <v>14982</v>
      </c>
    </row>
    <row r="2922" customFormat="false" ht="35.05" hidden="false" customHeight="false" outlineLevel="0" collapsed="false">
      <c r="A2922" s="7" t="n">
        <v>2921</v>
      </c>
      <c r="B2922" s="7" t="s">
        <v>14983</v>
      </c>
      <c r="C2922" s="7" t="n">
        <v>2020</v>
      </c>
      <c r="D2922" s="7" t="s">
        <v>14984</v>
      </c>
      <c r="E2922" s="7" t="s">
        <v>14489</v>
      </c>
      <c r="F2922" s="7" t="s">
        <v>14246</v>
      </c>
      <c r="G2922" s="7" t="s">
        <v>14491</v>
      </c>
      <c r="H2922" s="7" t="s">
        <v>146</v>
      </c>
      <c r="I2922" s="7" t="s">
        <v>14985</v>
      </c>
      <c r="J2922" s="7" t="s">
        <v>114</v>
      </c>
      <c r="K2922" s="7" t="s">
        <v>14986</v>
      </c>
    </row>
    <row r="2923" customFormat="false" ht="23.85" hidden="false" customHeight="false" outlineLevel="0" collapsed="false">
      <c r="A2923" s="7" t="n">
        <v>2922</v>
      </c>
      <c r="B2923" s="7" t="s">
        <v>14987</v>
      </c>
      <c r="C2923" s="7" t="n">
        <v>2026</v>
      </c>
      <c r="D2923" s="7" t="s">
        <v>14988</v>
      </c>
      <c r="E2923" s="7" t="s">
        <v>579</v>
      </c>
      <c r="F2923" s="7" t="s">
        <v>14989</v>
      </c>
      <c r="G2923" s="7" t="s">
        <v>327</v>
      </c>
      <c r="H2923" s="7" t="s">
        <v>146</v>
      </c>
      <c r="I2923" s="7" t="s">
        <v>14990</v>
      </c>
      <c r="J2923" s="7" t="s">
        <v>114</v>
      </c>
      <c r="K2923" s="7" t="s">
        <v>14991</v>
      </c>
    </row>
    <row r="2924" customFormat="false" ht="35.05" hidden="false" customHeight="false" outlineLevel="0" collapsed="false">
      <c r="A2924" s="7" t="n">
        <v>2923</v>
      </c>
      <c r="B2924" s="7" t="s">
        <v>14992</v>
      </c>
      <c r="C2924" s="7" t="n">
        <v>2026</v>
      </c>
      <c r="D2924" s="7" t="s">
        <v>14993</v>
      </c>
      <c r="E2924" s="7" t="s">
        <v>579</v>
      </c>
      <c r="F2924" s="7" t="s">
        <v>14944</v>
      </c>
      <c r="G2924" s="7" t="s">
        <v>14184</v>
      </c>
      <c r="H2924" s="7" t="s">
        <v>153</v>
      </c>
      <c r="I2924" s="7" t="s">
        <v>14994</v>
      </c>
      <c r="J2924" s="7" t="s">
        <v>114</v>
      </c>
      <c r="K2924" s="7" t="s">
        <v>14995</v>
      </c>
    </row>
    <row r="2925" customFormat="false" ht="23.85" hidden="false" customHeight="false" outlineLevel="0" collapsed="false">
      <c r="A2925" s="7" t="n">
        <v>2924</v>
      </c>
      <c r="B2925" s="7" t="s">
        <v>14996</v>
      </c>
      <c r="C2925" s="7" t="n">
        <v>2016</v>
      </c>
      <c r="D2925" s="7" t="s">
        <v>14997</v>
      </c>
      <c r="E2925" s="7" t="s">
        <v>14998</v>
      </c>
      <c r="F2925" s="7" t="s">
        <v>14404</v>
      </c>
      <c r="G2925" s="7" t="s">
        <v>145</v>
      </c>
      <c r="H2925" s="7" t="s">
        <v>208</v>
      </c>
      <c r="I2925" s="7" t="s">
        <v>14999</v>
      </c>
      <c r="J2925" s="7"/>
      <c r="K2925" s="7" t="s">
        <v>15000</v>
      </c>
    </row>
    <row r="2926" customFormat="false" ht="35.05" hidden="false" customHeight="false" outlineLevel="0" collapsed="false">
      <c r="A2926" s="7" t="n">
        <v>2925</v>
      </c>
      <c r="B2926" s="7" t="s">
        <v>15001</v>
      </c>
      <c r="C2926" s="7" t="n">
        <v>2019</v>
      </c>
      <c r="D2926" s="7" t="s">
        <v>15002</v>
      </c>
      <c r="E2926" s="7" t="s">
        <v>151</v>
      </c>
      <c r="F2926" s="7" t="s">
        <v>15003</v>
      </c>
      <c r="G2926" s="7" t="s">
        <v>327</v>
      </c>
      <c r="H2926" s="7" t="s">
        <v>208</v>
      </c>
      <c r="I2926" s="7" t="s">
        <v>15004</v>
      </c>
      <c r="J2926" s="7" t="s">
        <v>114</v>
      </c>
      <c r="K2926" s="7" t="s">
        <v>15005</v>
      </c>
    </row>
    <row r="2927" customFormat="false" ht="35.05" hidden="false" customHeight="false" outlineLevel="0" collapsed="false">
      <c r="A2927" s="7" t="n">
        <v>2926</v>
      </c>
      <c r="B2927" s="7" t="s">
        <v>15006</v>
      </c>
      <c r="C2927" s="7" t="n">
        <v>2023</v>
      </c>
      <c r="D2927" s="7" t="s">
        <v>15007</v>
      </c>
      <c r="E2927" s="7" t="s">
        <v>151</v>
      </c>
      <c r="F2927" s="7" t="s">
        <v>14404</v>
      </c>
      <c r="G2927" s="7" t="s">
        <v>327</v>
      </c>
      <c r="H2927" s="7" t="s">
        <v>153</v>
      </c>
      <c r="I2927" s="7" t="s">
        <v>15008</v>
      </c>
      <c r="J2927" s="7" t="s">
        <v>114</v>
      </c>
      <c r="K2927" s="7" t="s">
        <v>15009</v>
      </c>
    </row>
    <row r="2928" customFormat="false" ht="23.85" hidden="false" customHeight="false" outlineLevel="0" collapsed="false">
      <c r="A2928" s="7" t="n">
        <v>2927</v>
      </c>
      <c r="B2928" s="7" t="s">
        <v>15010</v>
      </c>
      <c r="C2928" s="7" t="n">
        <v>2024</v>
      </c>
      <c r="D2928" s="7" t="s">
        <v>15011</v>
      </c>
      <c r="E2928" s="7" t="s">
        <v>579</v>
      </c>
      <c r="F2928" s="7" t="s">
        <v>14238</v>
      </c>
      <c r="G2928" s="7" t="s">
        <v>327</v>
      </c>
      <c r="H2928" s="7" t="s">
        <v>146</v>
      </c>
      <c r="I2928" s="7" t="s">
        <v>15012</v>
      </c>
      <c r="J2928" s="7" t="s">
        <v>114</v>
      </c>
      <c r="K2928" s="7" t="s">
        <v>15013</v>
      </c>
    </row>
    <row r="2929" customFormat="false" ht="23.85" hidden="false" customHeight="false" outlineLevel="0" collapsed="false">
      <c r="A2929" s="7" t="n">
        <v>2928</v>
      </c>
      <c r="B2929" s="7" t="s">
        <v>15014</v>
      </c>
      <c r="C2929" s="7" t="n">
        <v>2024</v>
      </c>
      <c r="D2929" s="7" t="s">
        <v>15015</v>
      </c>
      <c r="E2929" s="7" t="s">
        <v>14285</v>
      </c>
      <c r="F2929" s="7" t="s">
        <v>14286</v>
      </c>
      <c r="G2929" s="7" t="s">
        <v>327</v>
      </c>
      <c r="H2929" s="7" t="s">
        <v>153</v>
      </c>
      <c r="I2929" s="7" t="s">
        <v>15016</v>
      </c>
      <c r="J2929" s="7" t="s">
        <v>114</v>
      </c>
      <c r="K2929" s="7" t="s">
        <v>15017</v>
      </c>
    </row>
    <row r="2930" customFormat="false" ht="23.85" hidden="false" customHeight="false" outlineLevel="0" collapsed="false">
      <c r="A2930" s="7" t="n">
        <v>2929</v>
      </c>
      <c r="B2930" s="7" t="s">
        <v>15018</v>
      </c>
      <c r="C2930" s="7" t="n">
        <v>2024</v>
      </c>
      <c r="D2930" s="7" t="s">
        <v>15019</v>
      </c>
      <c r="E2930" s="7" t="s">
        <v>8720</v>
      </c>
      <c r="F2930" s="7" t="s">
        <v>15020</v>
      </c>
      <c r="G2930" s="7" t="s">
        <v>327</v>
      </c>
      <c r="H2930" s="7" t="s">
        <v>153</v>
      </c>
      <c r="I2930" s="7" t="s">
        <v>15021</v>
      </c>
      <c r="J2930" s="7" t="s">
        <v>114</v>
      </c>
      <c r="K2930" s="7" t="s">
        <v>15022</v>
      </c>
    </row>
    <row r="2931" customFormat="false" ht="35.05" hidden="false" customHeight="false" outlineLevel="0" collapsed="false">
      <c r="A2931" s="7" t="n">
        <v>2930</v>
      </c>
      <c r="B2931" s="7" t="s">
        <v>15023</v>
      </c>
      <c r="C2931" s="7" t="n">
        <v>2014</v>
      </c>
      <c r="D2931" s="7" t="s">
        <v>15024</v>
      </c>
      <c r="E2931" s="7" t="s">
        <v>8720</v>
      </c>
      <c r="F2931" s="7" t="s">
        <v>14809</v>
      </c>
      <c r="G2931" s="7" t="s">
        <v>327</v>
      </c>
      <c r="H2931" s="7" t="s">
        <v>153</v>
      </c>
      <c r="I2931" s="7" t="s">
        <v>15025</v>
      </c>
      <c r="J2931" s="7" t="s">
        <v>114</v>
      </c>
      <c r="K2931" s="7" t="s">
        <v>15026</v>
      </c>
    </row>
    <row r="2932" customFormat="false" ht="23.85" hidden="false" customHeight="false" outlineLevel="0" collapsed="false">
      <c r="A2932" s="7" t="n">
        <v>2931</v>
      </c>
      <c r="B2932" s="7" t="s">
        <v>15027</v>
      </c>
      <c r="C2932" s="7" t="n">
        <v>2020</v>
      </c>
      <c r="D2932" s="7" t="s">
        <v>15028</v>
      </c>
      <c r="E2932" s="7" t="s">
        <v>151</v>
      </c>
      <c r="F2932" s="7" t="s">
        <v>152</v>
      </c>
      <c r="G2932" s="7" t="s">
        <v>678</v>
      </c>
      <c r="H2932" s="7" t="s">
        <v>146</v>
      </c>
      <c r="I2932" s="7" t="s">
        <v>14689</v>
      </c>
      <c r="J2932" s="7"/>
      <c r="K2932" s="7" t="s">
        <v>15029</v>
      </c>
    </row>
    <row r="2933" customFormat="false" ht="35.05" hidden="false" customHeight="false" outlineLevel="0" collapsed="false">
      <c r="A2933" s="7" t="n">
        <v>2932</v>
      </c>
      <c r="B2933" s="7" t="s">
        <v>15030</v>
      </c>
      <c r="C2933" s="7" t="n">
        <v>2023</v>
      </c>
      <c r="D2933" s="7" t="s">
        <v>15031</v>
      </c>
      <c r="E2933" s="7" t="s">
        <v>579</v>
      </c>
      <c r="F2933" s="7" t="s">
        <v>152</v>
      </c>
      <c r="G2933" s="7" t="s">
        <v>145</v>
      </c>
      <c r="H2933" s="7" t="s">
        <v>153</v>
      </c>
      <c r="I2933" s="7" t="s">
        <v>15032</v>
      </c>
      <c r="J2933" s="7"/>
      <c r="K2933" s="7" t="s">
        <v>15033</v>
      </c>
    </row>
    <row r="2934" customFormat="false" ht="23.85" hidden="false" customHeight="false" outlineLevel="0" collapsed="false">
      <c r="A2934" s="7" t="n">
        <v>2933</v>
      </c>
      <c r="B2934" s="7" t="s">
        <v>15034</v>
      </c>
      <c r="C2934" s="7" t="n">
        <v>2024</v>
      </c>
      <c r="D2934" s="7" t="s">
        <v>15035</v>
      </c>
      <c r="E2934" s="7" t="s">
        <v>8720</v>
      </c>
      <c r="F2934" s="7" t="s">
        <v>15036</v>
      </c>
      <c r="G2934" s="7" t="s">
        <v>145</v>
      </c>
      <c r="H2934" s="7" t="s">
        <v>153</v>
      </c>
      <c r="I2934" s="7" t="s">
        <v>15037</v>
      </c>
      <c r="J2934" s="7" t="s">
        <v>114</v>
      </c>
      <c r="K2934" s="7" t="s">
        <v>15038</v>
      </c>
    </row>
    <row r="2935" customFormat="false" ht="46.25" hidden="false" customHeight="false" outlineLevel="0" collapsed="false">
      <c r="A2935" s="7" t="n">
        <v>2934</v>
      </c>
      <c r="B2935" s="7" t="s">
        <v>1770</v>
      </c>
      <c r="C2935" s="7" t="n">
        <v>2022</v>
      </c>
      <c r="D2935" s="7" t="s">
        <v>15039</v>
      </c>
      <c r="E2935" s="7" t="s">
        <v>14403</v>
      </c>
      <c r="F2935" s="7" t="s">
        <v>15040</v>
      </c>
      <c r="G2935" s="7" t="s">
        <v>14184</v>
      </c>
      <c r="H2935" s="7" t="s">
        <v>153</v>
      </c>
      <c r="I2935" s="7" t="s">
        <v>15041</v>
      </c>
      <c r="J2935" s="7" t="s">
        <v>114</v>
      </c>
      <c r="K2935" s="7" t="s">
        <v>15042</v>
      </c>
    </row>
    <row r="2936" customFormat="false" ht="46.25" hidden="false" customHeight="false" outlineLevel="0" collapsed="false">
      <c r="A2936" s="7" t="n">
        <v>2935</v>
      </c>
      <c r="B2936" s="7" t="s">
        <v>15043</v>
      </c>
      <c r="C2936" s="7" t="n">
        <v>2024</v>
      </c>
      <c r="D2936" s="7" t="s">
        <v>15044</v>
      </c>
      <c r="E2936" s="7" t="s">
        <v>143</v>
      </c>
      <c r="F2936" s="7" t="s">
        <v>15045</v>
      </c>
      <c r="G2936" s="7" t="s">
        <v>1689</v>
      </c>
      <c r="H2936" s="7" t="s">
        <v>153</v>
      </c>
      <c r="I2936" s="7" t="s">
        <v>15046</v>
      </c>
      <c r="J2936" s="7" t="s">
        <v>112</v>
      </c>
      <c r="K2936" s="7" t="s">
        <v>15047</v>
      </c>
    </row>
    <row r="2937" customFormat="false" ht="46.25" hidden="false" customHeight="false" outlineLevel="0" collapsed="false">
      <c r="A2937" s="7" t="n">
        <v>2936</v>
      </c>
      <c r="B2937" s="7" t="s">
        <v>15048</v>
      </c>
      <c r="C2937" s="7" t="n">
        <v>2023</v>
      </c>
      <c r="D2937" s="7" t="s">
        <v>15049</v>
      </c>
      <c r="E2937" s="7" t="s">
        <v>579</v>
      </c>
      <c r="F2937" s="7" t="s">
        <v>15050</v>
      </c>
      <c r="G2937" s="7" t="s">
        <v>145</v>
      </c>
      <c r="H2937" s="7" t="s">
        <v>153</v>
      </c>
      <c r="I2937" s="7" t="s">
        <v>15051</v>
      </c>
      <c r="J2937" s="7" t="s">
        <v>114</v>
      </c>
      <c r="K2937" s="7" t="s">
        <v>15052</v>
      </c>
    </row>
    <row r="2938" customFormat="false" ht="46.25" hidden="false" customHeight="false" outlineLevel="0" collapsed="false">
      <c r="A2938" s="7" t="n">
        <v>2937</v>
      </c>
      <c r="B2938" s="7" t="s">
        <v>15053</v>
      </c>
      <c r="C2938" s="7" t="n">
        <v>2023</v>
      </c>
      <c r="D2938" s="7" t="s">
        <v>15054</v>
      </c>
      <c r="E2938" s="7" t="s">
        <v>579</v>
      </c>
      <c r="F2938" s="7" t="s">
        <v>15055</v>
      </c>
      <c r="G2938" s="7" t="s">
        <v>15056</v>
      </c>
      <c r="H2938" s="7" t="s">
        <v>146</v>
      </c>
      <c r="I2938" s="7" t="s">
        <v>15057</v>
      </c>
      <c r="J2938" s="7" t="s">
        <v>112</v>
      </c>
      <c r="K2938" s="7" t="s">
        <v>15058</v>
      </c>
    </row>
    <row r="2939" customFormat="false" ht="57.45" hidden="false" customHeight="false" outlineLevel="0" collapsed="false">
      <c r="A2939" s="7" t="n">
        <v>2938</v>
      </c>
      <c r="B2939" s="7" t="s">
        <v>15059</v>
      </c>
      <c r="C2939" s="7" t="n">
        <v>2023</v>
      </c>
      <c r="D2939" s="7" t="s">
        <v>15060</v>
      </c>
      <c r="E2939" s="7" t="s">
        <v>151</v>
      </c>
      <c r="F2939" s="7" t="s">
        <v>15061</v>
      </c>
      <c r="G2939" s="7" t="s">
        <v>327</v>
      </c>
      <c r="H2939" s="7" t="s">
        <v>522</v>
      </c>
      <c r="I2939" s="7" t="s">
        <v>15062</v>
      </c>
      <c r="J2939" s="7" t="s">
        <v>112</v>
      </c>
      <c r="K2939" s="7" t="s">
        <v>15063</v>
      </c>
    </row>
    <row r="2940" customFormat="false" ht="46.25" hidden="false" customHeight="false" outlineLevel="0" collapsed="false">
      <c r="A2940" s="7" t="n">
        <v>2939</v>
      </c>
      <c r="B2940" s="7" t="s">
        <v>15064</v>
      </c>
      <c r="C2940" s="7" t="n">
        <v>2023</v>
      </c>
      <c r="D2940" s="7" t="s">
        <v>15065</v>
      </c>
      <c r="E2940" s="7" t="s">
        <v>143</v>
      </c>
      <c r="F2940" s="7" t="s">
        <v>15066</v>
      </c>
      <c r="G2940" s="7" t="s">
        <v>327</v>
      </c>
      <c r="H2940" s="7" t="s">
        <v>153</v>
      </c>
      <c r="I2940" s="7" t="s">
        <v>15067</v>
      </c>
      <c r="J2940" s="7" t="s">
        <v>114</v>
      </c>
      <c r="K2940" s="7" t="s">
        <v>15068</v>
      </c>
    </row>
    <row r="2941" customFormat="false" ht="35.05" hidden="false" customHeight="false" outlineLevel="0" collapsed="false">
      <c r="A2941" s="7" t="n">
        <v>2940</v>
      </c>
      <c r="B2941" s="7" t="s">
        <v>15069</v>
      </c>
      <c r="C2941" s="7" t="n">
        <v>2023</v>
      </c>
      <c r="D2941" s="7" t="s">
        <v>15070</v>
      </c>
      <c r="E2941" s="7" t="s">
        <v>143</v>
      </c>
      <c r="F2941" s="7" t="s">
        <v>15071</v>
      </c>
      <c r="G2941" s="7" t="s">
        <v>15072</v>
      </c>
      <c r="H2941" s="7" t="s">
        <v>522</v>
      </c>
      <c r="I2941" s="7" t="s">
        <v>15073</v>
      </c>
      <c r="J2941" s="7" t="s">
        <v>112</v>
      </c>
      <c r="K2941" s="7" t="s">
        <v>15074</v>
      </c>
    </row>
    <row r="2942" customFormat="false" ht="46.25" hidden="false" customHeight="false" outlineLevel="0" collapsed="false">
      <c r="A2942" s="7" t="n">
        <v>2941</v>
      </c>
      <c r="B2942" s="7" t="s">
        <v>15075</v>
      </c>
      <c r="C2942" s="7" t="n">
        <v>2023</v>
      </c>
      <c r="D2942" s="7" t="s">
        <v>15076</v>
      </c>
      <c r="E2942" s="7" t="s">
        <v>201</v>
      </c>
      <c r="F2942" s="7" t="s">
        <v>15077</v>
      </c>
      <c r="G2942" s="7" t="s">
        <v>327</v>
      </c>
      <c r="H2942" s="7" t="s">
        <v>146</v>
      </c>
      <c r="I2942" s="7" t="s">
        <v>15078</v>
      </c>
      <c r="J2942" s="7" t="s">
        <v>116</v>
      </c>
      <c r="K2942" s="7" t="s">
        <v>15079</v>
      </c>
    </row>
    <row r="2943" customFormat="false" ht="35.05" hidden="false" customHeight="false" outlineLevel="0" collapsed="false">
      <c r="A2943" s="7" t="n">
        <v>2942</v>
      </c>
      <c r="B2943" s="7" t="s">
        <v>15080</v>
      </c>
      <c r="C2943" s="7" t="n">
        <v>2023</v>
      </c>
      <c r="D2943" s="7" t="s">
        <v>15081</v>
      </c>
      <c r="E2943" s="7" t="s">
        <v>143</v>
      </c>
      <c r="F2943" s="7" t="s">
        <v>15082</v>
      </c>
      <c r="G2943" s="7" t="s">
        <v>15083</v>
      </c>
      <c r="H2943" s="7" t="s">
        <v>522</v>
      </c>
      <c r="I2943" s="7" t="s">
        <v>15084</v>
      </c>
      <c r="J2943" s="7" t="s">
        <v>112</v>
      </c>
      <c r="K2943" s="7" t="s">
        <v>15085</v>
      </c>
    </row>
    <row r="2944" customFormat="false" ht="46.25" hidden="false" customHeight="false" outlineLevel="0" collapsed="false">
      <c r="A2944" s="7" t="n">
        <v>2943</v>
      </c>
      <c r="B2944" s="7" t="s">
        <v>15086</v>
      </c>
      <c r="C2944" s="7" t="n">
        <v>2023</v>
      </c>
      <c r="D2944" s="7" t="s">
        <v>15087</v>
      </c>
      <c r="E2944" s="7" t="s">
        <v>143</v>
      </c>
      <c r="F2944" s="7" t="s">
        <v>15088</v>
      </c>
      <c r="G2944" s="7" t="s">
        <v>327</v>
      </c>
      <c r="H2944" s="7" t="s">
        <v>153</v>
      </c>
      <c r="I2944" s="7" t="s">
        <v>15089</v>
      </c>
      <c r="J2944" s="7" t="s">
        <v>114</v>
      </c>
      <c r="K2944" s="7" t="s">
        <v>15090</v>
      </c>
    </row>
    <row r="2945" customFormat="false" ht="46.25" hidden="false" customHeight="false" outlineLevel="0" collapsed="false">
      <c r="A2945" s="7" t="n">
        <v>2944</v>
      </c>
      <c r="B2945" s="7" t="s">
        <v>15091</v>
      </c>
      <c r="C2945" s="7" t="n">
        <v>2023</v>
      </c>
      <c r="D2945" s="7" t="s">
        <v>15092</v>
      </c>
      <c r="E2945" s="7" t="s">
        <v>143</v>
      </c>
      <c r="F2945" s="7" t="s">
        <v>15093</v>
      </c>
      <c r="G2945" s="7" t="s">
        <v>15094</v>
      </c>
      <c r="H2945" s="7" t="s">
        <v>153</v>
      </c>
      <c r="I2945" s="7" t="s">
        <v>15095</v>
      </c>
      <c r="J2945" s="7" t="s">
        <v>112</v>
      </c>
      <c r="K2945" s="7" t="s">
        <v>15096</v>
      </c>
    </row>
    <row r="2946" customFormat="false" ht="91" hidden="false" customHeight="false" outlineLevel="0" collapsed="false">
      <c r="A2946" s="7" t="n">
        <v>2945</v>
      </c>
      <c r="B2946" s="7" t="s">
        <v>15097</v>
      </c>
      <c r="C2946" s="7" t="n">
        <v>2022</v>
      </c>
      <c r="D2946" s="7" t="s">
        <v>15098</v>
      </c>
      <c r="E2946" s="7" t="s">
        <v>579</v>
      </c>
      <c r="F2946" s="7" t="s">
        <v>15099</v>
      </c>
      <c r="G2946" s="7" t="s">
        <v>15100</v>
      </c>
      <c r="H2946" s="7" t="s">
        <v>153</v>
      </c>
      <c r="I2946" s="7" t="s">
        <v>15101</v>
      </c>
      <c r="J2946" s="7"/>
      <c r="K2946" s="7" t="s">
        <v>15102</v>
      </c>
    </row>
    <row r="2947" customFormat="false" ht="46.25" hidden="false" customHeight="false" outlineLevel="0" collapsed="false">
      <c r="A2947" s="7" t="n">
        <v>2946</v>
      </c>
      <c r="B2947" s="7" t="s">
        <v>15097</v>
      </c>
      <c r="C2947" s="7" t="n">
        <v>2011</v>
      </c>
      <c r="D2947" s="7" t="s">
        <v>15103</v>
      </c>
      <c r="E2947" s="7" t="s">
        <v>143</v>
      </c>
      <c r="F2947" s="7" t="s">
        <v>15104</v>
      </c>
      <c r="G2947" s="7" t="s">
        <v>15105</v>
      </c>
      <c r="H2947" s="7" t="s">
        <v>146</v>
      </c>
      <c r="I2947" s="7" t="s">
        <v>15106</v>
      </c>
      <c r="J2947" s="7" t="s">
        <v>114</v>
      </c>
      <c r="K2947" s="7" t="s">
        <v>15107</v>
      </c>
    </row>
    <row r="2948" customFormat="false" ht="57.45" hidden="false" customHeight="false" outlineLevel="0" collapsed="false">
      <c r="A2948" s="7" t="n">
        <v>2947</v>
      </c>
      <c r="B2948" s="7" t="s">
        <v>15108</v>
      </c>
      <c r="C2948" s="7" t="n">
        <v>2015</v>
      </c>
      <c r="D2948" s="7" t="s">
        <v>15109</v>
      </c>
      <c r="E2948" s="7" t="s">
        <v>143</v>
      </c>
      <c r="F2948" s="7" t="s">
        <v>15110</v>
      </c>
      <c r="G2948" s="7" t="s">
        <v>15111</v>
      </c>
      <c r="H2948" s="7" t="s">
        <v>153</v>
      </c>
      <c r="I2948" s="7" t="s">
        <v>15112</v>
      </c>
      <c r="J2948" s="7" t="s">
        <v>114</v>
      </c>
      <c r="K2948" s="7" t="s">
        <v>15113</v>
      </c>
    </row>
    <row r="2949" customFormat="false" ht="57.45" hidden="false" customHeight="false" outlineLevel="0" collapsed="false">
      <c r="A2949" s="7" t="n">
        <v>2948</v>
      </c>
      <c r="B2949" s="7" t="s">
        <v>15114</v>
      </c>
      <c r="C2949" s="7" t="n">
        <v>2018</v>
      </c>
      <c r="D2949" s="7" t="s">
        <v>15115</v>
      </c>
      <c r="E2949" s="7" t="s">
        <v>579</v>
      </c>
      <c r="F2949" s="7" t="s">
        <v>197</v>
      </c>
      <c r="G2949" s="7" t="s">
        <v>145</v>
      </c>
      <c r="H2949" s="7" t="s">
        <v>153</v>
      </c>
      <c r="I2949" s="7" t="s">
        <v>15116</v>
      </c>
      <c r="J2949" s="7"/>
      <c r="K2949" s="7" t="s">
        <v>15117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2026-09-15T07:54:02Z</dcterms:created>
  <dc:creator>openpyxl</dc:creator>
  <dc:description/>
  <dc:language>en-US</dc:language>
  <cp:lastModifiedBy/>
  <dcterms:modified xsi:type="dcterms:W3CDTF">2026-09-15T12:46:55Z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